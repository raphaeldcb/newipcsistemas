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0251.25.20.JD.772\"/>
    </mc:Choice>
  </mc:AlternateContent>
  <xr:revisionPtr revIDLastSave="0" documentId="8_{AAAE5892-29F3-4BC6-A494-D8012E2825BB}" xr6:coauthVersionLast="47" xr6:coauthVersionMax="47" xr10:uidLastSave="{00000000-0000-0000-0000-000000000000}"/>
  <bookViews>
    <workbookView xWindow="-120" yWindow="-120" windowWidth="29040" windowHeight="15720" tabRatio="703" activeTab="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20" l="1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N19" i="20" l="1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A33" i="18"/>
  <c r="A32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N40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O41" i="18"/>
  <c r="CF39" i="18"/>
  <c r="K39" i="18"/>
  <c r="CF42" i="18"/>
  <c r="M42" i="18"/>
  <c r="K42" i="18"/>
  <c r="AT38" i="18"/>
  <c r="CC38" i="18"/>
  <c r="BN38" i="18"/>
  <c r="AM38" i="18"/>
  <c r="BD38" i="18" s="1"/>
  <c r="AN38" i="18"/>
  <c r="AO38" i="18" s="1"/>
  <c r="J38" i="18"/>
  <c r="BN41" i="18"/>
  <c r="K41" i="18"/>
  <c r="CH35" i="18"/>
  <c r="O35" i="18"/>
  <c r="CD38" i="18"/>
  <c r="K38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Y34" i="18"/>
  <c r="W36" i="18"/>
  <c r="BI36" i="18"/>
  <c r="T38" i="18"/>
  <c r="BI39" i="18"/>
  <c r="W35" i="18"/>
  <c r="R34" i="18"/>
  <c r="S34" i="18"/>
  <c r="U34" i="18"/>
  <c r="BI40" i="18"/>
  <c r="BE40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L38" i="9" l="1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I31" i="18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M4" i="9" s="1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H33" i="18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CE4" i="9" s="1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W4" i="9" s="1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F31" i="18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25" i="9" l="1"/>
  <c r="I29" i="18" s="1"/>
  <c r="N40" i="19" s="1"/>
  <c r="CM18" i="9"/>
  <c r="I22" i="18" s="1"/>
  <c r="N33" i="19" s="1"/>
  <c r="BA31" i="18"/>
  <c r="CG31" i="18"/>
  <c r="BO17" i="9"/>
  <c r="F21" i="18" s="1"/>
  <c r="BA21" i="18" s="1"/>
  <c r="BO9" i="9"/>
  <c r="F13" i="18" s="1"/>
  <c r="BA13" i="18" s="1"/>
  <c r="BO18" i="9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F32" i="18" s="1"/>
  <c r="BO29" i="9"/>
  <c r="F33" i="18" s="1"/>
  <c r="BO31" i="9"/>
  <c r="BO36" i="9"/>
  <c r="BO37" i="9"/>
  <c r="CM29" i="9"/>
  <c r="I33" i="18" s="1"/>
  <c r="CM37" i="9"/>
  <c r="BO34" i="9"/>
  <c r="CM28" i="9"/>
  <c r="I32" i="18" s="1"/>
  <c r="CM36" i="9"/>
  <c r="BO22" i="9"/>
  <c r="F26" i="18" s="1"/>
  <c r="BW21" i="9"/>
  <c r="G25" i="18" s="1"/>
  <c r="CM24" i="9"/>
  <c r="I28" i="18" s="1"/>
  <c r="N39" i="19" s="1"/>
  <c r="CM26" i="9"/>
  <c r="I30" i="18" s="1"/>
  <c r="N41" i="19" s="1"/>
  <c r="BO20" i="9"/>
  <c r="F24" i="18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B13" i="18" s="1"/>
  <c r="BW17" i="9"/>
  <c r="G21" i="18" s="1"/>
  <c r="BB21" i="18" s="1"/>
  <c r="BW18" i="9"/>
  <c r="G22" i="18" s="1"/>
  <c r="BB22" i="18" s="1"/>
  <c r="BW23" i="9"/>
  <c r="G27" i="18" s="1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CG27" i="18"/>
  <c r="K33" i="19"/>
  <c r="K36" i="19"/>
  <c r="CG25" i="18"/>
  <c r="K34" i="19"/>
  <c r="K35" i="19"/>
  <c r="K32" i="19"/>
  <c r="K24" i="19"/>
  <c r="BO6" i="9"/>
  <c r="F10" i="18" s="1"/>
  <c r="BO10" i="9"/>
  <c r="F14" i="18" s="1"/>
  <c r="BA14" i="18" s="1"/>
  <c r="BW29" i="9"/>
  <c r="G33" i="18" s="1"/>
  <c r="CE27" i="9"/>
  <c r="H31" i="18" s="1"/>
  <c r="N31" i="18" s="1"/>
  <c r="BW27" i="9"/>
  <c r="G31" i="18" s="1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H32" i="18" s="1"/>
  <c r="CE36" i="9"/>
  <c r="BW28" i="9"/>
  <c r="G32" i="18" s="1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BB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BB18" i="18" s="1"/>
  <c r="CE14" i="9"/>
  <c r="H18" i="18" s="1"/>
  <c r="M29" i="19" s="1"/>
  <c r="BW16" i="9"/>
  <c r="G20" i="18" s="1"/>
  <c r="BB20" i="18" s="1"/>
  <c r="BW13" i="9"/>
  <c r="G17" i="18" s="1"/>
  <c r="BB17" i="18" s="1"/>
  <c r="CE13" i="9"/>
  <c r="H17" i="18" s="1"/>
  <c r="M28" i="19" s="1"/>
  <c r="BW15" i="9"/>
  <c r="G19" i="18" s="1"/>
  <c r="BB19" i="18" s="1"/>
  <c r="CE15" i="9"/>
  <c r="H19" i="18" s="1"/>
  <c r="M30" i="19" s="1"/>
  <c r="BW10" i="9"/>
  <c r="G14" i="18" s="1"/>
  <c r="BB14" i="18" s="1"/>
  <c r="BW12" i="9"/>
  <c r="G16" i="18" s="1"/>
  <c r="BB16" i="18" s="1"/>
  <c r="CE12" i="9"/>
  <c r="H16" i="18" s="1"/>
  <c r="M27" i="19" s="1"/>
  <c r="BW11" i="9"/>
  <c r="G15" i="18" s="1"/>
  <c r="BB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BB12" i="18" s="1"/>
  <c r="CE5" i="9"/>
  <c r="H9" i="18" s="1"/>
  <c r="M20" i="19" s="1"/>
  <c r="BW5" i="9"/>
  <c r="G9" i="18" s="1"/>
  <c r="BB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8" i="18" l="1"/>
  <c r="N22" i="18"/>
  <c r="N13" i="18"/>
  <c r="BB33" i="18"/>
  <c r="CH33" i="18"/>
  <c r="O33" i="18"/>
  <c r="BA33" i="18"/>
  <c r="CG33" i="18"/>
  <c r="N33" i="18"/>
  <c r="O32" i="18"/>
  <c r="CH32" i="18"/>
  <c r="BB32" i="18"/>
  <c r="BA32" i="18"/>
  <c r="CG32" i="18"/>
  <c r="N32" i="18"/>
  <c r="CH31" i="18"/>
  <c r="O31" i="18"/>
  <c r="V31" i="18" s="1"/>
  <c r="BB31" i="18"/>
  <c r="W31" i="18"/>
  <c r="CG30" i="18"/>
  <c r="K41" i="19"/>
  <c r="K40" i="19"/>
  <c r="K38" i="19"/>
  <c r="BA26" i="18"/>
  <c r="CG26" i="18"/>
  <c r="L36" i="19"/>
  <c r="BB25" i="18"/>
  <c r="O25" i="18"/>
  <c r="BA25" i="18"/>
  <c r="CG23" i="18"/>
  <c r="BA23" i="18" s="1"/>
  <c r="N23" i="18"/>
  <c r="K39" i="19"/>
  <c r="BA28" i="18"/>
  <c r="CG24" i="18"/>
  <c r="BA24" i="18" s="1"/>
  <c r="K37" i="19"/>
  <c r="N29" i="18"/>
  <c r="CG29" i="18"/>
  <c r="BA29" i="18" s="1"/>
  <c r="N21" i="18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BB26" i="18" s="1"/>
  <c r="O26" i="18"/>
  <c r="L24" i="19"/>
  <c r="O13" i="18"/>
  <c r="CH28" i="18"/>
  <c r="BB28" i="18" s="1"/>
  <c r="L39" i="19"/>
  <c r="O28" i="18"/>
  <c r="W28" i="18" s="1"/>
  <c r="L28" i="19"/>
  <c r="O17" i="18"/>
  <c r="L29" i="19"/>
  <c r="O18" i="18"/>
  <c r="L40" i="19"/>
  <c r="O29" i="18"/>
  <c r="CH29" i="18"/>
  <c r="BB29" i="18" s="1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CH23" i="18"/>
  <c r="BB23" i="18" s="1"/>
  <c r="L20" i="19"/>
  <c r="O9" i="18"/>
  <c r="CH10" i="18"/>
  <c r="BB10" i="18" s="1"/>
  <c r="L21" i="19"/>
  <c r="O10" i="18"/>
  <c r="L38" i="19"/>
  <c r="CH27" i="18"/>
  <c r="BB27" i="18" s="1"/>
  <c r="O27" i="18"/>
  <c r="L35" i="19"/>
  <c r="CH24" i="18"/>
  <c r="BB24" i="18" s="1"/>
  <c r="O24" i="18"/>
  <c r="N24" i="18"/>
  <c r="N26" i="18"/>
  <c r="N30" i="18"/>
  <c r="K25" i="19"/>
  <c r="N14" i="18"/>
  <c r="K30" i="19"/>
  <c r="N19" i="18"/>
  <c r="K27" i="19"/>
  <c r="N16" i="18"/>
  <c r="K31" i="19"/>
  <c r="N20" i="18"/>
  <c r="K21" i="19"/>
  <c r="N10" i="18"/>
  <c r="CG10" i="18"/>
  <c r="BA10" i="18" s="1"/>
  <c r="K26" i="19"/>
  <c r="N15" i="18"/>
  <c r="K23" i="19"/>
  <c r="N12" i="18"/>
  <c r="K29" i="19"/>
  <c r="N18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27" i="18" l="1"/>
  <c r="V24" i="18"/>
  <c r="W23" i="18"/>
  <c r="W13" i="18"/>
  <c r="V33" i="18"/>
  <c r="W33" i="18"/>
  <c r="V32" i="18"/>
  <c r="W32" i="18"/>
  <c r="W25" i="18"/>
  <c r="V25" i="18"/>
  <c r="V23" i="18"/>
  <c r="W22" i="18"/>
  <c r="W21" i="18"/>
  <c r="W29" i="18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AT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K31" i="12" l="1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31" i="12"/>
  <c r="H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BN32" i="18"/>
  <c r="CE32" i="18"/>
  <c r="J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4" s="1"/>
  <c r="I29" i="14" s="1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AR12" i="12" s="1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F9" i="15" s="1"/>
  <c r="B9" i="18"/>
  <c r="AW9" i="18" s="1"/>
  <c r="B21" i="12"/>
  <c r="H21" i="12" s="1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6" s="1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B30" i="13" s="1"/>
  <c r="H30" i="13" s="1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AT18" i="12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AR22" i="12"/>
  <c r="H33" i="17"/>
  <c r="E25" i="15"/>
  <c r="AT25" i="15" s="1"/>
  <c r="G23" i="15"/>
  <c r="M23" i="15" s="1"/>
  <c r="G18" i="14"/>
  <c r="AV18" i="14" s="1"/>
  <c r="J29" i="17"/>
  <c r="H22" i="17"/>
  <c r="AR17" i="12"/>
  <c r="E14" i="13"/>
  <c r="K14" i="13" s="1"/>
  <c r="D22" i="15"/>
  <c r="AS22" i="15" s="1"/>
  <c r="D9" i="16"/>
  <c r="J30" i="12"/>
  <c r="I41" i="17"/>
  <c r="I35" i="17"/>
  <c r="E15" i="13"/>
  <c r="K15" i="13" s="1"/>
  <c r="H26" i="17"/>
  <c r="C19" i="14"/>
  <c r="I19" i="14" s="1"/>
  <c r="H16" i="12"/>
  <c r="G35" i="17"/>
  <c r="B26" i="16"/>
  <c r="B18" i="16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D26" i="13"/>
  <c r="J26" i="13" s="1"/>
  <c r="I13" i="12"/>
  <c r="E22" i="13"/>
  <c r="K22" i="13" s="1"/>
  <c r="AQ15" i="12"/>
  <c r="M18" i="13"/>
  <c r="AT30" i="12"/>
  <c r="F25" i="15"/>
  <c r="AU25" i="15" s="1"/>
  <c r="AQ26" i="12"/>
  <c r="I22" i="12"/>
  <c r="G13" i="15"/>
  <c r="AV13" i="15" s="1"/>
  <c r="H26" i="12"/>
  <c r="F15" i="14"/>
  <c r="AU15" i="14" s="1"/>
  <c r="C22" i="14"/>
  <c r="I22" i="14" s="1"/>
  <c r="G9" i="15"/>
  <c r="AV9" i="15" s="1"/>
  <c r="F28" i="14"/>
  <c r="L28" i="14" s="1"/>
  <c r="B24" i="14"/>
  <c r="AQ24" i="14" s="1"/>
  <c r="AS28" i="12"/>
  <c r="I9" i="12"/>
  <c r="B25" i="14"/>
  <c r="H25" i="14" s="1"/>
  <c r="D25" i="13"/>
  <c r="AS25" i="13" s="1"/>
  <c r="C28" i="14"/>
  <c r="I28" i="14" s="1"/>
  <c r="AT22" i="12"/>
  <c r="BW25" i="12"/>
  <c r="E22" i="16"/>
  <c r="AS14" i="12"/>
  <c r="C18" i="13"/>
  <c r="I18" i="13" s="1"/>
  <c r="F14" i="14"/>
  <c r="L14" i="14" s="1"/>
  <c r="BX10" i="12"/>
  <c r="B30" i="14"/>
  <c r="H30" i="14" s="1"/>
  <c r="F12" i="12"/>
  <c r="AQ30" i="12"/>
  <c r="J21" i="12"/>
  <c r="F24" i="13"/>
  <c r="L24" i="13" s="1"/>
  <c r="F17" i="12"/>
  <c r="AI5" i="14"/>
  <c r="AI5" i="12"/>
  <c r="C14" i="16"/>
  <c r="B18" i="13"/>
  <c r="H18" i="13" s="1"/>
  <c r="BW23" i="12"/>
  <c r="F19" i="12"/>
  <c r="AI6" i="12"/>
  <c r="AI6" i="15"/>
  <c r="B15" i="14"/>
  <c r="AQ15" i="14" s="1"/>
  <c r="AQ28" i="12"/>
  <c r="B30" i="16"/>
  <c r="D30" i="13"/>
  <c r="AS30" i="13" s="1"/>
  <c r="AS9" i="12"/>
  <c r="E15" i="16"/>
  <c r="D18" i="16"/>
  <c r="E18" i="16"/>
  <c r="B21" i="13"/>
  <c r="AQ21" i="13" s="1"/>
  <c r="H23" i="12"/>
  <c r="I19" i="12"/>
  <c r="B19" i="16"/>
  <c r="I12" i="12"/>
  <c r="B9" i="13"/>
  <c r="AQ9" i="13" s="1"/>
  <c r="J22" i="12"/>
  <c r="I14" i="12"/>
  <c r="C14" i="14"/>
  <c r="I14" i="14" s="1"/>
  <c r="B20" i="16"/>
  <c r="H30" i="12"/>
  <c r="D9" i="15"/>
  <c r="AS9" i="15" s="1"/>
  <c r="K15" i="12"/>
  <c r="E18" i="15"/>
  <c r="K18" i="15" s="1"/>
  <c r="B14" i="13"/>
  <c r="F26" i="16"/>
  <c r="AU26" i="12"/>
  <c r="D26" i="14"/>
  <c r="AS26" i="14" s="1"/>
  <c r="L26" i="12"/>
  <c r="B26" i="15"/>
  <c r="H26" i="15" s="1"/>
  <c r="M21" i="13"/>
  <c r="G21" i="12"/>
  <c r="F21" i="13"/>
  <c r="AU17" i="13"/>
  <c r="G14" i="13"/>
  <c r="AV14" i="13" s="1"/>
  <c r="G12" i="13"/>
  <c r="F29" i="14"/>
  <c r="L29" i="14" s="1"/>
  <c r="D26" i="15"/>
  <c r="J26" i="15" s="1"/>
  <c r="AS22" i="12"/>
  <c r="B22" i="13"/>
  <c r="H22" i="13" s="1"/>
  <c r="F22" i="14"/>
  <c r="L22" i="14" s="1"/>
  <c r="D22" i="16"/>
  <c r="E20" i="15"/>
  <c r="AT20" i="15" s="1"/>
  <c r="K18" i="12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G11" i="14"/>
  <c r="AV11" i="14" s="1"/>
  <c r="K11" i="12"/>
  <c r="E11" i="16"/>
  <c r="C11" i="13"/>
  <c r="AR11" i="13" s="1"/>
  <c r="E11" i="15"/>
  <c r="K11" i="15" s="1"/>
  <c r="BY10" i="12"/>
  <c r="F9" i="14"/>
  <c r="L9" i="14" s="1"/>
  <c r="J9" i="12"/>
  <c r="B24" i="16"/>
  <c r="D24" i="13"/>
  <c r="J24" i="13" s="1"/>
  <c r="AQ24" i="12"/>
  <c r="AQ19" i="12"/>
  <c r="E17" i="13"/>
  <c r="AT17" i="13" s="1"/>
  <c r="C17" i="14"/>
  <c r="I17" i="14" s="1"/>
  <c r="C17" i="16"/>
  <c r="AR15" i="12"/>
  <c r="B15" i="16"/>
  <c r="D15" i="13"/>
  <c r="J15" i="13" s="1"/>
  <c r="H15" i="12"/>
  <c r="E12" i="13"/>
  <c r="K12" i="13" s="1"/>
  <c r="C11" i="14"/>
  <c r="I11" i="14" s="1"/>
  <c r="AR10" i="12"/>
  <c r="E10" i="13"/>
  <c r="BZ10" i="13" s="1"/>
  <c r="D23" i="15"/>
  <c r="AS23" i="15" s="1"/>
  <c r="F10" i="12"/>
  <c r="G10" i="12"/>
  <c r="B23" i="13"/>
  <c r="H23" i="13" s="1"/>
  <c r="AT28" i="12"/>
  <c r="F27" i="13"/>
  <c r="L27" i="13" s="1"/>
  <c r="F13" i="12"/>
  <c r="AS24" i="12"/>
  <c r="G15" i="12"/>
  <c r="F27" i="16"/>
  <c r="D27" i="14"/>
  <c r="AS27" i="14" s="1"/>
  <c r="B27" i="15"/>
  <c r="AU27" i="12"/>
  <c r="C15" i="16"/>
  <c r="D18" i="13"/>
  <c r="AS18" i="13" s="1"/>
  <c r="B18" i="14"/>
  <c r="AQ18" i="14" s="1"/>
  <c r="F12" i="14"/>
  <c r="AU12" i="14" s="1"/>
  <c r="F23" i="14"/>
  <c r="AU23" i="14" s="1"/>
  <c r="J24" i="12"/>
  <c r="J29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F18" i="13"/>
  <c r="F18" i="12"/>
  <c r="K29" i="17" s="1"/>
  <c r="G25" i="15"/>
  <c r="M25" i="15" s="1"/>
  <c r="D10" i="16"/>
  <c r="D12" i="16"/>
  <c r="D24" i="16"/>
  <c r="D24" i="15"/>
  <c r="AS24" i="15" s="1"/>
  <c r="D29" i="15"/>
  <c r="J29" i="15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H22" i="12"/>
  <c r="D22" i="13"/>
  <c r="B24" i="13"/>
  <c r="H24" i="13" s="1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L19" i="13"/>
  <c r="R19" i="13" s="1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H31" i="12" l="1"/>
  <c r="F30" i="15"/>
  <c r="AU30" i="15" s="1"/>
  <c r="AR29" i="12"/>
  <c r="G29" i="15"/>
  <c r="AV29" i="15" s="1"/>
  <c r="H40" i="17"/>
  <c r="I29" i="12"/>
  <c r="C29" i="16"/>
  <c r="E29" i="13"/>
  <c r="AT29" i="13" s="1"/>
  <c r="B28" i="14"/>
  <c r="AQ28" i="14" s="1"/>
  <c r="D28" i="13"/>
  <c r="J28" i="13" s="1"/>
  <c r="H28" i="12"/>
  <c r="B26" i="14"/>
  <c r="H26" i="14" s="1"/>
  <c r="H25" i="12"/>
  <c r="G36" i="17"/>
  <c r="AQ25" i="12"/>
  <c r="G24" i="15"/>
  <c r="M24" i="15" s="1"/>
  <c r="C24" i="16"/>
  <c r="AR24" i="12"/>
  <c r="H24" i="12"/>
  <c r="I21" i="12"/>
  <c r="H32" i="17"/>
  <c r="AQ21" i="12"/>
  <c r="D21" i="13"/>
  <c r="AS21" i="13" s="1"/>
  <c r="F21" i="15"/>
  <c r="AU21" i="15" s="1"/>
  <c r="B21" i="16"/>
  <c r="G32" i="17"/>
  <c r="B21" i="14"/>
  <c r="AQ21" i="14" s="1"/>
  <c r="I20" i="12"/>
  <c r="C20" i="14"/>
  <c r="AR20" i="14" s="1"/>
  <c r="E20" i="13"/>
  <c r="AT20" i="13" s="1"/>
  <c r="AR20" i="12"/>
  <c r="C20" i="16"/>
  <c r="G20" i="15"/>
  <c r="M20" i="15" s="1"/>
  <c r="D20" i="13"/>
  <c r="J20" i="13" s="1"/>
  <c r="D19" i="13"/>
  <c r="AS19" i="13" s="1"/>
  <c r="H29" i="17"/>
  <c r="I18" i="12"/>
  <c r="G17" i="15"/>
  <c r="M17" i="15" s="1"/>
  <c r="I17" i="12"/>
  <c r="C13" i="16"/>
  <c r="C13" i="14"/>
  <c r="AR13" i="14" s="1"/>
  <c r="AR13" i="12"/>
  <c r="F13" i="15"/>
  <c r="L13" i="15" s="1"/>
  <c r="B13" i="14"/>
  <c r="AQ13" i="14" s="1"/>
  <c r="G24" i="17"/>
  <c r="H13" i="12"/>
  <c r="H23" i="17"/>
  <c r="G12" i="15"/>
  <c r="AV12" i="15" s="1"/>
  <c r="C12" i="14"/>
  <c r="I12" i="14" s="1"/>
  <c r="C12" i="16"/>
  <c r="F12" i="15"/>
  <c r="AU12" i="15" s="1"/>
  <c r="H12" i="12"/>
  <c r="G23" i="17"/>
  <c r="AQ12" i="12"/>
  <c r="D12" i="13"/>
  <c r="J12" i="13" s="1"/>
  <c r="C11" i="16"/>
  <c r="AR11" i="12"/>
  <c r="G11" i="15"/>
  <c r="AV11" i="15" s="1"/>
  <c r="G20" i="17"/>
  <c r="H9" i="12"/>
  <c r="AQ9" i="12"/>
  <c r="E30" i="16"/>
  <c r="F30" i="14"/>
  <c r="AU30" i="14" s="1"/>
  <c r="D30" i="15"/>
  <c r="AS30" i="15" s="1"/>
  <c r="C28" i="13"/>
  <c r="I28" i="13" s="1"/>
  <c r="E28" i="15"/>
  <c r="AT28" i="15" s="1"/>
  <c r="K28" i="12"/>
  <c r="E28" i="16"/>
  <c r="BY23" i="12"/>
  <c r="J20" i="12"/>
  <c r="E16" i="15"/>
  <c r="K16" i="15" s="1"/>
  <c r="J23" i="17"/>
  <c r="AS12" i="12"/>
  <c r="D12" i="15"/>
  <c r="J12" i="15" s="1"/>
  <c r="B12" i="13"/>
  <c r="AQ12" i="13" s="1"/>
  <c r="J12" i="12"/>
  <c r="I22" i="17"/>
  <c r="F10" i="14"/>
  <c r="AU29" i="12"/>
  <c r="AS23" i="12"/>
  <c r="D23" i="16"/>
  <c r="G20" i="14"/>
  <c r="M20" i="14" s="1"/>
  <c r="D16" i="16"/>
  <c r="K16" i="16" s="1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F25" i="14"/>
  <c r="L25" i="14" s="1"/>
  <c r="AU10" i="14"/>
  <c r="J26" i="12"/>
  <c r="P26" i="12" s="1"/>
  <c r="D25" i="15"/>
  <c r="AS25" i="15" s="1"/>
  <c r="K20" i="12"/>
  <c r="P20" i="12" s="1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S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I29" i="16" s="1"/>
  <c r="H29" i="12"/>
  <c r="O29" i="12" s="1"/>
  <c r="AR28" i="12"/>
  <c r="C28" i="16"/>
  <c r="G28" i="15"/>
  <c r="M28" i="15" s="1"/>
  <c r="I28" i="12"/>
  <c r="C27" i="14"/>
  <c r="I27" i="14" s="1"/>
  <c r="C27" i="16"/>
  <c r="AR27" i="12"/>
  <c r="E27" i="13"/>
  <c r="AT27" i="13" s="1"/>
  <c r="I27" i="12"/>
  <c r="AR26" i="12"/>
  <c r="H37" i="17"/>
  <c r="C26" i="16"/>
  <c r="E26" i="13"/>
  <c r="K26" i="13" s="1"/>
  <c r="P26" i="13" s="1"/>
  <c r="C26" i="14"/>
  <c r="I26" i="14" s="1"/>
  <c r="N26" i="14" s="1"/>
  <c r="I26" i="12"/>
  <c r="N26" i="12" s="1"/>
  <c r="B23" i="16"/>
  <c r="G34" i="17"/>
  <c r="AQ23" i="12"/>
  <c r="B23" i="14"/>
  <c r="BW23" i="14" s="1"/>
  <c r="F23" i="15"/>
  <c r="CA23" i="15" s="1"/>
  <c r="AW22" i="18"/>
  <c r="F22" i="15"/>
  <c r="L22" i="15" s="1"/>
  <c r="S22" i="15" s="1"/>
  <c r="B20" i="14"/>
  <c r="H20" i="14" s="1"/>
  <c r="AQ20" i="12"/>
  <c r="F20" i="15"/>
  <c r="L20" i="15" s="1"/>
  <c r="AS20" i="13"/>
  <c r="G31" i="17"/>
  <c r="F18" i="15"/>
  <c r="L18" i="15" s="1"/>
  <c r="H18" i="12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Q11" i="13" s="1"/>
  <c r="B11" i="14"/>
  <c r="AQ11" i="14" s="1"/>
  <c r="F11" i="15"/>
  <c r="L11" i="15" s="1"/>
  <c r="B11" i="16"/>
  <c r="H11" i="16" s="1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K23" i="12"/>
  <c r="AT23" i="12"/>
  <c r="E23" i="15"/>
  <c r="BZ23" i="12"/>
  <c r="E23" i="16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W24" i="21"/>
  <c r="AL24" i="21"/>
  <c r="I32" i="20"/>
  <c r="AH24" i="21"/>
  <c r="AK24" i="21" s="1"/>
  <c r="H32" i="20"/>
  <c r="AV24" i="21"/>
  <c r="AW23" i="21"/>
  <c r="AL23" i="21"/>
  <c r="I31" i="20"/>
  <c r="AV23" i="21"/>
  <c r="H31" i="20"/>
  <c r="AH23" i="2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H30" i="20"/>
  <c r="AV22" i="21"/>
  <c r="AH22" i="21"/>
  <c r="AK22" i="21" s="1"/>
  <c r="AW21" i="21"/>
  <c r="I29" i="20"/>
  <c r="AL21" i="21"/>
  <c r="AO21" i="21" s="1"/>
  <c r="AH21" i="21"/>
  <c r="AK21" i="21" s="1"/>
  <c r="AF21" i="21" s="1"/>
  <c r="H29" i="20"/>
  <c r="AV21" i="21"/>
  <c r="E17" i="16"/>
  <c r="J17" i="16" s="1"/>
  <c r="J28" i="17"/>
  <c r="C17" i="13"/>
  <c r="I17" i="13" s="1"/>
  <c r="K17" i="12"/>
  <c r="AT17" i="12"/>
  <c r="I28" i="20"/>
  <c r="AW20" i="21"/>
  <c r="AL20" i="21"/>
  <c r="AO20" i="21" s="1"/>
  <c r="D17" i="16"/>
  <c r="I28" i="17"/>
  <c r="D17" i="15"/>
  <c r="AS17" i="15" s="1"/>
  <c r="J17" i="12"/>
  <c r="P17" i="12" s="1"/>
  <c r="AS17" i="12"/>
  <c r="B17" i="13"/>
  <c r="AQ17" i="13" s="1"/>
  <c r="AV20" i="21"/>
  <c r="AH20" i="21"/>
  <c r="AK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I26" i="20"/>
  <c r="G15" i="14"/>
  <c r="M15" i="14" s="1"/>
  <c r="AH18" i="21"/>
  <c r="H26" i="20"/>
  <c r="AV18" i="21"/>
  <c r="AL17" i="21"/>
  <c r="AO17" i="21" s="1"/>
  <c r="AW17" i="21"/>
  <c r="I25" i="20"/>
  <c r="C14" i="13"/>
  <c r="I14" i="13" s="1"/>
  <c r="AH17" i="21"/>
  <c r="AK17" i="21" s="1"/>
  <c r="AF17" i="21" s="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O16" i="21" s="1"/>
  <c r="AW16" i="21"/>
  <c r="I24" i="20"/>
  <c r="H24" i="20"/>
  <c r="AH16" i="21"/>
  <c r="AK16" i="21" s="1"/>
  <c r="AV16" i="21"/>
  <c r="I23" i="20"/>
  <c r="AL15" i="21"/>
  <c r="AW15" i="21"/>
  <c r="AT12" i="12"/>
  <c r="E12" i="16"/>
  <c r="AH15" i="21"/>
  <c r="AK15" i="21" s="1"/>
  <c r="AF15" i="21" s="1"/>
  <c r="H23" i="20"/>
  <c r="AV15" i="21"/>
  <c r="AW14" i="21"/>
  <c r="I22" i="20"/>
  <c r="AL14" i="21"/>
  <c r="AO14" i="21" s="1"/>
  <c r="J11" i="12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AO12" i="21" s="1"/>
  <c r="K9" i="12"/>
  <c r="Q9" i="12" s="1"/>
  <c r="AH12" i="21"/>
  <c r="AK12" i="21" s="1"/>
  <c r="AV12" i="21"/>
  <c r="H20" i="20"/>
  <c r="AH33" i="21"/>
  <c r="AK33" i="21" s="1"/>
  <c r="H41" i="20"/>
  <c r="AV33" i="21"/>
  <c r="K30" i="12"/>
  <c r="Q30" i="12" s="1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I22" i="16" s="1"/>
  <c r="D27" i="16"/>
  <c r="B22" i="14"/>
  <c r="H22" i="14" s="1"/>
  <c r="N22" i="14" s="1"/>
  <c r="AV16" i="13"/>
  <c r="B27" i="16"/>
  <c r="H27" i="16" s="1"/>
  <c r="AU25" i="13"/>
  <c r="AU26" i="13"/>
  <c r="J19" i="12"/>
  <c r="P19" i="12" s="1"/>
  <c r="D19" i="15"/>
  <c r="G14" i="14"/>
  <c r="AV14" i="14" s="1"/>
  <c r="C12" i="13"/>
  <c r="AR12" i="13" s="1"/>
  <c r="E12" i="15"/>
  <c r="K12" i="15" s="1"/>
  <c r="H14" i="12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BH9" i="13" s="1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10" i="16" s="1"/>
  <c r="I24" i="12"/>
  <c r="O24" i="12" s="1"/>
  <c r="C18" i="14"/>
  <c r="I18" i="14" s="1"/>
  <c r="AQ10" i="12"/>
  <c r="C18" i="16"/>
  <c r="H27" i="12"/>
  <c r="F27" i="15"/>
  <c r="AU27" i="15" s="1"/>
  <c r="C16" i="16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I19" i="16" s="1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AX26" i="18" s="1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0" i="16" s="1"/>
  <c r="K27" i="12"/>
  <c r="D21" i="16"/>
  <c r="G22" i="14"/>
  <c r="M22" i="14" s="1"/>
  <c r="D18" i="15"/>
  <c r="J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AO24" i="21"/>
  <c r="G24" i="21"/>
  <c r="G17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H15" i="21"/>
  <c r="G15" i="21"/>
  <c r="AO15" i="21"/>
  <c r="AO22" i="21"/>
  <c r="G22" i="21"/>
  <c r="J41" i="19"/>
  <c r="K30" i="18"/>
  <c r="Q30" i="18" s="1"/>
  <c r="M30" i="18"/>
  <c r="CF30" i="18"/>
  <c r="J21" i="19"/>
  <c r="M10" i="18"/>
  <c r="K10" i="18"/>
  <c r="CF10" i="18"/>
  <c r="AZ10" i="18" s="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K30" i="21"/>
  <c r="AF30" i="21" s="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B20" i="13"/>
  <c r="BH20" i="13" s="1"/>
  <c r="BB32" i="21"/>
  <c r="H32" i="21"/>
  <c r="F17" i="21"/>
  <c r="G18" i="21"/>
  <c r="AO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F21" i="21"/>
  <c r="AK18" i="21"/>
  <c r="F18" i="21"/>
  <c r="I20" i="19"/>
  <c r="L9" i="18"/>
  <c r="J9" i="18"/>
  <c r="BN9" i="18"/>
  <c r="BB27" i="21"/>
  <c r="H27" i="21"/>
  <c r="E25" i="16"/>
  <c r="J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AT25" i="12"/>
  <c r="E24" i="16"/>
  <c r="K24" i="16" s="1"/>
  <c r="G12" i="21"/>
  <c r="CE10" i="18"/>
  <c r="AY10" i="18" s="1"/>
  <c r="I21" i="19"/>
  <c r="L10" i="18"/>
  <c r="J10" i="18"/>
  <c r="BN10" i="18"/>
  <c r="H17" i="21"/>
  <c r="AK23" i="21"/>
  <c r="F23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J10" i="13"/>
  <c r="K20" i="13"/>
  <c r="P20" i="13" s="1"/>
  <c r="AT11" i="13"/>
  <c r="AQ15" i="13"/>
  <c r="I25" i="16"/>
  <c r="H12" i="13"/>
  <c r="K27" i="15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P22" i="15" s="1"/>
  <c r="B10" i="15"/>
  <c r="AQ10" i="15" s="1"/>
  <c r="K21" i="17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U38" i="12"/>
  <c r="Y38" i="12" s="1"/>
  <c r="AC38" i="12" s="1"/>
  <c r="T31" i="12"/>
  <c r="K24" i="15"/>
  <c r="L15" i="12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V36" i="12"/>
  <c r="W36" i="12"/>
  <c r="X36" i="12"/>
  <c r="AB36" i="12" s="1"/>
  <c r="Y36" i="12"/>
  <c r="AC36" i="12" s="1"/>
  <c r="U41" i="12"/>
  <c r="V41" i="12" s="1"/>
  <c r="T33" i="12"/>
  <c r="AV19" i="14"/>
  <c r="N13" i="12"/>
  <c r="K17" i="15"/>
  <c r="AR19" i="13"/>
  <c r="AU28" i="14"/>
  <c r="K19" i="15"/>
  <c r="AU24" i="13"/>
  <c r="N10" i="12"/>
  <c r="AV15" i="12"/>
  <c r="AQ30" i="13"/>
  <c r="AQ26" i="14"/>
  <c r="AT22" i="13"/>
  <c r="L15" i="14"/>
  <c r="S15" i="14" s="1"/>
  <c r="O14" i="12"/>
  <c r="I26" i="16"/>
  <c r="H28" i="14"/>
  <c r="O28" i="14" s="1"/>
  <c r="J24" i="15"/>
  <c r="M27" i="14"/>
  <c r="N27" i="12"/>
  <c r="AR22" i="14"/>
  <c r="AV26" i="13"/>
  <c r="K27" i="13"/>
  <c r="J17" i="13"/>
  <c r="AS26" i="13"/>
  <c r="AR27" i="14"/>
  <c r="AQ16" i="14"/>
  <c r="J28" i="16"/>
  <c r="K30" i="16"/>
  <c r="I18" i="16"/>
  <c r="AR24" i="13"/>
  <c r="CB10" i="12"/>
  <c r="CA25" i="15"/>
  <c r="L25" i="15"/>
  <c r="S25" i="15" s="1"/>
  <c r="P24" i="12"/>
  <c r="AR29" i="14"/>
  <c r="J20" i="15"/>
  <c r="AV22" i="15"/>
  <c r="M14" i="13"/>
  <c r="S14" i="13" s="1"/>
  <c r="BY23" i="13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AS18" i="15"/>
  <c r="L20" i="14"/>
  <c r="S20" i="14" s="1"/>
  <c r="J30" i="16"/>
  <c r="Q17" i="12"/>
  <c r="L30" i="14"/>
  <c r="AQ22" i="13"/>
  <c r="L16" i="12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M11" i="15"/>
  <c r="J9" i="15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AQ25" i="14"/>
  <c r="AU9" i="14"/>
  <c r="AR15" i="13"/>
  <c r="AT18" i="15"/>
  <c r="BH21" i="12"/>
  <c r="I17" i="16"/>
  <c r="AQ10" i="14"/>
  <c r="M16" i="15"/>
  <c r="H9" i="13"/>
  <c r="AV20" i="14"/>
  <c r="AT11" i="15"/>
  <c r="I10" i="13"/>
  <c r="F12" i="16"/>
  <c r="M12" i="16" s="1"/>
  <c r="H13" i="16"/>
  <c r="AR14" i="14"/>
  <c r="O17" i="12"/>
  <c r="H24" i="14"/>
  <c r="M29" i="15"/>
  <c r="J30" i="13"/>
  <c r="P30" i="13" s="1"/>
  <c r="AR14" i="13"/>
  <c r="B12" i="15"/>
  <c r="H12" i="15" s="1"/>
  <c r="H13" i="14"/>
  <c r="AT29" i="15"/>
  <c r="AR11" i="14"/>
  <c r="AU12" i="12"/>
  <c r="D12" i="14"/>
  <c r="AS12" i="14" s="1"/>
  <c r="AT12" i="13"/>
  <c r="K18" i="16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G15" i="16"/>
  <c r="O12" i="12"/>
  <c r="H24" i="16"/>
  <c r="O30" i="12"/>
  <c r="K22" i="16"/>
  <c r="AQ30" i="14"/>
  <c r="BY10" i="15"/>
  <c r="H21" i="13"/>
  <c r="H29" i="13"/>
  <c r="M10" i="12"/>
  <c r="F19" i="16"/>
  <c r="M21" i="12"/>
  <c r="AU23" i="15"/>
  <c r="I11" i="13"/>
  <c r="O11" i="13" s="1"/>
  <c r="M15" i="12"/>
  <c r="E15" i="14"/>
  <c r="BH15" i="12"/>
  <c r="H30" i="16"/>
  <c r="CA10" i="15"/>
  <c r="AV24" i="15"/>
  <c r="H12" i="16"/>
  <c r="BH15" i="13"/>
  <c r="I20" i="14"/>
  <c r="J12" i="16"/>
  <c r="J22" i="16"/>
  <c r="L10" i="12"/>
  <c r="F13" i="16"/>
  <c r="Q11" i="12"/>
  <c r="AR28" i="13"/>
  <c r="AU14" i="14"/>
  <c r="M15" i="15"/>
  <c r="AT28" i="13"/>
  <c r="I30" i="16"/>
  <c r="AQ16" i="13"/>
  <c r="AU13" i="15"/>
  <c r="H15" i="14"/>
  <c r="AU20" i="15"/>
  <c r="N28" i="12"/>
  <c r="AU11" i="14"/>
  <c r="K13" i="15"/>
  <c r="AS28" i="15"/>
  <c r="I9" i="13"/>
  <c r="AS14" i="15"/>
  <c r="J21" i="13"/>
  <c r="P23" i="12"/>
  <c r="I20" i="16"/>
  <c r="K15" i="16"/>
  <c r="AQ18" i="13"/>
  <c r="B17" i="15"/>
  <c r="BH17" i="15" s="1"/>
  <c r="J15" i="16"/>
  <c r="Q15" i="12"/>
  <c r="H18" i="14"/>
  <c r="N12" i="12"/>
  <c r="K17" i="13"/>
  <c r="O18" i="12"/>
  <c r="I28" i="16"/>
  <c r="K14" i="15"/>
  <c r="Q14" i="15" s="1"/>
  <c r="AR20" i="13"/>
  <c r="K29" i="16"/>
  <c r="AU16" i="14"/>
  <c r="BH25" i="12"/>
  <c r="E25" i="14"/>
  <c r="AT25" i="14" s="1"/>
  <c r="AV10" i="15"/>
  <c r="I14" i="16"/>
  <c r="AQ17" i="14"/>
  <c r="O22" i="12"/>
  <c r="O20" i="12"/>
  <c r="O10" i="12"/>
  <c r="M10" i="15"/>
  <c r="S10" i="15" s="1"/>
  <c r="H21" i="14"/>
  <c r="I24" i="16"/>
  <c r="N25" i="12"/>
  <c r="N30" i="12"/>
  <c r="CA23" i="14"/>
  <c r="AS26" i="15"/>
  <c r="K28" i="15"/>
  <c r="K10" i="15"/>
  <c r="F17" i="16"/>
  <c r="L17" i="16" s="1"/>
  <c r="AQ14" i="13"/>
  <c r="AT16" i="15"/>
  <c r="J26" i="14"/>
  <c r="BH17" i="12"/>
  <c r="O23" i="12"/>
  <c r="AV17" i="15"/>
  <c r="J18" i="13"/>
  <c r="L17" i="15"/>
  <c r="S17" i="15" s="1"/>
  <c r="H20" i="16"/>
  <c r="AS10" i="15"/>
  <c r="AS12" i="15"/>
  <c r="M14" i="14"/>
  <c r="S14" i="14" s="1"/>
  <c r="H27" i="13"/>
  <c r="S19" i="13"/>
  <c r="L17" i="12"/>
  <c r="R17" i="12" s="1"/>
  <c r="AU27" i="13"/>
  <c r="K9" i="15"/>
  <c r="H14" i="13"/>
  <c r="AU22" i="14"/>
  <c r="F16" i="16"/>
  <c r="BH17" i="13"/>
  <c r="AU17" i="12"/>
  <c r="N21" i="12"/>
  <c r="J23" i="16"/>
  <c r="N15" i="12"/>
  <c r="I16" i="14"/>
  <c r="O21" i="12"/>
  <c r="AS24" i="13"/>
  <c r="AT25" i="13"/>
  <c r="BH28" i="13"/>
  <c r="L12" i="14"/>
  <c r="P12" i="12"/>
  <c r="AR13" i="13"/>
  <c r="K20" i="15"/>
  <c r="AT22" i="15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J23" i="15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K23" i="16"/>
  <c r="BY23" i="15"/>
  <c r="O19" i="13"/>
  <c r="AT15" i="15"/>
  <c r="BZ10" i="15"/>
  <c r="O15" i="12"/>
  <c r="BH22" i="13"/>
  <c r="AV24" i="13"/>
  <c r="M24" i="13"/>
  <c r="S24" i="13" s="1"/>
  <c r="Q19" i="12"/>
  <c r="S16" i="13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8" i="14"/>
  <c r="S28" i="14"/>
  <c r="S26" i="14"/>
  <c r="R26" i="14"/>
  <c r="S25" i="14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P29" i="13"/>
  <c r="Q29" i="13"/>
  <c r="S28" i="15"/>
  <c r="R28" i="15"/>
  <c r="Q28" i="13"/>
  <c r="P28" i="13"/>
  <c r="Q26" i="13"/>
  <c r="S24" i="15"/>
  <c r="R24" i="15"/>
  <c r="S20" i="15"/>
  <c r="R20" i="15"/>
  <c r="O17" i="14"/>
  <c r="N17" i="14"/>
  <c r="P15" i="13"/>
  <c r="Q15" i="13"/>
  <c r="Q12" i="13"/>
  <c r="P12" i="13"/>
  <c r="P11" i="13"/>
  <c r="U14" i="18" l="1"/>
  <c r="I30" i="14"/>
  <c r="N30" i="14" s="1"/>
  <c r="AV30" i="15"/>
  <c r="N29" i="12"/>
  <c r="H29" i="16"/>
  <c r="H29" i="14"/>
  <c r="O29" i="14" s="1"/>
  <c r="O27" i="12"/>
  <c r="U27" i="12" s="1"/>
  <c r="Q27" i="13"/>
  <c r="I27" i="16"/>
  <c r="BH26" i="14"/>
  <c r="O26" i="12"/>
  <c r="O26" i="14"/>
  <c r="AR26" i="14"/>
  <c r="BX25" i="14"/>
  <c r="N25" i="16"/>
  <c r="L23" i="15"/>
  <c r="R23" i="15" s="1"/>
  <c r="H23" i="14"/>
  <c r="AQ23" i="14"/>
  <c r="AU22" i="15"/>
  <c r="O20" i="14"/>
  <c r="AQ20" i="14"/>
  <c r="H19" i="16"/>
  <c r="S18" i="15"/>
  <c r="R18" i="15"/>
  <c r="AU18" i="15"/>
  <c r="H16" i="16"/>
  <c r="L16" i="15"/>
  <c r="AR15" i="14"/>
  <c r="O15" i="14"/>
  <c r="M14" i="15"/>
  <c r="J14" i="13"/>
  <c r="Q14" i="13" s="1"/>
  <c r="J13" i="13"/>
  <c r="I11" i="16"/>
  <c r="AU11" i="15"/>
  <c r="R11" i="15"/>
  <c r="AS11" i="13"/>
  <c r="I9" i="16"/>
  <c r="R30" i="14"/>
  <c r="P30" i="12"/>
  <c r="AV30" i="14"/>
  <c r="AV29" i="14"/>
  <c r="P28" i="15"/>
  <c r="Q27" i="15"/>
  <c r="I26" i="13"/>
  <c r="O26" i="13" s="1"/>
  <c r="BH26" i="13"/>
  <c r="Q26" i="15"/>
  <c r="U26" i="18"/>
  <c r="Q25" i="12"/>
  <c r="BY25" i="15"/>
  <c r="J24" i="16"/>
  <c r="AF25" i="21"/>
  <c r="K21" i="16"/>
  <c r="AT21" i="15"/>
  <c r="AV21" i="14"/>
  <c r="L21" i="14"/>
  <c r="R21" i="14" s="1"/>
  <c r="Q20" i="12"/>
  <c r="AF22" i="21"/>
  <c r="K19" i="16"/>
  <c r="K17" i="16"/>
  <c r="AF20" i="21"/>
  <c r="J17" i="15"/>
  <c r="J16" i="16"/>
  <c r="Q16" i="12"/>
  <c r="O14" i="13"/>
  <c r="BH14" i="13"/>
  <c r="Q12" i="15"/>
  <c r="K10" i="16"/>
  <c r="BX10" i="13"/>
  <c r="L10" i="14"/>
  <c r="CA10" i="14"/>
  <c r="P28" i="12"/>
  <c r="K26" i="16"/>
  <c r="U25" i="18"/>
  <c r="U21" i="18"/>
  <c r="AQ11" i="13"/>
  <c r="L27" i="14"/>
  <c r="S27" i="14" s="1"/>
  <c r="K25" i="16"/>
  <c r="AR21" i="13"/>
  <c r="H27" i="14"/>
  <c r="N27" i="14" s="1"/>
  <c r="S29" i="14"/>
  <c r="M16" i="14"/>
  <c r="S16" i="14" s="1"/>
  <c r="U27" i="18"/>
  <c r="BH29" i="15"/>
  <c r="Q26" i="12"/>
  <c r="AU14" i="15"/>
  <c r="P13" i="12"/>
  <c r="Q10" i="12"/>
  <c r="AT18" i="14"/>
  <c r="BH14" i="15"/>
  <c r="AV22" i="14"/>
  <c r="AT26" i="14"/>
  <c r="BH24" i="13"/>
  <c r="P18" i="12"/>
  <c r="T18" i="12" s="1"/>
  <c r="L29" i="15"/>
  <c r="S29" i="15" s="1"/>
  <c r="P27" i="12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O24" i="14" s="1"/>
  <c r="N24" i="12"/>
  <c r="BX23" i="14"/>
  <c r="I23" i="14"/>
  <c r="H23" i="16"/>
  <c r="M21" i="15"/>
  <c r="Q20" i="13"/>
  <c r="O19" i="12"/>
  <c r="U19" i="12" s="1"/>
  <c r="AT18" i="13"/>
  <c r="P18" i="13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N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O27" i="16" s="1"/>
  <c r="AR25" i="13"/>
  <c r="BX25" i="13"/>
  <c r="BH25" i="13"/>
  <c r="H25" i="13"/>
  <c r="N25" i="13" s="1"/>
  <c r="AQ25" i="13"/>
  <c r="P22" i="12"/>
  <c r="AF24" i="21"/>
  <c r="J20" i="16"/>
  <c r="J19" i="16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O10" i="13" s="1"/>
  <c r="J9" i="16"/>
  <c r="AA9" i="16" s="1"/>
  <c r="AE9" i="16" s="1"/>
  <c r="Y37" i="12"/>
  <c r="AC37" i="12" s="1"/>
  <c r="R9" i="14"/>
  <c r="O22" i="14"/>
  <c r="S26" i="12"/>
  <c r="I16" i="16"/>
  <c r="O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U40" i="12"/>
  <c r="X40" i="12" s="1"/>
  <c r="AB40" i="12" s="1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P17" i="15"/>
  <c r="S30" i="14"/>
  <c r="S23" i="14"/>
  <c r="T27" i="12"/>
  <c r="R15" i="14"/>
  <c r="R14" i="13"/>
  <c r="N28" i="14"/>
  <c r="N11" i="14"/>
  <c r="O26" i="16"/>
  <c r="P17" i="13"/>
  <c r="R22" i="13"/>
  <c r="P27" i="13"/>
  <c r="Q13" i="13"/>
  <c r="K15" i="14"/>
  <c r="R15" i="15"/>
  <c r="AA25" i="16"/>
  <c r="AE25" i="16" s="1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O13" i="16"/>
  <c r="U17" i="12"/>
  <c r="S16" i="15"/>
  <c r="T24" i="12"/>
  <c r="R16" i="12"/>
  <c r="R24" i="13"/>
  <c r="U12" i="12"/>
  <c r="AA26" i="16"/>
  <c r="AE26" i="16" s="1"/>
  <c r="O12" i="16"/>
  <c r="BH12" i="15"/>
  <c r="R20" i="14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Q10" i="13"/>
  <c r="AA13" i="16"/>
  <c r="AE13" i="16" s="1"/>
  <c r="H19" i="15"/>
  <c r="N19" i="15" s="1"/>
  <c r="BH19" i="15"/>
  <c r="O28" i="16"/>
  <c r="O30" i="16"/>
  <c r="S12" i="15"/>
  <c r="O19" i="14"/>
  <c r="U25" i="12"/>
  <c r="R12" i="15"/>
  <c r="BH21" i="15"/>
  <c r="N20" i="16"/>
  <c r="U29" i="12"/>
  <c r="T11" i="12"/>
  <c r="Q25" i="13"/>
  <c r="Q9" i="15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AA12" i="16"/>
  <c r="AE12" i="16" s="1"/>
  <c r="AA30" i="16"/>
  <c r="AE30" i="16" s="1"/>
  <c r="M10" i="16"/>
  <c r="Q16" i="13"/>
  <c r="N15" i="14"/>
  <c r="U30" i="12"/>
  <c r="Q20" i="15"/>
  <c r="O15" i="16"/>
  <c r="R10" i="15"/>
  <c r="N12" i="16"/>
  <c r="R21" i="15"/>
  <c r="O25" i="16"/>
  <c r="P25" i="16" s="1"/>
  <c r="N30" i="16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U10" i="12"/>
  <c r="O24" i="16"/>
  <c r="O14" i="16"/>
  <c r="N23" i="14"/>
  <c r="AB11" i="16"/>
  <c r="U15" i="12"/>
  <c r="T23" i="12"/>
  <c r="BH25" i="14"/>
  <c r="O17" i="16"/>
  <c r="U24" i="13"/>
  <c r="AA24" i="16"/>
  <c r="AE24" i="16" s="1"/>
  <c r="T25" i="12"/>
  <c r="O23" i="14"/>
  <c r="Q19" i="13"/>
  <c r="U19" i="13" s="1"/>
  <c r="P9" i="15"/>
  <c r="S22" i="12"/>
  <c r="AC26" i="16"/>
  <c r="N9" i="14"/>
  <c r="P11" i="14"/>
  <c r="Q29" i="14"/>
  <c r="S27" i="12"/>
  <c r="AA19" i="16"/>
  <c r="AE19" i="16" s="1"/>
  <c r="U15" i="13"/>
  <c r="AB26" i="16"/>
  <c r="Q23" i="15"/>
  <c r="BX25" i="15"/>
  <c r="M25" i="16"/>
  <c r="R23" i="14"/>
  <c r="S30" i="13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R29" i="15" l="1"/>
  <c r="R26" i="15"/>
  <c r="N24" i="14"/>
  <c r="T19" i="12"/>
  <c r="AA16" i="16"/>
  <c r="AE16" i="16" s="1"/>
  <c r="O10" i="16"/>
  <c r="AA10" i="16"/>
  <c r="N27" i="13"/>
  <c r="R27" i="14"/>
  <c r="AA27" i="16"/>
  <c r="AE27" i="16" s="1"/>
  <c r="O25" i="13"/>
  <c r="R16" i="14"/>
  <c r="N16" i="16"/>
  <c r="Q16" i="16" s="1"/>
  <c r="R16" i="16" s="1"/>
  <c r="AA14" i="16"/>
  <c r="AE14" i="16" s="1"/>
  <c r="N10" i="13"/>
  <c r="R10" i="14"/>
  <c r="S10" i="14"/>
  <c r="Q21" i="13"/>
  <c r="O27" i="14"/>
  <c r="P10" i="14"/>
  <c r="N14" i="14"/>
  <c r="O14" i="14"/>
  <c r="AB33" i="18"/>
  <c r="AB32" i="18"/>
  <c r="AC33" i="18"/>
  <c r="AC32" i="18"/>
  <c r="N29" i="13"/>
  <c r="T29" i="13" s="1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U11" i="15" s="1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U29" i="13"/>
  <c r="T25" i="13"/>
  <c r="T12" i="13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U16" i="13"/>
  <c r="V16" i="13" s="1"/>
  <c r="V20" i="12"/>
  <c r="X20" i="12" s="1"/>
  <c r="T27" i="13"/>
  <c r="U14" i="15"/>
  <c r="W23" i="12"/>
  <c r="BK23" i="12" s="1"/>
  <c r="AC25" i="16"/>
  <c r="AG25" i="16" s="1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W18" i="13"/>
  <c r="V17" i="14"/>
  <c r="W17" i="14"/>
  <c r="Y17" i="14" s="1"/>
  <c r="AC17" i="14" s="1"/>
  <c r="W15" i="13"/>
  <c r="AG27" i="16" l="1"/>
  <c r="AG14" i="16"/>
  <c r="V12" i="13"/>
  <c r="AG21" i="16"/>
  <c r="AA34" i="16"/>
  <c r="BD20" i="12"/>
  <c r="P16" i="16"/>
  <c r="AC26" i="18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BP26" i="18" l="1"/>
  <c r="X25" i="13"/>
  <c r="AB25" i="13" s="1"/>
  <c r="BD25" i="13"/>
  <c r="BI25" i="13"/>
  <c r="BK25" i="13"/>
  <c r="BO26" i="18"/>
  <c r="AE26" i="18"/>
  <c r="AG26" i="18" s="1"/>
  <c r="BQ26" i="18"/>
  <c r="BP23" i="18"/>
  <c r="AD26" i="18"/>
  <c r="AF26" i="18" s="1"/>
  <c r="AH26" i="18" s="1"/>
  <c r="AD23" i="18"/>
  <c r="AF23" i="18" s="1"/>
  <c r="AH23" i="18" s="1"/>
  <c r="BQ23" i="18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AG27" i="18" l="1"/>
  <c r="AI27" i="18" s="1"/>
  <c r="BR26" i="18"/>
  <c r="BT26" i="18"/>
  <c r="BS26" i="18"/>
  <c r="CM26" i="18"/>
  <c r="CL26" i="18"/>
  <c r="BR23" i="18"/>
  <c r="BT23" i="18"/>
  <c r="BS23" i="18"/>
  <c r="CJ26" i="18"/>
  <c r="CK26" i="18"/>
  <c r="CM23" i="18"/>
  <c r="CK23" i="18"/>
  <c r="CL23" i="18"/>
  <c r="CJ23" i="18"/>
  <c r="BM13" i="12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D31" i="14" s="1"/>
  <c r="AN20" i="14" s="1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AM18" i="18" s="1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AM23" i="18" s="1"/>
  <c r="CO26" i="18"/>
  <c r="AI26" i="18"/>
  <c r="AM26" i="18" s="1"/>
  <c r="CK16" i="18"/>
  <c r="AH16" i="18"/>
  <c r="AM16" i="18" s="1"/>
  <c r="BW13" i="18"/>
  <c r="AI13" i="18"/>
  <c r="CQ21" i="18"/>
  <c r="AI21" i="18"/>
  <c r="AM21" i="18" s="1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17" i="18"/>
  <c r="AM14" i="18"/>
  <c r="AM29" i="18"/>
  <c r="AM28" i="18"/>
  <c r="AM30" i="18"/>
  <c r="AM12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CO27" i="18" l="1"/>
  <c r="BT30" i="18"/>
  <c r="BV27" i="18"/>
  <c r="CP27" i="18"/>
  <c r="BU27" i="18"/>
  <c r="BW27" i="18"/>
  <c r="CQ27" i="18"/>
  <c r="CN27" i="18"/>
  <c r="AM19" i="18"/>
  <c r="BD19" i="18" s="1"/>
  <c r="Z25" i="15"/>
  <c r="BM25" i="15" s="1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BD9" i="18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AM15" i="18" s="1"/>
  <c r="BU25" i="18"/>
  <c r="BD21" i="18"/>
  <c r="O32" i="19"/>
  <c r="BD14" i="18"/>
  <c r="O25" i="19"/>
  <c r="AC28" i="13"/>
  <c r="AA28" i="13"/>
  <c r="BD12" i="18"/>
  <c r="O23" i="19"/>
  <c r="BD17" i="18"/>
  <c r="O28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O21" i="13"/>
  <c r="BP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CR27" i="18" l="1"/>
  <c r="O30" i="19"/>
  <c r="O20" i="19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K21" i="13" l="1"/>
  <c r="AX21" i="13"/>
  <c r="BC21" i="13" s="1"/>
  <c r="AH14" i="14"/>
  <c r="AI14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M43" i="19" s="1"/>
  <c r="AQ43" i="18"/>
  <c r="H45" i="18" s="1"/>
  <c r="M44" i="19" s="1"/>
  <c r="AG46" i="12"/>
  <c r="M43" i="17"/>
  <c r="CD44" i="12"/>
  <c r="H46" i="18" l="1"/>
  <c r="J45" i="19" s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<sst xmlns="http://schemas.openxmlformats.org/spreadsheetml/2006/main" count="1088" uniqueCount="387">
  <si>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</si>
  <si>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</si>
  <si>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</si>
  <si>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</si>
  <si>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</si>
  <si>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</si>
  <si>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</si>
  <si>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</si>
  <si>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</si>
  <si>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</si>
  <si>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</si>
  <si>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</si>
  <si>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</si>
  <si>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</si>
  <si>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</si>
  <si>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</si>
  <si>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</si>
  <si>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</si>
  <si>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</si>
  <si>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</si>
  <si>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</si>
  <si>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</si>
  <si>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</si>
  <si>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</si>
  <si>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</si>
  <si>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</si>
  <si>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</si>
  <si>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</si>
  <si>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</si>
  <si>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</si>
  <si>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</si>
  <si>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</si>
  <si>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</si>
  <si>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</si>
  <si>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</si>
  <si>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</si>
  <si>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</si>
  <si>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</si>
  <si>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</si>
  <si>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</si>
  <si>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</si>
  <si>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</si>
  <si>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</si>
  <si>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</si>
  <si>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</si>
  <si>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</si>
  <si>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</si>
  <si>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</si>
  <si>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</si>
  <si>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</si>
  <si>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</si>
  <si>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</si>
  <si>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</si>
  <si>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</si>
  <si>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</si>
  <si>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</si>
  <si>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</si>
  <si>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</si>
  <si>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</si>
  <si>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</si>
  <si>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</si>
  <si>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</si>
  <si>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</si>
  <si>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</si>
  <si>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</si>
  <si>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</si>
  <si>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</si>
  <si>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</si>
  <si>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</si>
  <si>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</si>
  <si>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</si>
  <si>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</si>
  <si>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</si>
  <si>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</si>
  <si>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</si>
  <si>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</si>
  <si>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</si>
  <si>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</si>
  <si>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</si>
  <si>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</si>
  <si>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</si>
  <si>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</si>
  <si>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</si>
  <si>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</si>
  <si>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</si>
  <si>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</si>
  <si>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</si>
  <si>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</si>
  <si>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</si>
  <si>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</si>
  <si>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</si>
  <si>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</si>
  <si>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</si>
  <si>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</si>
  <si>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</si>
  <si>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</si>
  <si>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</si>
  <si>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</si>
  <si>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</si>
  <si>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</si>
  <si>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</si>
  <si>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</si>
  <si>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</si>
  <si>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</si>
  <si>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</si>
  <si>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</si>
  <si>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</si>
  <si>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</si>
  <si>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</si>
  <si>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</si>
  <si>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</si>
  <si>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</si>
  <si>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</si>
  <si>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</si>
  <si>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</si>
  <si>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</si>
  <si>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</si>
  <si>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</si>
  <si>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</si>
  <si>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</si>
  <si>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</si>
  <si>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</si>
  <si>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</si>
  <si>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</si>
  <si>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</si>
  <si>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</si>
  <si>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</si>
  <si>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</si>
  <si>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</si>
  <si>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</si>
  <si>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</si>
  <si>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</si>
  <si>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</si>
  <si>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</si>
  <si>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</si>
  <si>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</si>
  <si>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</si>
  <si>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</si>
  <si>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</si>
  <si>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</si>
  <si>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</si>
  <si>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</si>
  <si>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</si>
  <si>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</si>
  <si>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</si>
  <si>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</si>
  <si>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</si>
  <si>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</si>
  <si>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</si>
  <si>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</si>
  <si>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</si>
  <si>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</si>
  <si>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</si>
  <si>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</si>
  <si>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</si>
  <si>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</si>
  <si>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</si>
  <si>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</si>
  <si>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</si>
  <si>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</si>
  <si>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</si>
  <si>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</si>
  <si>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</si>
  <si>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</si>
  <si>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</si>
  <si>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</si>
  <si>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</si>
  <si>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</si>
  <si>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</si>
  <si>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</si>
  <si>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</si>
  <si>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</si>
  <si>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</si>
  <si>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</si>
  <si>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</si>
  <si>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</si>
  <si>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</si>
  <si>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</si>
  <si>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</si>
  <si>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</si>
  <si>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</si>
  <si>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</si>
  <si>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</si>
  <si>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</si>
  <si>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</si>
  <si>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</si>
  <si>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</si>
  <si>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</si>
  <si>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</si>
  <si>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</si>
  <si>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</si>
  <si>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</si>
  <si>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</si>
  <si>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</si>
  <si>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</si>
  <si>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</si>
  <si>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</si>
  <si>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</si>
  <si>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</si>
  <si>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</si>
  <si>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</si>
  <si>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</si>
  <si>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</si>
  <si>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</si>
  <si>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</si>
  <si>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</si>
  <si>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</si>
  <si>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</si>
  <si>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</si>
  <si>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</si>
  <si>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</si>
  <si>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</si>
  <si>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</si>
  <si>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</si>
  <si>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</si>
  <si>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</si>
  <si>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</si>
  <si>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</si>
  <si>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</si>
  <si>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</si>
  <si>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</si>
  <si>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</si>
  <si>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</si>
  <si>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</si>
  <si>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</si>
  <si>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</si>
  <si>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</si>
  <si>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</si>
  <si>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</si>
  <si>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</si>
  <si>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</si>
  <si>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</si>
  <si>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</si>
  <si>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</si>
  <si>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</si>
  <si>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</si>
  <si>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</si>
  <si>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</si>
  <si>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</si>
  <si>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</si>
  <si>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</si>
  <si>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</si>
  <si>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</si>
  <si>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</si>
  <si>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</si>
  <si>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</si>
  <si>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</si>
  <si>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</si>
  <si>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</si>
  <si>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</si>
  <si>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</si>
  <si>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</si>
  <si>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</si>
  <si>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</si>
  <si>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</si>
  <si>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</si>
  <si>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</si>
  <si>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</si>
  <si>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</si>
  <si>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</si>
  <si>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</si>
  <si>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</si>
  <si>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</si>
  <si>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</si>
  <si>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</si>
  <si>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</si>
  <si>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</si>
  <si>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</si>
  <si>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</si>
  <si>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</si>
  <si>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</si>
  <si>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</si>
  <si>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</si>
  <si>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</si>
  <si>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</si>
  <si>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</si>
  <si>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</si>
  <si>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</si>
  <si>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</si>
  <si>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</si>
  <si>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</si>
  <si>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</si>
  <si>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</si>
  <si>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</si>
  <si>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</si>
  <si>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</si>
  <si>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</si>
  <si>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</si>
  <si>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</si>
  <si>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</si>
  <si>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</si>
  <si>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</si>
  <si>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</si>
  <si>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</si>
  <si>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</si>
  <si>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</si>
  <si>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</si>
  <si>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</si>
  <si>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</si>
  <si>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</si>
  <si>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</si>
  <si>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</si>
  <si>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</si>
  <si>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</si>
  <si>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</si>
  <si>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</si>
  <si>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</si>
  <si>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</si>
  <si>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</si>
  <si>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</si>
  <si>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</si>
  <si>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</si>
  <si>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</si>
  <si>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</si>
  <si>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</si>
  <si>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</si>
  <si>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</si>
  <si>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</si>
  <si>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</si>
  <si>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</si>
  <si>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</si>
  <si>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</si>
  <si>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</si>
  <si>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</si>
  <si>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</si>
  <si>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</si>
  <si>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</si>
  <si>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</si>
  <si>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</si>
  <si>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</si>
  <si>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</si>
  <si>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</si>
  <si>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</si>
  <si>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</si>
  <si>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</si>
  <si>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</si>
  <si>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</si>
  <si>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</si>
  <si>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</si>
  <si>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</si>
  <si>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</si>
  <si>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</si>
  <si>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</si>
  <si>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</si>
  <si>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</si>
  <si>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</si>
  <si>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</si>
  <si>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</si>
  <si>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</si>
  <si>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</si>
  <si>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</si>
  <si>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</si>
  <si>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</si>
  <si>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</si>
  <si>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</si>
  <si>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</si>
  <si>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</si>
  <si>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</si>
  <si>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</si>
  <si>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</si>
  <si>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</si>
  <si>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</si>
  <si>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</si>
  <si>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</si>
  <si>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</si>
  <si>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</si>
  <si>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</si>
  <si>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- 31 de março de 2025</t>
  </si>
  <si>
    <t>EXAME DE DNA      L0251.25.20.JD.772</t>
  </si>
  <si>
    <t>JUDICIAL - MANAUS / AM</t>
  </si>
  <si>
    <t>Coletadora:</t>
  </si>
  <si>
    <t>CAROLINE MENDES DA SILVA</t>
  </si>
  <si>
    <t xml:space="preserve">Compareceram perante a COLETADORA autorizada </t>
  </si>
  <si>
    <t>21/02/2025 às 11h33min</t>
  </si>
  <si>
    <t>26/02/2025 às 08h29min</t>
  </si>
  <si>
    <t>2025.4FMNAM66414</t>
  </si>
  <si>
    <t>0460265-72.2024.8.04.0001</t>
  </si>
  <si>
    <t xml:space="preserve">POSITIVO, com 99,999999657% de probabilidade de </t>
  </si>
  <si>
    <t xml:space="preserve"> integrando o presente Exame nº 0251.25.20.JD.772</t>
  </si>
  <si>
    <t>Investigante:</t>
  </si>
  <si>
    <t>MARIA EDUARDA DA COSTA ALMEIDA</t>
  </si>
  <si>
    <t>Suposto Avô:</t>
  </si>
  <si>
    <t>RANOLDO OLIVEIRA DA SILVA</t>
  </si>
  <si>
    <t>Suposta Avó:</t>
  </si>
  <si>
    <t>CASSIA GOMES COELHO</t>
  </si>
  <si>
    <t>Mãe:</t>
  </si>
  <si>
    <t>FABRICIA DA COSTA ALMEIDA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</si>
</sst>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19" fillId="0" borderId="40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 wrapText="1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53" fillId="0" borderId="5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50" fillId="0" borderId="44" xfId="0" applyFont="1" applyBorder="1" applyAlignment="1">
      <alignment horizontal="center" vertical="center" wrapText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 wrapText="1"/>
      <protection hidden="1"/>
    </xf>
    <xf numFmtId="175" fontId="3" fillId="0" borderId="0" xfId="0" applyNumberFormat="1" applyFont="1" applyAlignment="1" applyProtection="1">
      <alignment horizontal="left"/>
      <protection locked="0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0251.25.20.JD.772\Qrcode\66414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2</xdr:row>
      <xdr:rowOff>160734</xdr:rowOff>
    </xdr:from>
    <xdr:to>
      <xdr:col>16</xdr:col>
      <xdr:colOff>14288</xdr:colOff>
      <xdr:row>9</xdr:row>
      <xdr:rowOff>150018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E10F159-8519-042D-A9FD-61942779D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38688" y="494109"/>
          <a:ext cx="1133475" cy="1114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RD0301</v>
      </c>
      <c r="CQ3" s="35" t="str">
        <v>RD0301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365</v>
      </c>
      <c r="F4" s="381"/>
      <c r="G4" s="381"/>
      <c r="H4" s="381" t="s">
        <v>365</v>
      </c>
      <c r="I4" s="381" t="s">
        <v>366</v>
      </c>
      <c r="J4" s="381" t="s">
        <v>365</v>
      </c>
      <c r="K4" s="381" t="s">
        <v>365</v>
      </c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>
        <f>(IF(AND(($F$4=0),($G$4=0)),0,(IF(OR(($F$4&lt;&gt;"X"),($G$4&lt;&gt;"Y")),"ERRO",(IF((SUM($AR4:$AX4)&lt;&gt;0),(SUM($AR4:$AX4)),$F4))))))</f>
        <v>0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>
        <f>(IF(AND(($F$4=0),($G$4=0)),0,(IF(OR(($F$4&lt;&gt;"X"),($G$4&lt;&gt;"Y")),"ERRO",(IF((SUM($AR4:$AX4)&lt;&gt;0),(SUM($AR4:$AX4)),$G4))))))</f>
        <v>0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 t="str">
        <f t="shared" ref="BO4:BO38" si="9">(IF((SUM(BH4:BN4)&lt;&gt;0),(SUM(BH4:BN4)),$H4))</f>
        <v>X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 t="str">
        <f t="shared" ref="BW4:BW38" si="14">(IF((SUM(BP4:BV4)&lt;&gt;0),(SUM(BP4:BV4)),$I4))</f>
        <v>Y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 t="str">
        <f t="shared" ref="CE4:CE38" si="19">(IF((SUM(BX4:CD4)&lt;&gt;0),(SUM(BX4:CD4)),$J4))</f>
        <v>X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 t="str">
        <f t="shared" ref="CM4:CM38" si="24">(IF((SUM(CF4:CL4)&lt;&gt;0),(SUM(CF4:CL4)),$K4))</f>
        <v>X</v>
      </c>
      <c r="CO4" s="328" t="s">
        <v>292</v>
      </c>
      <c r="CP4" s="353" t="str">
        <v>RD0301</v>
      </c>
      <c r="CQ4" s="353" t="str">
        <v>RD0301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15</v>
      </c>
      <c r="C5" s="383">
        <v>16</v>
      </c>
      <c r="D5" s="383">
        <v>15</v>
      </c>
      <c r="E5" s="383">
        <v>16</v>
      </c>
      <c r="F5" s="383"/>
      <c r="G5" s="383"/>
      <c r="H5" s="383">
        <v>15</v>
      </c>
      <c r="I5" s="383">
        <v>15</v>
      </c>
      <c r="J5" s="383">
        <v>15</v>
      </c>
      <c r="K5" s="383">
        <v>16</v>
      </c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15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16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15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16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0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0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15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15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15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16</v>
      </c>
      <c r="CP5" s="353" t="str">
        <v>RD0301</v>
      </c>
      <c r="CQ5" s="353" t="str">
        <v>RD0301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13</v>
      </c>
      <c r="C6" s="383">
        <v>18.3</v>
      </c>
      <c r="D6" s="383">
        <v>17.3</v>
      </c>
      <c r="E6" s="383">
        <v>18.3</v>
      </c>
      <c r="F6" s="383"/>
      <c r="G6" s="383"/>
      <c r="H6" s="383">
        <v>14</v>
      </c>
      <c r="I6" s="383">
        <v>17.3</v>
      </c>
      <c r="J6" s="383">
        <v>11</v>
      </c>
      <c r="K6" s="383">
        <v>15</v>
      </c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13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18.3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17.3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18.3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0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0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14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17.3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11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15</v>
      </c>
      <c r="CP6" s="353" t="str">
        <v>RD0301</v>
      </c>
      <c r="CQ6" s="353" t="str">
        <v>RD0301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10</v>
      </c>
      <c r="C7" s="383">
        <v>10</v>
      </c>
      <c r="D7" s="383">
        <v>10</v>
      </c>
      <c r="E7" s="383">
        <v>15</v>
      </c>
      <c r="F7" s="383"/>
      <c r="G7" s="383"/>
      <c r="H7" s="383">
        <v>11</v>
      </c>
      <c r="I7" s="383">
        <v>15</v>
      </c>
      <c r="J7" s="383">
        <v>10</v>
      </c>
      <c r="K7" s="383">
        <v>11.3</v>
      </c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15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11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15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10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11.3</v>
      </c>
      <c r="CP7" s="353" t="str">
        <v>RD0301</v>
      </c>
      <c r="CQ7" s="353" t="str">
        <v>RD0301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12</v>
      </c>
      <c r="C8" s="383">
        <v>14</v>
      </c>
      <c r="D8" s="383">
        <v>14</v>
      </c>
      <c r="E8" s="383">
        <v>14</v>
      </c>
      <c r="F8" s="383"/>
      <c r="G8" s="383"/>
      <c r="H8" s="383">
        <v>14</v>
      </c>
      <c r="I8" s="383">
        <v>14</v>
      </c>
      <c r="J8" s="383">
        <v>13</v>
      </c>
      <c r="K8" s="383">
        <v>14</v>
      </c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12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14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14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14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0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0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14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14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13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14</v>
      </c>
      <c r="CN8" s="355"/>
      <c r="CP8" s="353" t="str">
        <v>RD0301</v>
      </c>
      <c r="CQ8" s="353" t="str">
        <v>RD0301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9</v>
      </c>
      <c r="C9" s="383">
        <v>9</v>
      </c>
      <c r="D9" s="383">
        <v>9</v>
      </c>
      <c r="E9" s="383">
        <v>10</v>
      </c>
      <c r="F9" s="383"/>
      <c r="G9" s="383"/>
      <c r="H9" s="383">
        <v>10</v>
      </c>
      <c r="I9" s="383">
        <v>14</v>
      </c>
      <c r="J9" s="383">
        <v>11</v>
      </c>
      <c r="K9" s="383">
        <v>14</v>
      </c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9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9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9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10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0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10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14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11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14</v>
      </c>
      <c r="CP9" s="353" t="str">
        <v>RD0301</v>
      </c>
      <c r="CQ9" s="353" t="str">
        <v>RD0301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13</v>
      </c>
      <c r="C10" s="383">
        <v>15</v>
      </c>
      <c r="D10" s="383">
        <v>12</v>
      </c>
      <c r="E10" s="383">
        <v>15</v>
      </c>
      <c r="F10" s="383"/>
      <c r="G10" s="383"/>
      <c r="H10" s="383">
        <v>7</v>
      </c>
      <c r="I10" s="383">
        <v>13</v>
      </c>
      <c r="J10" s="383">
        <v>5</v>
      </c>
      <c r="K10" s="383">
        <v>12</v>
      </c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13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15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12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15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0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7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13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5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12</v>
      </c>
      <c r="CP10" s="353" t="str">
        <v>RD0301</v>
      </c>
      <c r="CQ10" s="353" t="str">
        <v>RD0301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9</v>
      </c>
      <c r="C11" s="383">
        <v>12</v>
      </c>
      <c r="D11" s="383">
        <v>9</v>
      </c>
      <c r="E11" s="383">
        <v>11</v>
      </c>
      <c r="F11" s="383"/>
      <c r="G11" s="383"/>
      <c r="H11" s="383">
        <v>10</v>
      </c>
      <c r="I11" s="383">
        <v>12</v>
      </c>
      <c r="J11" s="383">
        <v>11</v>
      </c>
      <c r="K11" s="383">
        <v>11</v>
      </c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9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12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9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11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0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0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10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12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11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11</v>
      </c>
      <c r="CP11" s="353" t="str">
        <v>RD0301</v>
      </c>
      <c r="CQ11" s="353" t="str">
        <v>RD0301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14</v>
      </c>
      <c r="C12" s="383">
        <v>14</v>
      </c>
      <c r="D12" s="383">
        <v>14</v>
      </c>
      <c r="E12" s="383">
        <v>17</v>
      </c>
      <c r="F12" s="383"/>
      <c r="G12" s="383"/>
      <c r="H12" s="383">
        <v>14</v>
      </c>
      <c r="I12" s="383">
        <v>17</v>
      </c>
      <c r="J12" s="383">
        <v>15</v>
      </c>
      <c r="K12" s="383">
        <v>17</v>
      </c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14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14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14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17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0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14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17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15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17</v>
      </c>
      <c r="CP12" s="353" t="str">
        <v>RD0301</v>
      </c>
      <c r="CQ12" s="353" t="str">
        <v>RD0301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17</v>
      </c>
      <c r="C13" s="383">
        <v>22</v>
      </c>
      <c r="D13" s="383">
        <v>17</v>
      </c>
      <c r="E13" s="383">
        <v>20</v>
      </c>
      <c r="F13" s="383"/>
      <c r="G13" s="383"/>
      <c r="H13" s="383">
        <v>19</v>
      </c>
      <c r="I13" s="383">
        <v>20</v>
      </c>
      <c r="J13" s="383">
        <v>20</v>
      </c>
      <c r="K13" s="383">
        <v>21</v>
      </c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17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22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17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20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0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19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20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20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21</v>
      </c>
      <c r="CP13" s="353" t="str">
        <v>RD0301</v>
      </c>
      <c r="CQ13" s="353" t="str">
        <v>RD0301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10</v>
      </c>
      <c r="C14" s="383">
        <v>11</v>
      </c>
      <c r="D14" s="383">
        <v>11</v>
      </c>
      <c r="E14" s="383">
        <v>12</v>
      </c>
      <c r="F14" s="383"/>
      <c r="G14" s="383"/>
      <c r="H14" s="383">
        <v>10</v>
      </c>
      <c r="I14" s="383">
        <v>12</v>
      </c>
      <c r="J14" s="383">
        <v>11</v>
      </c>
      <c r="K14" s="383">
        <v>12</v>
      </c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11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11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12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0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10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12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11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12</v>
      </c>
      <c r="CP14" s="353" t="str">
        <v>RD0301</v>
      </c>
      <c r="CQ14" s="353" t="str">
        <v>RD0301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9</v>
      </c>
      <c r="C15" s="383">
        <v>11</v>
      </c>
      <c r="D15" s="383">
        <v>11</v>
      </c>
      <c r="E15" s="383">
        <v>12</v>
      </c>
      <c r="F15" s="383"/>
      <c r="G15" s="383"/>
      <c r="H15" s="383">
        <v>2.2000000000000002</v>
      </c>
      <c r="I15" s="383">
        <v>12</v>
      </c>
      <c r="J15" s="383">
        <v>11</v>
      </c>
      <c r="K15" s="383">
        <v>12</v>
      </c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9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11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11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12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2.2000000000000002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12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11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12</v>
      </c>
      <c r="CP15" s="353" t="str">
        <v>RD0301</v>
      </c>
      <c r="CQ15" s="353" t="str">
        <v>RD0301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7</v>
      </c>
      <c r="C16" s="383">
        <v>8</v>
      </c>
      <c r="D16" s="383">
        <v>8</v>
      </c>
      <c r="E16" s="383">
        <v>9</v>
      </c>
      <c r="F16" s="383"/>
      <c r="G16" s="383"/>
      <c r="H16" s="383">
        <v>7</v>
      </c>
      <c r="I16" s="383">
        <v>9.3000000000000007</v>
      </c>
      <c r="J16" s="383">
        <v>6</v>
      </c>
      <c r="K16" s="383">
        <v>9</v>
      </c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7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8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8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9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0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0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7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9.3000000000000007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6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9</v>
      </c>
      <c r="CP16" s="353" t="str">
        <v>RD0301</v>
      </c>
      <c r="CQ16" s="353" t="str">
        <v>RD0301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15</v>
      </c>
      <c r="C17" s="383">
        <v>15</v>
      </c>
      <c r="D17" s="383">
        <v>15</v>
      </c>
      <c r="E17" s="383">
        <v>17</v>
      </c>
      <c r="F17" s="383"/>
      <c r="G17" s="383"/>
      <c r="H17" s="383">
        <v>16</v>
      </c>
      <c r="I17" s="383">
        <v>18</v>
      </c>
      <c r="J17" s="383">
        <v>16</v>
      </c>
      <c r="K17" s="383">
        <v>17</v>
      </c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15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15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15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17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0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0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16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18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16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17</v>
      </c>
      <c r="CP17" s="353" t="str">
        <v>RD0301</v>
      </c>
      <c r="CQ17" s="353" t="str">
        <v>RD0301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28</v>
      </c>
      <c r="C18" s="383">
        <v>30</v>
      </c>
      <c r="D18" s="383">
        <v>30</v>
      </c>
      <c r="E18" s="383">
        <v>33.200000000000003</v>
      </c>
      <c r="F18" s="383"/>
      <c r="G18" s="383"/>
      <c r="H18" s="383">
        <v>33.200000000000003</v>
      </c>
      <c r="I18" s="383">
        <v>33.200000000000003</v>
      </c>
      <c r="J18" s="383">
        <v>29</v>
      </c>
      <c r="K18" s="383">
        <v>32.200000000000003</v>
      </c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28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30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30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33.200000000000003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0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0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33.200000000000003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33.200000000000003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29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32.200000000000003</v>
      </c>
      <c r="CP18" s="353" t="str">
        <v>RD0301</v>
      </c>
      <c r="CQ18" s="353" t="str">
        <v>RD0301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10</v>
      </c>
      <c r="C19" s="383">
        <v>12</v>
      </c>
      <c r="D19" s="383">
        <v>10</v>
      </c>
      <c r="E19" s="383">
        <v>11</v>
      </c>
      <c r="F19" s="383"/>
      <c r="G19" s="383"/>
      <c r="H19" s="383">
        <v>11</v>
      </c>
      <c r="I19" s="383">
        <v>11</v>
      </c>
      <c r="J19" s="383">
        <v>8</v>
      </c>
      <c r="K19" s="383">
        <v>10</v>
      </c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10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12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10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11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0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11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11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8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10</v>
      </c>
      <c r="CP19" s="353" t="str">
        <v>RD0301</v>
      </c>
      <c r="CQ19" s="353" t="str">
        <v>RD0301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12</v>
      </c>
      <c r="C20" s="383">
        <v>12</v>
      </c>
      <c r="D20" s="383">
        <v>11</v>
      </c>
      <c r="E20" s="383">
        <v>12</v>
      </c>
      <c r="F20" s="383"/>
      <c r="G20" s="383"/>
      <c r="H20" s="383">
        <v>11</v>
      </c>
      <c r="I20" s="383">
        <v>11</v>
      </c>
      <c r="J20" s="383">
        <v>12</v>
      </c>
      <c r="K20" s="383">
        <v>12</v>
      </c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12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12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11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12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0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0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11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11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12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12</v>
      </c>
      <c r="CP20" s="353" t="str">
        <v>RD0301</v>
      </c>
      <c r="CQ20" s="353" t="str">
        <v>RD0301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8</v>
      </c>
      <c r="C21" s="383">
        <v>8</v>
      </c>
      <c r="D21" s="383">
        <v>8</v>
      </c>
      <c r="E21" s="383">
        <v>8</v>
      </c>
      <c r="F21" s="383"/>
      <c r="G21" s="383"/>
      <c r="H21" s="383">
        <v>8</v>
      </c>
      <c r="I21" s="383">
        <v>11</v>
      </c>
      <c r="J21" s="383">
        <v>8</v>
      </c>
      <c r="K21" s="383">
        <v>8</v>
      </c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8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8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8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0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0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8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11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8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8</v>
      </c>
      <c r="CP21" s="353" t="str">
        <v>RD0301</v>
      </c>
      <c r="CQ21" s="353" t="str">
        <v>RD0301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12</v>
      </c>
      <c r="C22" s="383">
        <v>13</v>
      </c>
      <c r="D22" s="383">
        <v>13</v>
      </c>
      <c r="E22" s="383">
        <v>13</v>
      </c>
      <c r="F22" s="383"/>
      <c r="G22" s="383"/>
      <c r="H22" s="383">
        <v>14</v>
      </c>
      <c r="I22" s="383">
        <v>14</v>
      </c>
      <c r="J22" s="383">
        <v>11</v>
      </c>
      <c r="K22" s="383">
        <v>13</v>
      </c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12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13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13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0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0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14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14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11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13</v>
      </c>
      <c r="CP22" s="353" t="str">
        <v>RD0301</v>
      </c>
      <c r="CQ22" s="353" t="str">
        <v>RD0301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17</v>
      </c>
      <c r="C23" s="383">
        <v>18</v>
      </c>
      <c r="D23" s="383">
        <v>17</v>
      </c>
      <c r="E23" s="383">
        <v>18</v>
      </c>
      <c r="F23" s="383"/>
      <c r="G23" s="383"/>
      <c r="H23" s="383">
        <v>18</v>
      </c>
      <c r="I23" s="383">
        <v>19</v>
      </c>
      <c r="J23" s="383">
        <v>17</v>
      </c>
      <c r="K23" s="383">
        <v>18</v>
      </c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17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18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17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18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0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18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19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17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18</v>
      </c>
      <c r="CP23" s="353" t="str">
        <v>RD0301</v>
      </c>
      <c r="CQ23" s="353" t="str">
        <v>RD0301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14</v>
      </c>
      <c r="C24" s="383">
        <v>14</v>
      </c>
      <c r="D24" s="383">
        <v>14</v>
      </c>
      <c r="E24" s="383">
        <v>15</v>
      </c>
      <c r="F24" s="383"/>
      <c r="G24" s="383"/>
      <c r="H24" s="383">
        <v>14</v>
      </c>
      <c r="I24" s="383">
        <v>14</v>
      </c>
      <c r="J24" s="383">
        <v>15</v>
      </c>
      <c r="K24" s="383">
        <v>15</v>
      </c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14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14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14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15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0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0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14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14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15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15</v>
      </c>
      <c r="CP24" s="353" t="str">
        <v>RD0301</v>
      </c>
      <c r="CQ24" s="353" t="str">
        <v>RD0301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21</v>
      </c>
      <c r="C25" s="383">
        <v>26</v>
      </c>
      <c r="D25" s="383">
        <v>21</v>
      </c>
      <c r="E25" s="383">
        <v>23</v>
      </c>
      <c r="F25" s="383"/>
      <c r="G25" s="383"/>
      <c r="H25" s="383">
        <v>22</v>
      </c>
      <c r="I25" s="383">
        <v>25</v>
      </c>
      <c r="J25" s="383">
        <v>20</v>
      </c>
      <c r="K25" s="383">
        <v>23</v>
      </c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21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26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21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23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0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0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22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25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20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23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15</v>
      </c>
      <c r="C26" s="383">
        <v>17</v>
      </c>
      <c r="D26" s="383">
        <v>15</v>
      </c>
      <c r="E26" s="383">
        <v>16</v>
      </c>
      <c r="F26" s="383"/>
      <c r="G26" s="383"/>
      <c r="H26" s="383">
        <v>16</v>
      </c>
      <c r="I26" s="383">
        <v>16</v>
      </c>
      <c r="J26" s="383">
        <v>15</v>
      </c>
      <c r="K26" s="383">
        <v>16</v>
      </c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15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17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15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0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0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16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16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15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16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 t="str">
        <f>'PD0101'!AG43</f>
        <v>NIHIL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EXCLUSÃO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51" zoomScale="170" zoomScaleNormal="170" workbookViewId="0">
      <selection activeCell="C69" sqref="C69:O69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37"/>
      <c r="G2" s="737"/>
      <c r="H2" s="737"/>
      <c r="I2" s="737"/>
      <c r="J2" s="737"/>
      <c r="K2" s="737"/>
      <c r="L2" s="737"/>
      <c r="M2" s="737"/>
      <c r="N2" s="737"/>
      <c r="O2" s="738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39"/>
      <c r="K3" s="739"/>
      <c r="L3" s="739"/>
      <c r="M3" s="739"/>
      <c r="N3" s="739"/>
      <c r="O3" s="740"/>
    </row>
    <row r="4" spans="1:15" ht="12.75" customHeight="1">
      <c r="A4" s="386"/>
      <c r="B4" s="390"/>
      <c r="C4" s="390"/>
      <c r="D4" s="390"/>
      <c r="E4" s="744"/>
      <c r="F4" s="744"/>
      <c r="G4" s="744"/>
      <c r="H4" s="744"/>
      <c r="I4" s="744"/>
      <c r="J4" s="744"/>
      <c r="K4" s="744"/>
      <c r="L4" s="744"/>
      <c r="M4" s="748"/>
      <c r="N4" s="748"/>
      <c r="O4" s="749"/>
    </row>
    <row r="5" spans="1:15" ht="12.75" customHeight="1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4"/>
      <c r="M5" s="748"/>
      <c r="N5" s="748"/>
      <c r="O5" s="749"/>
    </row>
    <row r="6" spans="1:15" ht="12.75" customHeight="1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4"/>
      <c r="M6" s="748"/>
      <c r="N6" s="748"/>
      <c r="O6" s="749"/>
    </row>
    <row r="7" spans="1:15" ht="12.75" customHeight="1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4"/>
      <c r="M7" s="748"/>
      <c r="N7" s="748"/>
      <c r="O7" s="749"/>
    </row>
    <row r="8" spans="1:15" ht="12.75" customHeight="1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4"/>
      <c r="M8" s="748"/>
      <c r="N8" s="748"/>
      <c r="O8" s="749"/>
    </row>
    <row r="9" spans="1:15" ht="12.75" customHeight="1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4"/>
      <c r="M9" s="748"/>
      <c r="N9" s="748"/>
      <c r="O9" s="749"/>
    </row>
    <row r="10" spans="1:15" ht="12.75" customHeight="1" thickBot="1">
      <c r="A10" s="752"/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44"/>
      <c r="M10" s="750"/>
      <c r="N10" s="750"/>
      <c r="O10" s="751"/>
    </row>
    <row r="11" spans="1:15" ht="14.25" thickTop="1" thickBot="1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6"/>
      <c r="O11" s="747"/>
    </row>
    <row r="12" spans="1:15" ht="13.5" thickTop="1">
      <c r="A12" s="309" t="s">
        <v>250</v>
      </c>
      <c r="B12" s="727"/>
      <c r="C12" s="727"/>
      <c r="D12" s="727"/>
      <c r="E12" s="727"/>
      <c r="F12" s="727"/>
      <c r="G12" s="727"/>
      <c r="H12" s="727"/>
      <c r="I12" s="651"/>
      <c r="J12" s="652" t="s">
        <v>357</v>
      </c>
      <c r="K12" s="727"/>
      <c r="L12" s="727"/>
      <c r="M12" s="727"/>
      <c r="N12" s="727"/>
      <c r="O12" s="728"/>
    </row>
    <row r="13" spans="1:15">
      <c r="A13" s="309" t="s">
        <v>359</v>
      </c>
      <c r="B13" s="733"/>
      <c r="C13" s="733"/>
      <c r="D13" s="733"/>
      <c r="E13" s="733"/>
      <c r="F13" s="733"/>
      <c r="G13" s="733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>
      <c r="A14" s="309"/>
      <c r="B14" s="700"/>
      <c r="C14" s="700"/>
      <c r="D14" s="700"/>
      <c r="E14" s="700"/>
      <c r="F14" s="700"/>
      <c r="G14" s="700"/>
      <c r="H14" s="662"/>
      <c r="I14" s="662"/>
      <c r="J14" s="321" t="s">
        <v>251</v>
      </c>
      <c r="K14" s="700"/>
      <c r="L14" s="700"/>
      <c r="M14" s="700"/>
      <c r="N14" s="700"/>
      <c r="O14" s="731"/>
    </row>
    <row r="15" spans="1:15">
      <c r="A15" s="309"/>
      <c r="B15" s="700"/>
      <c r="C15" s="700"/>
      <c r="D15" s="700"/>
      <c r="E15" s="700"/>
      <c r="F15" s="700"/>
      <c r="G15" s="700"/>
      <c r="H15" s="392"/>
      <c r="I15" s="392"/>
      <c r="J15" s="321"/>
      <c r="K15" s="700"/>
      <c r="L15" s="700"/>
      <c r="M15" s="700"/>
      <c r="N15" s="700"/>
      <c r="O15" s="396"/>
    </row>
    <row r="16" spans="1:15">
      <c r="A16" s="309"/>
      <c r="B16" s="700"/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54"/>
      <c r="C17" s="754"/>
      <c r="D17" s="754"/>
      <c r="E17" s="754"/>
      <c r="F17" s="754"/>
      <c r="G17" s="754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2"/>
      <c r="O18" s="743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32" t="str">
        <f>'PD0101'!B8</f>
        <v>MÃE</v>
      </c>
      <c r="H19" s="732"/>
      <c r="I19" s="732" t="s">
        <v>253</v>
      </c>
      <c r="J19" s="732"/>
      <c r="K19" s="732" t="str">
        <f>'PD0101'!F8</f>
        <v>SUP. PAI</v>
      </c>
      <c r="L19" s="732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13"/>
      <c r="B20" s="714"/>
      <c r="C20" s="714"/>
      <c r="D20" s="714"/>
      <c r="E20" s="715"/>
      <c r="F20" s="666" t="str">
        <f>'PD0101'!$A$9</f>
        <v>D3S1358</v>
      </c>
      <c r="G20" s="667">
        <f>'PD0101'!$B$9</f>
        <v>15</v>
      </c>
      <c r="H20" s="667">
        <f>'PD0101'!$C$9</f>
        <v>16</v>
      </c>
      <c r="I20" s="667">
        <f>'PD0101'!$D$9</f>
        <v>15</v>
      </c>
      <c r="J20" s="667">
        <f>'PD0101'!$E$9</f>
        <v>16</v>
      </c>
      <c r="K20" s="667">
        <f>'PD0101'!$F$9</f>
        <v>0</v>
      </c>
      <c r="L20" s="667">
        <f>'PD0101'!$G$9</f>
        <v>0</v>
      </c>
      <c r="M20" s="668">
        <f>'PD0101'!$AG$9</f>
        <v>0</v>
      </c>
      <c r="N20" s="669">
        <f>'PD0101'!$AH$9</f>
        <v>0</v>
      </c>
      <c r="O20" s="670">
        <f>'PD0101'!$AI$9</f>
        <v>0</v>
      </c>
    </row>
    <row r="21" spans="1:15" ht="15.75" customHeight="1">
      <c r="A21" s="713" t="s">
        <v>350</v>
      </c>
      <c r="B21" s="714"/>
      <c r="C21" s="714"/>
      <c r="D21" s="714"/>
      <c r="E21" s="715"/>
      <c r="F21" s="666" t="str">
        <f>'PD0101'!$A$10</f>
        <v>D1S1656</v>
      </c>
      <c r="G21" s="667">
        <f>'PD0101'!$B$10</f>
        <v>13</v>
      </c>
      <c r="H21" s="667">
        <f>'PD0101'!$C$10</f>
        <v>18.3</v>
      </c>
      <c r="I21" s="667">
        <f>'PD0101'!$D$10</f>
        <v>17.3</v>
      </c>
      <c r="J21" s="667">
        <f>'PD0101'!$E$10</f>
        <v>18.3</v>
      </c>
      <c r="K21" s="667">
        <f>'PD0101'!$F$10</f>
        <v>0</v>
      </c>
      <c r="L21" s="667">
        <f>'PD0101'!$G$10</f>
        <v>0</v>
      </c>
      <c r="M21" s="668">
        <f>'PD0101'!$AG$10</f>
        <v>0</v>
      </c>
      <c r="N21" s="669">
        <f>'PD0101'!$AH$10</f>
        <v>0</v>
      </c>
      <c r="O21" s="670">
        <f>'PD0101'!$AI$10</f>
        <v>0</v>
      </c>
    </row>
    <row r="22" spans="1:15" ht="15.75" customHeight="1">
      <c r="A22" s="713" t="s">
        <v>293</v>
      </c>
      <c r="B22" s="714"/>
      <c r="C22" s="714"/>
      <c r="D22" s="714"/>
      <c r="E22" s="715"/>
      <c r="F22" s="666" t="str">
        <f>'PD0101'!$A$11</f>
        <v>D2S441</v>
      </c>
      <c r="G22" s="667">
        <f>'PD0101'!$B$11</f>
        <v>10</v>
      </c>
      <c r="H22" s="667">
        <f>'PD0101'!$C$11</f>
        <v>10</v>
      </c>
      <c r="I22" s="667">
        <f>'PD0101'!$D$11</f>
        <v>10</v>
      </c>
      <c r="J22" s="667">
        <f>'PD0101'!$E$11</f>
        <v>15</v>
      </c>
      <c r="K22" s="667">
        <f>'PD0101'!$F$11</f>
        <v>0</v>
      </c>
      <c r="L22" s="667">
        <f>'PD0101'!$G$11</f>
        <v>0</v>
      </c>
      <c r="M22" s="668">
        <f>'PD0101'!$AG$11</f>
        <v>0</v>
      </c>
      <c r="N22" s="669">
        <f>'PD0101'!$AH$11</f>
        <v>0</v>
      </c>
      <c r="O22" s="670">
        <f>'PD0101'!$AI$11</f>
        <v>0</v>
      </c>
    </row>
    <row r="23" spans="1:15" ht="15.75" customHeight="1">
      <c r="A23" s="713" t="s">
        <v>290</v>
      </c>
      <c r="B23" s="714"/>
      <c r="C23" s="714"/>
      <c r="D23" s="714"/>
      <c r="E23" s="715"/>
      <c r="F23" s="666" t="str">
        <f>'PD0101'!$A$12</f>
        <v>D10S1248</v>
      </c>
      <c r="G23" s="667">
        <f>'PD0101'!$B$12</f>
        <v>12</v>
      </c>
      <c r="H23" s="667">
        <f>'PD0101'!$C$12</f>
        <v>14</v>
      </c>
      <c r="I23" s="667">
        <f>'PD0101'!$D$12</f>
        <v>14</v>
      </c>
      <c r="J23" s="667">
        <f>'PD0101'!$E$12</f>
        <v>14</v>
      </c>
      <c r="K23" s="667">
        <f>'PD0101'!$F$12</f>
        <v>0</v>
      </c>
      <c r="L23" s="667">
        <f>'PD0101'!$G$12</f>
        <v>0</v>
      </c>
      <c r="M23" s="668">
        <f>'PD0101'!$AG$12</f>
        <v>0</v>
      </c>
      <c r="N23" s="669">
        <f>'PD0101'!$AH$12</f>
        <v>0</v>
      </c>
      <c r="O23" s="670">
        <f>'PD0101'!$AI$12</f>
        <v>0</v>
      </c>
    </row>
    <row r="24" spans="1:15" ht="15.75" customHeight="1">
      <c r="A24" s="713" t="s">
        <v>294</v>
      </c>
      <c r="B24" s="714"/>
      <c r="C24" s="714"/>
      <c r="D24" s="714"/>
      <c r="E24" s="715"/>
      <c r="F24" s="666" t="str">
        <f>'PD0101'!$A$13</f>
        <v>D13S317</v>
      </c>
      <c r="G24" s="667">
        <f>'PD0101'!$B$13</f>
        <v>9</v>
      </c>
      <c r="H24" s="667">
        <f>'PD0101'!$C$13</f>
        <v>9</v>
      </c>
      <c r="I24" s="667">
        <f>'PD0101'!$D$13</f>
        <v>9</v>
      </c>
      <c r="J24" s="667">
        <f>'PD0101'!$E$13</f>
        <v>10</v>
      </c>
      <c r="K24" s="667">
        <f>'PD0101'!$F$13</f>
        <v>0</v>
      </c>
      <c r="L24" s="667">
        <f>'PD0101'!$G$13</f>
        <v>0</v>
      </c>
      <c r="M24" s="668">
        <f>'PD0101'!$AG$13</f>
        <v>0</v>
      </c>
      <c r="N24" s="669">
        <f>'PD0101'!$AH$13</f>
        <v>0</v>
      </c>
      <c r="O24" s="670">
        <f>'PD0101'!$AI$13</f>
        <v>0</v>
      </c>
    </row>
    <row r="25" spans="1:15" ht="15.75" customHeight="1">
      <c r="A25" s="713" t="s">
        <v>363</v>
      </c>
      <c r="B25" s="714"/>
      <c r="C25" s="714"/>
      <c r="D25" s="714"/>
      <c r="E25" s="715"/>
      <c r="F25" s="666" t="str">
        <f>'PD0101'!$A$14</f>
        <v>Penta_E</v>
      </c>
      <c r="G25" s="667">
        <f>'PD0101'!$B$14</f>
        <v>13</v>
      </c>
      <c r="H25" s="667">
        <f>'PD0101'!$C$14</f>
        <v>15</v>
      </c>
      <c r="I25" s="667">
        <f>'PD0101'!$D$14</f>
        <v>12</v>
      </c>
      <c r="J25" s="667">
        <f>'PD0101'!$E$14</f>
        <v>15</v>
      </c>
      <c r="K25" s="667">
        <f>'PD0101'!$F$14</f>
        <v>0</v>
      </c>
      <c r="L25" s="667">
        <f>'PD0101'!$G$14</f>
        <v>0</v>
      </c>
      <c r="M25" s="668">
        <f>'PD0101'!$AG$14</f>
        <v>0</v>
      </c>
      <c r="N25" s="669">
        <f>'PD0101'!$AH$14</f>
        <v>0</v>
      </c>
      <c r="O25" s="670">
        <f>'PD0101'!$AI$14</f>
        <v>0</v>
      </c>
    </row>
    <row r="26" spans="1:15" ht="15.75" customHeight="1">
      <c r="A26" s="713"/>
      <c r="B26" s="714"/>
      <c r="C26" s="714"/>
      <c r="D26" s="714"/>
      <c r="E26" s="715"/>
      <c r="F26" s="666" t="str">
        <f>'PD0101'!$A$15</f>
        <v>D16S539</v>
      </c>
      <c r="G26" s="667">
        <f>'PD0101'!$B$15</f>
        <v>9</v>
      </c>
      <c r="H26" s="667">
        <f>'PD0101'!$C$15</f>
        <v>12</v>
      </c>
      <c r="I26" s="667">
        <f>'PD0101'!$D$15</f>
        <v>9</v>
      </c>
      <c r="J26" s="667">
        <f>'PD0101'!$E$15</f>
        <v>11</v>
      </c>
      <c r="K26" s="667">
        <f>'PD0101'!$F$15</f>
        <v>0</v>
      </c>
      <c r="L26" s="667">
        <f>'PD0101'!$G$15</f>
        <v>0</v>
      </c>
      <c r="M26" s="668">
        <f>'PD0101'!$AG$15</f>
        <v>0</v>
      </c>
      <c r="N26" s="669">
        <f>'PD0101'!$AH$15</f>
        <v>0</v>
      </c>
      <c r="O26" s="670">
        <f>'PD0101'!$AI$15</f>
        <v>0</v>
      </c>
    </row>
    <row r="27" spans="1:15" ht="15.75" customHeight="1">
      <c r="A27" s="713"/>
      <c r="B27" s="714"/>
      <c r="C27" s="714"/>
      <c r="D27" s="714"/>
      <c r="E27" s="715"/>
      <c r="F27" s="666" t="str">
        <f>'PD0101'!$A$16</f>
        <v>D18S51</v>
      </c>
      <c r="G27" s="667">
        <f>'PD0101'!$B$16</f>
        <v>14</v>
      </c>
      <c r="H27" s="667">
        <f>'PD0101'!$C$16</f>
        <v>14</v>
      </c>
      <c r="I27" s="667">
        <f>'PD0101'!$D$16</f>
        <v>14</v>
      </c>
      <c r="J27" s="667">
        <f>'PD0101'!$E$16</f>
        <v>17</v>
      </c>
      <c r="K27" s="667">
        <f>'PD0101'!$F$16</f>
        <v>0</v>
      </c>
      <c r="L27" s="667">
        <f>'PD0101'!$G$16</f>
        <v>0</v>
      </c>
      <c r="M27" s="668">
        <f>'PD0101'!$AG$16</f>
        <v>0</v>
      </c>
      <c r="N27" s="669">
        <f>'PD0101'!$AH$16</f>
        <v>0</v>
      </c>
      <c r="O27" s="670">
        <f>'PD0101'!$AI$16</f>
        <v>0</v>
      </c>
    </row>
    <row r="28" spans="1:15" ht="15.75" customHeight="1" thickBot="1">
      <c r="A28" s="713"/>
      <c r="B28" s="714"/>
      <c r="C28" s="714"/>
      <c r="D28" s="714"/>
      <c r="E28" s="715"/>
      <c r="F28" s="666" t="str">
        <f>'PD0101'!$A$17</f>
        <v>D2S1338</v>
      </c>
      <c r="G28" s="667">
        <f>'PD0101'!$B$17</f>
        <v>17</v>
      </c>
      <c r="H28" s="667">
        <f>'PD0101'!$C$17</f>
        <v>22</v>
      </c>
      <c r="I28" s="667">
        <f>'PD0101'!$D$17</f>
        <v>17</v>
      </c>
      <c r="J28" s="667">
        <f>'PD0101'!$E$17</f>
        <v>20</v>
      </c>
      <c r="K28" s="667">
        <f>'PD0101'!$F$17</f>
        <v>0</v>
      </c>
      <c r="L28" s="667">
        <f>'PD0101'!$G$17</f>
        <v>0</v>
      </c>
      <c r="M28" s="668">
        <f>'PD0101'!$AG$17</f>
        <v>0</v>
      </c>
      <c r="N28" s="669">
        <f>'PD0101'!$AH$17</f>
        <v>0</v>
      </c>
      <c r="O28" s="670">
        <f>'PD0101'!$AI$17</f>
        <v>0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10</v>
      </c>
      <c r="H29" s="667">
        <f>'PD0101'!$C$18</f>
        <v>11</v>
      </c>
      <c r="I29" s="667">
        <f>'PD0101'!$D$18</f>
        <v>11</v>
      </c>
      <c r="J29" s="667">
        <f>'PD0101'!$E$18</f>
        <v>12</v>
      </c>
      <c r="K29" s="667">
        <f>'PD0101'!$F$18</f>
        <v>0</v>
      </c>
      <c r="L29" s="667">
        <f>'PD0101'!$G$18</f>
        <v>0</v>
      </c>
      <c r="M29" s="668">
        <f>'PD0101'!$AG$18</f>
        <v>0</v>
      </c>
      <c r="N29" s="669">
        <f>'PD0101'!$AH$18</f>
        <v>0</v>
      </c>
      <c r="O29" s="670">
        <f>'PD0101'!$AI$18</f>
        <v>0</v>
      </c>
    </row>
    <row r="30" spans="1:15" ht="15.75" customHeight="1" thickTop="1">
      <c r="A30" s="713" t="s">
        <v>364</v>
      </c>
      <c r="B30" s="714"/>
      <c r="C30" s="714"/>
      <c r="D30" s="714"/>
      <c r="E30" s="715"/>
      <c r="F30" s="666" t="str">
        <f>'PD0101'!$A$19</f>
        <v>Penta_D</v>
      </c>
      <c r="G30" s="667">
        <f>'PD0101'!$B$19</f>
        <v>9</v>
      </c>
      <c r="H30" s="667">
        <f>'PD0101'!$C$19</f>
        <v>11</v>
      </c>
      <c r="I30" s="667">
        <f>'PD0101'!$D$19</f>
        <v>11</v>
      </c>
      <c r="J30" s="667">
        <f>'PD0101'!$E$19</f>
        <v>12</v>
      </c>
      <c r="K30" s="667">
        <f>'PD0101'!$F$19</f>
        <v>0</v>
      </c>
      <c r="L30" s="667">
        <f>'PD0101'!$G$19</f>
        <v>0</v>
      </c>
      <c r="M30" s="668">
        <f>'PD0101'!$AG$19</f>
        <v>0</v>
      </c>
      <c r="N30" s="669">
        <f>'PD0101'!$AH$19</f>
        <v>0</v>
      </c>
      <c r="O30" s="670">
        <f>'PD0101'!$AI$19</f>
        <v>0</v>
      </c>
    </row>
    <row r="31" spans="1:15" ht="15.75" customHeight="1">
      <c r="A31" s="713"/>
      <c r="B31" s="714"/>
      <c r="C31" s="714"/>
      <c r="D31" s="714"/>
      <c r="E31" s="715"/>
      <c r="F31" s="666" t="str">
        <f>'PD0101'!$A$20</f>
        <v>TH01</v>
      </c>
      <c r="G31" s="667">
        <f>'PD0101'!$B$20</f>
        <v>7</v>
      </c>
      <c r="H31" s="667">
        <f>'PD0101'!$C$20</f>
        <v>8</v>
      </c>
      <c r="I31" s="667">
        <f>'PD0101'!$D$20</f>
        <v>8</v>
      </c>
      <c r="J31" s="667">
        <f>'PD0101'!$E$20</f>
        <v>9</v>
      </c>
      <c r="K31" s="667">
        <f>'PD0101'!$F$20</f>
        <v>0</v>
      </c>
      <c r="L31" s="667">
        <f>'PD0101'!$G$20</f>
        <v>0</v>
      </c>
      <c r="M31" s="668">
        <f>'PD0101'!$AG$20</f>
        <v>0</v>
      </c>
      <c r="N31" s="669">
        <f>'PD0101'!$AH$20</f>
        <v>0</v>
      </c>
      <c r="O31" s="670">
        <f>'PD0101'!$AI$20</f>
        <v>0</v>
      </c>
    </row>
    <row r="32" spans="1:15" ht="15.75" customHeight="1">
      <c r="A32" s="713"/>
      <c r="B32" s="714"/>
      <c r="C32" s="714"/>
      <c r="D32" s="714"/>
      <c r="E32" s="715"/>
      <c r="F32" s="666" t="str">
        <f>'PD0101'!$A$21</f>
        <v>vWA</v>
      </c>
      <c r="G32" s="667">
        <f>'PD0101'!$B$21</f>
        <v>15</v>
      </c>
      <c r="H32" s="667">
        <f>'PD0101'!$C$21</f>
        <v>15</v>
      </c>
      <c r="I32" s="667">
        <f>'PD0101'!$D$21</f>
        <v>15</v>
      </c>
      <c r="J32" s="667">
        <f>'PD0101'!$E$21</f>
        <v>17</v>
      </c>
      <c r="K32" s="667">
        <f>'PD0101'!$F$21</f>
        <v>0</v>
      </c>
      <c r="L32" s="667">
        <f>'PD0101'!$G$21</f>
        <v>0</v>
      </c>
      <c r="M32" s="668">
        <f>'PD0101'!$AG$21</f>
        <v>0</v>
      </c>
      <c r="N32" s="669">
        <f>'PD0101'!$AH$21</f>
        <v>0</v>
      </c>
      <c r="O32" s="670">
        <f>'PD0101'!$AI$21</f>
        <v>0</v>
      </c>
    </row>
    <row r="33" spans="1:15" ht="15.75" customHeight="1">
      <c r="A33" s="713"/>
      <c r="B33" s="714"/>
      <c r="C33" s="714"/>
      <c r="D33" s="714"/>
      <c r="E33" s="715"/>
      <c r="F33" s="666" t="str">
        <f>'PD0101'!$A$22</f>
        <v>D21S11</v>
      </c>
      <c r="G33" s="667">
        <f>'PD0101'!$B$22</f>
        <v>28</v>
      </c>
      <c r="H33" s="667">
        <f>'PD0101'!$C$22</f>
        <v>30</v>
      </c>
      <c r="I33" s="667">
        <f>'PD0101'!$D$22</f>
        <v>30</v>
      </c>
      <c r="J33" s="667">
        <f>'PD0101'!$E$22</f>
        <v>33.200000000000003</v>
      </c>
      <c r="K33" s="667">
        <f>'PD0101'!$F$22</f>
        <v>0</v>
      </c>
      <c r="L33" s="667">
        <f>'PD0101'!$G$22</f>
        <v>0</v>
      </c>
      <c r="M33" s="668">
        <f>'PD0101'!$AG$22</f>
        <v>0</v>
      </c>
      <c r="N33" s="669">
        <f>'PD0101'!$AH$22</f>
        <v>0</v>
      </c>
      <c r="O33" s="670">
        <f>'PD0101'!$AI$22</f>
        <v>0</v>
      </c>
    </row>
    <row r="34" spans="1:15" ht="15.75" customHeight="1">
      <c r="A34" s="713"/>
      <c r="B34" s="714"/>
      <c r="C34" s="714"/>
      <c r="D34" s="714"/>
      <c r="E34" s="715"/>
      <c r="F34" s="666" t="str">
        <f>'PD0101'!$A$23</f>
        <v>D7S820</v>
      </c>
      <c r="G34" s="667">
        <f>'PD0101'!$B$23</f>
        <v>10</v>
      </c>
      <c r="H34" s="667">
        <f>'PD0101'!$C$23</f>
        <v>12</v>
      </c>
      <c r="I34" s="667">
        <f>'PD0101'!$D$23</f>
        <v>10</v>
      </c>
      <c r="J34" s="667">
        <f>'PD0101'!$E$23</f>
        <v>11</v>
      </c>
      <c r="K34" s="667">
        <f>'PD0101'!$F$23</f>
        <v>0</v>
      </c>
      <c r="L34" s="667">
        <f>'PD0101'!$G$23</f>
        <v>0</v>
      </c>
      <c r="M34" s="668">
        <f>'PD0101'!$AG$23</f>
        <v>0</v>
      </c>
      <c r="N34" s="669">
        <f>'PD0101'!$AH$23</f>
        <v>0</v>
      </c>
      <c r="O34" s="670">
        <f>'PD0101'!$AI$23</f>
        <v>0</v>
      </c>
    </row>
    <row r="35" spans="1:15" ht="15.75" customHeight="1">
      <c r="A35" s="713"/>
      <c r="B35" s="714"/>
      <c r="C35" s="714"/>
      <c r="D35" s="714"/>
      <c r="E35" s="715"/>
      <c r="F35" s="666" t="str">
        <f>'PD0101'!$A$24</f>
        <v>D5S818</v>
      </c>
      <c r="G35" s="667">
        <f>'PD0101'!$B$24</f>
        <v>12</v>
      </c>
      <c r="H35" s="667">
        <f>'PD0101'!$C$24</f>
        <v>12</v>
      </c>
      <c r="I35" s="667">
        <f>'PD0101'!$D$24</f>
        <v>11</v>
      </c>
      <c r="J35" s="667">
        <f>'PD0101'!$E$24</f>
        <v>12</v>
      </c>
      <c r="K35" s="667">
        <f>'PD0101'!$F$24</f>
        <v>0</v>
      </c>
      <c r="L35" s="667">
        <f>'PD0101'!$G$24</f>
        <v>0</v>
      </c>
      <c r="M35" s="668">
        <f>'PD0101'!$AG$24</f>
        <v>0</v>
      </c>
      <c r="N35" s="669">
        <f>'PD0101'!$AH$24</f>
        <v>0</v>
      </c>
      <c r="O35" s="670">
        <f>'PD0101'!$AI$24</f>
        <v>0</v>
      </c>
    </row>
    <row r="36" spans="1:15" ht="15.75" customHeight="1" thickBot="1">
      <c r="A36" s="713"/>
      <c r="B36" s="714"/>
      <c r="C36" s="714"/>
      <c r="D36" s="714"/>
      <c r="E36" s="715"/>
      <c r="F36" s="666" t="str">
        <f>'PD0101'!$A$25</f>
        <v>TPOX</v>
      </c>
      <c r="G36" s="667">
        <f>'PD0101'!$B$25</f>
        <v>8</v>
      </c>
      <c r="H36" s="667">
        <f>'PD0101'!$C$25</f>
        <v>8</v>
      </c>
      <c r="I36" s="667">
        <f>'PD0101'!$D$25</f>
        <v>8</v>
      </c>
      <c r="J36" s="667">
        <f>'PD0101'!$E$25</f>
        <v>8</v>
      </c>
      <c r="K36" s="667">
        <f>'PD0101'!$F$25</f>
        <v>0</v>
      </c>
      <c r="L36" s="667">
        <f>'PD0101'!$G$25</f>
        <v>0</v>
      </c>
      <c r="M36" s="668">
        <f>'PD0101'!$AG$25</f>
        <v>0</v>
      </c>
      <c r="N36" s="669">
        <f>'PD0101'!$AH$25</f>
        <v>0</v>
      </c>
      <c r="O36" s="670">
        <f>'PD0101'!$AI$25</f>
        <v>0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12</v>
      </c>
      <c r="H37" s="667">
        <f>'PD0101'!$C$26</f>
        <v>13</v>
      </c>
      <c r="I37" s="667">
        <f>'PD0101'!$D$26</f>
        <v>13</v>
      </c>
      <c r="J37" s="667">
        <f>'PD0101'!$E$26</f>
        <v>13</v>
      </c>
      <c r="K37" s="667">
        <f>'PD0101'!$F$26</f>
        <v>0</v>
      </c>
      <c r="L37" s="667">
        <f>'PD0101'!$G$26</f>
        <v>0</v>
      </c>
      <c r="M37" s="668">
        <f>'PD0101'!$AG$26</f>
        <v>0</v>
      </c>
      <c r="N37" s="669">
        <f>'PD0101'!$AH$26</f>
        <v>0</v>
      </c>
      <c r="O37" s="670">
        <f>'PD0101'!$AI$26</f>
        <v>0</v>
      </c>
    </row>
    <row r="38" spans="1:15" ht="15.75" customHeight="1" thickTop="1">
      <c r="A38" s="713"/>
      <c r="B38" s="714"/>
      <c r="C38" s="714"/>
      <c r="D38" s="714"/>
      <c r="E38" s="715"/>
      <c r="F38" s="666" t="str">
        <f>'PD0101'!$A$27</f>
        <v>D12S391</v>
      </c>
      <c r="G38" s="667">
        <f>'PD0101'!$B$27</f>
        <v>17</v>
      </c>
      <c r="H38" s="667">
        <f>'PD0101'!$C$27</f>
        <v>18</v>
      </c>
      <c r="I38" s="667">
        <f>'PD0101'!$D$27</f>
        <v>17</v>
      </c>
      <c r="J38" s="667">
        <f>'PD0101'!$E$27</f>
        <v>18</v>
      </c>
      <c r="K38" s="667">
        <f>'PD0101'!$F$27</f>
        <v>0</v>
      </c>
      <c r="L38" s="667">
        <f>'PD0101'!$G$27</f>
        <v>0</v>
      </c>
      <c r="M38" s="668">
        <f>'PD0101'!$AG$27</f>
        <v>0</v>
      </c>
      <c r="N38" s="669">
        <f>'PD0101'!$AH$27</f>
        <v>0</v>
      </c>
      <c r="O38" s="670">
        <f>'PD0101'!$AI$27</f>
        <v>0</v>
      </c>
    </row>
    <row r="39" spans="1:15" ht="15.75" customHeight="1">
      <c r="A39" s="734"/>
      <c r="B39" s="735"/>
      <c r="C39" s="735"/>
      <c r="D39" s="735"/>
      <c r="E39" s="736"/>
      <c r="F39" s="666" t="str">
        <f>'PD0101'!$A$28</f>
        <v>D19S433</v>
      </c>
      <c r="G39" s="667">
        <f>'PD0101'!$B$28</f>
        <v>14</v>
      </c>
      <c r="H39" s="667">
        <f>'PD0101'!$C$28</f>
        <v>14</v>
      </c>
      <c r="I39" s="667">
        <f>'PD0101'!$D$28</f>
        <v>14</v>
      </c>
      <c r="J39" s="667">
        <f>'PD0101'!$E$28</f>
        <v>15</v>
      </c>
      <c r="K39" s="667">
        <f>'PD0101'!$F$28</f>
        <v>0</v>
      </c>
      <c r="L39" s="667">
        <f>'PD0101'!$G$28</f>
        <v>0</v>
      </c>
      <c r="M39" s="668">
        <f>'PD0101'!$AG$28</f>
        <v>0</v>
      </c>
      <c r="N39" s="669">
        <f>'PD0101'!$AH$28</f>
        <v>0</v>
      </c>
      <c r="O39" s="670">
        <f>'PD0101'!$AI$28</f>
        <v>0</v>
      </c>
    </row>
    <row r="40" spans="1:15" ht="15.75" customHeight="1">
      <c r="A40" s="713" t="s">
        <v>361</v>
      </c>
      <c r="B40" s="714"/>
      <c r="C40" s="714"/>
      <c r="D40" s="714"/>
      <c r="E40" s="715"/>
      <c r="F40" s="666" t="str">
        <f>'PD0101'!$A$29</f>
        <v>FGA</v>
      </c>
      <c r="G40" s="667">
        <f>'PD0101'!$B$29</f>
        <v>21</v>
      </c>
      <c r="H40" s="667">
        <f>'PD0101'!$C$29</f>
        <v>26</v>
      </c>
      <c r="I40" s="667">
        <f>'PD0101'!$D$29</f>
        <v>21</v>
      </c>
      <c r="J40" s="667">
        <f>'PD0101'!$E$29</f>
        <v>23</v>
      </c>
      <c r="K40" s="667">
        <f>'PD0101'!$F$29</f>
        <v>0</v>
      </c>
      <c r="L40" s="667">
        <f>'PD0101'!$G$29</f>
        <v>0</v>
      </c>
      <c r="M40" s="668">
        <f>'PD0101'!$AG$29</f>
        <v>0</v>
      </c>
      <c r="N40" s="669">
        <f>'PD0101'!$AH$29</f>
        <v>0</v>
      </c>
      <c r="O40" s="670">
        <f>'PD0101'!$AI$29</f>
        <v>0</v>
      </c>
    </row>
    <row r="41" spans="1:15" ht="15.75" customHeight="1" thickBot="1">
      <c r="A41" s="713" t="s">
        <v>296</v>
      </c>
      <c r="B41" s="714"/>
      <c r="C41" s="714"/>
      <c r="D41" s="714"/>
      <c r="E41" s="715"/>
      <c r="F41" s="671" t="str">
        <f>'PD0101'!$A$30</f>
        <v>D22S1045</v>
      </c>
      <c r="G41" s="672">
        <f>'PD0101'!$B$30</f>
        <v>15</v>
      </c>
      <c r="H41" s="672">
        <f>'PD0101'!$C$30</f>
        <v>17</v>
      </c>
      <c r="I41" s="672">
        <f>'PD0101'!$D$30</f>
        <v>15</v>
      </c>
      <c r="J41" s="672">
        <f>'PD0101'!$E$30</f>
        <v>16</v>
      </c>
      <c r="K41" s="672">
        <f>'PD0101'!$F$30</f>
        <v>0</v>
      </c>
      <c r="L41" s="672">
        <f>'PD0101'!$G$30</f>
        <v>0</v>
      </c>
      <c r="M41" s="673">
        <f>'PD0101'!$AG$30</f>
        <v>0</v>
      </c>
      <c r="N41" s="674">
        <f>'PD0101'!$AH$30</f>
        <v>0</v>
      </c>
      <c r="O41" s="675">
        <f>'PD0101'!$AI$30</f>
        <v>0</v>
      </c>
    </row>
    <row r="42" spans="1:15" ht="15.75" customHeight="1" thickTop="1">
      <c r="A42" s="713"/>
      <c r="B42" s="714"/>
      <c r="C42" s="714"/>
      <c r="D42" s="714"/>
      <c r="E42" s="715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 t="str">
        <f>'PD0101'!$AG$43</f>
        <v>NIHIL</v>
      </c>
      <c r="N42" s="729"/>
      <c r="O42" s="730"/>
    </row>
    <row r="43" spans="1:15" ht="15.75" customHeight="1">
      <c r="A43" s="713" t="s">
        <v>297</v>
      </c>
      <c r="B43" s="714"/>
      <c r="C43" s="714"/>
      <c r="D43" s="714"/>
      <c r="E43" s="715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11" t="str">
        <f>'PD0101'!$AG$44</f>
        <v>NIHIL</v>
      </c>
      <c r="N43" s="711"/>
      <c r="O43" s="712"/>
    </row>
    <row r="44" spans="1:15" ht="15.75" customHeight="1">
      <c r="A44" s="713"/>
      <c r="B44" s="714"/>
      <c r="C44" s="714"/>
      <c r="D44" s="714"/>
      <c r="E44" s="715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11" t="str">
        <f>'PD0101'!$AG$45</f>
        <v>EXCLUSÃO</v>
      </c>
      <c r="N44" s="711"/>
      <c r="O44" s="712"/>
    </row>
    <row r="45" spans="1:15" ht="15.75" customHeight="1" thickBot="1">
      <c r="A45" s="718"/>
      <c r="B45" s="719"/>
      <c r="C45" s="719"/>
      <c r="D45" s="719"/>
      <c r="E45" s="720"/>
      <c r="F45" s="320"/>
      <c r="G45" s="316"/>
      <c r="H45" s="316"/>
      <c r="I45" s="403" t="str">
        <f>'PD0101'!$G$46</f>
        <v xml:space="preserve">RESULTADO: </v>
      </c>
      <c r="J45" s="716" t="str">
        <f>'PD0101'!$AG$46</f>
        <v>EXCLUSÃO</v>
      </c>
      <c r="K45" s="716"/>
      <c r="L45" s="716"/>
      <c r="M45" s="716"/>
      <c r="N45" s="716"/>
      <c r="O45" s="717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01"/>
      <c r="B48" s="702"/>
      <c r="C48" s="702"/>
      <c r="D48" s="702"/>
      <c r="E48" s="702"/>
      <c r="F48" s="702"/>
      <c r="G48" s="702"/>
      <c r="H48" s="702"/>
      <c r="I48" s="702"/>
      <c r="J48" s="702"/>
      <c r="K48" s="702"/>
      <c r="L48" s="702"/>
      <c r="M48" s="702"/>
      <c r="N48" s="702"/>
      <c r="O48" s="703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2"/>
      <c r="O52" s="723"/>
    </row>
    <row r="53" spans="1:15" ht="9.75" customHeight="1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5"/>
      <c r="O53" s="726"/>
    </row>
    <row r="54" spans="1:15" ht="9.75" customHeight="1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5"/>
      <c r="O54" s="706"/>
    </row>
    <row r="55" spans="1:15" ht="9.75" customHeight="1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5"/>
      <c r="O55" s="706"/>
    </row>
    <row r="56" spans="1:15" ht="9.75" customHeight="1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5"/>
      <c r="O56" s="706"/>
    </row>
    <row r="57" spans="1:15" ht="9.75" customHeight="1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5"/>
      <c r="O57" s="706"/>
    </row>
    <row r="58" spans="1:15" ht="9.75" customHeight="1" thickBot="1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09"/>
      <c r="O58" s="710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07"/>
      <c r="D63" s="707"/>
      <c r="E63" s="707"/>
      <c r="F63" s="707"/>
      <c r="G63" s="707"/>
      <c r="H63" s="707"/>
      <c r="I63" s="707"/>
      <c r="J63" s="707"/>
      <c r="K63" s="707"/>
      <c r="L63" s="707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5:N15"/>
    <mergeCell ref="I19:J19"/>
    <mergeCell ref="B15:G15"/>
    <mergeCell ref="B13:G13"/>
    <mergeCell ref="A41:E41"/>
    <mergeCell ref="A39:E39"/>
    <mergeCell ref="A40:E40"/>
    <mergeCell ref="A23:E23"/>
    <mergeCell ref="B12:H12"/>
    <mergeCell ref="K12:O12"/>
    <mergeCell ref="B14:G14"/>
    <mergeCell ref="A42:E42"/>
    <mergeCell ref="A24:E24"/>
    <mergeCell ref="A25:E25"/>
    <mergeCell ref="A26:E26"/>
    <mergeCell ref="A27:E27"/>
    <mergeCell ref="A30:E36"/>
    <mergeCell ref="A38:E38"/>
    <mergeCell ref="B16:G16"/>
    <mergeCell ref="A21:E21"/>
    <mergeCell ref="A20:E20"/>
    <mergeCell ref="M42:O42"/>
    <mergeCell ref="A28:E28"/>
    <mergeCell ref="K14:O14"/>
    <mergeCell ref="M43:O43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topLeftCell="A52" zoomScale="160" zoomScaleNormal="160" workbookViewId="0">
      <selection activeCell="A62" sqref="A62:XFD7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4" width="5.710937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58"/>
      <c r="G2" s="758"/>
      <c r="H2" s="758"/>
      <c r="I2" s="758"/>
      <c r="J2" s="758"/>
      <c r="K2" s="758"/>
      <c r="L2" s="758"/>
      <c r="M2" s="758"/>
      <c r="N2" s="759"/>
    </row>
    <row r="3" spans="1:19">
      <c r="A3" s="386"/>
      <c r="B3" s="390"/>
      <c r="C3" s="390"/>
      <c r="D3" s="390"/>
      <c r="E3" s="400"/>
      <c r="F3" s="656"/>
      <c r="G3" s="656"/>
      <c r="H3" s="655"/>
      <c r="I3" s="761"/>
      <c r="J3" s="761"/>
      <c r="K3" s="761"/>
      <c r="L3" s="761"/>
      <c r="M3" s="761"/>
      <c r="N3" s="762"/>
    </row>
    <row r="4" spans="1:19" ht="12.75" customHeight="1">
      <c r="A4" s="386"/>
      <c r="B4" s="390"/>
      <c r="C4" s="390"/>
      <c r="D4" s="390"/>
      <c r="E4" s="744"/>
      <c r="F4" s="744"/>
      <c r="G4" s="744"/>
      <c r="H4" s="744"/>
      <c r="I4" s="744"/>
      <c r="J4" s="744"/>
      <c r="K4" s="744"/>
      <c r="L4" s="748"/>
      <c r="M4" s="748"/>
      <c r="N4" s="749"/>
    </row>
    <row r="5" spans="1:19" ht="12.75" customHeight="1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8"/>
      <c r="M5" s="748"/>
      <c r="N5" s="749"/>
    </row>
    <row r="6" spans="1:19" ht="12.75" customHeight="1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8"/>
      <c r="M6" s="748"/>
      <c r="N6" s="749"/>
    </row>
    <row r="7" spans="1:19" ht="12.75" customHeight="1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8"/>
      <c r="M7" s="748"/>
      <c r="N7" s="749"/>
    </row>
    <row r="8" spans="1:19" ht="12.75" customHeight="1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8"/>
      <c r="M8" s="748"/>
      <c r="N8" s="749"/>
    </row>
    <row r="9" spans="1:19" ht="12.75" customHeight="1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8"/>
      <c r="M9" s="748"/>
      <c r="N9" s="749"/>
    </row>
    <row r="10" spans="1:19" ht="12.75" customHeight="1" thickBot="1">
      <c r="A10" s="752" t="s">
        <v>349</v>
      </c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50"/>
      <c r="M10" s="750"/>
      <c r="N10" s="751"/>
    </row>
    <row r="11" spans="1:19" ht="14.25" thickTop="1" thickBot="1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7"/>
    </row>
    <row r="12" spans="1:19" ht="13.5" thickTop="1">
      <c r="A12" s="407" t="s">
        <v>250</v>
      </c>
      <c r="B12" s="766"/>
      <c r="C12" s="766"/>
      <c r="D12" s="766"/>
      <c r="E12" s="766"/>
      <c r="F12" s="766"/>
      <c r="G12" s="766"/>
      <c r="H12" s="766"/>
      <c r="I12" s="686"/>
      <c r="J12" s="687" t="s">
        <v>357</v>
      </c>
      <c r="K12" s="764"/>
      <c r="L12" s="764"/>
      <c r="M12" s="764"/>
      <c r="N12" s="765"/>
    </row>
    <row r="13" spans="1:19">
      <c r="A13" s="407" t="s">
        <v>356</v>
      </c>
      <c r="B13" s="767"/>
      <c r="C13" s="767"/>
      <c r="D13" s="767"/>
      <c r="E13" s="767"/>
      <c r="F13" s="767"/>
      <c r="G13" s="767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63"/>
      <c r="C14" s="763"/>
      <c r="D14" s="763"/>
      <c r="E14" s="763"/>
      <c r="F14" s="763"/>
      <c r="G14" s="763"/>
      <c r="H14" s="405"/>
      <c r="J14" s="321" t="s">
        <v>251</v>
      </c>
      <c r="K14" s="763"/>
      <c r="L14" s="763"/>
      <c r="M14" s="763"/>
      <c r="N14" s="768"/>
    </row>
    <row r="15" spans="1:19">
      <c r="A15" s="407"/>
      <c r="B15" s="763"/>
      <c r="C15" s="763"/>
      <c r="D15" s="763"/>
      <c r="E15" s="763"/>
      <c r="F15" s="763"/>
      <c r="G15" s="763"/>
      <c r="H15" s="406"/>
      <c r="J15" s="321"/>
      <c r="K15" s="763"/>
      <c r="L15" s="763"/>
      <c r="M15" s="763"/>
      <c r="N15" s="768"/>
    </row>
    <row r="16" spans="1:19">
      <c r="A16" s="407"/>
      <c r="B16" s="763"/>
      <c r="C16" s="763"/>
      <c r="D16" s="763"/>
      <c r="E16" s="763"/>
      <c r="F16" s="763"/>
      <c r="G16" s="763"/>
      <c r="H16" s="406"/>
      <c r="J16" s="405"/>
      <c r="K16" s="406"/>
      <c r="L16" s="406"/>
      <c r="M16" s="406"/>
      <c r="N16" s="688"/>
    </row>
    <row r="17" spans="1:14" ht="13.5" thickBot="1">
      <c r="A17" s="407" t="str">
        <f>IF(B17="","","Sup. Pai2:")</f>
        <v/>
      </c>
      <c r="B17" s="760"/>
      <c r="C17" s="760"/>
      <c r="D17" s="760"/>
      <c r="E17" s="760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3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78" t="s">
        <v>50</v>
      </c>
      <c r="G19" s="771"/>
      <c r="H19" s="771" t="s">
        <v>253</v>
      </c>
      <c r="I19" s="771"/>
      <c r="J19" s="771" t="str">
        <f>'PD0201'!D11</f>
        <v>SUP. PAI</v>
      </c>
      <c r="K19" s="771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13"/>
      <c r="B20" s="714"/>
      <c r="C20" s="714"/>
      <c r="D20" s="714"/>
      <c r="E20" s="715"/>
      <c r="F20" s="769" t="str">
        <f>'PD0201'!A12</f>
        <v>D3S1358</v>
      </c>
      <c r="G20" s="770"/>
      <c r="H20" s="678">
        <f>'PD0201'!B12</f>
        <v>15</v>
      </c>
      <c r="I20" s="678">
        <f>'PD0201'!C12</f>
        <v>16</v>
      </c>
      <c r="J20" s="678">
        <f>'PD0201'!D12</f>
        <v>0</v>
      </c>
      <c r="K20" s="678">
        <f>'PD0201'!E12</f>
        <v>0</v>
      </c>
      <c r="L20" s="679">
        <f>'PD0201'!X12</f>
        <v>0</v>
      </c>
      <c r="M20" s="680" t="str">
        <f>'PD0201'!Y12</f>
        <v>EXCLUI</v>
      </c>
      <c r="N20" s="681">
        <f>'PD0201'!Z12</f>
        <v>0</v>
      </c>
    </row>
    <row r="21" spans="1:14" ht="15.75" customHeight="1">
      <c r="A21" s="713" t="s">
        <v>350</v>
      </c>
      <c r="B21" s="714"/>
      <c r="C21" s="714"/>
      <c r="D21" s="714"/>
      <c r="E21" s="715"/>
      <c r="F21" s="769" t="str">
        <f>'PD0201'!A13</f>
        <v>D1S1656</v>
      </c>
      <c r="G21" s="770"/>
      <c r="H21" s="678">
        <f>'PD0201'!B13</f>
        <v>17.3</v>
      </c>
      <c r="I21" s="678">
        <f>'PD0201'!C13</f>
        <v>18.3</v>
      </c>
      <c r="J21" s="678">
        <f>'PD0201'!D13</f>
        <v>0</v>
      </c>
      <c r="K21" s="678">
        <f>'PD0201'!E13</f>
        <v>0</v>
      </c>
      <c r="L21" s="679">
        <f>'PD0201'!X13</f>
        <v>0</v>
      </c>
      <c r="M21" s="680" t="str">
        <f>'PD0201'!Y13</f>
        <v>EXCLUI</v>
      </c>
      <c r="N21" s="681">
        <f>'PD0201'!Z13</f>
        <v>0</v>
      </c>
    </row>
    <row r="22" spans="1:14" ht="15.75" customHeight="1">
      <c r="A22" s="713" t="s">
        <v>293</v>
      </c>
      <c r="B22" s="714"/>
      <c r="C22" s="714"/>
      <c r="D22" s="714"/>
      <c r="E22" s="715"/>
      <c r="F22" s="769" t="str">
        <f>'PD0201'!A14</f>
        <v>D2S441</v>
      </c>
      <c r="G22" s="770"/>
      <c r="H22" s="678">
        <f>'PD0201'!B14</f>
        <v>10</v>
      </c>
      <c r="I22" s="678">
        <f>'PD0201'!C14</f>
        <v>15</v>
      </c>
      <c r="J22" s="678">
        <f>'PD0201'!D14</f>
        <v>0</v>
      </c>
      <c r="K22" s="678">
        <f>'PD0201'!E14</f>
        <v>0</v>
      </c>
      <c r="L22" s="679">
        <f>'PD0201'!X14</f>
        <v>0</v>
      </c>
      <c r="M22" s="680" t="str">
        <f>'PD0201'!Y14</f>
        <v>EXCLUI</v>
      </c>
      <c r="N22" s="681">
        <f>'PD0201'!Z14</f>
        <v>0</v>
      </c>
    </row>
    <row r="23" spans="1:14" ht="15.75" customHeight="1">
      <c r="A23" s="713" t="s">
        <v>290</v>
      </c>
      <c r="B23" s="714"/>
      <c r="C23" s="714"/>
      <c r="D23" s="714"/>
      <c r="E23" s="715"/>
      <c r="F23" s="769" t="str">
        <f>'PD0201'!A15</f>
        <v>D10S1248</v>
      </c>
      <c r="G23" s="770"/>
      <c r="H23" s="678">
        <f>'PD0201'!B15</f>
        <v>14</v>
      </c>
      <c r="I23" s="678">
        <f>'PD0201'!C15</f>
        <v>14</v>
      </c>
      <c r="J23" s="678">
        <f>'PD0201'!D15</f>
        <v>0</v>
      </c>
      <c r="K23" s="678">
        <f>'PD0201'!E15</f>
        <v>0</v>
      </c>
      <c r="L23" s="679">
        <f>'PD0201'!X15</f>
        <v>0</v>
      </c>
      <c r="M23" s="680" t="str">
        <f>'PD0201'!Y15</f>
        <v>EXCLUI</v>
      </c>
      <c r="N23" s="681">
        <f>'PD0201'!Z15</f>
        <v>0</v>
      </c>
    </row>
    <row r="24" spans="1:14" ht="15.75" customHeight="1">
      <c r="A24" s="713" t="s">
        <v>294</v>
      </c>
      <c r="B24" s="714"/>
      <c r="C24" s="714"/>
      <c r="D24" s="714"/>
      <c r="E24" s="715"/>
      <c r="F24" s="769" t="str">
        <f>'PD0201'!A16</f>
        <v>D13S317</v>
      </c>
      <c r="G24" s="770"/>
      <c r="H24" s="678">
        <f>'PD0201'!B16</f>
        <v>9</v>
      </c>
      <c r="I24" s="678">
        <f>'PD0201'!C16</f>
        <v>10</v>
      </c>
      <c r="J24" s="678">
        <f>'PD0201'!D16</f>
        <v>0</v>
      </c>
      <c r="K24" s="678">
        <f>'PD0201'!E16</f>
        <v>0</v>
      </c>
      <c r="L24" s="679">
        <f>'PD0201'!X16</f>
        <v>0</v>
      </c>
      <c r="M24" s="680" t="str">
        <f>'PD0201'!Y16</f>
        <v>EXCLUI</v>
      </c>
      <c r="N24" s="681">
        <f>'PD0201'!Z16</f>
        <v>0</v>
      </c>
    </row>
    <row r="25" spans="1:14" ht="15.75" customHeight="1">
      <c r="A25" s="713" t="s">
        <v>295</v>
      </c>
      <c r="B25" s="714"/>
      <c r="C25" s="714"/>
      <c r="D25" s="714"/>
      <c r="E25" s="715"/>
      <c r="F25" s="769" t="str">
        <f>'PD0201'!A17</f>
        <v>Penta_E</v>
      </c>
      <c r="G25" s="770"/>
      <c r="H25" s="678">
        <f>'PD0201'!B17</f>
        <v>12</v>
      </c>
      <c r="I25" s="678">
        <f>'PD0201'!C17</f>
        <v>15</v>
      </c>
      <c r="J25" s="678">
        <f>'PD0201'!D17</f>
        <v>0</v>
      </c>
      <c r="K25" s="678">
        <f>'PD0201'!E17</f>
        <v>0</v>
      </c>
      <c r="L25" s="679">
        <f>'PD0201'!X17</f>
        <v>0</v>
      </c>
      <c r="M25" s="680" t="str">
        <f>'PD0201'!Y17</f>
        <v>EXCLUI</v>
      </c>
      <c r="N25" s="681">
        <f>'PD0201'!Z17</f>
        <v>0</v>
      </c>
    </row>
    <row r="26" spans="1:14" ht="15.75" customHeight="1">
      <c r="A26" s="713"/>
      <c r="B26" s="714"/>
      <c r="C26" s="714"/>
      <c r="D26" s="714"/>
      <c r="E26" s="715"/>
      <c r="F26" s="769" t="str">
        <f>'PD0201'!A18</f>
        <v>D16S539</v>
      </c>
      <c r="G26" s="770"/>
      <c r="H26" s="678">
        <f>'PD0201'!B18</f>
        <v>9</v>
      </c>
      <c r="I26" s="678">
        <f>'PD0201'!C18</f>
        <v>11</v>
      </c>
      <c r="J26" s="678">
        <f>'PD0201'!D18</f>
        <v>0</v>
      </c>
      <c r="K26" s="678">
        <f>'PD0201'!E18</f>
        <v>0</v>
      </c>
      <c r="L26" s="679">
        <f>'PD0201'!X18</f>
        <v>0</v>
      </c>
      <c r="M26" s="680" t="str">
        <f>'PD0201'!Y18</f>
        <v>EXCLUI</v>
      </c>
      <c r="N26" s="681">
        <f>'PD0201'!Z18</f>
        <v>0</v>
      </c>
    </row>
    <row r="27" spans="1:14" ht="15.75" customHeight="1">
      <c r="A27" s="713"/>
      <c r="B27" s="714"/>
      <c r="C27" s="714"/>
      <c r="D27" s="714"/>
      <c r="E27" s="715"/>
      <c r="F27" s="769" t="str">
        <f>'PD0201'!A19</f>
        <v>D18S51</v>
      </c>
      <c r="G27" s="770"/>
      <c r="H27" s="678">
        <f>'PD0201'!B19</f>
        <v>14</v>
      </c>
      <c r="I27" s="678">
        <f>'PD0201'!C19</f>
        <v>17</v>
      </c>
      <c r="J27" s="678">
        <f>'PD0201'!D19</f>
        <v>0</v>
      </c>
      <c r="K27" s="678">
        <f>'PD0201'!E19</f>
        <v>0</v>
      </c>
      <c r="L27" s="679">
        <f>'PD0201'!X19</f>
        <v>0</v>
      </c>
      <c r="M27" s="680" t="str">
        <f>'PD0201'!Y19</f>
        <v>EXCLUI</v>
      </c>
      <c r="N27" s="681">
        <f>'PD0201'!Z19</f>
        <v>0</v>
      </c>
    </row>
    <row r="28" spans="1:14" ht="15.75" customHeight="1" thickBot="1">
      <c r="A28" s="713"/>
      <c r="B28" s="714"/>
      <c r="C28" s="714"/>
      <c r="D28" s="714"/>
      <c r="E28" s="715"/>
      <c r="F28" s="769" t="str">
        <f>'PD0201'!A20</f>
        <v>D2S1338</v>
      </c>
      <c r="G28" s="770"/>
      <c r="H28" s="678">
        <f>'PD0201'!B20</f>
        <v>17</v>
      </c>
      <c r="I28" s="678">
        <f>'PD0201'!C20</f>
        <v>20</v>
      </c>
      <c r="J28" s="678">
        <f>'PD0201'!D20</f>
        <v>0</v>
      </c>
      <c r="K28" s="678">
        <f>'PD0201'!E20</f>
        <v>0</v>
      </c>
      <c r="L28" s="679">
        <f>'PD0201'!X20</f>
        <v>0</v>
      </c>
      <c r="M28" s="680" t="str">
        <f>'PD0201'!Y20</f>
        <v>EXCLUI</v>
      </c>
      <c r="N28" s="681">
        <f>'PD0201'!Z20</f>
        <v>0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69" t="str">
        <f>'PD0201'!A21</f>
        <v>CSF1PO</v>
      </c>
      <c r="G29" s="770"/>
      <c r="H29" s="678">
        <f>'PD0201'!B21</f>
        <v>11</v>
      </c>
      <c r="I29" s="678">
        <f>'PD0201'!C21</f>
        <v>12</v>
      </c>
      <c r="J29" s="678">
        <f>'PD0201'!D21</f>
        <v>0</v>
      </c>
      <c r="K29" s="678">
        <f>'PD0201'!E21</f>
        <v>0</v>
      </c>
      <c r="L29" s="679">
        <f>'PD0201'!X21</f>
        <v>0</v>
      </c>
      <c r="M29" s="680" t="str">
        <f>'PD0201'!Y21</f>
        <v>EXCLUI</v>
      </c>
      <c r="N29" s="681">
        <f>'PD0201'!Z21</f>
        <v>0</v>
      </c>
    </row>
    <row r="30" spans="1:14" ht="15.75" customHeight="1" thickTop="1">
      <c r="A30" s="713" t="s">
        <v>348</v>
      </c>
      <c r="B30" s="714"/>
      <c r="C30" s="714"/>
      <c r="D30" s="714"/>
      <c r="E30" s="715"/>
      <c r="F30" s="769" t="str">
        <f>'PD0201'!A22</f>
        <v>Penta_D</v>
      </c>
      <c r="G30" s="770"/>
      <c r="H30" s="678">
        <f>'PD0201'!B22</f>
        <v>11</v>
      </c>
      <c r="I30" s="678">
        <f>'PD0201'!C22</f>
        <v>12</v>
      </c>
      <c r="J30" s="678">
        <f>'PD0201'!D22</f>
        <v>0</v>
      </c>
      <c r="K30" s="678">
        <f>'PD0201'!E22</f>
        <v>0</v>
      </c>
      <c r="L30" s="679">
        <f>'PD0201'!X22</f>
        <v>0</v>
      </c>
      <c r="M30" s="680" t="str">
        <f>'PD0201'!Y22</f>
        <v>EXCLUI</v>
      </c>
      <c r="N30" s="681">
        <f>'PD0201'!Z22</f>
        <v>0</v>
      </c>
    </row>
    <row r="31" spans="1:14" ht="15.75" customHeight="1">
      <c r="A31" s="713"/>
      <c r="B31" s="714"/>
      <c r="C31" s="714"/>
      <c r="D31" s="714"/>
      <c r="E31" s="715"/>
      <c r="F31" s="769" t="str">
        <f>'PD0201'!A23</f>
        <v>TH01</v>
      </c>
      <c r="G31" s="770"/>
      <c r="H31" s="678">
        <f>'PD0201'!B23</f>
        <v>8</v>
      </c>
      <c r="I31" s="678">
        <f>'PD0201'!C23</f>
        <v>9</v>
      </c>
      <c r="J31" s="678">
        <f>'PD0201'!D23</f>
        <v>0</v>
      </c>
      <c r="K31" s="678">
        <f>'PD0201'!E23</f>
        <v>0</v>
      </c>
      <c r="L31" s="679">
        <f>'PD0201'!X23</f>
        <v>0</v>
      </c>
      <c r="M31" s="680" t="str">
        <f>'PD0201'!Y23</f>
        <v>EXCLUI</v>
      </c>
      <c r="N31" s="681">
        <f>'PD0201'!Z23</f>
        <v>0</v>
      </c>
    </row>
    <row r="32" spans="1:14" ht="15.75" customHeight="1">
      <c r="A32" s="713"/>
      <c r="B32" s="714"/>
      <c r="C32" s="714"/>
      <c r="D32" s="714"/>
      <c r="E32" s="715"/>
      <c r="F32" s="769" t="str">
        <f>'PD0201'!A24</f>
        <v>vWA</v>
      </c>
      <c r="G32" s="770"/>
      <c r="H32" s="678">
        <f>'PD0201'!B24</f>
        <v>15</v>
      </c>
      <c r="I32" s="678">
        <f>'PD0201'!C24</f>
        <v>17</v>
      </c>
      <c r="J32" s="678">
        <f>'PD0201'!D24</f>
        <v>0</v>
      </c>
      <c r="K32" s="678">
        <f>'PD0201'!E24</f>
        <v>0</v>
      </c>
      <c r="L32" s="679">
        <f>'PD0201'!X24</f>
        <v>0</v>
      </c>
      <c r="M32" s="680" t="str">
        <f>'PD0201'!Y24</f>
        <v>EXCLUI</v>
      </c>
      <c r="N32" s="681">
        <f>'PD0201'!Z24</f>
        <v>0</v>
      </c>
    </row>
    <row r="33" spans="1:14" ht="15.75" customHeight="1">
      <c r="A33" s="713"/>
      <c r="B33" s="714"/>
      <c r="C33" s="714"/>
      <c r="D33" s="714"/>
      <c r="E33" s="715"/>
      <c r="F33" s="769" t="str">
        <f>'PD0201'!A25</f>
        <v>D21S11</v>
      </c>
      <c r="G33" s="770"/>
      <c r="H33" s="678">
        <f>'PD0201'!B25</f>
        <v>30</v>
      </c>
      <c r="I33" s="678">
        <f>'PD0201'!C25</f>
        <v>33.200000000000003</v>
      </c>
      <c r="J33" s="678">
        <f>'PD0201'!D25</f>
        <v>0</v>
      </c>
      <c r="K33" s="678">
        <f>'PD0201'!E25</f>
        <v>0</v>
      </c>
      <c r="L33" s="679">
        <f>'PD0201'!X25</f>
        <v>0</v>
      </c>
      <c r="M33" s="680" t="str">
        <f>'PD0201'!Y25</f>
        <v>EXCLUI</v>
      </c>
      <c r="N33" s="681">
        <f>'PD0201'!Z25</f>
        <v>0</v>
      </c>
    </row>
    <row r="34" spans="1:14" ht="15.75" customHeight="1">
      <c r="A34" s="713"/>
      <c r="B34" s="714"/>
      <c r="C34" s="714"/>
      <c r="D34" s="714"/>
      <c r="E34" s="715"/>
      <c r="F34" s="769" t="str">
        <f>'PD0201'!A26</f>
        <v>D7S820</v>
      </c>
      <c r="G34" s="770"/>
      <c r="H34" s="678">
        <f>'PD0201'!B26</f>
        <v>10</v>
      </c>
      <c r="I34" s="678">
        <f>'PD0201'!C26</f>
        <v>11</v>
      </c>
      <c r="J34" s="678">
        <f>'PD0201'!D26</f>
        <v>0</v>
      </c>
      <c r="K34" s="678">
        <f>'PD0201'!E26</f>
        <v>0</v>
      </c>
      <c r="L34" s="679">
        <f>'PD0201'!X26</f>
        <v>0</v>
      </c>
      <c r="M34" s="680" t="str">
        <f>'PD0201'!Y26</f>
        <v>EXCLUI</v>
      </c>
      <c r="N34" s="681">
        <f>'PD0201'!Z26</f>
        <v>0</v>
      </c>
    </row>
    <row r="35" spans="1:14" ht="15.75" customHeight="1">
      <c r="A35" s="713"/>
      <c r="B35" s="714"/>
      <c r="C35" s="714"/>
      <c r="D35" s="714"/>
      <c r="E35" s="715"/>
      <c r="F35" s="769" t="str">
        <f>'PD0201'!A27</f>
        <v>D5S818</v>
      </c>
      <c r="G35" s="770"/>
      <c r="H35" s="678">
        <f>'PD0201'!B27</f>
        <v>11</v>
      </c>
      <c r="I35" s="678">
        <f>'PD0201'!C27</f>
        <v>12</v>
      </c>
      <c r="J35" s="678">
        <f>'PD0201'!D27</f>
        <v>0</v>
      </c>
      <c r="K35" s="678">
        <f>'PD0201'!E27</f>
        <v>0</v>
      </c>
      <c r="L35" s="679">
        <f>'PD0201'!X27</f>
        <v>0</v>
      </c>
      <c r="M35" s="680" t="str">
        <f>'PD0201'!Y27</f>
        <v>EXCLUI</v>
      </c>
      <c r="N35" s="681">
        <f>'PD0201'!Z27</f>
        <v>0</v>
      </c>
    </row>
    <row r="36" spans="1:14" ht="15.75" customHeight="1" thickBot="1">
      <c r="A36" s="713"/>
      <c r="B36" s="714"/>
      <c r="C36" s="714"/>
      <c r="D36" s="714"/>
      <c r="E36" s="715"/>
      <c r="F36" s="769" t="str">
        <f>'PD0201'!A28</f>
        <v>TPOX</v>
      </c>
      <c r="G36" s="770"/>
      <c r="H36" s="678">
        <f>'PD0201'!B28</f>
        <v>8</v>
      </c>
      <c r="I36" s="678">
        <f>'PD0201'!C28</f>
        <v>8</v>
      </c>
      <c r="J36" s="678">
        <f>'PD0201'!D28</f>
        <v>0</v>
      </c>
      <c r="K36" s="678">
        <f>'PD0201'!E28</f>
        <v>0</v>
      </c>
      <c r="L36" s="679">
        <f>'PD0201'!X28</f>
        <v>0</v>
      </c>
      <c r="M36" s="680" t="str">
        <f>'PD0201'!Y28</f>
        <v>EXCLUI</v>
      </c>
      <c r="N36" s="681">
        <f>'PD0201'!Z28</f>
        <v>0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69" t="str">
        <f>'PD0201'!A29</f>
        <v>D8S1179</v>
      </c>
      <c r="G37" s="770"/>
      <c r="H37" s="678">
        <f>'PD0201'!B29</f>
        <v>13</v>
      </c>
      <c r="I37" s="678">
        <f>'PD0201'!C29</f>
        <v>13</v>
      </c>
      <c r="J37" s="678">
        <f>'PD0201'!D29</f>
        <v>0</v>
      </c>
      <c r="K37" s="678">
        <f>'PD0201'!E29</f>
        <v>0</v>
      </c>
      <c r="L37" s="679">
        <f>'PD0201'!X29</f>
        <v>0</v>
      </c>
      <c r="M37" s="680" t="str">
        <f>'PD0201'!Y29</f>
        <v>EXCLUI</v>
      </c>
      <c r="N37" s="681">
        <f>'PD0201'!Z29</f>
        <v>0</v>
      </c>
    </row>
    <row r="38" spans="1:14" ht="15.75" customHeight="1" thickTop="1">
      <c r="A38" s="713"/>
      <c r="B38" s="714"/>
      <c r="C38" s="714"/>
      <c r="D38" s="714"/>
      <c r="E38" s="715"/>
      <c r="F38" s="769" t="str">
        <f>'PD0201'!A30</f>
        <v>D12S391</v>
      </c>
      <c r="G38" s="770"/>
      <c r="H38" s="678">
        <f>'PD0201'!B30</f>
        <v>17</v>
      </c>
      <c r="I38" s="678">
        <f>'PD0201'!C30</f>
        <v>18</v>
      </c>
      <c r="J38" s="678">
        <f>'PD0201'!D30</f>
        <v>0</v>
      </c>
      <c r="K38" s="678">
        <f>'PD0201'!E30</f>
        <v>0</v>
      </c>
      <c r="L38" s="679">
        <f>'PD0201'!X30</f>
        <v>0</v>
      </c>
      <c r="M38" s="680" t="str">
        <f>'PD0201'!Y30</f>
        <v>EXCLUI</v>
      </c>
      <c r="N38" s="681">
        <f>'PD0201'!Z30</f>
        <v>0</v>
      </c>
    </row>
    <row r="39" spans="1:14" ht="15.75" customHeight="1">
      <c r="A39" s="734"/>
      <c r="B39" s="735"/>
      <c r="C39" s="735"/>
      <c r="D39" s="735"/>
      <c r="E39" s="736"/>
      <c r="F39" s="769" t="str">
        <f>'PD0201'!A31</f>
        <v>D19S433</v>
      </c>
      <c r="G39" s="770"/>
      <c r="H39" s="678">
        <f>'PD0201'!B31</f>
        <v>14</v>
      </c>
      <c r="I39" s="678">
        <f>'PD0201'!C31</f>
        <v>15</v>
      </c>
      <c r="J39" s="678">
        <f>'PD0201'!D31</f>
        <v>0</v>
      </c>
      <c r="K39" s="678">
        <f>'PD0201'!E31</f>
        <v>0</v>
      </c>
      <c r="L39" s="679">
        <f>'PD0201'!X31</f>
        <v>0</v>
      </c>
      <c r="M39" s="680" t="str">
        <f>'PD0201'!Y31</f>
        <v>EXCLUI</v>
      </c>
      <c r="N39" s="681">
        <f>'PD0201'!Z31</f>
        <v>0</v>
      </c>
    </row>
    <row r="40" spans="1:14" ht="15.75" customHeight="1">
      <c r="A40" s="713"/>
      <c r="B40" s="714"/>
      <c r="C40" s="714"/>
      <c r="D40" s="714"/>
      <c r="E40" s="715"/>
      <c r="F40" s="769" t="str">
        <f>'PD0201'!A32</f>
        <v>FGA</v>
      </c>
      <c r="G40" s="770"/>
      <c r="H40" s="678">
        <f>'PD0201'!B32</f>
        <v>21</v>
      </c>
      <c r="I40" s="678">
        <f>'PD0201'!C32</f>
        <v>23</v>
      </c>
      <c r="J40" s="678">
        <f>'PD0201'!D32</f>
        <v>0</v>
      </c>
      <c r="K40" s="678">
        <f>'PD0201'!E32</f>
        <v>0</v>
      </c>
      <c r="L40" s="679">
        <f>'PD0201'!X32</f>
        <v>0</v>
      </c>
      <c r="M40" s="680" t="str">
        <f>'PD0201'!Y32</f>
        <v>EXCLUI</v>
      </c>
      <c r="N40" s="681">
        <f>'PD0201'!Z32</f>
        <v>0</v>
      </c>
    </row>
    <row r="41" spans="1:14" ht="15.75" customHeight="1" thickBot="1">
      <c r="A41" s="713" t="s">
        <v>296</v>
      </c>
      <c r="B41" s="714"/>
      <c r="C41" s="714"/>
      <c r="D41" s="714"/>
      <c r="E41" s="715"/>
      <c r="F41" s="776" t="str">
        <f>'PD0201'!A33</f>
        <v>D22S1045</v>
      </c>
      <c r="G41" s="777"/>
      <c r="H41" s="682">
        <f>'PD0201'!B33</f>
        <v>15</v>
      </c>
      <c r="I41" s="682">
        <f>'PD0201'!C33</f>
        <v>16</v>
      </c>
      <c r="J41" s="682">
        <f>'PD0201'!D33</f>
        <v>0</v>
      </c>
      <c r="K41" s="682">
        <f>'PD0201'!E33</f>
        <v>0</v>
      </c>
      <c r="L41" s="683">
        <f>'PD0201'!X33</f>
        <v>0</v>
      </c>
      <c r="M41" s="684" t="str">
        <f>'PD0201'!Y33</f>
        <v>EXCLUI</v>
      </c>
      <c r="N41" s="685">
        <f>'PD0201'!Z33</f>
        <v>0</v>
      </c>
    </row>
    <row r="42" spans="1:14" ht="15.75" customHeight="1" thickTop="1">
      <c r="A42" s="713"/>
      <c r="B42" s="714"/>
      <c r="C42" s="714"/>
      <c r="D42" s="714"/>
      <c r="E42" s="715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72" t="str">
        <f>'PD0201'!Y46</f>
        <v>NIHIL</v>
      </c>
      <c r="N42" s="773"/>
    </row>
    <row r="43" spans="1:14" ht="15.75" customHeight="1">
      <c r="A43" s="713" t="s">
        <v>297</v>
      </c>
      <c r="B43" s="714"/>
      <c r="C43" s="714"/>
      <c r="D43" s="714"/>
      <c r="E43" s="715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74" t="str">
        <f>'PD0201'!Y47</f>
        <v>EXCLUSÃO</v>
      </c>
      <c r="N43" s="775"/>
    </row>
    <row r="44" spans="1:14" ht="15.75" customHeight="1">
      <c r="A44" s="713"/>
      <c r="B44" s="714"/>
      <c r="C44" s="714"/>
      <c r="D44" s="714"/>
      <c r="E44" s="715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74" t="str">
        <f>'PD0201'!Y48</f>
        <v>EXCLUSÃO</v>
      </c>
      <c r="N44" s="775"/>
    </row>
    <row r="45" spans="1:14" ht="15.75" customHeight="1" thickBot="1">
      <c r="A45" s="718"/>
      <c r="B45" s="719"/>
      <c r="C45" s="719"/>
      <c r="D45" s="719"/>
      <c r="E45" s="720"/>
      <c r="F45" s="316"/>
      <c r="G45" s="637"/>
      <c r="H45" s="403" t="str">
        <f>'PD0201'!$X$49</f>
        <v>RESULTADO:</v>
      </c>
      <c r="I45" s="716" t="str">
        <f>'PD0201'!$Y$49</f>
        <v>EXCLUSÃO</v>
      </c>
      <c r="J45" s="716"/>
      <c r="K45" s="716"/>
      <c r="L45" s="716"/>
      <c r="M45" s="716"/>
      <c r="N45" s="717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55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7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3"/>
    </row>
    <row r="53" spans="1:14" ht="9.75" customHeight="1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1:14" ht="9.75" customHeight="1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6"/>
    </row>
    <row r="55" spans="1:14" ht="9.75" customHeight="1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6"/>
    </row>
    <row r="56" spans="1:14" ht="9.75" customHeight="1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6"/>
    </row>
    <row r="57" spans="1:14" ht="9.75" customHeight="1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6"/>
    </row>
    <row r="58" spans="1:14" ht="9.75" customHeight="1" thickBot="1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10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07"/>
      <c r="D63" s="707"/>
      <c r="E63" s="707"/>
      <c r="F63" s="707"/>
      <c r="G63" s="707"/>
      <c r="H63" s="707"/>
      <c r="I63" s="707"/>
      <c r="J63" s="707"/>
      <c r="K63" s="707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  <mergeCell ref="F29:G29"/>
    <mergeCell ref="F39:G39"/>
    <mergeCell ref="F37:G37"/>
    <mergeCell ref="F38:G38"/>
    <mergeCell ref="F34:G34"/>
    <mergeCell ref="I45:N45"/>
    <mergeCell ref="F35:G35"/>
    <mergeCell ref="F36:G36"/>
    <mergeCell ref="M42:N42"/>
    <mergeCell ref="M43:N43"/>
    <mergeCell ref="M44:N44"/>
    <mergeCell ref="F41:G41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K15:N15"/>
    <mergeCell ref="A20:E20"/>
    <mergeCell ref="A21:E21"/>
    <mergeCell ref="A22:E22"/>
    <mergeCell ref="F20:G20"/>
    <mergeCell ref="F21:G21"/>
    <mergeCell ref="F22:G22"/>
    <mergeCell ref="J19:K19"/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abSelected="1" zoomScale="160" zoomScaleNormal="160" workbookViewId="0">
      <selection activeCell="M4" sqref="M4:Q10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737"/>
      <c r="Q2" s="738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61"/>
      <c r="K3" s="761"/>
      <c r="L3" s="761"/>
      <c r="M3" s="761"/>
      <c r="N3" s="761"/>
      <c r="O3" s="761"/>
      <c r="P3" s="761"/>
      <c r="Q3" s="762"/>
    </row>
    <row r="4" spans="1:19" ht="12.75" customHeight="1">
      <c r="A4" s="386"/>
      <c r="B4" s="390"/>
      <c r="C4" s="390"/>
      <c r="D4" s="390"/>
      <c r="E4" s="744" t="s">
        <v>368</v>
      </c>
      <c r="F4" s="744"/>
      <c r="G4" s="744"/>
      <c r="H4" s="744"/>
      <c r="I4" s="744"/>
      <c r="J4" s="744"/>
      <c r="K4" s="744"/>
      <c r="L4" s="744"/>
      <c r="M4" s="748"/>
      <c r="N4" s="748"/>
      <c r="O4" s="748"/>
      <c r="P4" s="748"/>
      <c r="Q4" s="749"/>
    </row>
    <row r="5" spans="1:19" ht="12.75" customHeight="1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4"/>
      <c r="M5" s="748"/>
      <c r="N5" s="748"/>
      <c r="O5" s="748"/>
      <c r="P5" s="748"/>
      <c r="Q5" s="749"/>
    </row>
    <row r="6" spans="1:19" ht="12.75" customHeight="1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4"/>
      <c r="M6" s="748"/>
      <c r="N6" s="748"/>
      <c r="O6" s="748"/>
      <c r="P6" s="748"/>
      <c r="Q6" s="749"/>
    </row>
    <row r="7" spans="1:19" ht="12.75" customHeight="1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4"/>
      <c r="M7" s="748"/>
      <c r="N7" s="748"/>
      <c r="O7" s="748"/>
      <c r="P7" s="748"/>
      <c r="Q7" s="749"/>
    </row>
    <row r="8" spans="1:19" ht="12.75" customHeight="1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4"/>
      <c r="M8" s="748"/>
      <c r="N8" s="748"/>
      <c r="O8" s="748"/>
      <c r="P8" s="748"/>
      <c r="Q8" s="749"/>
    </row>
    <row r="9" spans="1:19" ht="12.75" customHeight="1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4"/>
      <c r="M9" s="748"/>
      <c r="N9" s="748"/>
      <c r="O9" s="748"/>
      <c r="P9" s="748"/>
      <c r="Q9" s="749"/>
    </row>
    <row r="10" spans="1:19" ht="12.75" customHeight="1" thickBot="1">
      <c r="A10" s="752" t="s">
        <v>349</v>
      </c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44"/>
      <c r="M10" s="750"/>
      <c r="N10" s="750"/>
      <c r="O10" s="750"/>
      <c r="P10" s="750"/>
      <c r="Q10" s="751"/>
    </row>
    <row r="11" spans="1:19" ht="14.25" thickTop="1" thickBot="1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6"/>
      <c r="O11" s="746"/>
      <c r="P11" s="746"/>
      <c r="Q11" s="747"/>
    </row>
    <row r="12" spans="1:19" ht="13.5" thickTop="1">
      <c r="A12" s="309" t="s">
        <v>250</v>
      </c>
      <c r="B12" s="779" t="s">
        <v>369</v>
      </c>
      <c r="C12" s="779"/>
      <c r="D12" s="779"/>
      <c r="E12" s="779"/>
      <c r="F12" s="779"/>
      <c r="G12" s="779"/>
      <c r="H12" s="779"/>
      <c r="I12" s="651"/>
      <c r="J12" s="652" t="s">
        <v>357</v>
      </c>
      <c r="K12" s="727" t="s">
        <v>376</v>
      </c>
      <c r="L12" s="727"/>
      <c r="M12" s="727"/>
      <c r="N12" s="727"/>
      <c r="O12" s="727"/>
      <c r="P12" s="727"/>
      <c r="Q12" s="728"/>
    </row>
    <row r="13" spans="1:19">
      <c r="A13" s="407" t="s">
        <v>370</v>
      </c>
      <c r="B13" s="780" t="s">
        <v>371</v>
      </c>
      <c r="C13" s="780"/>
      <c r="D13" s="780"/>
      <c r="E13" s="780"/>
      <c r="F13" s="780"/>
      <c r="G13" s="780"/>
      <c r="H13" s="780"/>
      <c r="I13" s="392"/>
      <c r="J13" s="321" t="s">
        <v>362</v>
      </c>
      <c r="K13" s="392" t="s">
        <v>373</v>
      </c>
      <c r="L13" s="392"/>
      <c r="M13" s="392"/>
      <c r="N13" s="392"/>
      <c r="O13" s="392"/>
      <c r="P13" s="392"/>
      <c r="Q13" s="388"/>
    </row>
    <row r="14" spans="1:19">
      <c r="A14" s="407" t="s">
        <v>379</v>
      </c>
      <c r="B14" s="781" t="s">
        <v>380</v>
      </c>
      <c r="C14" s="781"/>
      <c r="D14" s="781"/>
      <c r="E14" s="781"/>
      <c r="F14" s="781"/>
      <c r="G14" s="781"/>
      <c r="H14" s="781"/>
      <c r="I14" s="484"/>
      <c r="J14" s="321" t="s">
        <v>251</v>
      </c>
      <c r="K14" s="763" t="s">
        <v>374</v>
      </c>
      <c r="L14" s="763"/>
      <c r="M14" s="763"/>
      <c r="N14" s="763"/>
      <c r="O14" s="763"/>
      <c r="P14" s="763"/>
      <c r="Q14" s="768"/>
    </row>
    <row r="15" spans="1:19">
      <c r="A15" s="407" t="s">
        <v>381</v>
      </c>
      <c r="B15" s="781" t="s">
        <v>382</v>
      </c>
      <c r="C15" s="781"/>
      <c r="D15" s="781"/>
      <c r="E15" s="781"/>
      <c r="F15" s="781"/>
      <c r="G15" s="781"/>
      <c r="H15" s="781"/>
      <c r="I15" s="406"/>
      <c r="J15" s="321" t="s">
        <v>360</v>
      </c>
      <c r="K15" s="763">
        <v>31926</v>
      </c>
      <c r="L15" s="763"/>
      <c r="M15" s="763"/>
      <c r="N15" s="763"/>
      <c r="O15" s="763"/>
      <c r="P15" s="392"/>
      <c r="Q15" s="388"/>
    </row>
    <row r="16" spans="1:19">
      <c r="A16" s="407" t="s">
        <v>383</v>
      </c>
      <c r="B16" s="781" t="s">
        <v>384</v>
      </c>
      <c r="C16" s="781"/>
      <c r="D16" s="781"/>
      <c r="E16" s="781"/>
      <c r="F16" s="781"/>
      <c r="G16" s="781"/>
      <c r="H16" s="781"/>
      <c r="I16" s="406"/>
      <c r="J16" s="405" t="s">
        <v>291</v>
      </c>
      <c r="K16" s="406" t="s">
        <v>375</v>
      </c>
      <c r="L16" s="406"/>
      <c r="M16" s="408"/>
      <c r="N16" s="395"/>
      <c r="O16" s="395"/>
      <c r="P16" s="392"/>
      <c r="Q16" s="388"/>
    </row>
    <row r="17" spans="1:17" ht="13.5" thickBot="1">
      <c r="A17" s="309" t="s">
        <v>385</v>
      </c>
      <c r="B17" s="782" t="s">
        <v>386</v>
      </c>
      <c r="C17" s="782"/>
      <c r="D17" s="782"/>
      <c r="E17" s="782"/>
      <c r="F17" s="782"/>
      <c r="G17" s="782"/>
      <c r="H17" s="782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3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83" t="str">
        <f>'RD0301'!B8</f>
        <v>MÃE</v>
      </c>
      <c r="H19" s="783"/>
      <c r="I19" s="783" t="s">
        <v>253</v>
      </c>
      <c r="J19" s="783"/>
      <c r="K19" s="783" t="str">
        <f>'RD0301'!F8</f>
        <v>SP. AVÔ</v>
      </c>
      <c r="L19" s="783"/>
      <c r="M19" s="783" t="str">
        <f>'RD0301'!H8</f>
        <v>SP. AVÓ</v>
      </c>
      <c r="N19" s="783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13" t="s">
        <v>372</v>
      </c>
      <c r="B20" s="714"/>
      <c r="C20" s="714"/>
      <c r="D20" s="714"/>
      <c r="E20" s="715"/>
      <c r="F20" s="312" t="str">
        <f>'RD0301'!$A$9</f>
        <v>D3S1358</v>
      </c>
      <c r="G20" s="313">
        <f>'RD0301'!$B$9</f>
        <v>15</v>
      </c>
      <c r="H20" s="313">
        <f>'RD0301'!$C$9</f>
        <v>16</v>
      </c>
      <c r="I20" s="313">
        <f>'RD0301'!$D$9</f>
        <v>15</v>
      </c>
      <c r="J20" s="313">
        <f>'RD0301'!$E$9</f>
        <v>16</v>
      </c>
      <c r="K20" s="313">
        <f>'RD0301'!$F$9</f>
        <v>15</v>
      </c>
      <c r="L20" s="313">
        <f>'RD0301'!$G$9</f>
        <v>15</v>
      </c>
      <c r="M20" s="313">
        <f>'RD0301'!$H$9</f>
        <v>15</v>
      </c>
      <c r="N20" s="313">
        <f>'RD0301'!$I$9</f>
        <v>16</v>
      </c>
      <c r="O20" s="641">
        <f>'RD0301'!$AM$9</f>
        <v>0.56129899999999999</v>
      </c>
      <c r="P20" s="647">
        <f>'RD0301'!$AN$9</f>
        <v>1.7815816525595094</v>
      </c>
      <c r="Q20" s="649">
        <f>'RD0301'!$AO$9</f>
        <v>0.64049230800762691</v>
      </c>
    </row>
    <row r="21" spans="1:17" ht="15.75" customHeight="1">
      <c r="A21" s="713" t="s">
        <v>350</v>
      </c>
      <c r="B21" s="714"/>
      <c r="C21" s="714"/>
      <c r="D21" s="714"/>
      <c r="E21" s="715"/>
      <c r="F21" s="312" t="str">
        <f>'RD0301'!$A$10</f>
        <v>D1S1656</v>
      </c>
      <c r="G21" s="313">
        <f>'RD0301'!$B$10</f>
        <v>13</v>
      </c>
      <c r="H21" s="313">
        <f>'RD0301'!$C$10</f>
        <v>18.3</v>
      </c>
      <c r="I21" s="313">
        <f>'RD0301'!$D$10</f>
        <v>17.3</v>
      </c>
      <c r="J21" s="313">
        <f>'RD0301'!$E$10</f>
        <v>18.3</v>
      </c>
      <c r="K21" s="313">
        <f>'RD0301'!$F$10</f>
        <v>14</v>
      </c>
      <c r="L21" s="313">
        <f>'RD0301'!$G$10</f>
        <v>17.3</v>
      </c>
      <c r="M21" s="313">
        <f>'RD0301'!$H$10</f>
        <v>11</v>
      </c>
      <c r="N21" s="313">
        <f>'RD0301'!$I$10</f>
        <v>15</v>
      </c>
      <c r="O21" s="641">
        <f>'RD0301'!$AM$10</f>
        <v>0.1376</v>
      </c>
      <c r="P21" s="647">
        <f>'RD0301'!$AN$10</f>
        <v>1.816860465116279</v>
      </c>
      <c r="Q21" s="649">
        <f>'RD0301'!$AO$10</f>
        <v>0.6449948400412796</v>
      </c>
    </row>
    <row r="22" spans="1:17" ht="15.75" customHeight="1">
      <c r="A22" s="713" t="s">
        <v>293</v>
      </c>
      <c r="B22" s="714"/>
      <c r="C22" s="714"/>
      <c r="D22" s="714"/>
      <c r="E22" s="715"/>
      <c r="F22" s="312" t="str">
        <f>'RD0301'!$A$11</f>
        <v>D2S441</v>
      </c>
      <c r="G22" s="313">
        <f>'RD0301'!$B$11</f>
        <v>10</v>
      </c>
      <c r="H22" s="313">
        <f>'RD0301'!$C$11</f>
        <v>10</v>
      </c>
      <c r="I22" s="313">
        <f>'RD0301'!$D$11</f>
        <v>10</v>
      </c>
      <c r="J22" s="313">
        <f>'RD0301'!$E$11</f>
        <v>15</v>
      </c>
      <c r="K22" s="313">
        <f>'RD0301'!$F$11</f>
        <v>11</v>
      </c>
      <c r="L22" s="313">
        <f>'RD0301'!$G$11</f>
        <v>15</v>
      </c>
      <c r="M22" s="313">
        <f>'RD0301'!$H$11</f>
        <v>10</v>
      </c>
      <c r="N22" s="313">
        <f>'RD0301'!$I$11</f>
        <v>11.3</v>
      </c>
      <c r="O22" s="641">
        <f>'RD0301'!$AM$11</f>
        <v>0.05</v>
      </c>
      <c r="P22" s="647">
        <f>'RD0301'!$AN$11</f>
        <v>5</v>
      </c>
      <c r="Q22" s="649">
        <f>'RD0301'!$AO$11</f>
        <v>0.83333333333333337</v>
      </c>
    </row>
    <row r="23" spans="1:17" ht="15.75" customHeight="1">
      <c r="A23" s="713" t="s">
        <v>290</v>
      </c>
      <c r="B23" s="714"/>
      <c r="C23" s="714"/>
      <c r="D23" s="714"/>
      <c r="E23" s="715"/>
      <c r="F23" s="312" t="str">
        <f>'RD0301'!$A$12</f>
        <v>D10S1248</v>
      </c>
      <c r="G23" s="313">
        <f>'RD0301'!$B$12</f>
        <v>12</v>
      </c>
      <c r="H23" s="313">
        <f>'RD0301'!$C$12</f>
        <v>14</v>
      </c>
      <c r="I23" s="313">
        <f>'RD0301'!$D$12</f>
        <v>14</v>
      </c>
      <c r="J23" s="313">
        <f>'RD0301'!$E$12</f>
        <v>14</v>
      </c>
      <c r="K23" s="313">
        <f>'RD0301'!$F$12</f>
        <v>14</v>
      </c>
      <c r="L23" s="313">
        <f>'RD0301'!$G$12</f>
        <v>14</v>
      </c>
      <c r="M23" s="313">
        <f>'RD0301'!$H$12</f>
        <v>13</v>
      </c>
      <c r="N23" s="313">
        <f>'RD0301'!$I$12</f>
        <v>14</v>
      </c>
      <c r="O23" s="641">
        <f>'RD0301'!$AM$12</f>
        <v>0.30480000000000002</v>
      </c>
      <c r="P23" s="647">
        <f>'RD0301'!$AN$12</f>
        <v>2.4606299212598426</v>
      </c>
      <c r="Q23" s="649">
        <f>'RD0301'!$AO$12</f>
        <v>0.71103526734926048</v>
      </c>
    </row>
    <row r="24" spans="1:17" ht="15.75" customHeight="1">
      <c r="A24" s="713" t="s">
        <v>294</v>
      </c>
      <c r="B24" s="714"/>
      <c r="C24" s="714"/>
      <c r="D24" s="714"/>
      <c r="E24" s="715"/>
      <c r="F24" s="312" t="str">
        <f>'RD0301'!$A$13</f>
        <v>D13S317</v>
      </c>
      <c r="G24" s="313">
        <f>'RD0301'!$B$13</f>
        <v>9</v>
      </c>
      <c r="H24" s="313">
        <f>'RD0301'!$C$13</f>
        <v>9</v>
      </c>
      <c r="I24" s="313">
        <f>'RD0301'!$D$13</f>
        <v>9</v>
      </c>
      <c r="J24" s="313">
        <f>'RD0301'!$E$13</f>
        <v>10</v>
      </c>
      <c r="K24" s="313">
        <f>'RD0301'!$F$13</f>
        <v>10</v>
      </c>
      <c r="L24" s="313">
        <f>'RD0301'!$G$13</f>
        <v>14</v>
      </c>
      <c r="M24" s="313">
        <f>'RD0301'!$H$13</f>
        <v>11</v>
      </c>
      <c r="N24" s="313">
        <f>'RD0301'!$I$13</f>
        <v>14</v>
      </c>
      <c r="O24" s="641">
        <f>'RD0301'!$AM$13</f>
        <v>5.2623999999999997E-2</v>
      </c>
      <c r="P24" s="647">
        <f>'RD0301'!$AN$13</f>
        <v>4.7506840985101855</v>
      </c>
      <c r="Q24" s="649">
        <f>'RD0301'!$AO$13</f>
        <v>0.8261076451305911</v>
      </c>
    </row>
    <row r="25" spans="1:17" ht="15.75" customHeight="1">
      <c r="A25" s="713" t="s">
        <v>295</v>
      </c>
      <c r="B25" s="714"/>
      <c r="C25" s="714"/>
      <c r="D25" s="714"/>
      <c r="E25" s="715"/>
      <c r="F25" s="312" t="str">
        <f>'RD0301'!$A$14</f>
        <v>Penta_E</v>
      </c>
      <c r="G25" s="313">
        <f>'RD0301'!$B$14</f>
        <v>13</v>
      </c>
      <c r="H25" s="313">
        <f>'RD0301'!$C$14</f>
        <v>15</v>
      </c>
      <c r="I25" s="313">
        <f>'RD0301'!$D$14</f>
        <v>12</v>
      </c>
      <c r="J25" s="313">
        <f>'RD0301'!$E$14</f>
        <v>15</v>
      </c>
      <c r="K25" s="313">
        <f>'RD0301'!$F$14</f>
        <v>7</v>
      </c>
      <c r="L25" s="313">
        <f>'RD0301'!$G$14</f>
        <v>13</v>
      </c>
      <c r="M25" s="313">
        <f>'RD0301'!$H$14</f>
        <v>5</v>
      </c>
      <c r="N25" s="313">
        <f>'RD0301'!$I$14</f>
        <v>12</v>
      </c>
      <c r="O25" s="641">
        <f>'RD0301'!$AM$14</f>
        <v>0.05</v>
      </c>
      <c r="P25" s="647">
        <f>'RD0301'!$AN$14</f>
        <v>5</v>
      </c>
      <c r="Q25" s="649">
        <f>'RD0301'!$AO$14</f>
        <v>0.83333333333333337</v>
      </c>
    </row>
    <row r="26" spans="1:17" ht="15.75" customHeight="1">
      <c r="A26" s="713" t="s">
        <v>369</v>
      </c>
      <c r="B26" s="714"/>
      <c r="C26" s="714"/>
      <c r="D26" s="714"/>
      <c r="E26" s="715"/>
      <c r="F26" s="312" t="str">
        <f>'RD0301'!$A$15</f>
        <v>D16S539</v>
      </c>
      <c r="G26" s="313">
        <f>'RD0301'!$B$15</f>
        <v>9</v>
      </c>
      <c r="H26" s="313">
        <f>'RD0301'!$C$15</f>
        <v>12</v>
      </c>
      <c r="I26" s="313">
        <f>'RD0301'!$D$15</f>
        <v>9</v>
      </c>
      <c r="J26" s="313">
        <f>'RD0301'!$E$15</f>
        <v>11</v>
      </c>
      <c r="K26" s="313">
        <f>'RD0301'!$F$15</f>
        <v>10</v>
      </c>
      <c r="L26" s="313">
        <f>'RD0301'!$G$15</f>
        <v>12</v>
      </c>
      <c r="M26" s="313">
        <f>'RD0301'!$H$15</f>
        <v>11</v>
      </c>
      <c r="N26" s="313">
        <f>'RD0301'!$I$15</f>
        <v>11</v>
      </c>
      <c r="O26" s="641">
        <f>'RD0301'!$AM$15</f>
        <v>0.28868100000000002</v>
      </c>
      <c r="P26" s="647">
        <f>'RD0301'!$AN$15</f>
        <v>1.7320156158527924</v>
      </c>
      <c r="Q26" s="649">
        <f>'RD0301'!$AO$15</f>
        <v>0.63396988135887633</v>
      </c>
    </row>
    <row r="27" spans="1:17" ht="15.75" customHeight="1">
      <c r="A27" s="713"/>
      <c r="B27" s="714"/>
      <c r="C27" s="714"/>
      <c r="D27" s="714"/>
      <c r="E27" s="715"/>
      <c r="F27" s="312" t="str">
        <f>'RD0301'!$A$16</f>
        <v>D18S51</v>
      </c>
      <c r="G27" s="313">
        <f>'RD0301'!$B$16</f>
        <v>14</v>
      </c>
      <c r="H27" s="313">
        <f>'RD0301'!$C$16</f>
        <v>14</v>
      </c>
      <c r="I27" s="313">
        <f>'RD0301'!$D$16</f>
        <v>14</v>
      </c>
      <c r="J27" s="313">
        <f>'RD0301'!$E$16</f>
        <v>17</v>
      </c>
      <c r="K27" s="313">
        <f>'RD0301'!$F$16</f>
        <v>14</v>
      </c>
      <c r="L27" s="313">
        <f>'RD0301'!$G$16</f>
        <v>17</v>
      </c>
      <c r="M27" s="313">
        <f>'RD0301'!$H$16</f>
        <v>15</v>
      </c>
      <c r="N27" s="313">
        <f>'RD0301'!$I$16</f>
        <v>17</v>
      </c>
      <c r="O27" s="641">
        <f>'RD0301'!$AM$16</f>
        <v>0.121915</v>
      </c>
      <c r="P27" s="647">
        <f>'RD0301'!$AN$16</f>
        <v>4.1012180617643441</v>
      </c>
      <c r="Q27" s="649">
        <f>'RD0301'!$AO$16</f>
        <v>0.80396838796298531</v>
      </c>
    </row>
    <row r="28" spans="1:17" ht="15.75" customHeight="1" thickBot="1">
      <c r="A28" s="713"/>
      <c r="B28" s="714"/>
      <c r="C28" s="714"/>
      <c r="D28" s="714"/>
      <c r="E28" s="715"/>
      <c r="F28" s="312" t="str">
        <f>'RD0301'!$A$17</f>
        <v>D2S1338</v>
      </c>
      <c r="G28" s="313">
        <f>'RD0301'!$B$17</f>
        <v>17</v>
      </c>
      <c r="H28" s="313">
        <f>'RD0301'!$C$17</f>
        <v>22</v>
      </c>
      <c r="I28" s="313">
        <f>'RD0301'!$D$17</f>
        <v>17</v>
      </c>
      <c r="J28" s="313">
        <f>'RD0301'!$E$17</f>
        <v>20</v>
      </c>
      <c r="K28" s="313">
        <f>'RD0301'!$F$17</f>
        <v>19</v>
      </c>
      <c r="L28" s="313">
        <f>'RD0301'!$G$17</f>
        <v>20</v>
      </c>
      <c r="M28" s="313">
        <f>'RD0301'!$H$17</f>
        <v>20</v>
      </c>
      <c r="N28" s="313">
        <f>'RD0301'!$I$17</f>
        <v>21</v>
      </c>
      <c r="O28" s="641">
        <f>'RD0301'!$AM$17</f>
        <v>0.13669999999999999</v>
      </c>
      <c r="P28" s="647">
        <f>'RD0301'!$AN$17</f>
        <v>3.6576444769568401</v>
      </c>
      <c r="Q28" s="649">
        <f>'RD0301'!$AO$17</f>
        <v>0.78529919899481715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10</v>
      </c>
      <c r="H29" s="313">
        <f>'RD0301'!$C$18</f>
        <v>11</v>
      </c>
      <c r="I29" s="313">
        <f>'RD0301'!$D$18</f>
        <v>11</v>
      </c>
      <c r="J29" s="313">
        <f>'RD0301'!$E$18</f>
        <v>12</v>
      </c>
      <c r="K29" s="313">
        <f>'RD0301'!$F$18</f>
        <v>10</v>
      </c>
      <c r="L29" s="313">
        <f>'RD0301'!$G$18</f>
        <v>12</v>
      </c>
      <c r="M29" s="313">
        <f>'RD0301'!$H$18</f>
        <v>11</v>
      </c>
      <c r="N29" s="313">
        <f>'RD0301'!$I$18</f>
        <v>12</v>
      </c>
      <c r="O29" s="641">
        <f>'RD0301'!$AM$18</f>
        <v>0.30245100000000003</v>
      </c>
      <c r="P29" s="647">
        <f>'RD0301'!$AN$18</f>
        <v>1.6531603466346614</v>
      </c>
      <c r="Q29" s="649">
        <f>'RD0301'!$AO$18</f>
        <v>0.62309100493363456</v>
      </c>
    </row>
    <row r="30" spans="1:17" ht="15.75" customHeight="1" thickTop="1">
      <c r="A30" s="713" t="s">
        <v>348</v>
      </c>
      <c r="B30" s="714"/>
      <c r="C30" s="714"/>
      <c r="D30" s="714"/>
      <c r="E30" s="715"/>
      <c r="F30" s="312" t="str">
        <f>'RD0301'!$A$19</f>
        <v>Penta_D</v>
      </c>
      <c r="G30" s="313">
        <f>'RD0301'!$B$19</f>
        <v>9</v>
      </c>
      <c r="H30" s="313">
        <f>'RD0301'!$C$19</f>
        <v>11</v>
      </c>
      <c r="I30" s="313">
        <f>'RD0301'!$D$19</f>
        <v>11</v>
      </c>
      <c r="J30" s="313">
        <f>'RD0301'!$E$19</f>
        <v>12</v>
      </c>
      <c r="K30" s="313">
        <f>'RD0301'!$F$19</f>
        <v>2.2000000000000002</v>
      </c>
      <c r="L30" s="313">
        <f>'RD0301'!$G$19</f>
        <v>12</v>
      </c>
      <c r="M30" s="313">
        <f>'RD0301'!$H$19</f>
        <v>11</v>
      </c>
      <c r="N30" s="313">
        <f>'RD0301'!$I$19</f>
        <v>12</v>
      </c>
      <c r="O30" s="641">
        <f>'RD0301'!$AM$19</f>
        <v>0.16545399999999999</v>
      </c>
      <c r="P30" s="647">
        <f>'RD0301'!$AN$19</f>
        <v>3.0219879845757736</v>
      </c>
      <c r="Q30" s="649">
        <f>'RD0301'!$AO$19</f>
        <v>0.75136673609295312</v>
      </c>
    </row>
    <row r="31" spans="1:17" ht="15.75" customHeight="1">
      <c r="A31" s="713"/>
      <c r="B31" s="714"/>
      <c r="C31" s="714"/>
      <c r="D31" s="714"/>
      <c r="E31" s="715"/>
      <c r="F31" s="312" t="str">
        <f>'RD0301'!$A$20</f>
        <v>TH01</v>
      </c>
      <c r="G31" s="313">
        <f>'RD0301'!$B$20</f>
        <v>7</v>
      </c>
      <c r="H31" s="313">
        <f>'RD0301'!$C$20</f>
        <v>8</v>
      </c>
      <c r="I31" s="313">
        <f>'RD0301'!$D$20</f>
        <v>8</v>
      </c>
      <c r="J31" s="313">
        <f>'RD0301'!$E$20</f>
        <v>9</v>
      </c>
      <c r="K31" s="313">
        <f>'RD0301'!$F$20</f>
        <v>7</v>
      </c>
      <c r="L31" s="313">
        <f>'RD0301'!$G$20</f>
        <v>9.3000000000000007</v>
      </c>
      <c r="M31" s="313">
        <f>'RD0301'!$H$20</f>
        <v>6</v>
      </c>
      <c r="N31" s="313">
        <f>'RD0301'!$I$20</f>
        <v>9</v>
      </c>
      <c r="O31" s="641">
        <f>'RD0301'!$AM$20</f>
        <v>0.16256300000000001</v>
      </c>
      <c r="P31" s="647">
        <f>'RD0301'!$AN$20</f>
        <v>1.5378653199067438</v>
      </c>
      <c r="Q31" s="649">
        <f>'RD0301'!$AO$20</f>
        <v>0.60596805821171551</v>
      </c>
    </row>
    <row r="32" spans="1:17" ht="15.75" customHeight="1">
      <c r="A32" s="713"/>
      <c r="B32" s="714"/>
      <c r="C32" s="714"/>
      <c r="D32" s="714"/>
      <c r="E32" s="715"/>
      <c r="F32" s="312" t="str">
        <f>'RD0301'!$A$21</f>
        <v>vWA</v>
      </c>
      <c r="G32" s="313">
        <f>'RD0301'!$B$21</f>
        <v>15</v>
      </c>
      <c r="H32" s="313">
        <f>'RD0301'!$C$21</f>
        <v>15</v>
      </c>
      <c r="I32" s="313">
        <f>'RD0301'!$D$21</f>
        <v>15</v>
      </c>
      <c r="J32" s="313">
        <f>'RD0301'!$E$21</f>
        <v>17</v>
      </c>
      <c r="K32" s="313">
        <f>'RD0301'!$F$21</f>
        <v>16</v>
      </c>
      <c r="L32" s="313">
        <f>'RD0301'!$G$21</f>
        <v>18</v>
      </c>
      <c r="M32" s="313">
        <f>'RD0301'!$H$21</f>
        <v>16</v>
      </c>
      <c r="N32" s="313">
        <f>'RD0301'!$I$21</f>
        <v>17</v>
      </c>
      <c r="O32" s="641">
        <f>'RD0301'!$AM$21</f>
        <v>0.25484400000000001</v>
      </c>
      <c r="P32" s="647">
        <f>'RD0301'!$AN$21</f>
        <v>0.98099229332454363</v>
      </c>
      <c r="Q32" s="649">
        <f>'RD0301'!$AO$21</f>
        <v>0.49520247838936382</v>
      </c>
    </row>
    <row r="33" spans="1:17" ht="15.75" customHeight="1">
      <c r="A33" s="713"/>
      <c r="B33" s="714"/>
      <c r="C33" s="714"/>
      <c r="D33" s="714"/>
      <c r="E33" s="715"/>
      <c r="F33" s="312" t="str">
        <f>'RD0301'!$A$22</f>
        <v>D21S11</v>
      </c>
      <c r="G33" s="313">
        <f>'RD0301'!$B$22</f>
        <v>28</v>
      </c>
      <c r="H33" s="313">
        <f>'RD0301'!$C$22</f>
        <v>30</v>
      </c>
      <c r="I33" s="313">
        <f>'RD0301'!$D$22</f>
        <v>30</v>
      </c>
      <c r="J33" s="313">
        <f>'RD0301'!$E$22</f>
        <v>33.200000000000003</v>
      </c>
      <c r="K33" s="313">
        <f>'RD0301'!$F$22</f>
        <v>33.200000000000003</v>
      </c>
      <c r="L33" s="313">
        <f>'RD0301'!$G$22</f>
        <v>33.200000000000003</v>
      </c>
      <c r="M33" s="313">
        <f>'RD0301'!$H$22</f>
        <v>29</v>
      </c>
      <c r="N33" s="313">
        <f>'RD0301'!$I$22</f>
        <v>32.200000000000003</v>
      </c>
      <c r="O33" s="641">
        <f>'RD0301'!$AM$22</f>
        <v>0.05</v>
      </c>
      <c r="P33" s="647">
        <f>'RD0301'!$AN$22</f>
        <v>10</v>
      </c>
      <c r="Q33" s="649">
        <f>'RD0301'!$AO$22</f>
        <v>0.90909090909090906</v>
      </c>
    </row>
    <row r="34" spans="1:17" ht="15.75" customHeight="1">
      <c r="A34" s="713"/>
      <c r="B34" s="714"/>
      <c r="C34" s="714"/>
      <c r="D34" s="714"/>
      <c r="E34" s="715"/>
      <c r="F34" s="312" t="str">
        <f>'RD0301'!$A$23</f>
        <v>D7S820</v>
      </c>
      <c r="G34" s="313">
        <f>'RD0301'!$B$23</f>
        <v>10</v>
      </c>
      <c r="H34" s="313">
        <f>'RD0301'!$C$23</f>
        <v>12</v>
      </c>
      <c r="I34" s="313">
        <f>'RD0301'!$D$23</f>
        <v>10</v>
      </c>
      <c r="J34" s="313">
        <f>'RD0301'!$E$23</f>
        <v>11</v>
      </c>
      <c r="K34" s="313">
        <f>'RD0301'!$F$23</f>
        <v>11</v>
      </c>
      <c r="L34" s="313">
        <f>'RD0301'!$G$23</f>
        <v>11</v>
      </c>
      <c r="M34" s="313">
        <f>'RD0301'!$H$23</f>
        <v>8</v>
      </c>
      <c r="N34" s="313">
        <f>'RD0301'!$I$23</f>
        <v>10</v>
      </c>
      <c r="O34" s="641">
        <f>'RD0301'!$AM$23</f>
        <v>0.23635999999999999</v>
      </c>
      <c r="P34" s="647">
        <f>'RD0301'!$AN$23</f>
        <v>2.1154171602640042</v>
      </c>
      <c r="Q34" s="649">
        <f>'RD0301'!$AO$23</f>
        <v>0.6790156988429572</v>
      </c>
    </row>
    <row r="35" spans="1:17" ht="15.75" customHeight="1">
      <c r="A35" s="713"/>
      <c r="B35" s="714"/>
      <c r="C35" s="714"/>
      <c r="D35" s="714"/>
      <c r="E35" s="715"/>
      <c r="F35" s="312" t="str">
        <f>'RD0301'!$A$24</f>
        <v>D5S818</v>
      </c>
      <c r="G35" s="313">
        <f>'RD0301'!$B$24</f>
        <v>12</v>
      </c>
      <c r="H35" s="313">
        <f>'RD0301'!$C$24</f>
        <v>12</v>
      </c>
      <c r="I35" s="313">
        <f>'RD0301'!$D$24</f>
        <v>11</v>
      </c>
      <c r="J35" s="313">
        <f>'RD0301'!$E$24</f>
        <v>12</v>
      </c>
      <c r="K35" s="313">
        <f>'RD0301'!$F$24</f>
        <v>11</v>
      </c>
      <c r="L35" s="313">
        <f>'RD0301'!$G$24</f>
        <v>11</v>
      </c>
      <c r="M35" s="313">
        <f>'RD0301'!$H$24</f>
        <v>12</v>
      </c>
      <c r="N35" s="313">
        <f>'RD0301'!$I$24</f>
        <v>12</v>
      </c>
      <c r="O35" s="641">
        <f>'RD0301'!$AM$24</f>
        <v>0.32906299999999999</v>
      </c>
      <c r="P35" s="647">
        <f>'RD0301'!$AN$24</f>
        <v>1.5194658773547922</v>
      </c>
      <c r="Q35" s="649">
        <f>'RD0301'!$AO$24</f>
        <v>0.60309047683951644</v>
      </c>
    </row>
    <row r="36" spans="1:17" ht="15.75" customHeight="1" thickBot="1">
      <c r="A36" s="713"/>
      <c r="B36" s="714"/>
      <c r="C36" s="714"/>
      <c r="D36" s="714"/>
      <c r="E36" s="715"/>
      <c r="F36" s="312" t="str">
        <f>'RD0301'!$A$25</f>
        <v>TPOX</v>
      </c>
      <c r="G36" s="313">
        <f>'RD0301'!$B$25</f>
        <v>8</v>
      </c>
      <c r="H36" s="313">
        <f>'RD0301'!$C$25</f>
        <v>8</v>
      </c>
      <c r="I36" s="313">
        <f>'RD0301'!$D$25</f>
        <v>8</v>
      </c>
      <c r="J36" s="313">
        <f>'RD0301'!$E$25</f>
        <v>8</v>
      </c>
      <c r="K36" s="313">
        <f>'RD0301'!$F$25</f>
        <v>8</v>
      </c>
      <c r="L36" s="313">
        <f>'RD0301'!$G$25</f>
        <v>11</v>
      </c>
      <c r="M36" s="313">
        <f>'RD0301'!$H$25</f>
        <v>8</v>
      </c>
      <c r="N36" s="313">
        <f>'RD0301'!$I$25</f>
        <v>8</v>
      </c>
      <c r="O36" s="641">
        <f>'RD0301'!$AM$25</f>
        <v>0.45586199999999999</v>
      </c>
      <c r="P36" s="647">
        <f>'RD0301'!$AN$25</f>
        <v>1.6452347420930018</v>
      </c>
      <c r="Q36" s="649">
        <f>'RD0301'!$AO$25</f>
        <v>0.62196171701239455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12</v>
      </c>
      <c r="H37" s="313">
        <f>'RD0301'!$C$26</f>
        <v>13</v>
      </c>
      <c r="I37" s="313">
        <f>'RD0301'!$D$26</f>
        <v>13</v>
      </c>
      <c r="J37" s="313">
        <f>'RD0301'!$E$26</f>
        <v>13</v>
      </c>
      <c r="K37" s="313">
        <f>'RD0301'!$F$26</f>
        <v>14</v>
      </c>
      <c r="L37" s="313">
        <f>'RD0301'!$G$26</f>
        <v>14</v>
      </c>
      <c r="M37" s="313">
        <f>'RD0301'!$H$26</f>
        <v>11</v>
      </c>
      <c r="N37" s="313">
        <f>'RD0301'!$I$26</f>
        <v>13</v>
      </c>
      <c r="O37" s="641">
        <f>'RD0301'!$AM$26</f>
        <v>0.27866200000000002</v>
      </c>
      <c r="P37" s="647">
        <f>'RD0301'!$AN$26</f>
        <v>0.89714421054898041</v>
      </c>
      <c r="Q37" s="649">
        <f>'RD0301'!$AO$26</f>
        <v>0.47289194229961673</v>
      </c>
    </row>
    <row r="38" spans="1:17" ht="15.75" customHeight="1" thickTop="1">
      <c r="A38" s="713"/>
      <c r="B38" s="714"/>
      <c r="C38" s="714"/>
      <c r="D38" s="714"/>
      <c r="E38" s="715"/>
      <c r="F38" s="312" t="str">
        <f>'RD0301'!$A$27</f>
        <v>D12S391</v>
      </c>
      <c r="G38" s="313">
        <f>'RD0301'!$B$27</f>
        <v>17</v>
      </c>
      <c r="H38" s="313">
        <f>'RD0301'!$C$27</f>
        <v>18</v>
      </c>
      <c r="I38" s="313">
        <f>'RD0301'!$D$27</f>
        <v>17</v>
      </c>
      <c r="J38" s="313">
        <f>'RD0301'!$E$27</f>
        <v>18</v>
      </c>
      <c r="K38" s="313">
        <f>'RD0301'!$F$27</f>
        <v>18</v>
      </c>
      <c r="L38" s="313">
        <f>'RD0301'!$G$27</f>
        <v>19</v>
      </c>
      <c r="M38" s="313">
        <f>'RD0301'!$H$27</f>
        <v>17</v>
      </c>
      <c r="N38" s="313">
        <f>'RD0301'!$I$27</f>
        <v>18</v>
      </c>
      <c r="O38" s="641">
        <f>'RD0301'!$AM$27</f>
        <v>0.28390000000000004</v>
      </c>
      <c r="P38" s="647">
        <f>'RD0301'!$AN$27</f>
        <v>2.6417752729834443</v>
      </c>
      <c r="Q38" s="649">
        <f>'RD0301'!$AO$27</f>
        <v>0.72540864687107065</v>
      </c>
    </row>
    <row r="39" spans="1:17" ht="15.75" customHeight="1">
      <c r="A39" s="734" t="s">
        <v>377</v>
      </c>
      <c r="B39" s="735"/>
      <c r="C39" s="735"/>
      <c r="D39" s="735"/>
      <c r="E39" s="736"/>
      <c r="F39" s="312" t="str">
        <f>'RD0301'!$A$28</f>
        <v>D19S433</v>
      </c>
      <c r="G39" s="313">
        <f>'RD0301'!$B$28</f>
        <v>14</v>
      </c>
      <c r="H39" s="313">
        <f>'RD0301'!$C$28</f>
        <v>14</v>
      </c>
      <c r="I39" s="313">
        <f>'RD0301'!$D$28</f>
        <v>14</v>
      </c>
      <c r="J39" s="313">
        <f>'RD0301'!$E$28</f>
        <v>15</v>
      </c>
      <c r="K39" s="313">
        <f>'RD0301'!$F$28</f>
        <v>14</v>
      </c>
      <c r="L39" s="313">
        <f>'RD0301'!$G$28</f>
        <v>14</v>
      </c>
      <c r="M39" s="313">
        <f>'RD0301'!$H$28</f>
        <v>15</v>
      </c>
      <c r="N39" s="313">
        <f>'RD0301'!$I$28</f>
        <v>15</v>
      </c>
      <c r="O39" s="641">
        <f>'RD0301'!$AM$28</f>
        <v>0.15179999999999999</v>
      </c>
      <c r="P39" s="647">
        <f>'RD0301'!$AN$28</f>
        <v>3.293807641633729</v>
      </c>
      <c r="Q39" s="649">
        <f>'RD0301'!$AO$28</f>
        <v>0.76710647437864388</v>
      </c>
    </row>
    <row r="40" spans="1:17" ht="15.75" customHeight="1">
      <c r="A40" s="713" t="s">
        <v>361</v>
      </c>
      <c r="B40" s="714"/>
      <c r="C40" s="714"/>
      <c r="D40" s="714"/>
      <c r="E40" s="715"/>
      <c r="F40" s="312" t="str">
        <f>'RD0301'!$A$29</f>
        <v>FGA</v>
      </c>
      <c r="G40" s="313">
        <f>'RD0301'!$B$29</f>
        <v>21</v>
      </c>
      <c r="H40" s="313">
        <f>'RD0301'!$C$29</f>
        <v>26</v>
      </c>
      <c r="I40" s="313">
        <f>'RD0301'!$D$29</f>
        <v>21</v>
      </c>
      <c r="J40" s="313">
        <f>'RD0301'!$E$29</f>
        <v>23</v>
      </c>
      <c r="K40" s="313">
        <f>'RD0301'!$F$29</f>
        <v>22</v>
      </c>
      <c r="L40" s="313">
        <f>'RD0301'!$G$29</f>
        <v>25</v>
      </c>
      <c r="M40" s="313">
        <f>'RD0301'!$H$29</f>
        <v>20</v>
      </c>
      <c r="N40" s="313">
        <f>'RD0301'!$I$29</f>
        <v>23</v>
      </c>
      <c r="O40" s="641">
        <f>'RD0301'!$AM$29</f>
        <v>0.149283</v>
      </c>
      <c r="P40" s="647">
        <f>'RD0301'!$AN$29</f>
        <v>1.674671596899848</v>
      </c>
      <c r="Q40" s="649">
        <f>'RD0301'!$AO$29</f>
        <v>0.62612232426624737</v>
      </c>
    </row>
    <row r="41" spans="1:17" ht="15.75" customHeight="1" thickBot="1">
      <c r="A41" s="713" t="s">
        <v>296</v>
      </c>
      <c r="B41" s="714"/>
      <c r="C41" s="714"/>
      <c r="D41" s="714"/>
      <c r="E41" s="715"/>
      <c r="F41" s="314" t="str">
        <f>'RD0301'!$A$30</f>
        <v>D22S1045</v>
      </c>
      <c r="G41" s="315">
        <f>'RD0301'!$B$30</f>
        <v>15</v>
      </c>
      <c r="H41" s="315">
        <f>'RD0301'!$C$30</f>
        <v>17</v>
      </c>
      <c r="I41" s="315">
        <f>'RD0301'!$D$30</f>
        <v>15</v>
      </c>
      <c r="J41" s="315">
        <f>'RD0301'!$E$30</f>
        <v>16</v>
      </c>
      <c r="K41" s="315">
        <f>'RD0301'!$F$30</f>
        <v>16</v>
      </c>
      <c r="L41" s="315">
        <f>'RD0301'!$G$30</f>
        <v>16</v>
      </c>
      <c r="M41" s="315">
        <f>'RD0301'!$H$30</f>
        <v>15</v>
      </c>
      <c r="N41" s="315">
        <f>'RD0301'!$I$30</f>
        <v>16</v>
      </c>
      <c r="O41" s="642">
        <f>'RD0301'!$AM$30</f>
        <v>0.32869999999999999</v>
      </c>
      <c r="P41" s="648">
        <f>'RD0301'!$AN$30</f>
        <v>2.2817158503194404</v>
      </c>
      <c r="Q41" s="650">
        <f>'RD0301'!$AO$30</f>
        <v>0.69528135718920925</v>
      </c>
    </row>
    <row r="42" spans="1:17" ht="15.75" customHeight="1" thickTop="1">
      <c r="A42" s="713" t="s">
        <v>378</v>
      </c>
      <c r="B42" s="714"/>
      <c r="C42" s="714"/>
      <c r="D42" s="714"/>
      <c r="E42" s="715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>
        <f>'RD0301'!$H$43</f>
        <v>292206557.08908105</v>
      </c>
      <c r="N42" s="729"/>
      <c r="O42" s="729"/>
      <c r="P42" s="729"/>
      <c r="Q42" s="730"/>
    </row>
    <row r="43" spans="1:17" ht="15.75" customHeight="1">
      <c r="A43" s="713" t="s">
        <v>297</v>
      </c>
      <c r="B43" s="714"/>
      <c r="C43" s="714"/>
      <c r="D43" s="714"/>
      <c r="E43" s="715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11">
        <f>'RD0301'!$H$44</f>
        <v>0.99999999657000005</v>
      </c>
      <c r="N43" s="711"/>
      <c r="O43" s="711"/>
      <c r="P43" s="711"/>
      <c r="Q43" s="712"/>
    </row>
    <row r="44" spans="1:17" ht="15.75" customHeight="1">
      <c r="A44" s="713"/>
      <c r="B44" s="714"/>
      <c r="C44" s="714"/>
      <c r="D44" s="714"/>
      <c r="E44" s="715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11">
        <f>'RD0301'!$H$45</f>
        <v>0.99999999998</v>
      </c>
      <c r="N44" s="711"/>
      <c r="O44" s="711"/>
      <c r="P44" s="711"/>
      <c r="Q44" s="712"/>
    </row>
    <row r="45" spans="1:17" ht="15.75" customHeight="1" thickBot="1">
      <c r="A45" s="718"/>
      <c r="B45" s="719"/>
      <c r="C45" s="719"/>
      <c r="D45" s="719"/>
      <c r="E45" s="720"/>
      <c r="F45" s="320"/>
      <c r="G45" s="316"/>
      <c r="H45" s="640"/>
      <c r="I45" s="403" t="str">
        <f>'RD0301'!$G$46</f>
        <v>RESULTADO:</v>
      </c>
      <c r="J45" s="716" t="str">
        <f>'RD0301'!$H$46</f>
        <v>VÍNCULO BIOLOGICAMENTE PROVADO</v>
      </c>
      <c r="K45" s="716"/>
      <c r="L45" s="716"/>
      <c r="M45" s="716"/>
      <c r="N45" s="716"/>
      <c r="O45" s="716"/>
      <c r="P45" s="716"/>
      <c r="Q45" s="717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55" t="s">
        <v>367</v>
      </c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  <c r="P48" s="756"/>
      <c r="Q48" s="757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2"/>
      <c r="O52" s="722"/>
      <c r="P52" s="722"/>
      <c r="Q52" s="723"/>
    </row>
    <row r="53" spans="1:17" ht="9.75" customHeight="1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5"/>
      <c r="O53" s="725"/>
      <c r="P53" s="725"/>
      <c r="Q53" s="726"/>
    </row>
    <row r="54" spans="1:17" ht="9.75" customHeight="1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5"/>
      <c r="O54" s="705"/>
      <c r="P54" s="705"/>
      <c r="Q54" s="706"/>
    </row>
    <row r="55" spans="1:17" ht="9.75" customHeight="1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5"/>
      <c r="O55" s="705"/>
      <c r="P55" s="705"/>
      <c r="Q55" s="706"/>
    </row>
    <row r="56" spans="1:17" ht="9.75" customHeight="1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5"/>
      <c r="O56" s="705"/>
      <c r="P56" s="705"/>
      <c r="Q56" s="706"/>
    </row>
    <row r="57" spans="1:17" ht="9.75" customHeight="1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5"/>
      <c r="O57" s="705"/>
      <c r="P57" s="705"/>
      <c r="Q57" s="706"/>
    </row>
    <row r="58" spans="1:17" ht="9.75" customHeight="1" thickBot="1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09"/>
      <c r="O58" s="709"/>
      <c r="P58" s="709"/>
      <c r="Q58" s="710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07"/>
      <c r="D63" s="707"/>
      <c r="E63" s="707"/>
      <c r="F63" s="707"/>
      <c r="G63" s="707"/>
      <c r="H63" s="707"/>
      <c r="I63" s="707"/>
      <c r="J63" s="707"/>
      <c r="K63" s="707"/>
      <c r="L63" s="322"/>
      <c r="M63" s="322"/>
      <c r="N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58">
    <mergeCell ref="A39:E39"/>
    <mergeCell ref="C66:N66"/>
    <mergeCell ref="A40:E40"/>
    <mergeCell ref="A41:E41"/>
    <mergeCell ref="A22:E22"/>
    <mergeCell ref="A23:E23"/>
    <mergeCell ref="A28:E28"/>
    <mergeCell ref="A42:E42"/>
    <mergeCell ref="A43:E43"/>
    <mergeCell ref="M42:Q42"/>
    <mergeCell ref="M43:Q43"/>
    <mergeCell ref="M44:Q44"/>
    <mergeCell ref="A44:E44"/>
    <mergeCell ref="A45:E45"/>
    <mergeCell ref="J45:Q45"/>
    <mergeCell ref="A30:E36"/>
    <mergeCell ref="A38:E38"/>
    <mergeCell ref="A57:Q57"/>
    <mergeCell ref="A58:Q58"/>
    <mergeCell ref="C63:K63"/>
    <mergeCell ref="C64:K64"/>
    <mergeCell ref="C65:N65"/>
    <mergeCell ref="A52:Q52"/>
    <mergeCell ref="A53:Q53"/>
    <mergeCell ref="A54:Q54"/>
    <mergeCell ref="A55:Q55"/>
    <mergeCell ref="A56:Q56"/>
    <mergeCell ref="F2:Q2"/>
    <mergeCell ref="J3:Q3"/>
    <mergeCell ref="E4:L10"/>
    <mergeCell ref="A11:Q11"/>
    <mergeCell ref="A10:D10"/>
    <mergeCell ref="K19:L19"/>
    <mergeCell ref="A20:E20"/>
    <mergeCell ref="A21:E21"/>
    <mergeCell ref="M4:Q10"/>
    <mergeCell ref="K14:Q14"/>
    <mergeCell ref="K15:O15"/>
    <mergeCell ref="K12:Q12"/>
    <mergeCell ref="G19:H19"/>
    <mergeCell ref="I19:J19"/>
    <mergeCell ref="M19:N19"/>
    <mergeCell ref="C67:N67"/>
    <mergeCell ref="C68:N68"/>
    <mergeCell ref="C69:N69"/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7" sqref="A7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821" t="s">
        <v>245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824"/>
      <c r="C3" s="824"/>
      <c r="D3" s="824"/>
      <c r="E3" s="824"/>
      <c r="F3" s="824"/>
      <c r="G3" s="824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820" t="s">
        <v>0</v>
      </c>
      <c r="AI3" s="820"/>
      <c r="AJ3" s="820"/>
      <c r="AK3" s="820"/>
      <c r="AL3" s="820"/>
      <c r="AM3" s="820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798" t="s">
        <v>87</v>
      </c>
      <c r="BA7" s="799"/>
      <c r="BB7" s="800"/>
      <c r="BF7" s="38"/>
      <c r="BG7" s="38"/>
      <c r="BI7" s="798" t="s">
        <v>108</v>
      </c>
      <c r="BJ7" s="799"/>
      <c r="BK7" s="800"/>
      <c r="BL7" s="801" t="s">
        <v>109</v>
      </c>
      <c r="BM7" s="802"/>
      <c r="BN7" s="803"/>
      <c r="BO7" s="804" t="s">
        <v>111</v>
      </c>
      <c r="BP7" s="805"/>
      <c r="BQ7" s="806"/>
    </row>
    <row r="8" spans="1:80" ht="14.45" customHeight="1" thickTop="1" thickBot="1">
      <c r="A8" s="214" t="s">
        <v>50</v>
      </c>
      <c r="B8" s="807" t="s">
        <v>130</v>
      </c>
      <c r="C8" s="808"/>
      <c r="D8" s="807" t="s">
        <v>131</v>
      </c>
      <c r="E8" s="808"/>
      <c r="F8" s="807" t="s">
        <v>133</v>
      </c>
      <c r="G8" s="808"/>
      <c r="H8" s="807" t="s">
        <v>97</v>
      </c>
      <c r="I8" s="808"/>
      <c r="J8" s="807" t="s">
        <v>98</v>
      </c>
      <c r="K8" s="808"/>
      <c r="L8" s="807" t="s">
        <v>99</v>
      </c>
      <c r="M8" s="808"/>
      <c r="N8" s="807" t="s">
        <v>165</v>
      </c>
      <c r="O8" s="808"/>
      <c r="P8" s="807" t="s">
        <v>166</v>
      </c>
      <c r="Q8" s="808"/>
      <c r="R8" s="807" t="s">
        <v>167</v>
      </c>
      <c r="S8" s="808"/>
      <c r="T8" s="215" t="s">
        <v>135</v>
      </c>
      <c r="U8" s="215" t="s">
        <v>136</v>
      </c>
      <c r="V8" s="215" t="s">
        <v>137</v>
      </c>
      <c r="W8" s="216" t="s">
        <v>134</v>
      </c>
      <c r="X8" s="809" t="s">
        <v>138</v>
      </c>
      <c r="Y8" s="810"/>
      <c r="Z8" s="809" t="s">
        <v>141</v>
      </c>
      <c r="AA8" s="810"/>
      <c r="AB8" s="215" t="s">
        <v>145</v>
      </c>
      <c r="AC8" s="215" t="s">
        <v>147</v>
      </c>
      <c r="AD8" s="809" t="s">
        <v>244</v>
      </c>
      <c r="AE8" s="831"/>
      <c r="AF8" s="810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16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15</v>
      </c>
      <c r="I9" s="293">
        <f t="shared" ref="I9:I42" si="1">(IF(CODE(C9)=(60),($BF9-1),(IF(CODE(C9)=(62),($BG9+1),C9))))</f>
        <v>16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16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15</v>
      </c>
      <c r="O9" s="91">
        <f t="shared" ref="O9:O23" si="7">IF((I9&gt;H9),I9,H9)</f>
        <v>16</v>
      </c>
      <c r="P9" s="91">
        <f t="shared" ref="P9:P23" si="8">IF((J9&gt;K9),K9,J9)</f>
        <v>15</v>
      </c>
      <c r="Q9" s="91">
        <f t="shared" ref="Q9:Q23" si="9">IF((K9&gt;J9),K9,J9)</f>
        <v>16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15</v>
      </c>
      <c r="U9" s="92">
        <f t="shared" ref="U9:U23" si="13">IF((Q9=N9),Q9,(IF((Q9=O9),Q9,0)))</f>
        <v>16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 t="shared" ref="X9:X42" si="14">(ROUND( (IF((AND((T9=0),(U9=0))),D9,(IF((V9=2),S9,(IF((W9&lt;&gt;$AJ$7),(P9+Q9-W9),P9)))))),1))</f>
        <v>15</v>
      </c>
      <c r="Y9" s="92">
        <f>(IF((AND(($T9=0),($U9=0))),$E9,(IF(($W9&lt;&gt;$AJ$7),0,$Q9))))</f>
        <v>16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0.27030799999999999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0</v>
      </c>
      <c r="AI9" s="100">
        <f t="shared" ref="AI9:AI23" si="18">(IF((AH9=0),0,(AH9/(AH9+1))))</f>
        <v>0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0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 t="str">
        <f t="shared" ref="BJ9:BJ42" si="25">IF(($W9=($BF9-1)),$BF9,IF(($W9=($BG9-1)),$BG9,$W9))</f>
        <v>NÃO DEF</v>
      </c>
      <c r="BK9" s="54" t="str">
        <f t="shared" ref="BK9:BK42" si="26">(IF((OR(($W9=($BF9-1)),($W9=($BG9+1)))),(CONCATENATE((BI9),(BJ9))),$W9))</f>
        <v>NÃO DEF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13</v>
      </c>
      <c r="C10" s="292">
        <f>'IMPORTAÇÃO GENOTIPER'!AA6</f>
        <v>18.3</v>
      </c>
      <c r="D10" s="292">
        <f>'IMPORTAÇÃO GENOTIPER'!AI6</f>
        <v>17.3</v>
      </c>
      <c r="E10" s="292">
        <f>'IMPORTAÇÃO GENOTIPER'!AQ6</f>
        <v>18.3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13</v>
      </c>
      <c r="I10" s="293">
        <f t="shared" si="1"/>
        <v>18.3</v>
      </c>
      <c r="J10" s="293">
        <f t="shared" si="2"/>
        <v>17.3</v>
      </c>
      <c r="K10" s="293">
        <f t="shared" si="3"/>
        <v>18.3</v>
      </c>
      <c r="L10" s="293">
        <f t="shared" si="4"/>
        <v>0</v>
      </c>
      <c r="M10" s="293">
        <f t="shared" si="5"/>
        <v>0</v>
      </c>
      <c r="N10" s="91">
        <f t="shared" si="6"/>
        <v>13</v>
      </c>
      <c r="O10" s="91">
        <f t="shared" si="7"/>
        <v>18.3</v>
      </c>
      <c r="P10" s="91">
        <f t="shared" si="8"/>
        <v>17.3</v>
      </c>
      <c r="Q10" s="91">
        <f t="shared" si="9"/>
        <v>18.3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18.3</v>
      </c>
      <c r="V10" s="93">
        <f>(IF((OR((P10="&gt;36"),(Q10="&gt;36"))),2,(IF(((T10+U10)=(P10+Q10)),0,1))))</f>
        <v>1</v>
      </c>
      <c r="W10" s="94">
        <f t="shared" ref="W10:W23" si="33">IF(OR((T10=U10),(U10=0)),T10,(IF(AND((T10=0),(U10&lt;&gt;0)),U10,$AJ$7)))</f>
        <v>18.3</v>
      </c>
      <c r="X10" s="116">
        <f t="shared" si="14"/>
        <v>17.3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0</v>
      </c>
      <c r="AI10" s="100">
        <f t="shared" si="18"/>
        <v>0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0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18.3</v>
      </c>
      <c r="BK10" s="54">
        <f t="shared" si="26"/>
        <v>18.3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15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10</v>
      </c>
      <c r="I11" s="293">
        <f t="shared" si="1"/>
        <v>10</v>
      </c>
      <c r="J11" s="293">
        <f t="shared" si="2"/>
        <v>10</v>
      </c>
      <c r="K11" s="293">
        <f t="shared" si="3"/>
        <v>15</v>
      </c>
      <c r="L11" s="293">
        <f t="shared" si="4"/>
        <v>0</v>
      </c>
      <c r="M11" s="293">
        <f t="shared" si="5"/>
        <v>0</v>
      </c>
      <c r="N11" s="91">
        <f t="shared" si="6"/>
        <v>10</v>
      </c>
      <c r="O11" s="91">
        <f t="shared" si="7"/>
        <v>10</v>
      </c>
      <c r="P11" s="91">
        <f t="shared" si="8"/>
        <v>10</v>
      </c>
      <c r="Q11" s="91">
        <f t="shared" si="9"/>
        <v>15</v>
      </c>
      <c r="R11" s="91">
        <f t="shared" si="10"/>
        <v>0</v>
      </c>
      <c r="S11" s="91">
        <f t="shared" si="11"/>
        <v>0</v>
      </c>
      <c r="T11" s="92">
        <f t="shared" si="12"/>
        <v>10</v>
      </c>
      <c r="U11" s="92">
        <f t="shared" si="13"/>
        <v>0</v>
      </c>
      <c r="V11" s="93">
        <f>(IF((OR((P11="&gt;22"),(Q11="&gt;22"))),2,(IF(((T11+U11)=(P11+Q11)),0,1))))</f>
        <v>1</v>
      </c>
      <c r="W11" s="94">
        <f t="shared" si="33"/>
        <v>10</v>
      </c>
      <c r="X11" s="116">
        <f t="shared" si="14"/>
        <v>15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2.69E-2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0</v>
      </c>
      <c r="AI11" s="100">
        <f t="shared" si="18"/>
        <v>0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0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10</v>
      </c>
      <c r="BK11" s="54">
        <f t="shared" si="26"/>
        <v>10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12</v>
      </c>
      <c r="C12" s="296">
        <f>'IMPORTAÇÃO GENOTIPER'!AA8</f>
        <v>14</v>
      </c>
      <c r="D12" s="296">
        <f>'IMPORTAÇÃO GENOTIPER'!AI8</f>
        <v>14</v>
      </c>
      <c r="E12" s="296">
        <f>'IMPORTAÇÃO GENOTIPER'!AQ8</f>
        <v>14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12</v>
      </c>
      <c r="I12" s="297">
        <f t="shared" si="1"/>
        <v>14</v>
      </c>
      <c r="J12" s="297">
        <f t="shared" si="2"/>
        <v>14</v>
      </c>
      <c r="K12" s="297">
        <f t="shared" si="3"/>
        <v>14</v>
      </c>
      <c r="L12" s="297">
        <f t="shared" si="4"/>
        <v>0</v>
      </c>
      <c r="M12" s="297">
        <f t="shared" si="5"/>
        <v>0</v>
      </c>
      <c r="N12" s="113">
        <f t="shared" si="6"/>
        <v>12</v>
      </c>
      <c r="O12" s="113">
        <f t="shared" si="7"/>
        <v>14</v>
      </c>
      <c r="P12" s="113">
        <f t="shared" si="8"/>
        <v>14</v>
      </c>
      <c r="Q12" s="113">
        <f t="shared" si="9"/>
        <v>14</v>
      </c>
      <c r="R12" s="113">
        <f t="shared" si="10"/>
        <v>0</v>
      </c>
      <c r="S12" s="113">
        <f t="shared" si="11"/>
        <v>0</v>
      </c>
      <c r="T12" s="114">
        <f t="shared" si="12"/>
        <v>14</v>
      </c>
      <c r="U12" s="114">
        <f t="shared" si="13"/>
        <v>14</v>
      </c>
      <c r="V12" s="115">
        <f>(IF((OR((P12="&gt;21"),(Q12="&gt;21"))),2,(IF(((T12+U12)=(P12+Q12)),0,1))))</f>
        <v>0</v>
      </c>
      <c r="W12" s="114">
        <f t="shared" si="33"/>
        <v>14</v>
      </c>
      <c r="X12" s="116">
        <f t="shared" si="14"/>
        <v>14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0</v>
      </c>
      <c r="AI12" s="122">
        <f t="shared" si="18"/>
        <v>0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0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15</v>
      </c>
      <c r="BK12" s="114">
        <f t="shared" si="26"/>
        <v>14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9</v>
      </c>
      <c r="C13" s="292">
        <f>'IMPORTAÇÃO GENOTIPER'!AA9</f>
        <v>9</v>
      </c>
      <c r="D13" s="292">
        <f>'IMPORTAÇÃO GENOTIPER'!AI9</f>
        <v>9</v>
      </c>
      <c r="E13" s="292">
        <f>'IMPORTAÇÃO GENOTIPER'!AQ9</f>
        <v>10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9</v>
      </c>
      <c r="I13" s="293">
        <f t="shared" si="1"/>
        <v>9</v>
      </c>
      <c r="J13" s="293">
        <f t="shared" si="2"/>
        <v>9</v>
      </c>
      <c r="K13" s="293">
        <f t="shared" si="3"/>
        <v>10</v>
      </c>
      <c r="L13" s="293">
        <f t="shared" si="4"/>
        <v>0</v>
      </c>
      <c r="M13" s="293">
        <f t="shared" si="5"/>
        <v>0</v>
      </c>
      <c r="N13" s="91">
        <f t="shared" si="6"/>
        <v>9</v>
      </c>
      <c r="O13" s="91">
        <f t="shared" si="7"/>
        <v>9</v>
      </c>
      <c r="P13" s="91">
        <f t="shared" si="8"/>
        <v>9</v>
      </c>
      <c r="Q13" s="91">
        <f t="shared" si="9"/>
        <v>10</v>
      </c>
      <c r="R13" s="91">
        <f t="shared" si="10"/>
        <v>0</v>
      </c>
      <c r="S13" s="91">
        <f t="shared" si="11"/>
        <v>0</v>
      </c>
      <c r="T13" s="92">
        <f t="shared" si="12"/>
        <v>9</v>
      </c>
      <c r="U13" s="92">
        <f t="shared" si="13"/>
        <v>0</v>
      </c>
      <c r="V13" s="93">
        <f>(IF((OR((P13="&gt;21"),(Q13="&gt;21"))),2,(IF(((T13+U13)=(P13+Q13)),0,1))))</f>
        <v>1</v>
      </c>
      <c r="W13" s="94">
        <f t="shared" si="33"/>
        <v>9</v>
      </c>
      <c r="X13" s="116">
        <f t="shared" si="14"/>
        <v>10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5.2623999999999997E-2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0</v>
      </c>
      <c r="AI13" s="100">
        <f t="shared" si="18"/>
        <v>0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0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9</v>
      </c>
      <c r="BK13" s="54">
        <f t="shared" si="26"/>
        <v>9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13</v>
      </c>
      <c r="C14" s="292">
        <f>'IMPORTAÇÃO GENOTIPER'!AA10</f>
        <v>15</v>
      </c>
      <c r="D14" s="292">
        <f>'IMPORTAÇÃO GENOTIPER'!AI10</f>
        <v>12</v>
      </c>
      <c r="E14" s="292">
        <f>'IMPORTAÇÃO GENOTIPER'!AQ10</f>
        <v>15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13</v>
      </c>
      <c r="I14" s="293">
        <f t="shared" si="1"/>
        <v>15</v>
      </c>
      <c r="J14" s="293">
        <f t="shared" si="2"/>
        <v>12</v>
      </c>
      <c r="K14" s="293">
        <f t="shared" si="3"/>
        <v>15</v>
      </c>
      <c r="L14" s="293">
        <f t="shared" si="4"/>
        <v>0</v>
      </c>
      <c r="M14" s="293">
        <f t="shared" si="5"/>
        <v>0</v>
      </c>
      <c r="N14" s="91">
        <f t="shared" si="6"/>
        <v>13</v>
      </c>
      <c r="O14" s="91">
        <f t="shared" si="7"/>
        <v>15</v>
      </c>
      <c r="P14" s="91">
        <f t="shared" si="8"/>
        <v>12</v>
      </c>
      <c r="Q14" s="91">
        <f t="shared" si="9"/>
        <v>15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15</v>
      </c>
      <c r="V14" s="93">
        <f>(IF((OR((P14="&gt;20"),(Q14="&gt;20"))),2,(IF(((T14+U14)=(P14+Q14)),0,1))))</f>
        <v>1</v>
      </c>
      <c r="W14" s="94">
        <f t="shared" si="33"/>
        <v>15</v>
      </c>
      <c r="X14" s="116">
        <f t="shared" si="14"/>
        <v>12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1.6804900000000001E-2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0</v>
      </c>
      <c r="AI14" s="100">
        <f t="shared" si="18"/>
        <v>0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15</v>
      </c>
      <c r="BK14" s="54">
        <f t="shared" si="26"/>
        <v>15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12</v>
      </c>
      <c r="D15" s="292">
        <f>'IMPORTAÇÃO GENOTIPER'!AI11</f>
        <v>9</v>
      </c>
      <c r="E15" s="292">
        <f>'IMPORTAÇÃO GENOTIPER'!AQ11</f>
        <v>11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9</v>
      </c>
      <c r="I15" s="293">
        <f t="shared" si="1"/>
        <v>12</v>
      </c>
      <c r="J15" s="293">
        <f t="shared" si="2"/>
        <v>9</v>
      </c>
      <c r="K15" s="293">
        <f t="shared" si="3"/>
        <v>11</v>
      </c>
      <c r="L15" s="293">
        <f t="shared" si="4"/>
        <v>0</v>
      </c>
      <c r="M15" s="293">
        <f t="shared" si="5"/>
        <v>0</v>
      </c>
      <c r="N15" s="91">
        <f t="shared" si="6"/>
        <v>9</v>
      </c>
      <c r="O15" s="91">
        <f t="shared" si="7"/>
        <v>12</v>
      </c>
      <c r="P15" s="91">
        <f t="shared" si="8"/>
        <v>9</v>
      </c>
      <c r="Q15" s="91">
        <f t="shared" si="9"/>
        <v>11</v>
      </c>
      <c r="R15" s="91">
        <f t="shared" si="10"/>
        <v>0</v>
      </c>
      <c r="S15" s="91">
        <f t="shared" si="11"/>
        <v>0</v>
      </c>
      <c r="T15" s="92">
        <f t="shared" si="12"/>
        <v>9</v>
      </c>
      <c r="U15" s="92">
        <f t="shared" si="13"/>
        <v>0</v>
      </c>
      <c r="V15" s="93">
        <f>(IF((OR((P15="&gt;23"),(Q15="&gt;23"))),2,(IF(((T15+U15)=(P15+Q15)),0,1))))</f>
        <v>1</v>
      </c>
      <c r="W15" s="94">
        <f t="shared" si="33"/>
        <v>9</v>
      </c>
      <c r="X15" s="116">
        <f t="shared" si="14"/>
        <v>11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0.28868100000000002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0</v>
      </c>
      <c r="AI15" s="100">
        <f t="shared" si="18"/>
        <v>0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0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9</v>
      </c>
      <c r="BK15" s="54">
        <f t="shared" si="26"/>
        <v>9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14</v>
      </c>
      <c r="D16" s="292">
        <f>'IMPORTAÇÃO GENOTIPER'!AI12</f>
        <v>14</v>
      </c>
      <c r="E16" s="292">
        <f>'IMPORTAÇÃO GENOTIPER'!AQ12</f>
        <v>17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14</v>
      </c>
      <c r="I16" s="293">
        <f t="shared" si="1"/>
        <v>14</v>
      </c>
      <c r="J16" s="293">
        <f t="shared" si="2"/>
        <v>14</v>
      </c>
      <c r="K16" s="293">
        <f t="shared" si="3"/>
        <v>17</v>
      </c>
      <c r="L16" s="293">
        <f t="shared" si="4"/>
        <v>0</v>
      </c>
      <c r="M16" s="293">
        <f t="shared" si="5"/>
        <v>0</v>
      </c>
      <c r="N16" s="91">
        <f t="shared" si="6"/>
        <v>14</v>
      </c>
      <c r="O16" s="91">
        <f t="shared" si="7"/>
        <v>14</v>
      </c>
      <c r="P16" s="91">
        <f t="shared" si="8"/>
        <v>14</v>
      </c>
      <c r="Q16" s="91">
        <f t="shared" si="9"/>
        <v>17</v>
      </c>
      <c r="R16" s="91">
        <f t="shared" si="10"/>
        <v>0</v>
      </c>
      <c r="S16" s="91">
        <f t="shared" si="11"/>
        <v>0</v>
      </c>
      <c r="T16" s="92">
        <f t="shared" si="12"/>
        <v>14</v>
      </c>
      <c r="U16" s="92">
        <f t="shared" si="13"/>
        <v>0</v>
      </c>
      <c r="V16" s="93">
        <f>(IF((OR((P16="&gt;22"),(Q16="&gt;22"))),2,(IF(((T16+U16)=(P16+Q16)),0,1))))</f>
        <v>1</v>
      </c>
      <c r="W16" s="94">
        <f t="shared" si="33"/>
        <v>14</v>
      </c>
      <c r="X16" s="116">
        <f t="shared" si="14"/>
        <v>17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0.121915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0</v>
      </c>
      <c r="AI16" s="100">
        <f t="shared" si="18"/>
        <v>0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0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15</v>
      </c>
      <c r="BK16" s="54">
        <f t="shared" si="26"/>
        <v>14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17</v>
      </c>
      <c r="C17" s="292">
        <f>'IMPORTAÇÃO GENOTIPER'!AA13</f>
        <v>22</v>
      </c>
      <c r="D17" s="292">
        <f>'IMPORTAÇÃO GENOTIPER'!AI13</f>
        <v>17</v>
      </c>
      <c r="E17" s="292">
        <f>'IMPORTAÇÃO GENOTIPER'!AQ13</f>
        <v>20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17</v>
      </c>
      <c r="I17" s="293">
        <f t="shared" si="1"/>
        <v>22</v>
      </c>
      <c r="J17" s="293">
        <f t="shared" si="2"/>
        <v>17</v>
      </c>
      <c r="K17" s="293">
        <f t="shared" si="3"/>
        <v>20</v>
      </c>
      <c r="L17" s="293">
        <f t="shared" si="4"/>
        <v>0</v>
      </c>
      <c r="M17" s="293">
        <f t="shared" si="5"/>
        <v>0</v>
      </c>
      <c r="N17" s="91">
        <f t="shared" si="6"/>
        <v>17</v>
      </c>
      <c r="O17" s="91">
        <f t="shared" si="7"/>
        <v>22</v>
      </c>
      <c r="P17" s="91">
        <f t="shared" si="8"/>
        <v>17</v>
      </c>
      <c r="Q17" s="91">
        <f t="shared" si="9"/>
        <v>20</v>
      </c>
      <c r="R17" s="91">
        <f t="shared" si="10"/>
        <v>0</v>
      </c>
      <c r="S17" s="91">
        <f t="shared" si="11"/>
        <v>0</v>
      </c>
      <c r="T17" s="92">
        <f t="shared" si="12"/>
        <v>17</v>
      </c>
      <c r="U17" s="92">
        <f t="shared" si="13"/>
        <v>0</v>
      </c>
      <c r="V17" s="93">
        <f>(IF((OR((P17="&gt;28"),(Q17="&gt;28"))),2,(IF(((T17+U17)=(P17+Q17)),0,1))))</f>
        <v>1</v>
      </c>
      <c r="W17" s="94">
        <f t="shared" si="33"/>
        <v>17</v>
      </c>
      <c r="X17" s="116">
        <f t="shared" si="14"/>
        <v>20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0</v>
      </c>
      <c r="AI17" s="100">
        <f t="shared" si="18"/>
        <v>0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0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17</v>
      </c>
      <c r="BK17" s="54">
        <f t="shared" si="26"/>
        <v>17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11</v>
      </c>
      <c r="D18" s="292">
        <f>'IMPORTAÇÃO GENOTIPER'!AI14</f>
        <v>11</v>
      </c>
      <c r="E18" s="292">
        <f>'IMPORTAÇÃO GENOTIPER'!AQ14</f>
        <v>12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10</v>
      </c>
      <c r="I18" s="293">
        <f t="shared" si="1"/>
        <v>11</v>
      </c>
      <c r="J18" s="293">
        <f t="shared" si="2"/>
        <v>11</v>
      </c>
      <c r="K18" s="293">
        <f t="shared" si="3"/>
        <v>12</v>
      </c>
      <c r="L18" s="293">
        <f t="shared" si="4"/>
        <v>0</v>
      </c>
      <c r="M18" s="293">
        <f t="shared" si="5"/>
        <v>0</v>
      </c>
      <c r="N18" s="91">
        <f t="shared" si="6"/>
        <v>10</v>
      </c>
      <c r="O18" s="91">
        <f t="shared" si="7"/>
        <v>11</v>
      </c>
      <c r="P18" s="91">
        <f t="shared" si="8"/>
        <v>11</v>
      </c>
      <c r="Q18" s="91">
        <f t="shared" si="9"/>
        <v>12</v>
      </c>
      <c r="R18" s="91">
        <f t="shared" si="10"/>
        <v>0</v>
      </c>
      <c r="S18" s="91">
        <f t="shared" si="11"/>
        <v>0</v>
      </c>
      <c r="T18" s="92">
        <f t="shared" si="12"/>
        <v>11</v>
      </c>
      <c r="U18" s="92">
        <f t="shared" si="13"/>
        <v>0</v>
      </c>
      <c r="V18" s="93">
        <f>(IF((OR((P18="&gt;17,2"),(Q18="&gt;17,2"))),2,(IF(((T18+U18)=(P18+Q18)),0,1))))</f>
        <v>1</v>
      </c>
      <c r="W18" s="94">
        <f t="shared" si="33"/>
        <v>11</v>
      </c>
      <c r="X18" s="116">
        <f t="shared" si="14"/>
        <v>12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0</v>
      </c>
      <c r="AI18" s="100">
        <f t="shared" si="18"/>
        <v>0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0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11</v>
      </c>
      <c r="BK18" s="54">
        <f t="shared" si="26"/>
        <v>11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11</v>
      </c>
      <c r="D19" s="292">
        <f>'IMPORTAÇÃO GENOTIPER'!AI15</f>
        <v>11</v>
      </c>
      <c r="E19" s="292">
        <f>'IMPORTAÇÃO GENOTIPER'!AQ15</f>
        <v>12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9</v>
      </c>
      <c r="I19" s="293">
        <f t="shared" si="1"/>
        <v>11</v>
      </c>
      <c r="J19" s="293">
        <f t="shared" si="2"/>
        <v>11</v>
      </c>
      <c r="K19" s="293">
        <f t="shared" si="3"/>
        <v>12</v>
      </c>
      <c r="L19" s="293">
        <f t="shared" si="4"/>
        <v>0</v>
      </c>
      <c r="M19" s="293">
        <f t="shared" si="5"/>
        <v>0</v>
      </c>
      <c r="N19" s="91">
        <f t="shared" si="6"/>
        <v>9</v>
      </c>
      <c r="O19" s="91">
        <f t="shared" si="7"/>
        <v>11</v>
      </c>
      <c r="P19" s="91">
        <f t="shared" si="8"/>
        <v>11</v>
      </c>
      <c r="Q19" s="91">
        <f t="shared" si="9"/>
        <v>12</v>
      </c>
      <c r="R19" s="91">
        <f t="shared" si="10"/>
        <v>0</v>
      </c>
      <c r="S19" s="91">
        <f t="shared" si="11"/>
        <v>0</v>
      </c>
      <c r="T19" s="92">
        <f t="shared" si="12"/>
        <v>11</v>
      </c>
      <c r="U19" s="92">
        <f t="shared" si="13"/>
        <v>0</v>
      </c>
      <c r="V19" s="93">
        <f>(IF((OR((P19="&gt;21"),(Q19="&gt;21"))),2,(IF(((T19+U19)=(P19+Q19)),0,1))))</f>
        <v>1</v>
      </c>
      <c r="W19" s="94">
        <f t="shared" si="33"/>
        <v>11</v>
      </c>
      <c r="X19" s="116">
        <f t="shared" si="14"/>
        <v>12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0.16545399999999999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0</v>
      </c>
      <c r="AI19" s="100">
        <f t="shared" si="18"/>
        <v>0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0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11</v>
      </c>
      <c r="BK19" s="54">
        <f t="shared" si="26"/>
        <v>11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8</v>
      </c>
      <c r="D20" s="292">
        <f>'IMPORTAÇÃO GENOTIPER'!AI16</f>
        <v>8</v>
      </c>
      <c r="E20" s="292">
        <f>'IMPORTAÇÃO GENOTIPER'!AQ16</f>
        <v>9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7</v>
      </c>
      <c r="I20" s="293">
        <f t="shared" si="1"/>
        <v>8</v>
      </c>
      <c r="J20" s="293">
        <f t="shared" si="2"/>
        <v>8</v>
      </c>
      <c r="K20" s="293">
        <f t="shared" si="3"/>
        <v>9</v>
      </c>
      <c r="L20" s="293">
        <f t="shared" si="4"/>
        <v>0</v>
      </c>
      <c r="M20" s="293">
        <f t="shared" si="5"/>
        <v>0</v>
      </c>
      <c r="N20" s="91">
        <f t="shared" si="6"/>
        <v>7</v>
      </c>
      <c r="O20" s="91">
        <f t="shared" si="7"/>
        <v>8</v>
      </c>
      <c r="P20" s="91">
        <f t="shared" si="8"/>
        <v>8</v>
      </c>
      <c r="Q20" s="91">
        <f t="shared" si="9"/>
        <v>9</v>
      </c>
      <c r="R20" s="91">
        <f t="shared" si="10"/>
        <v>0</v>
      </c>
      <c r="S20" s="91">
        <f t="shared" si="11"/>
        <v>0</v>
      </c>
      <c r="T20" s="92">
        <f t="shared" si="12"/>
        <v>8</v>
      </c>
      <c r="U20" s="92">
        <f t="shared" si="13"/>
        <v>0</v>
      </c>
      <c r="V20" s="93">
        <f>(IF((OR((P20="&gt;20"),(Q20="&gt;20"))),2,(IF(((T20+U20)=(P20+Q20)),0,1))))</f>
        <v>1</v>
      </c>
      <c r="W20" s="94">
        <f t="shared" si="33"/>
        <v>8</v>
      </c>
      <c r="X20" s="116">
        <f t="shared" si="14"/>
        <v>9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0.16256300000000001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0</v>
      </c>
      <c r="AI20" s="100">
        <f t="shared" si="18"/>
        <v>0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0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8</v>
      </c>
      <c r="BK20" s="54">
        <f t="shared" si="26"/>
        <v>8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15</v>
      </c>
      <c r="C21" s="292">
        <f>'IMPORTAÇÃO GENOTIPER'!AA17</f>
        <v>15</v>
      </c>
      <c r="D21" s="292">
        <f>'IMPORTAÇÃO GENOTIPER'!AI17</f>
        <v>15</v>
      </c>
      <c r="E21" s="292">
        <f>'IMPORTAÇÃO GENOTIPER'!AQ17</f>
        <v>17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15</v>
      </c>
      <c r="I21" s="293">
        <f t="shared" si="1"/>
        <v>15</v>
      </c>
      <c r="J21" s="293">
        <f t="shared" si="2"/>
        <v>15</v>
      </c>
      <c r="K21" s="293">
        <f t="shared" si="3"/>
        <v>17</v>
      </c>
      <c r="L21" s="293">
        <f t="shared" si="4"/>
        <v>0</v>
      </c>
      <c r="M21" s="293">
        <f t="shared" si="5"/>
        <v>0</v>
      </c>
      <c r="N21" s="91">
        <f t="shared" si="6"/>
        <v>15</v>
      </c>
      <c r="O21" s="91">
        <f t="shared" si="7"/>
        <v>15</v>
      </c>
      <c r="P21" s="91">
        <f t="shared" si="8"/>
        <v>15</v>
      </c>
      <c r="Q21" s="91">
        <f t="shared" si="9"/>
        <v>17</v>
      </c>
      <c r="R21" s="91">
        <f t="shared" si="10"/>
        <v>0</v>
      </c>
      <c r="S21" s="91">
        <f t="shared" si="11"/>
        <v>0</v>
      </c>
      <c r="T21" s="92">
        <f t="shared" si="12"/>
        <v>15</v>
      </c>
      <c r="U21" s="92">
        <f t="shared" si="13"/>
        <v>0</v>
      </c>
      <c r="V21" s="93">
        <f>(IF((OR((P21="&gt;24"),(Q21="&gt;24"))),2,(IF(((T21+U21)=(P21+Q21)),0,1))))</f>
        <v>1</v>
      </c>
      <c r="W21" s="94">
        <f t="shared" si="33"/>
        <v>15</v>
      </c>
      <c r="X21" s="116">
        <f t="shared" si="14"/>
        <v>17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0</v>
      </c>
      <c r="AI21" s="100">
        <f t="shared" si="18"/>
        <v>0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0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15</v>
      </c>
      <c r="BK21" s="54">
        <f t="shared" si="26"/>
        <v>15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28</v>
      </c>
      <c r="C22" s="292">
        <f>'IMPORTAÇÃO GENOTIPER'!AA18</f>
        <v>30</v>
      </c>
      <c r="D22" s="292">
        <f>'IMPORTAÇÃO GENOTIPER'!AI18</f>
        <v>30</v>
      </c>
      <c r="E22" s="292">
        <f>'IMPORTAÇÃO GENOTIPER'!AQ18</f>
        <v>33.200000000000003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28</v>
      </c>
      <c r="I22" s="293">
        <f t="shared" si="1"/>
        <v>30</v>
      </c>
      <c r="J22" s="293">
        <f t="shared" si="2"/>
        <v>30</v>
      </c>
      <c r="K22" s="293">
        <f t="shared" si="3"/>
        <v>33.200000000000003</v>
      </c>
      <c r="L22" s="293">
        <f t="shared" si="4"/>
        <v>0</v>
      </c>
      <c r="M22" s="293">
        <f t="shared" si="5"/>
        <v>0</v>
      </c>
      <c r="N22" s="91">
        <f t="shared" si="6"/>
        <v>28</v>
      </c>
      <c r="O22" s="91">
        <f t="shared" si="7"/>
        <v>30</v>
      </c>
      <c r="P22" s="91">
        <f t="shared" si="8"/>
        <v>30</v>
      </c>
      <c r="Q22" s="91">
        <f t="shared" si="9"/>
        <v>33.200000000000003</v>
      </c>
      <c r="R22" s="91">
        <f t="shared" si="10"/>
        <v>0</v>
      </c>
      <c r="S22" s="91">
        <f t="shared" si="11"/>
        <v>0</v>
      </c>
      <c r="T22" s="92">
        <f t="shared" si="12"/>
        <v>30</v>
      </c>
      <c r="U22" s="92">
        <f t="shared" si="13"/>
        <v>0</v>
      </c>
      <c r="V22" s="93">
        <f>(IF((OR((P22="&gt;22"),(Q22="&gt;22"))),2,(IF(((T22+U22)=(P22+Q22)),0,1))))</f>
        <v>1</v>
      </c>
      <c r="W22" s="94">
        <f t="shared" si="33"/>
        <v>30</v>
      </c>
      <c r="X22" s="116">
        <f t="shared" si="14"/>
        <v>33.200000000000003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2.8434999999999998E-2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0</v>
      </c>
      <c r="AI22" s="100">
        <f t="shared" si="18"/>
        <v>0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0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30</v>
      </c>
      <c r="BK22" s="54">
        <f t="shared" si="26"/>
        <v>30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10</v>
      </c>
      <c r="C23" s="292">
        <f>'IMPORTAÇÃO GENOTIPER'!AA19</f>
        <v>12</v>
      </c>
      <c r="D23" s="292">
        <f>'IMPORTAÇÃO GENOTIPER'!AI19</f>
        <v>10</v>
      </c>
      <c r="E23" s="292">
        <f>'IMPORTAÇÃO GENOTIPER'!AQ19</f>
        <v>11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10</v>
      </c>
      <c r="I23" s="293">
        <f t="shared" si="1"/>
        <v>12</v>
      </c>
      <c r="J23" s="293">
        <f t="shared" si="2"/>
        <v>10</v>
      </c>
      <c r="K23" s="293">
        <f t="shared" si="3"/>
        <v>11</v>
      </c>
      <c r="L23" s="293">
        <f t="shared" si="4"/>
        <v>0</v>
      </c>
      <c r="M23" s="293">
        <f t="shared" si="5"/>
        <v>0</v>
      </c>
      <c r="N23" s="91">
        <f t="shared" si="6"/>
        <v>10</v>
      </c>
      <c r="O23" s="91">
        <f t="shared" si="7"/>
        <v>12</v>
      </c>
      <c r="P23" s="91">
        <f t="shared" si="8"/>
        <v>10</v>
      </c>
      <c r="Q23" s="91">
        <f t="shared" si="9"/>
        <v>11</v>
      </c>
      <c r="R23" s="91">
        <f t="shared" si="10"/>
        <v>0</v>
      </c>
      <c r="S23" s="91">
        <f t="shared" si="11"/>
        <v>0</v>
      </c>
      <c r="T23" s="92">
        <f t="shared" si="12"/>
        <v>10</v>
      </c>
      <c r="U23" s="92">
        <f t="shared" si="13"/>
        <v>0</v>
      </c>
      <c r="V23" s="93">
        <f>(IF((OR((P23="&gt;32"),(Q23="&gt;32"))),2,(IF(((T23+U23)=(P23+Q23)),0,1))))</f>
        <v>1</v>
      </c>
      <c r="W23" s="94">
        <f t="shared" si="33"/>
        <v>10</v>
      </c>
      <c r="X23" s="116">
        <f t="shared" si="14"/>
        <v>11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0</v>
      </c>
      <c r="AI23" s="100">
        <f t="shared" si="18"/>
        <v>0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0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10</v>
      </c>
      <c r="BK23" s="25">
        <f t="shared" si="26"/>
        <v>10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12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12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12</v>
      </c>
      <c r="I24" s="293">
        <f t="shared" si="1"/>
        <v>12</v>
      </c>
      <c r="J24" s="293">
        <f t="shared" si="2"/>
        <v>11</v>
      </c>
      <c r="K24" s="293">
        <f t="shared" si="3"/>
        <v>12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12</v>
      </c>
      <c r="O24" s="91">
        <f t="shared" ref="O24:O30" si="41">IF((I24&gt;H24),I24,H24)</f>
        <v>12</v>
      </c>
      <c r="P24" s="91">
        <f t="shared" ref="P24:P30" si="42">IF((J24&gt;K24),K24,J24)</f>
        <v>11</v>
      </c>
      <c r="Q24" s="91">
        <f t="shared" ref="Q24:Q30" si="43">IF((K24&gt;J24),K24,J24)</f>
        <v>12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12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12</v>
      </c>
      <c r="X24" s="116">
        <f t="shared" si="14"/>
        <v>11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0</v>
      </c>
      <c r="AI24" s="100">
        <f t="shared" ref="AI24:AI30" si="49">(IF((AH24=0),0,(AH24/(AH24+1))))</f>
        <v>0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0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12</v>
      </c>
      <c r="BK24" s="54">
        <f t="shared" si="26"/>
        <v>12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8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8</v>
      </c>
      <c r="I25" s="293">
        <f t="shared" si="1"/>
        <v>8</v>
      </c>
      <c r="J25" s="293">
        <f t="shared" si="2"/>
        <v>8</v>
      </c>
      <c r="K25" s="293">
        <f t="shared" si="3"/>
        <v>8</v>
      </c>
      <c r="L25" s="293">
        <f t="shared" si="4"/>
        <v>0</v>
      </c>
      <c r="M25" s="293">
        <f t="shared" si="5"/>
        <v>0</v>
      </c>
      <c r="N25" s="91">
        <f t="shared" si="40"/>
        <v>8</v>
      </c>
      <c r="O25" s="91">
        <f t="shared" si="41"/>
        <v>8</v>
      </c>
      <c r="P25" s="91">
        <f t="shared" si="42"/>
        <v>8</v>
      </c>
      <c r="Q25" s="91">
        <f t="shared" si="43"/>
        <v>8</v>
      </c>
      <c r="R25" s="91">
        <f t="shared" si="44"/>
        <v>0</v>
      </c>
      <c r="S25" s="91">
        <f t="shared" si="45"/>
        <v>0</v>
      </c>
      <c r="T25" s="92">
        <f t="shared" si="46"/>
        <v>8</v>
      </c>
      <c r="U25" s="92">
        <f t="shared" si="47"/>
        <v>8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8</v>
      </c>
      <c r="X25" s="116">
        <f t="shared" si="14"/>
        <v>8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0</v>
      </c>
      <c r="AI25" s="100">
        <f t="shared" si="49"/>
        <v>0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0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8</v>
      </c>
      <c r="BK25" s="54">
        <f t="shared" si="26"/>
        <v>8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13</v>
      </c>
      <c r="D26" s="292">
        <f>'IMPORTAÇÃO GENOTIPER'!AI22</f>
        <v>13</v>
      </c>
      <c r="E26" s="292">
        <f>'IMPORTAÇÃO GENOTIPER'!AQ22</f>
        <v>13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12</v>
      </c>
      <c r="I26" s="293">
        <f t="shared" si="1"/>
        <v>13</v>
      </c>
      <c r="J26" s="293">
        <f t="shared" si="2"/>
        <v>13</v>
      </c>
      <c r="K26" s="293">
        <f t="shared" si="3"/>
        <v>13</v>
      </c>
      <c r="L26" s="293">
        <f t="shared" si="4"/>
        <v>0</v>
      </c>
      <c r="M26" s="293">
        <f t="shared" si="5"/>
        <v>0</v>
      </c>
      <c r="N26" s="91">
        <f t="shared" si="40"/>
        <v>12</v>
      </c>
      <c r="O26" s="91">
        <f t="shared" si="41"/>
        <v>13</v>
      </c>
      <c r="P26" s="91">
        <f t="shared" si="42"/>
        <v>13</v>
      </c>
      <c r="Q26" s="91">
        <f t="shared" si="43"/>
        <v>13</v>
      </c>
      <c r="R26" s="91">
        <f t="shared" si="44"/>
        <v>0</v>
      </c>
      <c r="S26" s="91">
        <f t="shared" si="45"/>
        <v>0</v>
      </c>
      <c r="T26" s="92">
        <f t="shared" si="46"/>
        <v>13</v>
      </c>
      <c r="U26" s="92">
        <f t="shared" si="47"/>
        <v>13</v>
      </c>
      <c r="V26" s="93">
        <f>(IF((OR((P26="&gt;21"),(Q26="&gt;21"))),2,(IF(((T26+U26)=(P26+Q26)),0,1))))</f>
        <v>0</v>
      </c>
      <c r="W26" s="92">
        <f t="shared" si="50"/>
        <v>13</v>
      </c>
      <c r="X26" s="116">
        <f t="shared" si="14"/>
        <v>13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0</v>
      </c>
      <c r="AI26" s="100">
        <f t="shared" si="49"/>
        <v>0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0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13</v>
      </c>
      <c r="BK26" s="54">
        <f t="shared" si="26"/>
        <v>13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17</v>
      </c>
      <c r="C27" s="292">
        <f>'IMPORTAÇÃO GENOTIPER'!AA23</f>
        <v>18</v>
      </c>
      <c r="D27" s="292">
        <f>'IMPORTAÇÃO GENOTIPER'!AI23</f>
        <v>17</v>
      </c>
      <c r="E27" s="292">
        <f>'IMPORTAÇÃO GENOTIPER'!AQ23</f>
        <v>18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17</v>
      </c>
      <c r="I27" s="293">
        <f t="shared" si="1"/>
        <v>18</v>
      </c>
      <c r="J27" s="293">
        <f t="shared" si="2"/>
        <v>17</v>
      </c>
      <c r="K27" s="293">
        <f t="shared" si="3"/>
        <v>18</v>
      </c>
      <c r="L27" s="293">
        <f t="shared" si="4"/>
        <v>0</v>
      </c>
      <c r="M27" s="293">
        <f t="shared" si="5"/>
        <v>0</v>
      </c>
      <c r="N27" s="91">
        <f t="shared" si="40"/>
        <v>17</v>
      </c>
      <c r="O27" s="91">
        <f t="shared" si="41"/>
        <v>18</v>
      </c>
      <c r="P27" s="91">
        <f t="shared" si="42"/>
        <v>17</v>
      </c>
      <c r="Q27" s="91">
        <f t="shared" si="43"/>
        <v>18</v>
      </c>
      <c r="R27" s="91">
        <f t="shared" si="44"/>
        <v>0</v>
      </c>
      <c r="S27" s="91">
        <f t="shared" si="45"/>
        <v>0</v>
      </c>
      <c r="T27" s="92">
        <f t="shared" si="46"/>
        <v>17</v>
      </c>
      <c r="U27" s="92">
        <f t="shared" si="47"/>
        <v>18</v>
      </c>
      <c r="V27" s="93">
        <f>(IF((OR((P27="&gt;21"),(Q27="&gt;21"))),2,(IF(((T27+U27)=(P27+Q27)),0,1))))</f>
        <v>0</v>
      </c>
      <c r="W27" s="94" t="str">
        <f t="shared" si="50"/>
        <v>NÃO DEF</v>
      </c>
      <c r="X27" s="116">
        <f t="shared" si="14"/>
        <v>17</v>
      </c>
      <c r="Y27" s="92">
        <f t="shared" ref="Y27:Y42" si="52">(IF((AND((T27=0),(U27=0))),E27,(IF((W27&lt;&gt;$AJ$7),0,Q27))))</f>
        <v>18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9.6000000000000002E-2</v>
      </c>
      <c r="AC27" s="97">
        <f>IF(Y27=0,0,VLOOKUP(Y27,FREQUENCIAS!$1:$1048576,(IF(($A27=FREQUENCIAS!$T$1),20,"ERRO")),FREQUENCIAS!$1:$1048576))</f>
        <v>0.18790000000000001</v>
      </c>
      <c r="AD27" s="97"/>
      <c r="AE27" s="306"/>
      <c r="AF27" s="97"/>
      <c r="AG27" s="98">
        <f t="shared" si="34"/>
        <v>0</v>
      </c>
      <c r="AH27" s="99">
        <f t="shared" si="17"/>
        <v>0</v>
      </c>
      <c r="AI27" s="100">
        <f t="shared" si="49"/>
        <v>0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0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 t="str">
        <f t="shared" si="25"/>
        <v>NÃO DEF</v>
      </c>
      <c r="BK27" s="54" t="str">
        <f t="shared" si="26"/>
        <v>NÃO DEF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14</v>
      </c>
      <c r="C28" s="292">
        <f>'IMPORTAÇÃO GENOTIPER'!AA24</f>
        <v>14</v>
      </c>
      <c r="D28" s="292">
        <f>'IMPORTAÇÃO GENOTIPER'!AI24</f>
        <v>14</v>
      </c>
      <c r="E28" s="292">
        <f>'IMPORTAÇÃO GENOTIPER'!AQ24</f>
        <v>15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14</v>
      </c>
      <c r="I28" s="293">
        <f t="shared" si="1"/>
        <v>14</v>
      </c>
      <c r="J28" s="293">
        <f t="shared" si="2"/>
        <v>14</v>
      </c>
      <c r="K28" s="293">
        <f t="shared" si="3"/>
        <v>15</v>
      </c>
      <c r="L28" s="293">
        <f t="shared" si="4"/>
        <v>0</v>
      </c>
      <c r="M28" s="293">
        <f t="shared" si="5"/>
        <v>0</v>
      </c>
      <c r="N28" s="91">
        <f t="shared" si="40"/>
        <v>14</v>
      </c>
      <c r="O28" s="91">
        <f t="shared" si="41"/>
        <v>14</v>
      </c>
      <c r="P28" s="91">
        <f t="shared" si="42"/>
        <v>14</v>
      </c>
      <c r="Q28" s="91">
        <f t="shared" si="43"/>
        <v>15</v>
      </c>
      <c r="R28" s="91">
        <f t="shared" si="44"/>
        <v>0</v>
      </c>
      <c r="S28" s="91">
        <f t="shared" si="45"/>
        <v>0</v>
      </c>
      <c r="T28" s="92">
        <f t="shared" si="46"/>
        <v>14</v>
      </c>
      <c r="U28" s="92">
        <f t="shared" si="47"/>
        <v>0</v>
      </c>
      <c r="V28" s="93">
        <f>(IF((OR((P28="&gt;20"),(Q28="&gt;20"))),2,(IF(((T28+U28)=(P28+Q28)),0,1))))</f>
        <v>1</v>
      </c>
      <c r="W28" s="94">
        <f t="shared" si="50"/>
        <v>14</v>
      </c>
      <c r="X28" s="116">
        <f t="shared" si="14"/>
        <v>15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0.15179999999999999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0</v>
      </c>
      <c r="AI28" s="100">
        <f t="shared" si="49"/>
        <v>0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0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14</v>
      </c>
      <c r="BK28" s="54">
        <f t="shared" si="26"/>
        <v>14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26</v>
      </c>
      <c r="D29" s="292">
        <f>'IMPORTAÇÃO GENOTIPER'!AI25</f>
        <v>21</v>
      </c>
      <c r="E29" s="292">
        <f>'IMPORTAÇÃO GENOTIPER'!AQ25</f>
        <v>23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21</v>
      </c>
      <c r="I29" s="293">
        <f t="shared" si="1"/>
        <v>26</v>
      </c>
      <c r="J29" s="293">
        <f t="shared" si="2"/>
        <v>21</v>
      </c>
      <c r="K29" s="293">
        <f t="shared" si="3"/>
        <v>23</v>
      </c>
      <c r="L29" s="293">
        <f t="shared" si="4"/>
        <v>0</v>
      </c>
      <c r="M29" s="293">
        <f t="shared" si="5"/>
        <v>0</v>
      </c>
      <c r="N29" s="91">
        <f t="shared" si="40"/>
        <v>21</v>
      </c>
      <c r="O29" s="91">
        <f t="shared" si="41"/>
        <v>26</v>
      </c>
      <c r="P29" s="91">
        <f t="shared" si="42"/>
        <v>21</v>
      </c>
      <c r="Q29" s="91">
        <f t="shared" si="43"/>
        <v>23</v>
      </c>
      <c r="R29" s="91">
        <f t="shared" si="44"/>
        <v>0</v>
      </c>
      <c r="S29" s="91">
        <f t="shared" si="45"/>
        <v>0</v>
      </c>
      <c r="T29" s="92">
        <f t="shared" si="46"/>
        <v>21</v>
      </c>
      <c r="U29" s="92">
        <f t="shared" si="47"/>
        <v>0</v>
      </c>
      <c r="V29" s="93">
        <f>(IF((OR((P29="&gt;23"),(Q29="&gt;23"))),2,(IF(((T29+U29)=(P29+Q29)),0,1))))</f>
        <v>1</v>
      </c>
      <c r="W29" s="94">
        <f t="shared" si="50"/>
        <v>21</v>
      </c>
      <c r="X29" s="116">
        <f t="shared" si="14"/>
        <v>23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0.149283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0</v>
      </c>
      <c r="AI29" s="100">
        <f t="shared" si="49"/>
        <v>0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0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21</v>
      </c>
      <c r="BK29" s="54">
        <f t="shared" si="26"/>
        <v>21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17</v>
      </c>
      <c r="D30" s="292">
        <f>'IMPORTAÇÃO GENOTIPER'!AI26</f>
        <v>15</v>
      </c>
      <c r="E30" s="292">
        <f>'IMPORTAÇÃO GENOTIPER'!AQ26</f>
        <v>16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15</v>
      </c>
      <c r="I30" s="293">
        <f t="shared" si="1"/>
        <v>17</v>
      </c>
      <c r="J30" s="293">
        <f t="shared" si="2"/>
        <v>15</v>
      </c>
      <c r="K30" s="293">
        <f t="shared" si="3"/>
        <v>16</v>
      </c>
      <c r="L30" s="293">
        <f t="shared" si="4"/>
        <v>0</v>
      </c>
      <c r="M30" s="293">
        <f t="shared" si="5"/>
        <v>0</v>
      </c>
      <c r="N30" s="91">
        <f t="shared" si="40"/>
        <v>15</v>
      </c>
      <c r="O30" s="91">
        <f t="shared" si="41"/>
        <v>17</v>
      </c>
      <c r="P30" s="91">
        <f t="shared" si="42"/>
        <v>15</v>
      </c>
      <c r="Q30" s="91">
        <f t="shared" si="43"/>
        <v>16</v>
      </c>
      <c r="R30" s="91">
        <f t="shared" si="44"/>
        <v>0</v>
      </c>
      <c r="S30" s="91">
        <f t="shared" si="45"/>
        <v>0</v>
      </c>
      <c r="T30" s="92">
        <f t="shared" si="46"/>
        <v>15</v>
      </c>
      <c r="U30" s="92">
        <f t="shared" si="47"/>
        <v>0</v>
      </c>
      <c r="V30" s="93">
        <f>(IF((OR((P30="&gt;22"),(Q30="&gt;22"))),2,(IF(((T30+U30)=(P30+Q30)),0,1))))</f>
        <v>1</v>
      </c>
      <c r="W30" s="94">
        <f t="shared" si="50"/>
        <v>15</v>
      </c>
      <c r="X30" s="116">
        <f t="shared" si="14"/>
        <v>16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0</v>
      </c>
      <c r="AI30" s="100">
        <f t="shared" si="49"/>
        <v>0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0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15</v>
      </c>
      <c r="BK30" s="54">
        <f t="shared" si="26"/>
        <v>15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27" t="str">
        <f>(IF((AND(($AX$48="N"),($AX$50="O"),($AX$47&lt;=2))),($BC$47),(IF(AND(((PRODUCT(AH9:AH42))&lt;&gt;0),($AX$47&lt;=2)),PRODUCT(AH9:AH42),"NIHIL"))))</f>
        <v>NIHIL</v>
      </c>
      <c r="AH43" s="827"/>
      <c r="AI43" s="827"/>
      <c r="AJ43" s="22"/>
      <c r="AK43" s="828" t="str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NIHIL</v>
      </c>
      <c r="AL43" s="828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29" t="str">
        <f>(IF((AND(($AX$48="N"),($AX$50="O"),($AX$47&lt;=2))),(ROUNDDOWN(($AG43/($AG43+1)),11)),(IF(((PRODUCT(AH9:AH42))&lt;&gt;0),(ROUNDDOWN(($AG43/($AG43+1)),11)),"NIHIL"))))</f>
        <v>NIHIL</v>
      </c>
      <c r="AH44" s="829"/>
      <c r="AI44" s="829"/>
      <c r="AJ44" s="829"/>
      <c r="AK44" s="829"/>
      <c r="AL44" s="829"/>
      <c r="AM44" s="829"/>
      <c r="AN44" s="73"/>
      <c r="AR44" s="1" t="s">
        <v>102</v>
      </c>
      <c r="AX44" s="300" t="s">
        <v>241</v>
      </c>
      <c r="AY44" s="47" t="s">
        <v>124</v>
      </c>
      <c r="CD44" s="402" t="str">
        <f>AG44</f>
        <v>NIHIL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30" t="str">
        <f>(IF((AND(((OR(($AX$47=1),($AX$47=2)))),($AX$48="N"),($AX$50="O"))),"CÁLCULO COM OMISSÃO DE LOCUS",(IF(((PRODUCT(AH9:AH42))&lt;&gt;0),(ROUNDDOWN((1-$AK43),11)),"EXCLUSÃO"))))</f>
        <v>EXCLUSÃO</v>
      </c>
      <c r="AH45" s="830"/>
      <c r="AI45" s="830"/>
      <c r="AJ45" s="830"/>
      <c r="AK45" s="830"/>
      <c r="AL45" s="830"/>
      <c r="AM45" s="830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EXCLUSÃO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811" t="s">
        <v>223</v>
      </c>
      <c r="B47" s="812"/>
      <c r="C47" s="812"/>
      <c r="D47" s="812"/>
      <c r="E47" s="812"/>
      <c r="F47" s="812"/>
      <c r="G47" s="812"/>
      <c r="H47" s="812"/>
      <c r="I47" s="812"/>
      <c r="J47" s="812"/>
      <c r="K47" s="812"/>
      <c r="L47" s="812"/>
      <c r="M47" s="812"/>
      <c r="N47" s="812"/>
      <c r="O47" s="812"/>
      <c r="P47" s="812"/>
      <c r="Q47" s="812"/>
      <c r="R47" s="812"/>
      <c r="S47" s="812"/>
      <c r="T47" s="812"/>
      <c r="U47" s="812"/>
      <c r="V47" s="812"/>
      <c r="W47" s="812"/>
      <c r="X47" s="812"/>
      <c r="Y47" s="812"/>
      <c r="Z47" s="812"/>
      <c r="AA47" s="812"/>
      <c r="AB47" s="812"/>
      <c r="AC47" s="812"/>
      <c r="AD47" s="812"/>
      <c r="AE47" s="812"/>
      <c r="AF47" s="812"/>
      <c r="AG47" s="812"/>
      <c r="AH47" s="812"/>
      <c r="AI47" s="812"/>
      <c r="AJ47" s="812"/>
      <c r="AK47" s="812"/>
      <c r="AL47" s="812"/>
      <c r="AM47" s="812"/>
      <c r="AN47" s="813"/>
    </row>
    <row r="48" spans="1:82" ht="12" customHeight="1">
      <c r="A48" s="814"/>
      <c r="B48" s="815"/>
      <c r="C48" s="815"/>
      <c r="D48" s="815"/>
      <c r="E48" s="815"/>
      <c r="F48" s="815"/>
      <c r="G48" s="815"/>
      <c r="H48" s="815"/>
      <c r="I48" s="815"/>
      <c r="J48" s="815"/>
      <c r="K48" s="815"/>
      <c r="L48" s="815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815"/>
      <c r="X48" s="815"/>
      <c r="Y48" s="815"/>
      <c r="Z48" s="815"/>
      <c r="AA48" s="815"/>
      <c r="AB48" s="815"/>
      <c r="AC48" s="815"/>
      <c r="AD48" s="815"/>
      <c r="AE48" s="815"/>
      <c r="AF48" s="815"/>
      <c r="AG48" s="815"/>
      <c r="AH48" s="815"/>
      <c r="AI48" s="815"/>
      <c r="AJ48" s="815"/>
      <c r="AK48" s="815"/>
      <c r="AL48" s="815"/>
      <c r="AM48" s="815"/>
      <c r="AN48" s="816"/>
    </row>
    <row r="49" spans="1:74" ht="12" customHeight="1">
      <c r="A49" s="814"/>
      <c r="B49" s="815"/>
      <c r="C49" s="815"/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815"/>
      <c r="X49" s="815"/>
      <c r="Y49" s="815"/>
      <c r="Z49" s="815"/>
      <c r="AA49" s="815"/>
      <c r="AB49" s="815"/>
      <c r="AC49" s="815"/>
      <c r="AD49" s="815"/>
      <c r="AE49" s="815"/>
      <c r="AF49" s="815"/>
      <c r="AG49" s="815"/>
      <c r="AH49" s="815"/>
      <c r="AI49" s="815"/>
      <c r="AJ49" s="815"/>
      <c r="AK49" s="815"/>
      <c r="AL49" s="815"/>
      <c r="AM49" s="815"/>
      <c r="AN49" s="816"/>
    </row>
    <row r="50" spans="1:74" ht="12" customHeight="1" thickBot="1">
      <c r="A50" s="817"/>
      <c r="B50" s="818"/>
      <c r="C50" s="818"/>
      <c r="D50" s="818"/>
      <c r="E50" s="818"/>
      <c r="F50" s="818"/>
      <c r="G50" s="818"/>
      <c r="H50" s="818"/>
      <c r="I50" s="818"/>
      <c r="J50" s="818"/>
      <c r="K50" s="818"/>
      <c r="L50" s="818"/>
      <c r="M50" s="818"/>
      <c r="N50" s="818"/>
      <c r="O50" s="818"/>
      <c r="P50" s="818"/>
      <c r="Q50" s="818"/>
      <c r="R50" s="818"/>
      <c r="S50" s="818"/>
      <c r="T50" s="818"/>
      <c r="U50" s="818"/>
      <c r="V50" s="818"/>
      <c r="W50" s="818"/>
      <c r="X50" s="818"/>
      <c r="Y50" s="818"/>
      <c r="Z50" s="818"/>
      <c r="AA50" s="818"/>
      <c r="AB50" s="818"/>
      <c r="AC50" s="818"/>
      <c r="AD50" s="818"/>
      <c r="AE50" s="818"/>
      <c r="AF50" s="818"/>
      <c r="AG50" s="818"/>
      <c r="AH50" s="818"/>
      <c r="AI50" s="818"/>
      <c r="AJ50" s="818"/>
      <c r="AK50" s="818"/>
      <c r="AL50" s="818"/>
      <c r="AM50" s="818"/>
      <c r="AN50" s="819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796">
        <f ca="1">TODAY()</f>
        <v>45747</v>
      </c>
      <c r="AH56" s="796"/>
      <c r="AI56" s="796"/>
      <c r="AJ56" s="796"/>
      <c r="AK56" s="796"/>
      <c r="AL56" s="796"/>
      <c r="AM56" s="796"/>
      <c r="AN56" s="797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793" t="s">
        <v>249</v>
      </c>
      <c r="B61" s="794"/>
      <c r="C61" s="794"/>
      <c r="D61" s="794"/>
      <c r="E61" s="794"/>
      <c r="F61" s="794"/>
      <c r="G61" s="794"/>
      <c r="H61" s="794"/>
      <c r="I61" s="794"/>
      <c r="J61" s="794"/>
      <c r="K61" s="794"/>
      <c r="L61" s="794"/>
      <c r="M61" s="794"/>
      <c r="N61" s="794"/>
      <c r="O61" s="794"/>
      <c r="P61" s="794"/>
      <c r="Q61" s="794"/>
      <c r="R61" s="794"/>
      <c r="S61" s="794"/>
      <c r="T61" s="794"/>
      <c r="U61" s="794"/>
      <c r="V61" s="794"/>
      <c r="W61" s="794"/>
      <c r="X61" s="794"/>
      <c r="Y61" s="794"/>
      <c r="Z61" s="794"/>
      <c r="AA61" s="794"/>
      <c r="AB61" s="794"/>
      <c r="AC61" s="794"/>
      <c r="AD61" s="794"/>
      <c r="AE61" s="794"/>
      <c r="AF61" s="794"/>
      <c r="AG61" s="794"/>
      <c r="AH61" s="794"/>
      <c r="AI61" s="794"/>
      <c r="AJ61" s="794"/>
      <c r="AK61" s="794"/>
      <c r="AL61" s="794"/>
      <c r="AM61" s="794"/>
      <c r="AN61" s="795"/>
    </row>
    <row r="62" spans="1:74" ht="11.1" customHeight="1">
      <c r="A62" s="790" t="s">
        <v>242</v>
      </c>
      <c r="B62" s="791"/>
      <c r="C62" s="791"/>
      <c r="D62" s="791"/>
      <c r="E62" s="791"/>
      <c r="F62" s="791"/>
      <c r="G62" s="791"/>
      <c r="H62" s="791"/>
      <c r="I62" s="791"/>
      <c r="J62" s="791"/>
      <c r="K62" s="791"/>
      <c r="L62" s="791"/>
      <c r="M62" s="791"/>
      <c r="N62" s="791"/>
      <c r="O62" s="791"/>
      <c r="P62" s="791"/>
      <c r="Q62" s="791"/>
      <c r="R62" s="791"/>
      <c r="S62" s="791"/>
      <c r="T62" s="791"/>
      <c r="U62" s="791"/>
      <c r="V62" s="791"/>
      <c r="W62" s="791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2"/>
    </row>
    <row r="63" spans="1:74" ht="11.1" customHeight="1" thickBot="1">
      <c r="A63" s="787" t="s">
        <v>243</v>
      </c>
      <c r="B63" s="788"/>
      <c r="C63" s="788"/>
      <c r="D63" s="788"/>
      <c r="E63" s="788"/>
      <c r="F63" s="788"/>
      <c r="G63" s="788"/>
      <c r="H63" s="788"/>
      <c r="I63" s="788"/>
      <c r="J63" s="788"/>
      <c r="K63" s="788"/>
      <c r="L63" s="788"/>
      <c r="M63" s="788"/>
      <c r="N63" s="788"/>
      <c r="O63" s="788"/>
      <c r="P63" s="788"/>
      <c r="Q63" s="788"/>
      <c r="R63" s="788"/>
      <c r="S63" s="788"/>
      <c r="T63" s="788"/>
      <c r="U63" s="788"/>
      <c r="V63" s="788"/>
      <c r="W63" s="788"/>
      <c r="X63" s="788"/>
      <c r="Y63" s="788"/>
      <c r="Z63" s="788"/>
      <c r="AA63" s="788"/>
      <c r="AB63" s="788"/>
      <c r="AC63" s="788"/>
      <c r="AD63" s="788"/>
      <c r="AE63" s="788"/>
      <c r="AF63" s="788"/>
      <c r="AG63" s="788"/>
      <c r="AH63" s="788"/>
      <c r="AI63" s="788"/>
      <c r="AJ63" s="788"/>
      <c r="AK63" s="788"/>
      <c r="AL63" s="788"/>
      <c r="AM63" s="788"/>
      <c r="AN63" s="789"/>
    </row>
    <row r="64" spans="1:74" ht="9" hidden="1" customHeight="1" thickBot="1">
      <c r="A64" s="784"/>
      <c r="B64" s="785"/>
      <c r="C64" s="785"/>
      <c r="D64" s="785"/>
      <c r="E64" s="785"/>
      <c r="F64" s="785"/>
      <c r="G64" s="785"/>
      <c r="H64" s="785"/>
      <c r="I64" s="785"/>
      <c r="J64" s="785"/>
      <c r="K64" s="785"/>
      <c r="L64" s="785"/>
      <c r="M64" s="785"/>
      <c r="N64" s="785"/>
      <c r="O64" s="785"/>
      <c r="P64" s="785"/>
      <c r="Q64" s="785"/>
      <c r="R64" s="785"/>
      <c r="S64" s="785"/>
      <c r="T64" s="785"/>
      <c r="U64" s="785"/>
      <c r="V64" s="785"/>
      <c r="W64" s="785"/>
      <c r="X64" s="785"/>
      <c r="Y64" s="785"/>
      <c r="Z64" s="785"/>
      <c r="AA64" s="785"/>
      <c r="AB64" s="785"/>
      <c r="AC64" s="785"/>
      <c r="AD64" s="785"/>
      <c r="AE64" s="785"/>
      <c r="AF64" s="785"/>
      <c r="AG64" s="785"/>
      <c r="AH64" s="785"/>
      <c r="AI64" s="785"/>
      <c r="AJ64" s="785"/>
      <c r="AK64" s="785"/>
      <c r="AL64" s="785"/>
      <c r="AM64" s="785"/>
      <c r="AN64" s="786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64:AN64"/>
    <mergeCell ref="A63:AN63"/>
    <mergeCell ref="A62:AN62"/>
    <mergeCell ref="A61:AN61"/>
    <mergeCell ref="AG56:AN56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46" sqref="Y46:Z46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33" t="s">
        <v>203</v>
      </c>
      <c r="B1" s="834"/>
      <c r="C1" s="834"/>
      <c r="D1" s="834"/>
      <c r="E1" s="834"/>
      <c r="F1" s="834"/>
      <c r="G1" s="834"/>
      <c r="H1" s="834"/>
      <c r="I1" s="834"/>
      <c r="J1" s="834"/>
      <c r="K1" s="834"/>
      <c r="L1" s="834"/>
      <c r="M1" s="834"/>
      <c r="N1" s="834"/>
      <c r="O1" s="834"/>
      <c r="P1" s="834"/>
      <c r="Q1" s="834"/>
      <c r="R1" s="834"/>
      <c r="S1" s="834"/>
      <c r="T1" s="834"/>
      <c r="U1" s="834"/>
      <c r="V1" s="834"/>
      <c r="W1" s="834"/>
      <c r="X1" s="834"/>
      <c r="Y1" s="834"/>
      <c r="Z1" s="834"/>
      <c r="AA1" s="834"/>
      <c r="AB1" s="835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36">
        <f ca="1">TODAY()</f>
        <v>45747</v>
      </c>
      <c r="Y3" s="836"/>
      <c r="Z3" s="836"/>
      <c r="AA3" s="836"/>
      <c r="AB3" s="837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38"/>
      <c r="C5" s="838"/>
      <c r="D5" s="838"/>
      <c r="E5" s="838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39" t="s">
        <v>329</v>
      </c>
      <c r="Z5" s="839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40" t="s">
        <v>131</v>
      </c>
      <c r="C11" s="840"/>
      <c r="D11" s="840" t="s">
        <v>133</v>
      </c>
      <c r="E11" s="841"/>
      <c r="F11" s="842" t="s">
        <v>166</v>
      </c>
      <c r="G11" s="843"/>
      <c r="H11" s="844" t="s">
        <v>167</v>
      </c>
      <c r="I11" s="844"/>
      <c r="J11" s="512" t="s">
        <v>135</v>
      </c>
      <c r="K11" s="512" t="s">
        <v>136</v>
      </c>
      <c r="L11" s="512" t="s">
        <v>137</v>
      </c>
      <c r="M11" s="513" t="s">
        <v>134</v>
      </c>
      <c r="N11" s="844" t="s">
        <v>138</v>
      </c>
      <c r="O11" s="844"/>
      <c r="P11" s="844" t="s">
        <v>141</v>
      </c>
      <c r="Q11" s="844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5" t="s">
        <v>337</v>
      </c>
      <c r="AI11" s="846"/>
      <c r="AJ11" s="846"/>
      <c r="AK11" s="847"/>
      <c r="AL11" s="845" t="s">
        <v>338</v>
      </c>
      <c r="AM11" s="846"/>
      <c r="AN11" s="846"/>
      <c r="AO11" s="847"/>
      <c r="BF11" s="516">
        <f>PRODUCT(BF12:BF33)</f>
        <v>3.0903154382632598E-35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15</v>
      </c>
      <c r="C12" s="645">
        <f>'IMPORTAÇÃO GENOTIPER'!AQ5</f>
        <v>16</v>
      </c>
      <c r="D12" s="645">
        <f>'IMPORTAÇÃO GENOTIPER'!AY5</f>
        <v>0</v>
      </c>
      <c r="E12" s="646">
        <f>'IMPORTAÇÃO GENOTIPER'!BG5</f>
        <v>0</v>
      </c>
      <c r="F12" s="521">
        <f t="shared" ref="F12:F45" si="0">IF((B12&gt;C12),C12,B12)</f>
        <v>15</v>
      </c>
      <c r="G12" s="521">
        <f t="shared" ref="G12:G45" si="1">IF((C12&gt;B12),C12,B12)</f>
        <v>16</v>
      </c>
      <c r="H12" s="521">
        <f t="shared" ref="H12:H45" si="2">IF((D12&gt;E12),E12,D12)</f>
        <v>0</v>
      </c>
      <c r="I12" s="521">
        <f t="shared" ref="I12:I45" si="3">IF((E12&gt;D12),E12,D12)</f>
        <v>0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</v>
      </c>
      <c r="Y12" s="531" t="str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EXCLUI</v>
      </c>
      <c r="Z12" s="532">
        <f>IF(SUM(B12:E12)=0,0.5,IF((AND((P12=0),(Q12=0))),0,(Y12/(Y12+1))))</f>
        <v>0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85" t="e">
        <f t="shared" ref="AC12:AC45" si="10">IF(AND(($F12=$G12),($G12=$H12),($H12=$I12)),(1/$X12),(1/(4*$X12)))</f>
        <v>#DIV/0!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0.19245856740100001</v>
      </c>
      <c r="AH12" s="536">
        <f>IF(B12=0,0,VLOOKUP(B12,FREQUENCIAS!$1:$1048576,(IF(($A12=FREQUENCIAS!$B$1),2,"ERRO")),FREQUENCIAS!$1:$1048576))</f>
        <v>0.290991</v>
      </c>
      <c r="AI12" s="536"/>
      <c r="AJ12" s="536"/>
      <c r="AK12" s="537">
        <f t="shared" ref="AK12:AK45" si="13">SUM(AH12:AJ12)</f>
        <v>0.290991</v>
      </c>
      <c r="AL12" s="536">
        <f>IF(C12=0,0,VLOOKUP(C12,FREQUENCIAS!$1:$1048576,(IF(($A12=FREQUENCIAS!$B$1),2,"ERRO")),FREQUENCIAS!$1:$1048576))</f>
        <v>0.27030799999999999</v>
      </c>
      <c r="AM12" s="536"/>
      <c r="AN12" s="536"/>
      <c r="AO12" s="537">
        <f t="shared" ref="AO12:AO45" si="14">SUM(AL12:AN12)</f>
        <v>0.27030799999999999</v>
      </c>
      <c r="AV12" s="538">
        <f>IF(B12=0,0,VLOOKUP(B12,FREQUENCIAS!$1:$1048576,(IF(($A12=FREQUENCIAS!$B$1),2,"ERRO")),FREQUENCIAS!$1:$1048576))</f>
        <v>0.290991</v>
      </c>
      <c r="AW12" s="538">
        <f>IF(C12=0,0,VLOOKUP(C12,FREQUENCIAS!$1:$1048576,(IF(($A12=FREQUENCIAS!$B$1),2,"ERRO")),FREQUENCIAS!$1:$1048576))</f>
        <v>0.27030799999999999</v>
      </c>
      <c r="AX12" s="538">
        <f>IF(D12=0,0,VLOOKUP(D12,FREQUENCIAS!$1:$1048576,(IF(($A12=FREQUENCIAS!$B$1),2,"ERRO")),FREQUENCIAS!$1:$1048576))</f>
        <v>0</v>
      </c>
      <c r="AY12" s="538">
        <f>IF(E12=0,0,VLOOKUP(E12,FREQUENCIAS!$1:$1048576,(IF(($A12=FREQUENCIAS!$B$1),2,"ERRO")),FREQUENCIAS!$1:$1048576))</f>
        <v>0</v>
      </c>
      <c r="BD12" s="485">
        <f>IF((AND((F12=H12),(G12=I12))),1,0)</f>
        <v>0</v>
      </c>
      <c r="BE12" s="485">
        <f>IF((Y12="EXCLUI"),1,0)</f>
        <v>1</v>
      </c>
      <c r="BF12" s="539">
        <f t="shared" ref="BF12:BF45" si="15">(IF((AND(($B$46&lt;=1),(Y12&lt;&gt;"EXCLUI"))),Y12,(IF((AND(($B$46&lt;=1),(Y12="EXCLUI"))),$BF$46,0))))</f>
        <v>2.7E-2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17.3</v>
      </c>
      <c r="C13" s="645">
        <f>'IMPORTAÇÃO GENOTIPER'!AQ6</f>
        <v>18.3</v>
      </c>
      <c r="D13" s="645">
        <f>'IMPORTAÇÃO GENOTIPER'!AY6</f>
        <v>0</v>
      </c>
      <c r="E13" s="646">
        <f>'IMPORTAÇÃO GENOTIPER'!BG6</f>
        <v>0</v>
      </c>
      <c r="F13" s="541">
        <f t="shared" si="0"/>
        <v>17.3</v>
      </c>
      <c r="G13" s="541">
        <f t="shared" si="1"/>
        <v>18.3</v>
      </c>
      <c r="H13" s="541">
        <f t="shared" si="2"/>
        <v>0</v>
      </c>
      <c r="I13" s="541">
        <f t="shared" si="3"/>
        <v>0</v>
      </c>
      <c r="J13" s="542"/>
      <c r="K13" s="542"/>
      <c r="L13" s="542"/>
      <c r="M13" s="543"/>
      <c r="N13" s="542">
        <f t="shared" si="4"/>
        <v>0</v>
      </c>
      <c r="O13" s="542">
        <f t="shared" si="5"/>
        <v>0</v>
      </c>
      <c r="P13" s="544">
        <f t="shared" si="6"/>
        <v>0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</v>
      </c>
      <c r="Y13" s="549" t="str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EXCLUI</v>
      </c>
      <c r="Z13" s="532">
        <f t="shared" ref="Z13:Z45" si="17">IF(SUM(B13:E13)=0,0.5,IF((AND((P13=0),(Q13=0))),0,(Y13/(Y13+1))))</f>
        <v>0</v>
      </c>
      <c r="AA13" s="533"/>
      <c r="AB13" s="550" t="str">
        <f t="shared" si="9"/>
        <v>EXCLUI</v>
      </c>
      <c r="AC13" s="485" t="e">
        <f t="shared" si="10"/>
        <v>#DIV/0!</v>
      </c>
      <c r="AE13" s="485" t="str">
        <f t="shared" si="11"/>
        <v>1 / 4F</v>
      </c>
      <c r="AF13" s="535">
        <f t="shared" si="12"/>
        <v>0.66797929</v>
      </c>
      <c r="AH13" s="536">
        <f>IF(B13=0,0,VLOOKUP(B13,FREQUENCIAS!$1:$1048576,(IF(($A13=FREQUENCIAS!$C$1),3,"ERRO")),FREQUENCIAS!$1:$1048576))</f>
        <v>0.1376</v>
      </c>
      <c r="AI13" s="536"/>
      <c r="AJ13" s="536"/>
      <c r="AK13" s="537">
        <f t="shared" si="13"/>
        <v>0.1376</v>
      </c>
      <c r="AL13" s="536">
        <f>IF(C13=0,0,VLOOKUP(C13,FREQUENCIAS!$1:$1048576,(IF(($A13=FREQUENCIAS!$C$1),3,"ERRO")),FREQUENCIAS!$1:$1048576))</f>
        <v>4.5100000000000001E-2</v>
      </c>
      <c r="AM13" s="536"/>
      <c r="AN13" s="536"/>
      <c r="AO13" s="537">
        <f t="shared" si="14"/>
        <v>4.5100000000000001E-2</v>
      </c>
      <c r="AV13" s="551">
        <f>IF(B13=0,0,VLOOKUP(B13,FREQUENCIAS!$1:$1048576,(IF(($A13=FREQUENCIAS!$C$1),3,"ERRO")),FREQUENCIAS!$1:$1048576))</f>
        <v>0.1376</v>
      </c>
      <c r="AW13" s="551">
        <f>IF(C13=0,0,VLOOKUP(C13,FREQUENCIAS!$1:$1048576,(IF(($A13=FREQUENCIAS!$C$1),3,"ERRO")),FREQUENCIAS!$1:$1048576))</f>
        <v>4.5100000000000001E-2</v>
      </c>
      <c r="AX13" s="551">
        <f>IF(D13=0,0,VLOOKUP(D13,FREQUENCIAS!$1:$1048576,(IF(($A13=FREQUENCIAS!$C$1),3,"ERRO")),FREQUENCIAS!$1:$1048576))</f>
        <v>0</v>
      </c>
      <c r="AY13" s="551">
        <f>IF(E13=0,0,VLOOKUP(E13,FREQUENCIAS!$1:$1048576,(IF(($A13=FREQUENCIAS!$C$1),3,"ERRO")),FREQUENCIAS!$1:$1048576))</f>
        <v>0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1</v>
      </c>
      <c r="BF13" s="539">
        <f t="shared" si="15"/>
        <v>2.7E-2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10</v>
      </c>
      <c r="C14" s="645">
        <f>'IMPORTAÇÃO GENOTIPER'!AQ7</f>
        <v>15</v>
      </c>
      <c r="D14" s="645">
        <f>'IMPORTAÇÃO GENOTIPER'!AY7</f>
        <v>0</v>
      </c>
      <c r="E14" s="646">
        <f>'IMPORTAÇÃO GENOTIPER'!BG7</f>
        <v>0</v>
      </c>
      <c r="F14" s="541">
        <f t="shared" si="0"/>
        <v>10</v>
      </c>
      <c r="G14" s="541">
        <f t="shared" si="1"/>
        <v>15</v>
      </c>
      <c r="H14" s="541">
        <f t="shared" si="2"/>
        <v>0</v>
      </c>
      <c r="I14" s="541">
        <f t="shared" si="3"/>
        <v>0</v>
      </c>
      <c r="J14" s="542"/>
      <c r="K14" s="542"/>
      <c r="L14" s="542"/>
      <c r="M14" s="543"/>
      <c r="N14" s="542">
        <f t="shared" si="4"/>
        <v>0</v>
      </c>
      <c r="O14" s="542">
        <f t="shared" si="5"/>
        <v>0</v>
      </c>
      <c r="P14" s="544">
        <f t="shared" si="6"/>
        <v>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</v>
      </c>
      <c r="Y14" s="549" t="str">
        <f t="shared" si="16"/>
        <v>EXCLUI</v>
      </c>
      <c r="Z14" s="532">
        <f t="shared" si="17"/>
        <v>0</v>
      </c>
      <c r="AA14" s="533"/>
      <c r="AB14" s="550" t="str">
        <f t="shared" si="9"/>
        <v>EXCLUI</v>
      </c>
      <c r="AC14" s="485" t="e">
        <f t="shared" si="10"/>
        <v>#DIV/0!</v>
      </c>
      <c r="AE14" s="485" t="str">
        <f t="shared" si="11"/>
        <v>1 / 4F</v>
      </c>
      <c r="AF14" s="535">
        <f t="shared" si="12"/>
        <v>0.50694399999999995</v>
      </c>
      <c r="AH14" s="536">
        <f>IF(B14=0,0,VLOOKUP(B14,FREQUENCIAS!$1:$1048576,(IF(($A14=FREQUENCIAS!$D$1),4,"ERRO")),FREQUENCIAS!$1:$1048576))</f>
        <v>0.2611</v>
      </c>
      <c r="AI14" s="536"/>
      <c r="AJ14" s="536"/>
      <c r="AK14" s="537">
        <f t="shared" si="13"/>
        <v>0.2611</v>
      </c>
      <c r="AL14" s="536">
        <f>IF(C14=0,0,VLOOKUP(C14,FREQUENCIAS!$1:$1048576,(IF(($A14=FREQUENCIAS!$D$1),4,"ERRO")),FREQUENCIAS!$1:$1048576))</f>
        <v>2.69E-2</v>
      </c>
      <c r="AM14" s="536"/>
      <c r="AN14" s="536"/>
      <c r="AO14" s="537">
        <f t="shared" si="14"/>
        <v>2.69E-2</v>
      </c>
      <c r="AV14" s="551">
        <f>IF(B14=0,0,VLOOKUP(B14,FREQUENCIAS!$1:$1048576,(IF(($A14=FREQUENCIAS!$D$1),4,"ERRO")),FREQUENCIAS!$1:$1048576))</f>
        <v>0.2611</v>
      </c>
      <c r="AW14" s="551">
        <f>IF(C14=0,0,VLOOKUP(C14,FREQUENCIAS!$1:$1048576,(IF(($A14=FREQUENCIAS!$D$1),4,"ERRO")),FREQUENCIAS!$1:$1048576))</f>
        <v>2.69E-2</v>
      </c>
      <c r="AX14" s="551">
        <f>IF(D14=0,0,VLOOKUP(D14,FREQUENCIAS!$1:$1048576,(IF(($A14=FREQUENCIAS!$D$1),4,"ERRO")),FREQUENCIAS!$1:$1048576))</f>
        <v>0</v>
      </c>
      <c r="AY14" s="551">
        <f>IF(E14=0,0,VLOOKUP(E14,FREQUENCIAS!$1:$1048576,(IF(($A14=FREQUENCIAS!$D$1),4,"ERRO")),FREQUENCIAS!$1:$1048576))</f>
        <v>0</v>
      </c>
      <c r="BD14" s="485">
        <f t="shared" si="18"/>
        <v>0</v>
      </c>
      <c r="BE14" s="485">
        <f t="shared" si="19"/>
        <v>1</v>
      </c>
      <c r="BF14" s="539">
        <f t="shared" si="15"/>
        <v>2.7E-2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14</v>
      </c>
      <c r="C15" s="645">
        <f>'IMPORTAÇÃO GENOTIPER'!AQ8</f>
        <v>14</v>
      </c>
      <c r="D15" s="645">
        <f>'IMPORTAÇÃO GENOTIPER'!AY8</f>
        <v>0</v>
      </c>
      <c r="E15" s="646">
        <f>'IMPORTAÇÃO GENOTIPER'!BG8</f>
        <v>0</v>
      </c>
      <c r="F15" s="541">
        <f t="shared" si="0"/>
        <v>14</v>
      </c>
      <c r="G15" s="541">
        <f t="shared" si="1"/>
        <v>14</v>
      </c>
      <c r="H15" s="541">
        <f t="shared" si="2"/>
        <v>0</v>
      </c>
      <c r="I15" s="541">
        <f t="shared" si="3"/>
        <v>0</v>
      </c>
      <c r="J15" s="542"/>
      <c r="K15" s="542"/>
      <c r="L15" s="542"/>
      <c r="M15" s="542"/>
      <c r="N15" s="542">
        <f t="shared" si="4"/>
        <v>0</v>
      </c>
      <c r="O15" s="542">
        <f t="shared" si="5"/>
        <v>0</v>
      </c>
      <c r="P15" s="544">
        <f t="shared" si="6"/>
        <v>0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</v>
      </c>
      <c r="Y15" s="549" t="str">
        <f t="shared" si="16"/>
        <v>EXCLUI</v>
      </c>
      <c r="Z15" s="532">
        <f t="shared" si="17"/>
        <v>0</v>
      </c>
      <c r="AA15" s="533"/>
      <c r="AB15" s="550" t="str">
        <f t="shared" si="9"/>
        <v>EXCLUI</v>
      </c>
      <c r="AC15" s="485" t="e">
        <f t="shared" si="10"/>
        <v>#DIV/0!</v>
      </c>
      <c r="AE15" s="485" t="str">
        <f t="shared" si="11"/>
        <v>1 / 4F</v>
      </c>
      <c r="AF15" s="535">
        <f t="shared" si="12"/>
        <v>0.48330304000000007</v>
      </c>
      <c r="AH15" s="554">
        <f>IF(B15=0,0,VLOOKUP(B15,FREQUENCIAS!$1:$1048576,(IF(($A15=FREQUENCIAS!$E$1),5,"ERRO")),FREQUENCIAS!$1:$1048576))</f>
        <v>0.30480000000000002</v>
      </c>
      <c r="AI15" s="554"/>
      <c r="AJ15" s="554"/>
      <c r="AK15" s="537">
        <f t="shared" si="13"/>
        <v>0.30480000000000002</v>
      </c>
      <c r="AL15" s="554">
        <f>IF(C15=0,0,VLOOKUP(C15,FREQUENCIAS!$1:$1048576,(IF(($A15=FREQUENCIAS!$E$1),5,"ERRO")),FREQUENCIAS!$1:$1048576))</f>
        <v>0.30480000000000002</v>
      </c>
      <c r="AM15" s="554"/>
      <c r="AN15" s="554"/>
      <c r="AO15" s="537">
        <f t="shared" si="14"/>
        <v>0.30480000000000002</v>
      </c>
      <c r="AV15" s="551">
        <f>IF(B15=0,0,VLOOKUP(B15,FREQUENCIAS!$1:$1048576,(IF(($A15=FREQUENCIAS!$E$1),5,"ERRO")),FREQUENCIAS!$1:$1048576))</f>
        <v>0.30480000000000002</v>
      </c>
      <c r="AW15" s="551">
        <f>IF(C15=0,0,VLOOKUP(C15,FREQUENCIAS!$1:$1048576,(IF(($A15=FREQUENCIAS!$E$1),5,"ERRO")),FREQUENCIAS!$1:$1048576))</f>
        <v>0.30480000000000002</v>
      </c>
      <c r="AX15" s="551">
        <f>IF(D15=0,0,VLOOKUP(D15,FREQUENCIAS!$1:$1048576,(IF(($A15=FREQUENCIAS!$E$1),5,"ERRO")),FREQUENCIAS!$1:$1048576))</f>
        <v>0</v>
      </c>
      <c r="AY15" s="551">
        <f>IF(E15=0,0,VLOOKUP(E15,FREQUENCIAS!$1:$1048576,(IF(($A15=FREQUENCIAS!$E$1),5,"ERRO")),FREQUENCIAS!$1:$1048576))</f>
        <v>0</v>
      </c>
      <c r="BD15" s="485">
        <f t="shared" si="18"/>
        <v>0</v>
      </c>
      <c r="BE15" s="485">
        <f t="shared" si="19"/>
        <v>1</v>
      </c>
      <c r="BF15" s="539">
        <f t="shared" si="15"/>
        <v>2.7E-2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9</v>
      </c>
      <c r="C16" s="645">
        <f>'IMPORTAÇÃO GENOTIPER'!AQ9</f>
        <v>10</v>
      </c>
      <c r="D16" s="645">
        <f>'IMPORTAÇÃO GENOTIPER'!AY9</f>
        <v>0</v>
      </c>
      <c r="E16" s="646">
        <f>'IMPORTAÇÃO GENOTIPER'!BG9</f>
        <v>0</v>
      </c>
      <c r="F16" s="541">
        <f t="shared" si="0"/>
        <v>9</v>
      </c>
      <c r="G16" s="541">
        <f t="shared" si="1"/>
        <v>10</v>
      </c>
      <c r="H16" s="541">
        <f t="shared" si="2"/>
        <v>0</v>
      </c>
      <c r="I16" s="541">
        <f t="shared" si="3"/>
        <v>0</v>
      </c>
      <c r="J16" s="542"/>
      <c r="K16" s="542"/>
      <c r="L16" s="542"/>
      <c r="M16" s="543"/>
      <c r="N16" s="542">
        <f t="shared" si="4"/>
        <v>0</v>
      </c>
      <c r="O16" s="542">
        <f t="shared" si="5"/>
        <v>0</v>
      </c>
      <c r="P16" s="544">
        <f t="shared" si="6"/>
        <v>0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</v>
      </c>
      <c r="Y16" s="549" t="str">
        <f t="shared" si="16"/>
        <v>EXCLUI</v>
      </c>
      <c r="Z16" s="532">
        <f t="shared" si="17"/>
        <v>0</v>
      </c>
      <c r="AA16" s="533"/>
      <c r="AB16" s="550" t="str">
        <f t="shared" si="9"/>
        <v>EXCLUI</v>
      </c>
      <c r="AC16" s="485" t="e">
        <f t="shared" si="10"/>
        <v>#DIV/0!</v>
      </c>
      <c r="AD16" s="485" t="s">
        <v>174</v>
      </c>
      <c r="AE16" s="485" t="str">
        <f t="shared" si="11"/>
        <v>1 / 4F</v>
      </c>
      <c r="AF16" s="535">
        <f t="shared" si="12"/>
        <v>0.74933260959999992</v>
      </c>
      <c r="AH16" s="536">
        <f>IF(B16=0,0,VLOOKUP(B16,FREQUENCIAS!$1:$1048576,(IF(($A16=FREQUENCIAS!$F$1),6,"ERRO")),FREQUENCIAS!$1:$1048576))</f>
        <v>8.1736000000000003E-2</v>
      </c>
      <c r="AI16" s="536"/>
      <c r="AJ16" s="536"/>
      <c r="AK16" s="537">
        <f t="shared" si="13"/>
        <v>8.1736000000000003E-2</v>
      </c>
      <c r="AL16" s="536">
        <f>IF(C16=0,0,VLOOKUP(C16,FREQUENCIAS!$1:$1048576,(IF(($A16=FREQUENCIAS!$F$1),6,"ERRO")),FREQUENCIAS!$1:$1048576))</f>
        <v>5.2623999999999997E-2</v>
      </c>
      <c r="AM16" s="536"/>
      <c r="AN16" s="536"/>
      <c r="AO16" s="537">
        <f t="shared" si="14"/>
        <v>5.2623999999999997E-2</v>
      </c>
      <c r="AV16" s="551">
        <f>IF(B16=0,0,VLOOKUP(B16,FREQUENCIAS!$1:$1048576,(IF(($A16=FREQUENCIAS!$F$1),6,"ERRO")),FREQUENCIAS!$1:$1048576))</f>
        <v>8.1736000000000003E-2</v>
      </c>
      <c r="AW16" s="551">
        <f>IF(C16=0,0,VLOOKUP(C16,FREQUENCIAS!$1:$1048576,(IF(($A16=FREQUENCIAS!$F$1),6,"ERRO")),FREQUENCIAS!$1:$1048576))</f>
        <v>5.2623999999999997E-2</v>
      </c>
      <c r="AX16" s="551">
        <f>IF(D16=0,0,VLOOKUP(D16,FREQUENCIAS!$1:$1048576,(IF(($A16=FREQUENCIAS!$F$1),6,"ERRO")),FREQUENCIAS!$1:$1048576))</f>
        <v>0</v>
      </c>
      <c r="AY16" s="551">
        <f>IF(E16=0,0,VLOOKUP(E16,FREQUENCIAS!$1:$1048576,(IF(($A16=FREQUENCIAS!$F$1),6,"ERRO")),FREQUENCIAS!$1:$1048576))</f>
        <v>0</v>
      </c>
      <c r="BD16" s="485">
        <f t="shared" si="18"/>
        <v>0</v>
      </c>
      <c r="BE16" s="485">
        <f t="shared" si="19"/>
        <v>1</v>
      </c>
      <c r="BF16" s="539">
        <f t="shared" si="15"/>
        <v>2.7E-2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12</v>
      </c>
      <c r="C17" s="645">
        <f>'IMPORTAÇÃO GENOTIPER'!AQ10</f>
        <v>15</v>
      </c>
      <c r="D17" s="645">
        <f>'IMPORTAÇÃO GENOTIPER'!AY10</f>
        <v>0</v>
      </c>
      <c r="E17" s="646">
        <f>'IMPORTAÇÃO GENOTIPER'!BG10</f>
        <v>0</v>
      </c>
      <c r="F17" s="541">
        <f t="shared" si="0"/>
        <v>12</v>
      </c>
      <c r="G17" s="541">
        <f t="shared" si="1"/>
        <v>15</v>
      </c>
      <c r="H17" s="541">
        <f t="shared" si="2"/>
        <v>0</v>
      </c>
      <c r="I17" s="541">
        <f t="shared" si="3"/>
        <v>0</v>
      </c>
      <c r="J17" s="542"/>
      <c r="K17" s="542"/>
      <c r="L17" s="542"/>
      <c r="M17" s="543"/>
      <c r="N17" s="542">
        <f t="shared" si="4"/>
        <v>0</v>
      </c>
      <c r="O17" s="542">
        <f t="shared" si="5"/>
        <v>0</v>
      </c>
      <c r="P17" s="544">
        <f t="shared" si="6"/>
        <v>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</v>
      </c>
      <c r="Y17" s="549" t="str">
        <f t="shared" si="16"/>
        <v>EXCLUI</v>
      </c>
      <c r="Z17" s="532">
        <f t="shared" si="17"/>
        <v>0</v>
      </c>
      <c r="AA17" s="533"/>
      <c r="AB17" s="550" t="str">
        <f t="shared" si="9"/>
        <v>EXCLUI</v>
      </c>
      <c r="AC17" s="485" t="e">
        <f t="shared" si="10"/>
        <v>#DIV/0!</v>
      </c>
      <c r="AE17" s="485" t="str">
        <f t="shared" si="11"/>
        <v>1 / 4F</v>
      </c>
      <c r="AF17" s="535">
        <f t="shared" si="12"/>
        <v>0.84867779441641</v>
      </c>
      <c r="AH17" s="536">
        <f>IF(B17=0,0,VLOOKUP(B17,FREQUENCIAS!$1:$1048576,(IF(($A17=FREQUENCIAS!$G$1),7,"ERRO")),FREQUENCIAS!$1:$1048576))</f>
        <v>1.6804900000000001E-2</v>
      </c>
      <c r="AI17" s="536"/>
      <c r="AJ17" s="536"/>
      <c r="AK17" s="537">
        <f t="shared" si="13"/>
        <v>1.6804900000000001E-2</v>
      </c>
      <c r="AL17" s="536">
        <f>IF(C17=0,0,VLOOKUP(C17,FREQUENCIAS!$1:$1048576,(IF(($A17=FREQUENCIAS!$G$1),7,"ERRO")),FREQUENCIAS!$1:$1048576))</f>
        <v>6.1957999999999999E-2</v>
      </c>
      <c r="AM17" s="536"/>
      <c r="AN17" s="536"/>
      <c r="AO17" s="537">
        <f t="shared" si="14"/>
        <v>6.1957999999999999E-2</v>
      </c>
      <c r="AV17" s="551">
        <f>IF(B17=0,0,VLOOKUP(B17,FREQUENCIAS!$1:$1048576,(IF(($A17=FREQUENCIAS!$G$1),7,"ERRO")),FREQUENCIAS!$1:$1048576))</f>
        <v>1.6804900000000001E-2</v>
      </c>
      <c r="AW17" s="551">
        <f>IF(C17=0,0,VLOOKUP(C17,FREQUENCIAS!$1:$1048576,(IF(($A17=FREQUENCIAS!$G$1),7,"ERRO")),FREQUENCIAS!$1:$1048576))</f>
        <v>6.1957999999999999E-2</v>
      </c>
      <c r="AX17" s="551">
        <f>IF(D17=0,0,VLOOKUP(D17,FREQUENCIAS!$1:$1048576,(IF(($A17=FREQUENCIAS!$G$1),7,"ERRO")),FREQUENCIAS!$1:$1048576))</f>
        <v>0</v>
      </c>
      <c r="AY17" s="551">
        <f>IF(E17=0,0,VLOOKUP(E17,FREQUENCIAS!$1:$1048576,(IF(($A17=FREQUENCIAS!$G$1),7,"ERRO")),FREQUENCIAS!$1:$1048576))</f>
        <v>0</v>
      </c>
      <c r="BD17" s="485">
        <f t="shared" si="18"/>
        <v>0</v>
      </c>
      <c r="BE17" s="485">
        <f t="shared" si="19"/>
        <v>1</v>
      </c>
      <c r="BF17" s="539">
        <f t="shared" si="15"/>
        <v>2.7E-2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9</v>
      </c>
      <c r="C18" s="645">
        <f>'IMPORTAÇÃO GENOTIPER'!AQ11</f>
        <v>11</v>
      </c>
      <c r="D18" s="645">
        <f>'IMPORTAÇÃO GENOTIPER'!AY11</f>
        <v>0</v>
      </c>
      <c r="E18" s="646">
        <f>'IMPORTAÇÃO GENOTIPER'!BG11</f>
        <v>0</v>
      </c>
      <c r="F18" s="541">
        <f t="shared" si="0"/>
        <v>9</v>
      </c>
      <c r="G18" s="541">
        <f t="shared" si="1"/>
        <v>11</v>
      </c>
      <c r="H18" s="541">
        <f t="shared" si="2"/>
        <v>0</v>
      </c>
      <c r="I18" s="541">
        <f t="shared" si="3"/>
        <v>0</v>
      </c>
      <c r="J18" s="542"/>
      <c r="K18" s="542"/>
      <c r="L18" s="542"/>
      <c r="M18" s="543"/>
      <c r="N18" s="542">
        <f t="shared" si="4"/>
        <v>0</v>
      </c>
      <c r="O18" s="542">
        <f t="shared" si="5"/>
        <v>0</v>
      </c>
      <c r="P18" s="544">
        <f t="shared" si="6"/>
        <v>0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</v>
      </c>
      <c r="Y18" s="549" t="str">
        <f t="shared" si="16"/>
        <v>EXCLUI</v>
      </c>
      <c r="Z18" s="532">
        <f t="shared" si="17"/>
        <v>0</v>
      </c>
      <c r="AA18" s="533"/>
      <c r="AB18" s="550" t="str">
        <f t="shared" si="9"/>
        <v>EXCLUI</v>
      </c>
      <c r="AC18" s="485" t="e">
        <f t="shared" si="10"/>
        <v>#DIV/0!</v>
      </c>
      <c r="AE18" s="485" t="str">
        <f t="shared" si="11"/>
        <v>1 / 4F</v>
      </c>
      <c r="AF18" s="535">
        <f t="shared" si="12"/>
        <v>0.303624142441</v>
      </c>
      <c r="AH18" s="536">
        <f>IF(B18=0,0,VLOOKUP(B18,FREQUENCIAS!$1:$1048576,(IF(($A18=FREQUENCIAS!$H$1),8,"ERRO")),FREQUENCIAS!$1:$1048576))</f>
        <v>0.160298</v>
      </c>
      <c r="AI18" s="536"/>
      <c r="AJ18" s="536"/>
      <c r="AK18" s="537">
        <f t="shared" si="13"/>
        <v>0.160298</v>
      </c>
      <c r="AL18" s="536">
        <f>IF(C18=0,0,VLOOKUP(C18,FREQUENCIAS!$1:$1048576,(IF(($A18=FREQUENCIAS!$H$1),8,"ERRO")),FREQUENCIAS!$1:$1048576))</f>
        <v>0.28868100000000002</v>
      </c>
      <c r="AM18" s="536"/>
      <c r="AN18" s="536"/>
      <c r="AO18" s="537">
        <f t="shared" si="14"/>
        <v>0.28868100000000002</v>
      </c>
      <c r="AV18" s="551">
        <f>IF(B18=0,0,VLOOKUP(B18,FREQUENCIAS!$1:$1048576,(IF(($A18=FREQUENCIAS!$H$1),8,"ERRO")),FREQUENCIAS!$1:$1048576))</f>
        <v>0.160298</v>
      </c>
      <c r="AW18" s="551">
        <f>IF(C18=0,0,VLOOKUP(C18,FREQUENCIAS!$1:$1048576,(IF(($A18=FREQUENCIAS!$H$1),8,"ERRO")),FREQUENCIAS!$1:$1048576))</f>
        <v>0.28868100000000002</v>
      </c>
      <c r="AX18" s="551">
        <f>IF(D18=0,0,VLOOKUP(D18,FREQUENCIAS!$1:$1048576,(IF(($A18=FREQUENCIAS!$H$1),8,"ERRO")),FREQUENCIAS!$1:$1048576))</f>
        <v>0</v>
      </c>
      <c r="AY18" s="551">
        <f>IF(E18=0,0,VLOOKUP(E18,FREQUENCIAS!$1:$1048576,(IF(($A18=FREQUENCIAS!$H$1),8,"ERRO")),FREQUENCIAS!$1:$1048576))</f>
        <v>0</v>
      </c>
      <c r="BD18" s="485">
        <f t="shared" si="18"/>
        <v>0</v>
      </c>
      <c r="BE18" s="485">
        <f t="shared" si="19"/>
        <v>1</v>
      </c>
      <c r="BF18" s="539">
        <f t="shared" si="15"/>
        <v>2.7E-2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14</v>
      </c>
      <c r="C19" s="645">
        <f>'IMPORTAÇÃO GENOTIPER'!AQ12</f>
        <v>17</v>
      </c>
      <c r="D19" s="645">
        <f>'IMPORTAÇÃO GENOTIPER'!AY12</f>
        <v>0</v>
      </c>
      <c r="E19" s="646">
        <f>'IMPORTAÇÃO GENOTIPER'!BG12</f>
        <v>0</v>
      </c>
      <c r="F19" s="541">
        <f t="shared" si="0"/>
        <v>14</v>
      </c>
      <c r="G19" s="541">
        <f t="shared" si="1"/>
        <v>17</v>
      </c>
      <c r="H19" s="541">
        <f t="shared" si="2"/>
        <v>0</v>
      </c>
      <c r="I19" s="541">
        <f t="shared" si="3"/>
        <v>0</v>
      </c>
      <c r="J19" s="542"/>
      <c r="K19" s="542"/>
      <c r="L19" s="542"/>
      <c r="M19" s="543"/>
      <c r="N19" s="542">
        <f t="shared" si="4"/>
        <v>0</v>
      </c>
      <c r="O19" s="542">
        <f t="shared" si="5"/>
        <v>0</v>
      </c>
      <c r="P19" s="544">
        <f t="shared" si="6"/>
        <v>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</v>
      </c>
      <c r="Y19" s="549" t="str">
        <f t="shared" si="16"/>
        <v>EXCLUI</v>
      </c>
      <c r="Z19" s="532">
        <f t="shared" si="17"/>
        <v>0</v>
      </c>
      <c r="AA19" s="533"/>
      <c r="AB19" s="550" t="str">
        <f t="shared" si="9"/>
        <v>EXCLUI</v>
      </c>
      <c r="AC19" s="485" t="e">
        <f t="shared" si="10"/>
        <v>#DIV/0!</v>
      </c>
      <c r="AE19" s="485" t="str">
        <f t="shared" si="11"/>
        <v>1 / 4F</v>
      </c>
      <c r="AF19" s="535">
        <f t="shared" si="12"/>
        <v>0.53416072476900001</v>
      </c>
      <c r="AH19" s="536">
        <f>IF(B19=0,0,VLOOKUP(B19,FREQUENCIAS!$1:$1048576,(IF(($A19=FREQUENCIAS!$I$1),9,"ERRO")),FREQUENCIAS!$1:$1048576))</f>
        <v>0.14722199999999999</v>
      </c>
      <c r="AI19" s="536"/>
      <c r="AJ19" s="536"/>
      <c r="AK19" s="537">
        <f t="shared" si="13"/>
        <v>0.14722199999999999</v>
      </c>
      <c r="AL19" s="536">
        <f>IF(C19=0,0,VLOOKUP(C19,FREQUENCIAS!$1:$1048576,(IF(($A19=FREQUENCIAS!$I$1),9,"ERRO")),FREQUENCIAS!$1:$1048576))</f>
        <v>0.121915</v>
      </c>
      <c r="AM19" s="536"/>
      <c r="AN19" s="536"/>
      <c r="AO19" s="537">
        <f t="shared" si="14"/>
        <v>0.121915</v>
      </c>
      <c r="AV19" s="551">
        <f>IF(B19=0,0,VLOOKUP(B19,FREQUENCIAS!$1:$1048576,(IF(($A19=FREQUENCIAS!$I$1),9,"ERRO")),FREQUENCIAS!$1:$1048576))</f>
        <v>0.14722199999999999</v>
      </c>
      <c r="AW19" s="551">
        <f>IF(C19=0,0,VLOOKUP(C19,FREQUENCIAS!$1:$1048576,(IF(($A19=FREQUENCIAS!$I$1),9,"ERRO")),FREQUENCIAS!$1:$1048576))</f>
        <v>0.121915</v>
      </c>
      <c r="AX19" s="551">
        <f>IF(D19=0,0,VLOOKUP(D19,FREQUENCIAS!$1:$1048576,(IF(($A19=FREQUENCIAS!$I$1),9,"ERRO")),FREQUENCIAS!$1:$1048576))</f>
        <v>0</v>
      </c>
      <c r="AY19" s="551">
        <f>IF(E19=0,0,VLOOKUP(E19,FREQUENCIAS!$1:$1048576,(IF(($A19=FREQUENCIAS!$I$1),9,"ERRO")),FREQUENCIAS!$1:$1048576))</f>
        <v>0</v>
      </c>
      <c r="BD19" s="485">
        <f t="shared" si="18"/>
        <v>0</v>
      </c>
      <c r="BE19" s="485">
        <f t="shared" si="19"/>
        <v>1</v>
      </c>
      <c r="BF19" s="539">
        <f t="shared" si="15"/>
        <v>2.7E-2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17</v>
      </c>
      <c r="C20" s="645">
        <f>'IMPORTAÇÃO GENOTIPER'!AQ13</f>
        <v>20</v>
      </c>
      <c r="D20" s="645">
        <f>'IMPORTAÇÃO GENOTIPER'!AY13</f>
        <v>0</v>
      </c>
      <c r="E20" s="646">
        <f>'IMPORTAÇÃO GENOTIPER'!BG13</f>
        <v>0</v>
      </c>
      <c r="F20" s="541">
        <f>IF((B20&gt;C20),C20,B20)</f>
        <v>17</v>
      </c>
      <c r="G20" s="541">
        <f>IF((C20&gt;B20),C20,B20)</f>
        <v>20</v>
      </c>
      <c r="H20" s="541">
        <f t="shared" si="2"/>
        <v>0</v>
      </c>
      <c r="I20" s="541">
        <f t="shared" si="3"/>
        <v>0</v>
      </c>
      <c r="J20" s="542"/>
      <c r="K20" s="542"/>
      <c r="L20" s="542"/>
      <c r="M20" s="543"/>
      <c r="N20" s="542">
        <f t="shared" si="4"/>
        <v>0</v>
      </c>
      <c r="O20" s="542">
        <f t="shared" si="5"/>
        <v>0</v>
      </c>
      <c r="P20" s="544">
        <f t="shared" si="6"/>
        <v>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</v>
      </c>
      <c r="Y20" s="549" t="str">
        <f t="shared" si="16"/>
        <v>EXCLUI</v>
      </c>
      <c r="Z20" s="532">
        <f t="shared" si="17"/>
        <v>0</v>
      </c>
      <c r="AA20" s="533"/>
      <c r="AB20" s="550" t="str">
        <f t="shared" si="9"/>
        <v>EXCLUI</v>
      </c>
      <c r="AC20" s="485" t="e">
        <f t="shared" si="10"/>
        <v>#DIV/0!</v>
      </c>
      <c r="AD20" s="485" t="s">
        <v>339</v>
      </c>
      <c r="AE20" s="485" t="str">
        <f t="shared" si="11"/>
        <v>1 / 4F</v>
      </c>
      <c r="AF20" s="535">
        <f t="shared" si="12"/>
        <v>0.42981135999999998</v>
      </c>
      <c r="AH20" s="536">
        <f>IF(B20=0,0,VLOOKUP(B20,FREQUENCIAS!$1:$1048576,(IF(($A20=FREQUENCIAS!$J$1),10,"ERRO")),FREQUENCIAS!$1:$1048576))</f>
        <v>0.2077</v>
      </c>
      <c r="AI20" s="536"/>
      <c r="AJ20" s="536"/>
      <c r="AK20" s="537">
        <f t="shared" si="13"/>
        <v>0.2077</v>
      </c>
      <c r="AL20" s="536">
        <f>IF(C20=0,0,VLOOKUP(C20,FREQUENCIAS!$1:$1048576,(IF(($A20=FREQUENCIAS!$J$1),10,"ERRO")),FREQUENCIAS!$1:$1048576))</f>
        <v>0.13669999999999999</v>
      </c>
      <c r="AM20" s="536"/>
      <c r="AN20" s="536"/>
      <c r="AO20" s="537">
        <f t="shared" si="14"/>
        <v>0.13669999999999999</v>
      </c>
      <c r="AV20" s="551">
        <f>IF(B20=0,0,VLOOKUP(B20,FREQUENCIAS!$1:$1048576,(IF(($A20=FREQUENCIAS!$J$1),10,"ERRO")),FREQUENCIAS!$1:$1048576))</f>
        <v>0.2077</v>
      </c>
      <c r="AW20" s="551">
        <f>IF(C20=0,0,VLOOKUP(C20,FREQUENCIAS!$1:$1048576,(IF(($A20=FREQUENCIAS!$J$1),10,"ERRO")),FREQUENCIAS!$1:$1048576))</f>
        <v>0.13669999999999999</v>
      </c>
      <c r="AX20" s="551">
        <f>IF(D20=0,0,VLOOKUP(D20,FREQUENCIAS!$1:$1048576,(IF(($A20=FREQUENCIAS!$J$1),10,"ERRO")),FREQUENCIAS!$1:$1048576))</f>
        <v>0</v>
      </c>
      <c r="AY20" s="551">
        <f>IF(E20=0,0,VLOOKUP(E20,FREQUENCIAS!$1:$1048576,(IF(($A20=FREQUENCIAS!$J$1),10,"ERRO")),FREQUENCIAS!$1:$1048576))</f>
        <v>0</v>
      </c>
      <c r="BD20" s="485">
        <f t="shared" si="18"/>
        <v>0</v>
      </c>
      <c r="BE20" s="485">
        <f t="shared" si="19"/>
        <v>1</v>
      </c>
      <c r="BF20" s="539">
        <f t="shared" si="15"/>
        <v>2.7E-2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11</v>
      </c>
      <c r="C21" s="645">
        <f>'IMPORTAÇÃO GENOTIPER'!AQ14</f>
        <v>12</v>
      </c>
      <c r="D21" s="645">
        <f>'IMPORTAÇÃO GENOTIPER'!AY14</f>
        <v>0</v>
      </c>
      <c r="E21" s="646">
        <f>'IMPORTAÇÃO GENOTIPER'!BG14</f>
        <v>0</v>
      </c>
      <c r="F21" s="541">
        <f t="shared" si="0"/>
        <v>11</v>
      </c>
      <c r="G21" s="541">
        <f t="shared" si="1"/>
        <v>12</v>
      </c>
      <c r="H21" s="541">
        <f t="shared" si="2"/>
        <v>0</v>
      </c>
      <c r="I21" s="541">
        <f t="shared" si="3"/>
        <v>0</v>
      </c>
      <c r="J21" s="542"/>
      <c r="K21" s="542"/>
      <c r="L21" s="542"/>
      <c r="M21" s="543"/>
      <c r="N21" s="542">
        <f t="shared" si="4"/>
        <v>0</v>
      </c>
      <c r="O21" s="542">
        <f t="shared" si="5"/>
        <v>0</v>
      </c>
      <c r="P21" s="544">
        <f t="shared" si="6"/>
        <v>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</v>
      </c>
      <c r="Y21" s="549" t="str">
        <f t="shared" si="16"/>
        <v>EXCLUI</v>
      </c>
      <c r="Z21" s="532">
        <f t="shared" si="17"/>
        <v>0</v>
      </c>
      <c r="AA21" s="533"/>
      <c r="AB21" s="550" t="str">
        <f t="shared" si="9"/>
        <v>EXCLUI</v>
      </c>
      <c r="AC21" s="485" t="e">
        <f t="shared" si="10"/>
        <v>#DIV/0!</v>
      </c>
      <c r="AE21" s="485" t="str">
        <f t="shared" si="11"/>
        <v>1 / 4F</v>
      </c>
      <c r="AF21" s="535">
        <f t="shared" si="12"/>
        <v>0.16318691329599999</v>
      </c>
      <c r="AH21" s="536">
        <f>IF(B21=0,0,VLOOKUP(B21,FREQUENCIAS!$1:$1048576,(IF(($A21=FREQUENCIAS!$K$1),11,"ERRO")),FREQUENCIAS!$1:$1048576))</f>
        <v>0.29358499999999998</v>
      </c>
      <c r="AI21" s="536"/>
      <c r="AJ21" s="536"/>
      <c r="AK21" s="537">
        <f t="shared" si="13"/>
        <v>0.29358499999999998</v>
      </c>
      <c r="AL21" s="536">
        <f>IF(C21=0,0,VLOOKUP(C21,FREQUENCIAS!$1:$1048576,(IF(($A21=FREQUENCIAS!$K$1),11,"ERRO")),FREQUENCIAS!$1:$1048576))</f>
        <v>0.30245100000000003</v>
      </c>
      <c r="AM21" s="536"/>
      <c r="AN21" s="536"/>
      <c r="AO21" s="537">
        <f t="shared" si="14"/>
        <v>0.30245100000000003</v>
      </c>
      <c r="AV21" s="551">
        <f>IF(B21=0,0,VLOOKUP(B21,FREQUENCIAS!$1:$1048576,(IF(($A21=FREQUENCIAS!$K$1),11,"ERRO")),FREQUENCIAS!$1:$1048576))</f>
        <v>0.29358499999999998</v>
      </c>
      <c r="AW21" s="551">
        <f>IF(C21=0,0,VLOOKUP(C21,FREQUENCIAS!$1:$1048576,(IF(($A21=FREQUENCIAS!$K$1),11,"ERRO")),FREQUENCIAS!$1:$1048576))</f>
        <v>0.30245100000000003</v>
      </c>
      <c r="AX21" s="551">
        <f>IF(D21=0,0,VLOOKUP(D21,FREQUENCIAS!$1:$1048576,(IF(($A21=FREQUENCIAS!$K$1),11,"ERRO")),FREQUENCIAS!$1:$1048576))</f>
        <v>0</v>
      </c>
      <c r="AY21" s="551">
        <f>IF(E21=0,0,VLOOKUP(E21,FREQUENCIAS!$1:$1048576,(IF(($A21=FREQUENCIAS!$K$1),11,"ERRO")),FREQUENCIAS!$1:$1048576))</f>
        <v>0</v>
      </c>
      <c r="BD21" s="485">
        <f t="shared" si="18"/>
        <v>0</v>
      </c>
      <c r="BE21" s="485">
        <f t="shared" si="19"/>
        <v>1</v>
      </c>
      <c r="BF21" s="539">
        <f t="shared" si="15"/>
        <v>2.7E-2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11</v>
      </c>
      <c r="C22" s="645">
        <f>'IMPORTAÇÃO GENOTIPER'!AQ15</f>
        <v>12</v>
      </c>
      <c r="D22" s="645">
        <f>'IMPORTAÇÃO GENOTIPER'!AY15</f>
        <v>0</v>
      </c>
      <c r="E22" s="646">
        <f>'IMPORTAÇÃO GENOTIPER'!BG15</f>
        <v>0</v>
      </c>
      <c r="F22" s="541">
        <f t="shared" si="0"/>
        <v>11</v>
      </c>
      <c r="G22" s="541">
        <f t="shared" si="1"/>
        <v>12</v>
      </c>
      <c r="H22" s="541">
        <f t="shared" si="2"/>
        <v>0</v>
      </c>
      <c r="I22" s="541">
        <f t="shared" si="3"/>
        <v>0</v>
      </c>
      <c r="J22" s="542"/>
      <c r="K22" s="542"/>
      <c r="L22" s="542"/>
      <c r="M22" s="543"/>
      <c r="N22" s="542">
        <f t="shared" si="4"/>
        <v>0</v>
      </c>
      <c r="O22" s="542">
        <f t="shared" si="5"/>
        <v>0</v>
      </c>
      <c r="P22" s="544">
        <f t="shared" si="6"/>
        <v>0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</v>
      </c>
      <c r="Y22" s="549" t="str">
        <f t="shared" si="16"/>
        <v>EXCLUI</v>
      </c>
      <c r="Z22" s="532">
        <f t="shared" si="17"/>
        <v>0</v>
      </c>
      <c r="AA22" s="533"/>
      <c r="AB22" s="550" t="str">
        <f t="shared" si="9"/>
        <v>EXCLUI</v>
      </c>
      <c r="AC22" s="485" t="e">
        <f t="shared" si="10"/>
        <v>#DIV/0!</v>
      </c>
      <c r="AD22" s="485" t="s">
        <v>340</v>
      </c>
      <c r="AE22" s="485" t="str">
        <f t="shared" si="11"/>
        <v>1 / 4F</v>
      </c>
      <c r="AF22" s="535">
        <f t="shared" si="12"/>
        <v>0.45934235150400005</v>
      </c>
      <c r="AH22" s="536">
        <f>IF(B22=0,0,VLOOKUP(B22,FREQUENCIAS!$1:$1048576,(IF(($A22=FREQUENCIAS!$L$1),12,"ERRO")),FREQUENCIAS!$1:$1048576))</f>
        <v>0.15679799999999999</v>
      </c>
      <c r="AI22" s="536"/>
      <c r="AJ22" s="536"/>
      <c r="AK22" s="537">
        <f t="shared" si="13"/>
        <v>0.15679799999999999</v>
      </c>
      <c r="AL22" s="536">
        <f>IF(C22=0,0,VLOOKUP(C22,FREQUENCIAS!$1:$1048576,(IF(($A22=FREQUENCIAS!$L$1),12,"ERRO")),FREQUENCIAS!$1:$1048576))</f>
        <v>0.16545399999999999</v>
      </c>
      <c r="AM22" s="536"/>
      <c r="AN22" s="536"/>
      <c r="AO22" s="537">
        <f t="shared" si="14"/>
        <v>0.16545399999999999</v>
      </c>
      <c r="AV22" s="551">
        <f>IF(B22=0,0,VLOOKUP(B22,FREQUENCIAS!$1:$1048576,(IF(($A22=FREQUENCIAS!$L$1),12,"ERRO")),FREQUENCIAS!$1:$1048576))</f>
        <v>0.15679799999999999</v>
      </c>
      <c r="AW22" s="551">
        <f>IF(C22=0,0,VLOOKUP(C22,FREQUENCIAS!$1:$1048576,(IF(($A22=FREQUENCIAS!$L$1),12,"ERRO")),FREQUENCIAS!$1:$1048576))</f>
        <v>0.16545399999999999</v>
      </c>
      <c r="AX22" s="551">
        <f>IF(D22=0,0,VLOOKUP(D22,FREQUENCIAS!$1:$1048576,(IF(($A22=FREQUENCIAS!$L$1),12,"ERRO")),FREQUENCIAS!$1:$1048576))</f>
        <v>0</v>
      </c>
      <c r="AY22" s="551">
        <f>IF(E22=0,0,VLOOKUP(E22,FREQUENCIAS!$1:$1048576,(IF(($A22=FREQUENCIAS!$L$1),12,"ERRO")),FREQUENCIAS!$1:$1048576))</f>
        <v>0</v>
      </c>
      <c r="BD22" s="485">
        <f t="shared" si="18"/>
        <v>0</v>
      </c>
      <c r="BE22" s="485">
        <f t="shared" si="19"/>
        <v>1</v>
      </c>
      <c r="BF22" s="539">
        <f t="shared" si="15"/>
        <v>2.7E-2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8</v>
      </c>
      <c r="C23" s="645">
        <f>'IMPORTAÇÃO GENOTIPER'!AQ16</f>
        <v>9</v>
      </c>
      <c r="D23" s="645">
        <f>'IMPORTAÇÃO GENOTIPER'!AY16</f>
        <v>0</v>
      </c>
      <c r="E23" s="646">
        <f>'IMPORTAÇÃO GENOTIPER'!BG16</f>
        <v>0</v>
      </c>
      <c r="F23" s="541">
        <f t="shared" si="0"/>
        <v>8</v>
      </c>
      <c r="G23" s="541">
        <f t="shared" si="1"/>
        <v>9</v>
      </c>
      <c r="H23" s="541">
        <f t="shared" si="2"/>
        <v>0</v>
      </c>
      <c r="I23" s="541">
        <f t="shared" si="3"/>
        <v>0</v>
      </c>
      <c r="J23" s="542"/>
      <c r="K23" s="542"/>
      <c r="L23" s="542"/>
      <c r="M23" s="543"/>
      <c r="N23" s="542">
        <f t="shared" si="4"/>
        <v>0</v>
      </c>
      <c r="O23" s="542">
        <f t="shared" si="5"/>
        <v>0</v>
      </c>
      <c r="P23" s="544">
        <f t="shared" si="6"/>
        <v>0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</v>
      </c>
      <c r="Y23" s="549" t="str">
        <f t="shared" si="16"/>
        <v>EXCLUI</v>
      </c>
      <c r="Z23" s="532">
        <f t="shared" si="17"/>
        <v>0</v>
      </c>
      <c r="AA23" s="533"/>
      <c r="AB23" s="550" t="str">
        <f t="shared" si="9"/>
        <v>EXCLUI</v>
      </c>
      <c r="AC23" s="485" t="e">
        <f t="shared" si="10"/>
        <v>#DIV/0!</v>
      </c>
      <c r="AE23" s="485" t="str">
        <f t="shared" si="11"/>
        <v>1 / 4F</v>
      </c>
      <c r="AF23" s="535">
        <f t="shared" si="12"/>
        <v>0.47345821488899997</v>
      </c>
      <c r="AH23" s="536">
        <f>IF(B23=0,0,VLOOKUP(B23,FREQUENCIAS!$1:$1048576,(IF(($A23=FREQUENCIAS!$M$1),13,"ERRO")),FREQUENCIAS!$1:$1048576))</f>
        <v>0.14935399999999999</v>
      </c>
      <c r="AI23" s="536"/>
      <c r="AJ23" s="536"/>
      <c r="AK23" s="537">
        <f t="shared" si="13"/>
        <v>0.14935399999999999</v>
      </c>
      <c r="AL23" s="536">
        <f>IF(C23=0,0,VLOOKUP(C23,FREQUENCIAS!$1:$1048576,(IF(($A23=FREQUENCIAS!$M$1),13,"ERRO")),FREQUENCIAS!$1:$1048576))</f>
        <v>0.16256300000000001</v>
      </c>
      <c r="AM23" s="536"/>
      <c r="AN23" s="536"/>
      <c r="AO23" s="537">
        <f t="shared" si="14"/>
        <v>0.16256300000000001</v>
      </c>
      <c r="AV23" s="551">
        <f>IF(B23=0,0,VLOOKUP(B23,FREQUENCIAS!$1:$1048576,(IF(($A23=FREQUENCIAS!$M$1),13,"ERRO")),FREQUENCIAS!$1:$1048576))</f>
        <v>0.14935399999999999</v>
      </c>
      <c r="AW23" s="551">
        <f>IF(C23=0,0,VLOOKUP(C23,FREQUENCIAS!$1:$1048576,(IF(($A23=FREQUENCIAS!$M$1),13,"ERRO")),FREQUENCIAS!$1:$1048576))</f>
        <v>0.16256300000000001</v>
      </c>
      <c r="AX23" s="551">
        <f>IF(D23=0,0,VLOOKUP(D23,FREQUENCIAS!$1:$1048576,(IF(($A23=FREQUENCIAS!$M$1),13,"ERRO")),FREQUENCIAS!$1:$1048576))</f>
        <v>0</v>
      </c>
      <c r="AY23" s="551">
        <f>IF(E23=0,0,VLOOKUP(E23,FREQUENCIAS!$1:$1048576,(IF(($A23=FREQUENCIAS!$M$1),13,"ERRO")),FREQUENCIAS!$1:$1048576))</f>
        <v>0</v>
      </c>
      <c r="BD23" s="485">
        <f t="shared" si="18"/>
        <v>0</v>
      </c>
      <c r="BE23" s="485">
        <f t="shared" si="19"/>
        <v>1</v>
      </c>
      <c r="BF23" s="539">
        <f t="shared" si="15"/>
        <v>2.7E-2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15</v>
      </c>
      <c r="C24" s="645">
        <f>'IMPORTAÇÃO GENOTIPER'!AQ17</f>
        <v>17</v>
      </c>
      <c r="D24" s="645">
        <f>'IMPORTAÇÃO GENOTIPER'!AY17</f>
        <v>0</v>
      </c>
      <c r="E24" s="646">
        <f>'IMPORTAÇÃO GENOTIPER'!BG17</f>
        <v>0</v>
      </c>
      <c r="F24" s="541">
        <f t="shared" si="0"/>
        <v>15</v>
      </c>
      <c r="G24" s="541">
        <f t="shared" si="1"/>
        <v>17</v>
      </c>
      <c r="H24" s="541">
        <f t="shared" si="2"/>
        <v>0</v>
      </c>
      <c r="I24" s="541">
        <f t="shared" si="3"/>
        <v>0</v>
      </c>
      <c r="J24" s="542"/>
      <c r="K24" s="542"/>
      <c r="L24" s="542"/>
      <c r="M24" s="543"/>
      <c r="N24" s="542">
        <f t="shared" si="4"/>
        <v>0</v>
      </c>
      <c r="O24" s="542">
        <f t="shared" si="5"/>
        <v>0</v>
      </c>
      <c r="P24" s="544">
        <f t="shared" si="6"/>
        <v>0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</v>
      </c>
      <c r="Y24" s="549" t="str">
        <f t="shared" si="16"/>
        <v>EXCLUI</v>
      </c>
      <c r="Z24" s="532">
        <f t="shared" si="17"/>
        <v>0</v>
      </c>
      <c r="AA24" s="533"/>
      <c r="AB24" s="550" t="str">
        <f t="shared" si="9"/>
        <v>EXCLUI</v>
      </c>
      <c r="AC24" s="485" t="e">
        <f t="shared" si="10"/>
        <v>#DIV/0!</v>
      </c>
      <c r="AE24" s="485" t="str">
        <f t="shared" si="11"/>
        <v>1 / 4F</v>
      </c>
      <c r="AF24" s="535">
        <f t="shared" si="12"/>
        <v>0.36864569424399996</v>
      </c>
      <c r="AH24" s="536">
        <f>IF(B24=0,0,VLOOKUP(B24,FREQUENCIAS!$1:$1048576,(IF(($A24=FREQUENCIAS!$N$1),14,"ERRO")),FREQUENCIAS!$1:$1048576))</f>
        <v>0.13799400000000001</v>
      </c>
      <c r="AI24" s="536"/>
      <c r="AJ24" s="536"/>
      <c r="AK24" s="537">
        <f t="shared" si="13"/>
        <v>0.13799400000000001</v>
      </c>
      <c r="AL24" s="536">
        <f>IF(C24=0,0,VLOOKUP(C24,FREQUENCIAS!$1:$1048576,(IF(($A24=FREQUENCIAS!$N$1),14,"ERRO")),FREQUENCIAS!$1:$1048576))</f>
        <v>0.25484400000000001</v>
      </c>
      <c r="AM24" s="536"/>
      <c r="AN24" s="536"/>
      <c r="AO24" s="537">
        <f t="shared" si="14"/>
        <v>0.25484400000000001</v>
      </c>
      <c r="AV24" s="551">
        <f>IF(B24=0,0,VLOOKUP(B24,FREQUENCIAS!$1:$1048576,(IF(($A24=FREQUENCIAS!$N$1),14,"ERRO")),FREQUENCIAS!$1:$1048576))</f>
        <v>0.13799400000000001</v>
      </c>
      <c r="AW24" s="551">
        <f>IF(C24=0,0,VLOOKUP(C24,FREQUENCIAS!$1:$1048576,(IF(($A24=FREQUENCIAS!$N$1),14,"ERRO")),FREQUENCIAS!$1:$1048576))</f>
        <v>0.25484400000000001</v>
      </c>
      <c r="AX24" s="551">
        <f>IF(D24=0,0,VLOOKUP(D24,FREQUENCIAS!$1:$1048576,(IF(($A24=FREQUENCIAS!$N$1),14,"ERRO")),FREQUENCIAS!$1:$1048576))</f>
        <v>0</v>
      </c>
      <c r="AY24" s="551">
        <f>IF(E24=0,0,VLOOKUP(E24,FREQUENCIAS!$1:$1048576,(IF(($A24=FREQUENCIAS!$N$1),14,"ERRO")),FREQUENCIAS!$1:$1048576))</f>
        <v>0</v>
      </c>
      <c r="BD24" s="485">
        <f t="shared" si="18"/>
        <v>0</v>
      </c>
      <c r="BE24" s="485">
        <f t="shared" si="19"/>
        <v>1</v>
      </c>
      <c r="BF24" s="539">
        <f t="shared" si="15"/>
        <v>2.7E-2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30</v>
      </c>
      <c r="C25" s="645">
        <f>'IMPORTAÇÃO GENOTIPER'!AQ18</f>
        <v>33.200000000000003</v>
      </c>
      <c r="D25" s="645">
        <f>'IMPORTAÇÃO GENOTIPER'!AY18</f>
        <v>0</v>
      </c>
      <c r="E25" s="646">
        <f>'IMPORTAÇÃO GENOTIPER'!BG18</f>
        <v>0</v>
      </c>
      <c r="F25" s="541">
        <f t="shared" si="0"/>
        <v>30</v>
      </c>
      <c r="G25" s="541">
        <f t="shared" si="1"/>
        <v>33.200000000000003</v>
      </c>
      <c r="H25" s="541">
        <f t="shared" si="2"/>
        <v>0</v>
      </c>
      <c r="I25" s="541">
        <f t="shared" si="3"/>
        <v>0</v>
      </c>
      <c r="J25" s="542"/>
      <c r="K25" s="542"/>
      <c r="L25" s="542"/>
      <c r="M25" s="543"/>
      <c r="N25" s="542">
        <f t="shared" si="4"/>
        <v>0</v>
      </c>
      <c r="O25" s="542">
        <f t="shared" si="5"/>
        <v>0</v>
      </c>
      <c r="P25" s="544">
        <f t="shared" si="6"/>
        <v>0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</v>
      </c>
      <c r="Y25" s="549" t="str">
        <f t="shared" si="16"/>
        <v>EXCLUI</v>
      </c>
      <c r="Z25" s="532">
        <f t="shared" si="17"/>
        <v>0</v>
      </c>
      <c r="AA25" s="533"/>
      <c r="AB25" s="550" t="str">
        <f t="shared" si="9"/>
        <v>EXCLUI</v>
      </c>
      <c r="AC25" s="485" t="e">
        <f t="shared" si="10"/>
        <v>#DIV/0!</v>
      </c>
      <c r="AE25" s="485" t="str">
        <f t="shared" si="11"/>
        <v>1 / 4F</v>
      </c>
      <c r="AF25" s="535">
        <f t="shared" si="12"/>
        <v>0.54743129299600002</v>
      </c>
      <c r="AH25" s="536">
        <f>IF(B25=0,0,VLOOKUP(B25,FREQUENCIAS!$1:$1048576,(IF(($A25=FREQUENCIAS!$O$1),15,"ERRO")),FREQUENCIAS!$1:$1048576))</f>
        <v>0.231679</v>
      </c>
      <c r="AI25" s="536"/>
      <c r="AJ25" s="536"/>
      <c r="AK25" s="537">
        <f t="shared" si="13"/>
        <v>0.231679</v>
      </c>
      <c r="AL25" s="536">
        <f>IF(C25=0,0,VLOOKUP(C25,FREQUENCIAS!$1:$1048576,(IF(($A25=FREQUENCIAS!$O$1),15,"ERRO")),FREQUENCIAS!$1:$1048576))</f>
        <v>2.8434999999999998E-2</v>
      </c>
      <c r="AM25" s="536"/>
      <c r="AN25" s="536"/>
      <c r="AO25" s="537">
        <f t="shared" si="14"/>
        <v>2.8434999999999998E-2</v>
      </c>
      <c r="AV25" s="551">
        <f>IF(B25=0,0,VLOOKUP(B25,FREQUENCIAS!$1:$1048576,(IF(($A25=FREQUENCIAS!$O$1),15,"ERRO")),FREQUENCIAS!$1:$1048576))</f>
        <v>0.231679</v>
      </c>
      <c r="AW25" s="551">
        <f>IF(C25=0,0,VLOOKUP(C25,FREQUENCIAS!$1:$1048576,(IF(($A25=FREQUENCIAS!$O$1),15,"ERRO")),FREQUENCIAS!$1:$1048576))</f>
        <v>2.8434999999999998E-2</v>
      </c>
      <c r="AX25" s="551">
        <f>IF(D25=0,0,VLOOKUP(D25,FREQUENCIAS!$1:$1048576,(IF(($A25=FREQUENCIAS!$O$1),15,"ERRO")),FREQUENCIAS!$1:$1048576))</f>
        <v>0</v>
      </c>
      <c r="AY25" s="551">
        <f>IF(E25=0,0,VLOOKUP(E25,FREQUENCIAS!$1:$1048576,(IF(($A25=FREQUENCIAS!$O$1),15,"ERRO")),FREQUENCIAS!$1:$1048576))</f>
        <v>0</v>
      </c>
      <c r="BD25" s="485">
        <f t="shared" si="18"/>
        <v>0</v>
      </c>
      <c r="BE25" s="485">
        <f t="shared" si="19"/>
        <v>1</v>
      </c>
      <c r="BF25" s="539">
        <f t="shared" si="15"/>
        <v>2.7E-2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10</v>
      </c>
      <c r="C26" s="645">
        <f>'IMPORTAÇÃO GENOTIPER'!AQ19</f>
        <v>11</v>
      </c>
      <c r="D26" s="645">
        <f>'IMPORTAÇÃO GENOTIPER'!AY19</f>
        <v>0</v>
      </c>
      <c r="E26" s="646">
        <f>'IMPORTAÇÃO GENOTIPER'!BG19</f>
        <v>0</v>
      </c>
      <c r="F26" s="541">
        <f t="shared" si="0"/>
        <v>10</v>
      </c>
      <c r="G26" s="541">
        <f t="shared" si="1"/>
        <v>11</v>
      </c>
      <c r="H26" s="541">
        <f t="shared" si="2"/>
        <v>0</v>
      </c>
      <c r="I26" s="541">
        <f t="shared" si="3"/>
        <v>0</v>
      </c>
      <c r="J26" s="542"/>
      <c r="K26" s="542"/>
      <c r="L26" s="542"/>
      <c r="M26" s="543"/>
      <c r="N26" s="542">
        <f t="shared" si="4"/>
        <v>0</v>
      </c>
      <c r="O26" s="542">
        <f t="shared" si="5"/>
        <v>0</v>
      </c>
      <c r="P26" s="544">
        <f t="shared" si="6"/>
        <v>0</v>
      </c>
      <c r="Q26" s="545">
        <f t="shared" si="7"/>
        <v>0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</v>
      </c>
      <c r="Y26" s="549" t="str">
        <f t="shared" si="16"/>
        <v>EXCLUI</v>
      </c>
      <c r="Z26" s="532">
        <f t="shared" si="17"/>
        <v>0</v>
      </c>
      <c r="AA26" s="555"/>
      <c r="AB26" s="550" t="str">
        <f t="shared" si="9"/>
        <v>EXCLUI</v>
      </c>
      <c r="AC26" s="485" t="e">
        <f t="shared" si="10"/>
        <v>#DIV/0!</v>
      </c>
      <c r="AD26" s="485" t="s">
        <v>339</v>
      </c>
      <c r="AE26" s="485" t="str">
        <f t="shared" si="11"/>
        <v>1 / 4F</v>
      </c>
      <c r="AF26" s="535">
        <f t="shared" si="12"/>
        <v>0.23873582323599998</v>
      </c>
      <c r="AH26" s="536">
        <f>IF(B26=0,0,VLOOKUP(B26,FREQUENCIAS!$1:$1048576,(IF(($A26=FREQUENCIAS!$P$1),16,"ERRO")),FREQUENCIAS!$1:$1048576))</f>
        <v>0.275034</v>
      </c>
      <c r="AI26" s="536"/>
      <c r="AJ26" s="536"/>
      <c r="AK26" s="537">
        <f t="shared" si="13"/>
        <v>0.275034</v>
      </c>
      <c r="AL26" s="536">
        <f>IF(C26=0,0,VLOOKUP(C26,FREQUENCIAS!$1:$1048576,(IF(($A26=FREQUENCIAS!$P$1),16,"ERRO")),FREQUENCIAS!$1:$1048576))</f>
        <v>0.23635999999999999</v>
      </c>
      <c r="AM26" s="536"/>
      <c r="AN26" s="536"/>
      <c r="AO26" s="537">
        <f t="shared" si="14"/>
        <v>0.23635999999999999</v>
      </c>
      <c r="AV26" s="551">
        <f>IF(B26=0,0,VLOOKUP(B26,FREQUENCIAS!$1:$1048576,(IF(($A26=FREQUENCIAS!$P$1),16,"ERRO")),FREQUENCIAS!$1:$1048576))</f>
        <v>0.275034</v>
      </c>
      <c r="AW26" s="551">
        <f>IF(C26=0,0,VLOOKUP(C26,FREQUENCIAS!$1:$1048576,(IF(($A26=FREQUENCIAS!$P$1),16,"ERRO")),FREQUENCIAS!$1:$1048576))</f>
        <v>0.23635999999999999</v>
      </c>
      <c r="AX26" s="551">
        <f>IF(D26=0,0,VLOOKUP(D26,FREQUENCIAS!$1:$1048576,(IF(($A26=FREQUENCIAS!$P$1),16,"ERRO")),FREQUENCIAS!$1:$1048576))</f>
        <v>0</v>
      </c>
      <c r="AY26" s="551">
        <f>IF(E26=0,0,VLOOKUP(E26,FREQUENCIAS!$1:$1048576,(IF(($A26=FREQUENCIAS!$P$1),16,"ERRO")),FREQUENCIAS!$1:$1048576))</f>
        <v>0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0</v>
      </c>
      <c r="BE26" s="485">
        <f t="shared" si="19"/>
        <v>1</v>
      </c>
      <c r="BF26" s="539">
        <f t="shared" si="15"/>
        <v>2.7E-2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11</v>
      </c>
      <c r="C27" s="645">
        <f>'IMPORTAÇÃO GENOTIPER'!AQ20</f>
        <v>12</v>
      </c>
      <c r="D27" s="645">
        <f>'IMPORTAÇÃO GENOTIPER'!AY20</f>
        <v>0</v>
      </c>
      <c r="E27" s="646">
        <f>'IMPORTAÇÃO GENOTIPER'!BG20</f>
        <v>0</v>
      </c>
      <c r="F27" s="541">
        <f t="shared" si="0"/>
        <v>11</v>
      </c>
      <c r="G27" s="541">
        <f t="shared" si="1"/>
        <v>12</v>
      </c>
      <c r="H27" s="541">
        <f t="shared" si="2"/>
        <v>0</v>
      </c>
      <c r="I27" s="541">
        <f t="shared" si="3"/>
        <v>0</v>
      </c>
      <c r="J27" s="542"/>
      <c r="K27" s="542"/>
      <c r="L27" s="542"/>
      <c r="M27" s="543"/>
      <c r="N27" s="542">
        <f t="shared" si="4"/>
        <v>0</v>
      </c>
      <c r="O27" s="542">
        <f t="shared" si="5"/>
        <v>0</v>
      </c>
      <c r="P27" s="544">
        <f t="shared" si="6"/>
        <v>0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</v>
      </c>
      <c r="Y27" s="549" t="str">
        <f t="shared" si="16"/>
        <v>EXCLUI</v>
      </c>
      <c r="Z27" s="532">
        <f t="shared" si="17"/>
        <v>0</v>
      </c>
      <c r="AA27" s="556"/>
      <c r="AB27" s="550" t="str">
        <f t="shared" si="9"/>
        <v>EXCLUI</v>
      </c>
      <c r="AC27" s="485" t="e">
        <f t="shared" si="10"/>
        <v>#DIV/0!</v>
      </c>
      <c r="AD27" s="485" t="s">
        <v>339</v>
      </c>
      <c r="AE27" s="485" t="str">
        <f t="shared" si="11"/>
        <v>1 / 4F</v>
      </c>
      <c r="AF27" s="535">
        <f t="shared" si="12"/>
        <v>0.105339842721</v>
      </c>
      <c r="AH27" s="536">
        <f>IF(B27=0,0,VLOOKUP(B27,FREQUENCIAS!$1:$1048576,(IF(($A27=FREQUENCIAS!$Q$1),17,"ERRO")),FREQUENCIAS!$1:$1048576))</f>
        <v>0.32906299999999999</v>
      </c>
      <c r="AI27" s="536"/>
      <c r="AJ27" s="536"/>
      <c r="AK27" s="537">
        <f t="shared" si="13"/>
        <v>0.32906299999999999</v>
      </c>
      <c r="AL27" s="536">
        <f>IF(C27=0,0,VLOOKUP(C27,FREQUENCIAS!$1:$1048576,(IF(($A27=FREQUENCIAS!$Q$1),17,"ERRO")),FREQUENCIAS!$1:$1048576))</f>
        <v>0.34637600000000002</v>
      </c>
      <c r="AM27" s="536"/>
      <c r="AN27" s="536"/>
      <c r="AO27" s="537">
        <f t="shared" si="14"/>
        <v>0.34637600000000002</v>
      </c>
      <c r="AV27" s="551">
        <f>IF(B27=0,0,VLOOKUP(B27,FREQUENCIAS!$1:$1048576,(IF(($A27=FREQUENCIAS!$Q$1),17,"ERRO")),FREQUENCIAS!$1:$1048576))</f>
        <v>0.32906299999999999</v>
      </c>
      <c r="AW27" s="551">
        <f>IF(C27=0,0,VLOOKUP(C27,FREQUENCIAS!$1:$1048576,(IF(($A27=FREQUENCIAS!$Q$1),17,"ERRO")),FREQUENCIAS!$1:$1048576))</f>
        <v>0.34637600000000002</v>
      </c>
      <c r="AX27" s="551">
        <f>IF(D27=0,0,VLOOKUP(D27,FREQUENCIAS!$1:$1048576,(IF(($A27=FREQUENCIAS!$Q$1),17,"ERRO")),FREQUENCIAS!$1:$1048576))</f>
        <v>0</v>
      </c>
      <c r="AY27" s="551">
        <f>IF(E27=0,0,VLOOKUP(E27,FREQUENCIAS!$1:$1048576,(IF(($A27=FREQUENCIAS!$Q$1),17,"ERRO")),FREQUENCIAS!$1:$1048576))</f>
        <v>0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0</v>
      </c>
      <c r="BE27" s="485">
        <f t="shared" si="19"/>
        <v>1</v>
      </c>
      <c r="BF27" s="539">
        <f t="shared" si="15"/>
        <v>2.7E-2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8</v>
      </c>
      <c r="D28" s="645">
        <f>'IMPORTAÇÃO GENOTIPER'!AY21</f>
        <v>0</v>
      </c>
      <c r="E28" s="646">
        <f>'IMPORTAÇÃO GENOTIPER'!BG21</f>
        <v>0</v>
      </c>
      <c r="F28" s="541">
        <f t="shared" si="0"/>
        <v>8</v>
      </c>
      <c r="G28" s="541">
        <f t="shared" si="1"/>
        <v>8</v>
      </c>
      <c r="H28" s="541">
        <f t="shared" si="2"/>
        <v>0</v>
      </c>
      <c r="I28" s="541">
        <f t="shared" si="3"/>
        <v>0</v>
      </c>
      <c r="J28" s="542"/>
      <c r="K28" s="542"/>
      <c r="L28" s="542"/>
      <c r="M28" s="543"/>
      <c r="N28" s="542">
        <f t="shared" si="4"/>
        <v>0</v>
      </c>
      <c r="O28" s="542">
        <f t="shared" si="5"/>
        <v>0</v>
      </c>
      <c r="P28" s="544">
        <f t="shared" si="6"/>
        <v>0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</v>
      </c>
      <c r="Y28" s="549" t="str">
        <f t="shared" si="16"/>
        <v>EXCLUI</v>
      </c>
      <c r="Z28" s="532">
        <f t="shared" si="17"/>
        <v>0</v>
      </c>
      <c r="AA28" s="556"/>
      <c r="AB28" s="550" t="str">
        <f t="shared" si="9"/>
        <v>EXCLUI</v>
      </c>
      <c r="AC28" s="485" t="e">
        <f t="shared" si="10"/>
        <v>#DIV/0!</v>
      </c>
      <c r="AD28" s="485" t="s">
        <v>339</v>
      </c>
      <c r="AE28" s="485" t="str">
        <f t="shared" si="11"/>
        <v>1 / 4F</v>
      </c>
      <c r="AF28" s="535">
        <f t="shared" si="12"/>
        <v>0.29608616304400004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0.45586199999999999</v>
      </c>
      <c r="AM28" s="536"/>
      <c r="AN28" s="536"/>
      <c r="AO28" s="537">
        <f t="shared" si="14"/>
        <v>0.45586199999999999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0.45586199999999999</v>
      </c>
      <c r="AX28" s="551">
        <f>IF(D28=0,0,VLOOKUP(D28,FREQUENCIAS!$1:$1048576,(IF(($A28=FREQUENCIAS!$R$1),18,"ERRO")),FREQUENCIAS!$1:$1048576))</f>
        <v>0</v>
      </c>
      <c r="AY28" s="551">
        <f>IF(E28=0,0,VLOOKUP(E28,FREQUENCIAS!$1:$1048576,(IF(($A28=FREQUENCIAS!$R$1),18,"ERRO")),FREQUENCIAS!$1:$1048576))</f>
        <v>0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1</v>
      </c>
      <c r="BF28" s="539">
        <f t="shared" si="15"/>
        <v>2.7E-2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13</v>
      </c>
      <c r="C29" s="645">
        <f>'IMPORTAÇÃO GENOTIPER'!AQ22</f>
        <v>13</v>
      </c>
      <c r="D29" s="645">
        <f>'IMPORTAÇÃO GENOTIPER'!AY22</f>
        <v>0</v>
      </c>
      <c r="E29" s="646">
        <f>'IMPORTAÇÃO GENOTIPER'!BG22</f>
        <v>0</v>
      </c>
      <c r="F29" s="541">
        <f t="shared" si="0"/>
        <v>13</v>
      </c>
      <c r="G29" s="541">
        <f t="shared" si="1"/>
        <v>13</v>
      </c>
      <c r="H29" s="541">
        <f t="shared" si="2"/>
        <v>0</v>
      </c>
      <c r="I29" s="541">
        <f t="shared" si="3"/>
        <v>0</v>
      </c>
      <c r="J29" s="542"/>
      <c r="K29" s="542"/>
      <c r="L29" s="542"/>
      <c r="M29" s="543"/>
      <c r="N29" s="542">
        <f t="shared" si="4"/>
        <v>0</v>
      </c>
      <c r="O29" s="542">
        <f t="shared" si="5"/>
        <v>0</v>
      </c>
      <c r="P29" s="544">
        <f t="shared" si="6"/>
        <v>0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</v>
      </c>
      <c r="Y29" s="549" t="str">
        <f t="shared" si="16"/>
        <v>EXCLUI</v>
      </c>
      <c r="Z29" s="532">
        <f t="shared" si="17"/>
        <v>0</v>
      </c>
      <c r="AA29" s="556"/>
      <c r="AB29" s="550" t="str">
        <f t="shared" si="9"/>
        <v>EXCLUI</v>
      </c>
      <c r="AC29" s="485" t="e">
        <f t="shared" si="10"/>
        <v>#DIV/0!</v>
      </c>
      <c r="AD29" s="485" t="s">
        <v>339</v>
      </c>
      <c r="AE29" s="485" t="str">
        <f t="shared" si="11"/>
        <v>1 / 4F</v>
      </c>
      <c r="AF29" s="535">
        <f t="shared" si="12"/>
        <v>0.52032851024400006</v>
      </c>
      <c r="AH29" s="536">
        <f>IF(B29=0,0,VLOOKUP(B29,FREQUENCIAS!$1:$1048576,(IF(($A29=FREQUENCIAS!$S$1),19,"ERRO")),FREQUENCIAS!$1:$1048576))</f>
        <v>0.27866200000000002</v>
      </c>
      <c r="AI29" s="536"/>
      <c r="AJ29" s="536"/>
      <c r="AK29" s="537">
        <f t="shared" si="13"/>
        <v>0.27866200000000002</v>
      </c>
      <c r="AL29" s="536">
        <f>IF(C29=0,0,VLOOKUP(C29,FREQUENCIAS!$1:$1048576,(IF(($A29=FREQUENCIAS!$S$1),19,"ERRO")),FREQUENCIAS!$1:$1048576))</f>
        <v>0.27866200000000002</v>
      </c>
      <c r="AM29" s="536"/>
      <c r="AN29" s="536"/>
      <c r="AO29" s="537">
        <f t="shared" si="14"/>
        <v>0.27866200000000002</v>
      </c>
      <c r="AV29" s="551">
        <f>IF(B29=0,0,VLOOKUP(B29,FREQUENCIAS!$1:$1048576,(IF(($A29=FREQUENCIAS!$S$1),19,"ERRO")),FREQUENCIAS!$1:$1048576))</f>
        <v>0.27866200000000002</v>
      </c>
      <c r="AW29" s="551">
        <f>IF(C29=0,0,VLOOKUP(C29,FREQUENCIAS!$1:$1048576,(IF(($A29=FREQUENCIAS!$S$1),19,"ERRO")),FREQUENCIAS!$1:$1048576))</f>
        <v>0.27866200000000002</v>
      </c>
      <c r="AX29" s="551">
        <f>IF(D29=0,0,VLOOKUP(D29,FREQUENCIAS!$1:$1048576,(IF(($A29=FREQUENCIAS!$S$1),19,"ERRO")),FREQUENCIAS!$1:$1048576))</f>
        <v>0</v>
      </c>
      <c r="AY29" s="551">
        <f>IF(E29=0,0,VLOOKUP(E29,FREQUENCIAS!$1:$1048576,(IF(($A29=FREQUENCIAS!$S$1),19,"ERRO")),FREQUENCIAS!$1:$1048576))</f>
        <v>0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0</v>
      </c>
      <c r="BE29" s="485">
        <f t="shared" si="19"/>
        <v>1</v>
      </c>
      <c r="BF29" s="539">
        <f t="shared" si="15"/>
        <v>2.7E-2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17</v>
      </c>
      <c r="C30" s="645">
        <f>'IMPORTAÇÃO GENOTIPER'!AQ23</f>
        <v>18</v>
      </c>
      <c r="D30" s="645">
        <f>'IMPORTAÇÃO GENOTIPER'!AY23</f>
        <v>0</v>
      </c>
      <c r="E30" s="646">
        <f>'IMPORTAÇÃO GENOTIPER'!BG23</f>
        <v>0</v>
      </c>
      <c r="F30" s="541">
        <f t="shared" si="0"/>
        <v>17</v>
      </c>
      <c r="G30" s="541">
        <f t="shared" si="1"/>
        <v>18</v>
      </c>
      <c r="H30" s="541">
        <f t="shared" si="2"/>
        <v>0</v>
      </c>
      <c r="I30" s="541">
        <f t="shared" si="3"/>
        <v>0</v>
      </c>
      <c r="J30" s="542"/>
      <c r="K30" s="542"/>
      <c r="L30" s="542"/>
      <c r="M30" s="543"/>
      <c r="N30" s="542">
        <f t="shared" si="4"/>
        <v>0</v>
      </c>
      <c r="O30" s="542">
        <f t="shared" si="5"/>
        <v>0</v>
      </c>
      <c r="P30" s="544">
        <f t="shared" si="6"/>
        <v>0</v>
      </c>
      <c r="Q30" s="545">
        <f t="shared" si="7"/>
        <v>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</v>
      </c>
      <c r="V30" s="547"/>
      <c r="W30" s="529" t="str">
        <f t="shared" si="8"/>
        <v>OK</v>
      </c>
      <c r="X30" s="548">
        <f t="shared" si="20"/>
        <v>0</v>
      </c>
      <c r="Y30" s="549" t="str">
        <f t="shared" si="16"/>
        <v>EXCLUI</v>
      </c>
      <c r="Z30" s="532">
        <f t="shared" si="17"/>
        <v>0</v>
      </c>
      <c r="AA30" s="556"/>
      <c r="AB30" s="550" t="str">
        <f t="shared" si="9"/>
        <v>EXCLUI</v>
      </c>
      <c r="AC30" s="485" t="e">
        <f t="shared" si="10"/>
        <v>#DIV/0!</v>
      </c>
      <c r="AD30" s="485" t="s">
        <v>339</v>
      </c>
      <c r="AE30" s="485" t="str">
        <f t="shared" si="11"/>
        <v>1 / 4F</v>
      </c>
      <c r="AF30" s="535">
        <f t="shared" si="12"/>
        <v>0.51279920999999995</v>
      </c>
      <c r="AH30" s="536">
        <f>IF(B30=0,0,VLOOKUP(B30,FREQUENCIAS!$1:$1048576,(IF(($A30=FREQUENCIAS!$T$1),20,"ERRO")),FREQUENCIAS!$1:$1048576))</f>
        <v>9.6000000000000002E-2</v>
      </c>
      <c r="AI30" s="536"/>
      <c r="AJ30" s="536"/>
      <c r="AK30" s="537">
        <f t="shared" si="13"/>
        <v>9.6000000000000002E-2</v>
      </c>
      <c r="AL30" s="536">
        <f>IF(C30=0,0,VLOOKUP(C30,FREQUENCIAS!$1:$1048576,(IF(($A30=FREQUENCIAS!$T$1),20,"ERRO")),FREQUENCIAS!$1:$1048576))</f>
        <v>0.18790000000000001</v>
      </c>
      <c r="AM30" s="536"/>
      <c r="AN30" s="536"/>
      <c r="AO30" s="537">
        <f t="shared" si="14"/>
        <v>0.18790000000000001</v>
      </c>
      <c r="AV30" s="551">
        <f>IF(B30=0,0,VLOOKUP(B30,FREQUENCIAS!$1:$1048576,(IF(($A30=FREQUENCIAS!$T$1),20,"ERRO")),FREQUENCIAS!$1:$1048576))</f>
        <v>9.6000000000000002E-2</v>
      </c>
      <c r="AW30" s="551">
        <f>IF(C30=0,0,VLOOKUP(C30,FREQUENCIAS!$1:$1048576,(IF(($A30=FREQUENCIAS!$T$1),20,"ERRO")),FREQUENCIAS!$1:$1048576))</f>
        <v>0.18790000000000001</v>
      </c>
      <c r="AX30" s="551">
        <f>IF(D30=0,0,VLOOKUP(D30,FREQUENCIAS!$1:$1048576,(IF(($A30=FREQUENCIAS!$T$1),20,"ERRO")),FREQUENCIAS!$1:$1048576))</f>
        <v>0</v>
      </c>
      <c r="AY30" s="551">
        <f>IF(E30=0,0,VLOOKUP(E30,FREQUENCIAS!$1:$1048576,(IF(($A30=FREQUENCIAS!$T$1),20,"ERRO")),FREQUENCIAS!$1:$1048576))</f>
        <v>0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1</v>
      </c>
      <c r="BF30" s="539">
        <f t="shared" si="15"/>
        <v>2.7E-2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14</v>
      </c>
      <c r="C31" s="645">
        <f>'IMPORTAÇÃO GENOTIPER'!AQ24</f>
        <v>15</v>
      </c>
      <c r="D31" s="645">
        <f>'IMPORTAÇÃO GENOTIPER'!AY24</f>
        <v>0</v>
      </c>
      <c r="E31" s="646">
        <f>'IMPORTAÇÃO GENOTIPER'!BG24</f>
        <v>0</v>
      </c>
      <c r="F31" s="541">
        <f t="shared" si="0"/>
        <v>14</v>
      </c>
      <c r="G31" s="541">
        <f t="shared" si="1"/>
        <v>15</v>
      </c>
      <c r="H31" s="541">
        <f t="shared" si="2"/>
        <v>0</v>
      </c>
      <c r="I31" s="541">
        <f t="shared" si="3"/>
        <v>0</v>
      </c>
      <c r="J31" s="542"/>
      <c r="K31" s="542"/>
      <c r="L31" s="542"/>
      <c r="M31" s="543"/>
      <c r="N31" s="542">
        <f t="shared" si="4"/>
        <v>0</v>
      </c>
      <c r="O31" s="542">
        <f t="shared" si="5"/>
        <v>0</v>
      </c>
      <c r="P31" s="544">
        <f t="shared" si="6"/>
        <v>0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</v>
      </c>
      <c r="Y31" s="549" t="str">
        <f t="shared" si="16"/>
        <v>EXCLUI</v>
      </c>
      <c r="Z31" s="532">
        <f t="shared" si="17"/>
        <v>0</v>
      </c>
      <c r="AA31" s="556"/>
      <c r="AB31" s="550" t="str">
        <f t="shared" si="9"/>
        <v>EXCLUI</v>
      </c>
      <c r="AC31" s="485" t="e">
        <f t="shared" si="10"/>
        <v>#DIV/0!</v>
      </c>
      <c r="AD31" s="485" t="s">
        <v>339</v>
      </c>
      <c r="AE31" s="485" t="str">
        <f t="shared" si="11"/>
        <v>1 / 4F</v>
      </c>
      <c r="AF31" s="535">
        <f t="shared" si="12"/>
        <v>0.30702681000000004</v>
      </c>
      <c r="AH31" s="536">
        <f>IF(B31=0,0,VLOOKUP(B31,FREQUENCIAS!$1:$1048576,(IF(($A31=FREQUENCIAS!$U$1),21,"ERRO")),FREQUENCIAS!$1:$1048576))</f>
        <v>0.29409999999999997</v>
      </c>
      <c r="AI31" s="536"/>
      <c r="AJ31" s="536"/>
      <c r="AK31" s="537">
        <f t="shared" si="13"/>
        <v>0.29409999999999997</v>
      </c>
      <c r="AL31" s="536">
        <f>IF(C31=0,0,VLOOKUP(C31,FREQUENCIAS!$1:$1048576,(IF(($A31=FREQUENCIAS!$U$1),21,"ERRO")),FREQUENCIAS!$1:$1048576))</f>
        <v>0.15179999999999999</v>
      </c>
      <c r="AM31" s="536"/>
      <c r="AN31" s="536"/>
      <c r="AO31" s="537">
        <f t="shared" si="14"/>
        <v>0.15179999999999999</v>
      </c>
      <c r="AV31" s="551">
        <f>IF(B31=0,0,VLOOKUP(B31,FREQUENCIAS!$1:$1048576,(IF(($A31=FREQUENCIAS!$U$1),21,"ERRO")),FREQUENCIAS!$1:$1048576))</f>
        <v>0.29409999999999997</v>
      </c>
      <c r="AW31" s="551">
        <f>IF(C31=0,0,VLOOKUP(C31,FREQUENCIAS!$1:$1048576,(IF(($A31=FREQUENCIAS!$U$1),21,"ERRO")),FREQUENCIAS!$1:$1048576))</f>
        <v>0.15179999999999999</v>
      </c>
      <c r="AX31" s="551">
        <f>IF(D31=0,0,VLOOKUP(D31,FREQUENCIAS!$1:$1048576,(IF(($A31=FREQUENCIAS!$U$1),21,"ERRO")),FREQUENCIAS!$1:$1048576))</f>
        <v>0</v>
      </c>
      <c r="AY31" s="551">
        <f>IF(E31=0,0,VLOOKUP(E31,FREQUENCIAS!$1:$1048576,(IF(($A31=FREQUENCIAS!$U$1),21,"ERRO")),FREQUENCIAS!$1:$1048576))</f>
        <v>0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0</v>
      </c>
      <c r="BE31" s="485">
        <f t="shared" si="19"/>
        <v>1</v>
      </c>
      <c r="BF31" s="539">
        <f t="shared" si="15"/>
        <v>2.7E-2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21</v>
      </c>
      <c r="C32" s="645">
        <f>'IMPORTAÇÃO GENOTIPER'!AQ25</f>
        <v>23</v>
      </c>
      <c r="D32" s="645">
        <f>'IMPORTAÇÃO GENOTIPER'!AY25</f>
        <v>0</v>
      </c>
      <c r="E32" s="646">
        <f>'IMPORTAÇÃO GENOTIPER'!BG25</f>
        <v>0</v>
      </c>
      <c r="F32" s="541">
        <f t="shared" si="0"/>
        <v>21</v>
      </c>
      <c r="G32" s="541">
        <f t="shared" si="1"/>
        <v>23</v>
      </c>
      <c r="H32" s="541">
        <f t="shared" si="2"/>
        <v>0</v>
      </c>
      <c r="I32" s="541">
        <f t="shared" si="3"/>
        <v>0</v>
      </c>
      <c r="J32" s="542"/>
      <c r="K32" s="542"/>
      <c r="L32" s="542"/>
      <c r="M32" s="543"/>
      <c r="N32" s="542">
        <f t="shared" si="4"/>
        <v>0</v>
      </c>
      <c r="O32" s="542">
        <f t="shared" si="5"/>
        <v>0</v>
      </c>
      <c r="P32" s="544">
        <f t="shared" si="6"/>
        <v>0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</v>
      </c>
      <c r="Y32" s="549" t="str">
        <f t="shared" si="16"/>
        <v>EXCLUI</v>
      </c>
      <c r="Z32" s="532">
        <f t="shared" si="17"/>
        <v>0</v>
      </c>
      <c r="AA32" s="556"/>
      <c r="AB32" s="550" t="str">
        <f t="shared" si="9"/>
        <v>EXCLUI</v>
      </c>
      <c r="AC32" s="485" t="e">
        <f t="shared" si="10"/>
        <v>#DIV/0!</v>
      </c>
      <c r="AD32" s="485" t="s">
        <v>339</v>
      </c>
      <c r="AE32" s="485" t="str">
        <f t="shared" si="11"/>
        <v>1 / 4F</v>
      </c>
      <c r="AF32" s="535">
        <f t="shared" si="12"/>
        <v>0.48949193176900008</v>
      </c>
      <c r="AH32" s="536">
        <f>IF(B32=0,0,VLOOKUP(B32,FREQUENCIAS!$1:$1048576,(IF(($A32=FREQUENCIAS!$V$1),22,"ERRO")),FREQUENCIAS!$1:$1048576))</f>
        <v>0.15107999999999999</v>
      </c>
      <c r="AI32" s="536"/>
      <c r="AJ32" s="536"/>
      <c r="AK32" s="537">
        <f t="shared" si="13"/>
        <v>0.15107999999999999</v>
      </c>
      <c r="AL32" s="536">
        <f>IF(C32=0,0,VLOOKUP(C32,FREQUENCIAS!$1:$1048576,(IF(($A32=FREQUENCIAS!$V$1),22,"ERRO")),FREQUENCIAS!$1:$1048576))</f>
        <v>0.149283</v>
      </c>
      <c r="AM32" s="536"/>
      <c r="AN32" s="536"/>
      <c r="AO32" s="537">
        <f t="shared" si="14"/>
        <v>0.149283</v>
      </c>
      <c r="AV32" s="551">
        <f>IF(B32=0,0,VLOOKUP(B32,FREQUENCIAS!$1:$1048576,(IF(($A32=FREQUENCIAS!$V$1),22,"ERRO")),FREQUENCIAS!$1:$1048576))</f>
        <v>0.15107999999999999</v>
      </c>
      <c r="AW32" s="551">
        <f>IF(C32=0,0,VLOOKUP(C32,FREQUENCIAS!$1:$1048576,(IF(($A32=FREQUENCIAS!$V$1),22,"ERRO")),FREQUENCIAS!$1:$1048576))</f>
        <v>0.149283</v>
      </c>
      <c r="AX32" s="551">
        <f>IF(D32=0,0,VLOOKUP(D32,FREQUENCIAS!$1:$1048576,(IF(($A32=FREQUENCIAS!$V$1),22,"ERRO")),FREQUENCIAS!$1:$1048576))</f>
        <v>0</v>
      </c>
      <c r="AY32" s="551">
        <f>IF(E32=0,0,VLOOKUP(E32,FREQUENCIAS!$1:$1048576,(IF(($A32=FREQUENCIAS!$V$1),22,"ERRO")),FREQUENCIAS!$1:$1048576))</f>
        <v>0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1</v>
      </c>
      <c r="BF32" s="539">
        <f t="shared" si="15"/>
        <v>2.7E-2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15</v>
      </c>
      <c r="C33" s="645">
        <f>'IMPORTAÇÃO GENOTIPER'!AQ26</f>
        <v>16</v>
      </c>
      <c r="D33" s="645">
        <f>'IMPORTAÇÃO GENOTIPER'!AY26</f>
        <v>0</v>
      </c>
      <c r="E33" s="646">
        <f>'IMPORTAÇÃO GENOTIPER'!BG26</f>
        <v>0</v>
      </c>
      <c r="F33" s="541">
        <f t="shared" si="0"/>
        <v>15</v>
      </c>
      <c r="G33" s="541">
        <f t="shared" si="1"/>
        <v>16</v>
      </c>
      <c r="H33" s="541">
        <f t="shared" si="2"/>
        <v>0</v>
      </c>
      <c r="I33" s="541">
        <f t="shared" si="3"/>
        <v>0</v>
      </c>
      <c r="J33" s="542"/>
      <c r="K33" s="542"/>
      <c r="L33" s="542"/>
      <c r="M33" s="543"/>
      <c r="N33" s="542">
        <f t="shared" si="4"/>
        <v>0</v>
      </c>
      <c r="O33" s="542">
        <f t="shared" si="5"/>
        <v>0</v>
      </c>
      <c r="P33" s="544">
        <f t="shared" si="6"/>
        <v>0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</v>
      </c>
      <c r="Y33" s="549" t="str">
        <f t="shared" si="16"/>
        <v>EXCLUI</v>
      </c>
      <c r="Z33" s="532">
        <f t="shared" si="17"/>
        <v>0</v>
      </c>
      <c r="AA33" s="556"/>
      <c r="AB33" s="550" t="str">
        <f t="shared" si="9"/>
        <v>EXCLUI</v>
      </c>
      <c r="AC33" s="485" t="e">
        <f t="shared" si="10"/>
        <v>#DIV/0!</v>
      </c>
      <c r="AD33" s="485" t="s">
        <v>339</v>
      </c>
      <c r="AE33" s="485" t="str">
        <f t="shared" si="11"/>
        <v>1 / 4F</v>
      </c>
      <c r="AF33" s="535">
        <f t="shared" si="12"/>
        <v>9.6596639999999984E-2</v>
      </c>
      <c r="AH33" s="536">
        <f>IF(B33=0,0,VLOOKUP(B33,FREQUENCIAS!$1:$1048576,(IF(($A33=FREQUENCIAS!$W$1),23,"ERRO")),FREQUENCIAS!$1:$1048576))</f>
        <v>0.36049999999999999</v>
      </c>
      <c r="AI33" s="536"/>
      <c r="AJ33" s="536"/>
      <c r="AK33" s="537">
        <f t="shared" si="13"/>
        <v>0.36049999999999999</v>
      </c>
      <c r="AL33" s="536">
        <f>IF(C33=0,0,VLOOKUP(C33,FREQUENCIAS!$1:$1048576,(IF(($A33=FREQUENCIAS!$W$1),23,"ERRO")),FREQUENCIAS!$1:$1048576))</f>
        <v>0.32869999999999999</v>
      </c>
      <c r="AM33" s="536"/>
      <c r="AN33" s="536"/>
      <c r="AO33" s="537">
        <f t="shared" si="14"/>
        <v>0.32869999999999999</v>
      </c>
      <c r="AV33" s="551">
        <f>IF(B33=0,0,VLOOKUP(B33,FREQUENCIAS!$1:$1048576,(IF(($A33=FREQUENCIAS!$W$1),23,"ERRO")),FREQUENCIAS!$1:$1048576))</f>
        <v>0.36049999999999999</v>
      </c>
      <c r="AW33" s="551">
        <f>IF(C33=0,0,VLOOKUP(C33,FREQUENCIAS!$1:$1048576,(IF(($A33=FREQUENCIAS!$W$1),23,"ERRO")),FREQUENCIAS!$1:$1048576))</f>
        <v>0.32869999999999999</v>
      </c>
      <c r="AX33" s="551">
        <f>IF(D33=0,0,VLOOKUP(D33,FREQUENCIAS!$1:$1048576,(IF(($A33=FREQUENCIAS!$W$1),23,"ERRO")),FREQUENCIAS!$1:$1048576))</f>
        <v>0</v>
      </c>
      <c r="AY33" s="551">
        <f>IF(E33=0,0,VLOOKUP(E33,FREQUENCIAS!$1:$1048576,(IF(($A33=FREQUENCIAS!$W$1),23,"ERRO")),FREQUENCIAS!$1:$1048576))</f>
        <v>0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0</v>
      </c>
      <c r="BE33" s="485">
        <f t="shared" si="19"/>
        <v>1</v>
      </c>
      <c r="BF33" s="539">
        <f t="shared" si="15"/>
        <v>2.7E-2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48" t="str">
        <f>(IF((AND(($BE$46=1),($Z$52="SIM"))),($BF$11),(IF((PRODUCT(Z12:Z45)&lt;&gt;0),PRODUCT(Y12:Y45),"NIHIL"))))</f>
        <v>NIHIL</v>
      </c>
      <c r="Z46" s="848"/>
      <c r="AA46" s="597"/>
      <c r="AB46" s="598"/>
      <c r="AF46" s="849">
        <f>(IF(($Y$46&lt;&gt;0),((1-AF12)*(1-AF13)*(1-AF14)*(1-AF15)*(1-AF16)*(1-AF17)*(1-AF18)*(1-AF19)*(1-AF20)*(1-AF21)*(1-AF22)*(1-AF23)*(1-AF24)*(1-AF25)*(1-AF26)*(1-AF27)*(1-AF28)*(1-AF29)*(1-AF30)*(1-AF31)*(1-AF32)*(1-AF33)),$AE$26))</f>
        <v>1.1680675635293328E-6</v>
      </c>
      <c r="AG46" s="849"/>
      <c r="BD46" s="485">
        <f>SUM(BD12:BD33)</f>
        <v>0</v>
      </c>
      <c r="BE46" s="485">
        <f>SUM(BE12:BE45)</f>
        <v>22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32" t="str">
        <f>(IF(AND((Y46&lt;&gt;"NIHIL"),(Y46&lt;&gt;0)),(ROUNDDOWN((Y46/(Y46+1)),11)),"EXCLUSÃO"))</f>
        <v>EXCLUSÃO</v>
      </c>
      <c r="Z47" s="832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32" t="str">
        <f>(IF(AND((Y46&lt;&gt;"NIHIL"),(Y46&lt;&gt;0)),(ROUNDDOWN((1-$AF46),11)),"EXCLUSÃO"))</f>
        <v>EXCLUSÃO</v>
      </c>
      <c r="Z48" s="832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EXCLUSÃO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53" t="s">
        <v>249</v>
      </c>
      <c r="B57" s="854"/>
      <c r="C57" s="854"/>
      <c r="D57" s="854"/>
      <c r="E57" s="854"/>
      <c r="F57" s="854"/>
      <c r="G57" s="854"/>
      <c r="H57" s="854"/>
      <c r="I57" s="854"/>
      <c r="J57" s="854"/>
      <c r="K57" s="854"/>
      <c r="L57" s="854"/>
      <c r="M57" s="854"/>
      <c r="N57" s="854"/>
      <c r="O57" s="854"/>
      <c r="P57" s="854"/>
      <c r="Q57" s="854"/>
      <c r="R57" s="854"/>
      <c r="S57" s="854"/>
      <c r="T57" s="854"/>
      <c r="U57" s="854"/>
      <c r="V57" s="854"/>
      <c r="W57" s="854"/>
      <c r="X57" s="854"/>
      <c r="Y57" s="854"/>
      <c r="Z57" s="854"/>
      <c r="AA57" s="854"/>
      <c r="AB57" s="855"/>
      <c r="AC57" s="624"/>
      <c r="AD57" s="624"/>
      <c r="AE57" s="625"/>
      <c r="AF57" s="626"/>
      <c r="AG57" s="856" t="s">
        <v>205</v>
      </c>
      <c r="AH57" s="856"/>
      <c r="AI57" s="856"/>
      <c r="AJ57" s="856"/>
      <c r="AK57" s="856"/>
      <c r="AL57" s="856"/>
      <c r="AM57" s="856"/>
      <c r="AN57" s="857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58" t="s">
        <v>242</v>
      </c>
      <c r="B58" s="859"/>
      <c r="C58" s="859"/>
      <c r="D58" s="859"/>
      <c r="E58" s="859"/>
      <c r="F58" s="859"/>
      <c r="G58" s="859"/>
      <c r="H58" s="859"/>
      <c r="I58" s="859"/>
      <c r="J58" s="859"/>
      <c r="K58" s="859"/>
      <c r="L58" s="859"/>
      <c r="M58" s="859"/>
      <c r="N58" s="859"/>
      <c r="O58" s="859"/>
      <c r="P58" s="859"/>
      <c r="Q58" s="859"/>
      <c r="R58" s="859"/>
      <c r="S58" s="859"/>
      <c r="T58" s="859"/>
      <c r="U58" s="859"/>
      <c r="V58" s="859"/>
      <c r="W58" s="859"/>
      <c r="X58" s="859"/>
      <c r="Y58" s="859"/>
      <c r="Z58" s="859"/>
      <c r="AA58" s="859"/>
      <c r="AB58" s="860"/>
      <c r="AC58" s="626"/>
      <c r="AD58" s="626"/>
      <c r="AE58" s="629"/>
      <c r="AF58" s="626"/>
      <c r="AG58" s="861" t="s">
        <v>206</v>
      </c>
      <c r="AH58" s="861"/>
      <c r="AI58" s="861"/>
      <c r="AJ58" s="861"/>
      <c r="AK58" s="861"/>
      <c r="AL58" s="861"/>
      <c r="AM58" s="861"/>
      <c r="AN58" s="862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63" t="s">
        <v>243</v>
      </c>
      <c r="B59" s="864"/>
      <c r="C59" s="864"/>
      <c r="D59" s="864"/>
      <c r="E59" s="864"/>
      <c r="F59" s="864"/>
      <c r="G59" s="864"/>
      <c r="H59" s="864"/>
      <c r="I59" s="864"/>
      <c r="J59" s="864"/>
      <c r="K59" s="864"/>
      <c r="L59" s="864"/>
      <c r="M59" s="864"/>
      <c r="N59" s="864"/>
      <c r="O59" s="864"/>
      <c r="P59" s="864"/>
      <c r="Q59" s="864"/>
      <c r="R59" s="864"/>
      <c r="S59" s="864"/>
      <c r="T59" s="864"/>
      <c r="U59" s="864"/>
      <c r="V59" s="864"/>
      <c r="W59" s="864"/>
      <c r="X59" s="864"/>
      <c r="Y59" s="864"/>
      <c r="Z59" s="864"/>
      <c r="AA59" s="864"/>
      <c r="AB59" s="865"/>
      <c r="AC59" s="626"/>
      <c r="AD59" s="626"/>
      <c r="AE59" s="629"/>
      <c r="AF59" s="626"/>
      <c r="AG59" s="861" t="s">
        <v>207</v>
      </c>
      <c r="AH59" s="861"/>
      <c r="AI59" s="861"/>
      <c r="AJ59" s="861"/>
      <c r="AK59" s="861"/>
      <c r="AL59" s="861"/>
      <c r="AM59" s="861"/>
      <c r="AN59" s="862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50"/>
      <c r="B60" s="851"/>
      <c r="C60" s="851"/>
      <c r="D60" s="851"/>
      <c r="E60" s="851"/>
      <c r="F60" s="851"/>
      <c r="G60" s="851"/>
      <c r="H60" s="851"/>
      <c r="I60" s="851"/>
      <c r="J60" s="851"/>
      <c r="K60" s="851"/>
      <c r="L60" s="851"/>
      <c r="M60" s="851"/>
      <c r="N60" s="851"/>
      <c r="O60" s="851"/>
      <c r="P60" s="851"/>
      <c r="Q60" s="851"/>
      <c r="R60" s="851"/>
      <c r="S60" s="851"/>
      <c r="T60" s="851"/>
      <c r="U60" s="851"/>
      <c r="V60" s="851"/>
      <c r="W60" s="851"/>
      <c r="X60" s="851"/>
      <c r="Y60" s="851"/>
      <c r="Z60" s="851"/>
      <c r="AA60" s="851"/>
      <c r="AB60" s="852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A60:AB60"/>
    <mergeCell ref="A57:AB57"/>
    <mergeCell ref="AG57:AN57"/>
    <mergeCell ref="A58:AB58"/>
    <mergeCell ref="AG58:AN58"/>
    <mergeCell ref="A59:AB59"/>
    <mergeCell ref="AG59:AN59"/>
    <mergeCell ref="AH11:AK11"/>
    <mergeCell ref="AL11:AO11"/>
    <mergeCell ref="Y46:Z46"/>
    <mergeCell ref="AF46:AG46"/>
    <mergeCell ref="Y47:Z47"/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821" t="s">
        <v>203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  <c r="AS1" s="866"/>
      <c r="AT1" s="867"/>
      <c r="AU1" s="20"/>
      <c r="AV1" s="21"/>
    </row>
    <row r="2" spans="1:96" ht="21.75" customHeight="1" thickTop="1">
      <c r="A2" s="224" t="s">
        <v>81</v>
      </c>
      <c r="B2" s="824"/>
      <c r="C2" s="824"/>
      <c r="D2" s="824"/>
      <c r="E2" s="824"/>
      <c r="F2" s="824"/>
      <c r="G2" s="824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825" t="s">
        <v>88</v>
      </c>
      <c r="BG5" s="826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825" t="s">
        <v>88</v>
      </c>
      <c r="BG6" s="826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825" t="s">
        <v>87</v>
      </c>
      <c r="BG7" s="826"/>
      <c r="BH7" s="868"/>
      <c r="BO7" s="825" t="s">
        <v>108</v>
      </c>
      <c r="BP7" s="826"/>
      <c r="BQ7" s="868"/>
      <c r="BR7" s="872" t="s">
        <v>109</v>
      </c>
      <c r="BS7" s="873"/>
      <c r="BT7" s="874"/>
      <c r="BU7" s="875" t="s">
        <v>111</v>
      </c>
      <c r="BV7" s="876"/>
      <c r="BW7" s="877"/>
    </row>
    <row r="8" spans="1:96" ht="14.25" customHeight="1" thickTop="1" thickBot="1">
      <c r="A8" s="427" t="s">
        <v>50</v>
      </c>
      <c r="B8" s="878" t="s">
        <v>130</v>
      </c>
      <c r="C8" s="879"/>
      <c r="D8" s="878" t="s">
        <v>307</v>
      </c>
      <c r="E8" s="879"/>
      <c r="F8" s="878" t="s">
        <v>308</v>
      </c>
      <c r="G8" s="879"/>
      <c r="H8" s="878" t="s">
        <v>309</v>
      </c>
      <c r="I8" s="879"/>
      <c r="J8" s="880" t="s">
        <v>97</v>
      </c>
      <c r="K8" s="881"/>
      <c r="L8" s="880" t="s">
        <v>98</v>
      </c>
      <c r="M8" s="881"/>
      <c r="N8" s="880" t="s">
        <v>310</v>
      </c>
      <c r="O8" s="881"/>
      <c r="P8" s="880" t="s">
        <v>311</v>
      </c>
      <c r="Q8" s="881"/>
      <c r="R8" s="880" t="s">
        <v>165</v>
      </c>
      <c r="S8" s="881"/>
      <c r="T8" s="880" t="s">
        <v>166</v>
      </c>
      <c r="U8" s="881"/>
      <c r="V8" s="880" t="s">
        <v>312</v>
      </c>
      <c r="W8" s="881"/>
      <c r="X8" s="880" t="s">
        <v>313</v>
      </c>
      <c r="Y8" s="881"/>
      <c r="Z8" s="428" t="s">
        <v>135</v>
      </c>
      <c r="AA8" s="428" t="s">
        <v>136</v>
      </c>
      <c r="AB8" s="428" t="s">
        <v>137</v>
      </c>
      <c r="AC8" s="429" t="s">
        <v>134</v>
      </c>
      <c r="AD8" s="890" t="s">
        <v>138</v>
      </c>
      <c r="AE8" s="891"/>
      <c r="AF8" s="890" t="s">
        <v>141</v>
      </c>
      <c r="AG8" s="891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83" t="s">
        <v>314</v>
      </c>
      <c r="AX8" s="884"/>
      <c r="AY8" s="884"/>
      <c r="AZ8" s="884"/>
      <c r="BA8" s="884"/>
      <c r="BB8" s="884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16</v>
      </c>
      <c r="F9" s="432">
        <f>'IMPORTAÇÃO GENOTIPER'!BO5</f>
        <v>15</v>
      </c>
      <c r="G9" s="432">
        <f>'IMPORTAÇÃO GENOTIPER'!BW5</f>
        <v>15</v>
      </c>
      <c r="H9" s="432">
        <f>'IMPORTAÇÃO GENOTIPER'!CE5</f>
        <v>15</v>
      </c>
      <c r="I9" s="432">
        <f>'IMPORTAÇÃO GENOTIPER'!CM5</f>
        <v>16</v>
      </c>
      <c r="J9" s="433">
        <f>(IF(CODE(D9)=(60),($BL9-1),(IF(CODE(D9)=(62),($BM9+1),B9))))</f>
        <v>15</v>
      </c>
      <c r="K9" s="433">
        <f>(IF(CODE(E9)=(60),($BL9-1),(IF(CODE(E9)=(62),($BM9+1),C9))))</f>
        <v>16</v>
      </c>
      <c r="L9" s="433">
        <f>(IF(CODE(F9)=(60),($BL9-1),(IF(CODE(F9)=(62),($BM9+1),D9))))</f>
        <v>15</v>
      </c>
      <c r="M9" s="433">
        <f>(IF(CODE(G9)=(60),($BH9-1),(IF(CODE(G9)=(62),($BI9+1),E9))))</f>
        <v>16</v>
      </c>
      <c r="N9" s="433">
        <f>(IF(CODE(H9)=(60),($BL9-1),(IF(CODE(H9)=(62),($BM9+1),F9))))</f>
        <v>15</v>
      </c>
      <c r="O9" s="433">
        <f>(IF(CODE(I9)=(60),($BL9-1),(IF(CODE(I9)=(62),($BM9+1),G9))))</f>
        <v>15</v>
      </c>
      <c r="P9" s="433">
        <f>(IF(CODE(J9)=(60),($BL9-1),(IF(CODE(J9)=(62),($BM9+1),H9))))</f>
        <v>15</v>
      </c>
      <c r="Q9" s="433">
        <f>(IF(CODE(K9)=(60),($BL9-1),(IF(CODE(K9)=(62),($BM9+1),I9))))</f>
        <v>16</v>
      </c>
      <c r="R9" s="434">
        <f t="shared" ref="R9:T24" si="0">IF((J9&gt;K9),K9,J9)</f>
        <v>15</v>
      </c>
      <c r="S9" s="434">
        <f t="shared" ref="S9:S42" si="1">IF((K9&gt;J9),K9,J9)</f>
        <v>16</v>
      </c>
      <c r="T9" s="434">
        <f t="shared" si="0"/>
        <v>15</v>
      </c>
      <c r="U9" s="434">
        <f t="shared" ref="U9:U42" si="2">IF((M9&gt;L9),M9,L9)</f>
        <v>16</v>
      </c>
      <c r="V9" s="434">
        <f t="shared" ref="V9:V42" si="3">IF((N9&gt;O9),O9,N9)</f>
        <v>15</v>
      </c>
      <c r="W9" s="434">
        <f t="shared" ref="W9:W42" si="4">IF((O9&gt;N9),O9,N9)</f>
        <v>15</v>
      </c>
      <c r="X9" s="434">
        <f>IF((P9&gt;Q9),Q9,P9)</f>
        <v>15</v>
      </c>
      <c r="Y9" s="434">
        <f>IF((Q9&gt;P9),Q9,P9)</f>
        <v>16</v>
      </c>
      <c r="Z9" s="435">
        <f t="shared" ref="Z9:Z42" si="5">IF((T9=R9),T9,(IF((T9=S9),T9,0)))</f>
        <v>15</v>
      </c>
      <c r="AA9" s="435">
        <f t="shared" ref="AA9:AA42" si="6">IF((U9=R9),U9,(IF((U9=S9),U9,0)))</f>
        <v>16</v>
      </c>
      <c r="AB9" s="436">
        <f>(IF((OR((T9="&gt;18"),(U9="&gt;18"))),2,(IF(((Z9+AA9)=(T9+U9)),0,1))))</f>
        <v>0</v>
      </c>
      <c r="AC9" s="437" t="str">
        <f>IF(OR(($Z9=$AA9),($AA9=0)),$Z9,(IF(AND(($Z9=0),($AA9&lt;&gt;0)),$AA9,"NÃO DEF")))</f>
        <v>NÃO DEF</v>
      </c>
      <c r="AD9" s="438">
        <f>(IF((AC9&lt;&gt;"NÃO DEF"),(T9+U9-AC9),T9))</f>
        <v>15</v>
      </c>
      <c r="AE9" s="438">
        <f>(IF((AC9&lt;&gt;"NÃO DEF"),0,U9))</f>
        <v>16</v>
      </c>
      <c r="AF9" s="439">
        <f>(IF(OR((AD9=V9),(AD9=W9),(AD9=X9),(AD9=Y9)),AD9,0))</f>
        <v>15</v>
      </c>
      <c r="AG9" s="440">
        <f>(IF((AE9&lt;&gt;0),(IF(OR((AE9=V9),(AE9=W9),(AE9=X9),(AE9=Y9)),AE9,(IF(AND((AC9="NÃO DEF"),(OR((AE9=V9),(AE9=W9),(AE9=X9),(AE9=Y9),(AF9=V9),(AF9=W9),(AF9=X9),(AF9=Y9)))),0,0)))),0))</f>
        <v>16</v>
      </c>
      <c r="AH9" s="441">
        <f>IF(AF9=0,0,VLOOKUP(AF9,FREQUENCIAS!$1:$1048576,(IF(($A9=FREQUENCIAS!$B$1),2,"ERRO")),FREQUENCIAS!$1:$1048576))</f>
        <v>0.290991</v>
      </c>
      <c r="AI9" s="441">
        <f>IF(AG9=0,0,VLOOKUP(AG9,FREQUENCIAS!$1:$1048576,(IF(($A9=FREQUENCIAS!$B$1),2,"ERRO")),FREQUENCIAS!$1:$1048576))</f>
        <v>0.27030799999999999</v>
      </c>
      <c r="AJ9" s="442"/>
      <c r="AK9" s="442"/>
      <c r="AL9" s="442"/>
      <c r="AM9" s="120">
        <f>IF(B9=0,1,(IF((A9="ERRO-FT"),"11",(IF((AND(($AF9=0),($AG9=0),(AX$43="S"))),0,(IF(SUM(AH9:AL9)&lt;=$AO$7,$AO$7,SUM(AH9:AL9))))))))</f>
        <v>0.56129899999999999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1.7815816525595094</v>
      </c>
      <c r="AO9" s="122">
        <f t="shared" ref="AO9:AO42" si="8">(IF((A9="ERRO-FT"),"ERRO",(IF((AN9=0),0,(AN9/(AN9+1))))))</f>
        <v>0.64049230800762691</v>
      </c>
      <c r="AP9" s="328"/>
      <c r="AQ9" s="443">
        <f t="shared" ref="AQ9:AQ41" si="9">(IF((AND((BD9=1),($BD$43=1),($AS$43="MUT"))),0,((1-AM9)^2)))</f>
        <v>0.19245856740100001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1 / F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0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0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1.7815816525595094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CORRETO</v>
      </c>
      <c r="BO9" s="445" t="str">
        <f t="shared" ref="BO9:BO42" si="12">IF(($AC9=($BL9-1)),"&lt;",IF(($AC9=($BM9+1)),"&gt;",""))</f>
        <v/>
      </c>
      <c r="BP9" s="445" t="str">
        <f t="shared" ref="BP9:BP42" si="13">IF(($AC9=($BL9-1)),$BL9,IF(($AC9=($BM9-1)),$BM9,$AC9))</f>
        <v>NÃO DEF</v>
      </c>
      <c r="BQ9" s="445" t="str">
        <f t="shared" ref="BQ9:BQ42" si="14">(IF((OR(($AC9=($BL9-1)),($AC9=($BM9+1)))),(CONCATENATE((BO9),(BP9))),$AC9))</f>
        <v>NÃO DEF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15</v>
      </c>
      <c r="BT9" s="446">
        <f t="shared" ref="BT9:BT42" si="17">(IF((OR(($AF9=($BL9-1)),($AF9=($BM9+1)))),(CONCATENATE((BR9),(BS9))),$AF9))</f>
        <v>15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16</v>
      </c>
      <c r="BW9" s="438">
        <f t="shared" ref="BW9:BW42" si="19">(IF((OR(($AG9=($BL9-1)),($AG9=($BM9+1)))),(CONCATENATE((BU9),(BV9))),$AG9))</f>
        <v>16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0</v>
      </c>
      <c r="CN9" s="1">
        <f t="shared" ref="CN9:CN42" si="24">IF((F9=AG9),1,0)</f>
        <v>0</v>
      </c>
      <c r="CO9" s="1">
        <f t="shared" ref="CO9:CO42" si="25">IF((G9=AG9),1,0)</f>
        <v>0</v>
      </c>
      <c r="CP9" s="1">
        <f t="shared" ref="CP9:CP42" si="26">IF((H9=AG9),1,0)</f>
        <v>0</v>
      </c>
      <c r="CQ9" s="1">
        <f t="shared" ref="CQ9:CQ42" si="27">IF((I9=AG9),1,0)</f>
        <v>1</v>
      </c>
      <c r="CR9" s="1">
        <f t="shared" ref="CR9:CR22" si="28">SUM(CJ9:CQ9)</f>
        <v>4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13</v>
      </c>
      <c r="C10" s="292">
        <f>'IMPORTAÇÃO GENOTIPER'!AA6</f>
        <v>18.3</v>
      </c>
      <c r="D10" s="292">
        <f>'IMPORTAÇÃO GENOTIPER'!AI6</f>
        <v>17.3</v>
      </c>
      <c r="E10" s="292">
        <f>'IMPORTAÇÃO GENOTIPER'!AQ6</f>
        <v>18.3</v>
      </c>
      <c r="F10" s="432">
        <f>'IMPORTAÇÃO GENOTIPER'!BO6</f>
        <v>14</v>
      </c>
      <c r="G10" s="432">
        <f>'IMPORTAÇÃO GENOTIPER'!BW6</f>
        <v>17.3</v>
      </c>
      <c r="H10" s="432">
        <f>'IMPORTAÇÃO GENOTIPER'!CE6</f>
        <v>11</v>
      </c>
      <c r="I10" s="432">
        <f>'IMPORTAÇÃO GENOTIPER'!CM6</f>
        <v>15</v>
      </c>
      <c r="J10" s="433">
        <f t="shared" ref="J10:L25" si="29">(IF(CODE(D10)=(60),($BL10-1),(IF(CODE(D10)=(62),($BM10+1),B10))))</f>
        <v>13</v>
      </c>
      <c r="K10" s="433">
        <f t="shared" si="29"/>
        <v>18.3</v>
      </c>
      <c r="L10" s="433">
        <f t="shared" si="29"/>
        <v>17.3</v>
      </c>
      <c r="M10" s="433">
        <f t="shared" ref="M10:M42" si="30">(IF(CODE(G10)=(60),($BH10-1),(IF(CODE(G10)=(62),($BI10+1),E10))))</f>
        <v>18.3</v>
      </c>
      <c r="N10" s="433">
        <f t="shared" ref="N10:Q25" si="31">(IF(CODE(H10)=(60),($BL10-1),(IF(CODE(H10)=(62),($BM10+1),F10))))</f>
        <v>14</v>
      </c>
      <c r="O10" s="433">
        <f t="shared" si="31"/>
        <v>17.3</v>
      </c>
      <c r="P10" s="433">
        <f t="shared" si="31"/>
        <v>11</v>
      </c>
      <c r="Q10" s="433">
        <f t="shared" si="31"/>
        <v>15</v>
      </c>
      <c r="R10" s="434">
        <f t="shared" si="0"/>
        <v>13</v>
      </c>
      <c r="S10" s="434">
        <f t="shared" si="1"/>
        <v>18.3</v>
      </c>
      <c r="T10" s="434">
        <f t="shared" si="0"/>
        <v>17.3</v>
      </c>
      <c r="U10" s="434">
        <f t="shared" si="2"/>
        <v>18.3</v>
      </c>
      <c r="V10" s="434">
        <f t="shared" si="3"/>
        <v>14</v>
      </c>
      <c r="W10" s="434">
        <f t="shared" si="4"/>
        <v>17.3</v>
      </c>
      <c r="X10" s="434">
        <f t="shared" ref="X10:X42" si="32">IF((P10&gt;Q10),Q10,P10)</f>
        <v>11</v>
      </c>
      <c r="Y10" s="434">
        <f t="shared" ref="Y10:Y42" si="33">IF((Q10&gt;P10),Q10,P10)</f>
        <v>15</v>
      </c>
      <c r="Z10" s="435">
        <f t="shared" si="5"/>
        <v>0</v>
      </c>
      <c r="AA10" s="435">
        <f t="shared" si="6"/>
        <v>18.3</v>
      </c>
      <c r="AB10" s="436">
        <f>(IF((OR((T10="&gt;36"),(U10="&gt;36"))),2,(IF(((Z10+AA10)=(T10+U10)),0,1))))</f>
        <v>1</v>
      </c>
      <c r="AC10" s="437">
        <f t="shared" ref="AC10:AC42" si="34">IF(OR((Z10=AA10),(AA10=0)),Z10,(IF(AND((Z10=0),(AA10&lt;&gt;0)),AA10,$AP$7)))</f>
        <v>18.3</v>
      </c>
      <c r="AD10" s="438">
        <f t="shared" ref="AD10:AD42" si="35">(IF((AC10&lt;&gt;"NÃO DEF"),(T10+U10-AC10),T10))</f>
        <v>17.3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17.3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0.1376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0.1376</v>
      </c>
      <c r="AN10" s="121">
        <f t="shared" si="7"/>
        <v>1.816860465116279</v>
      </c>
      <c r="AO10" s="122">
        <f t="shared" si="8"/>
        <v>0.6449948400412796</v>
      </c>
      <c r="AP10" s="328"/>
      <c r="AQ10" s="443">
        <f t="shared" si="9"/>
        <v>0.74373376000000013</v>
      </c>
      <c r="AR10" s="328"/>
      <c r="AS10" s="125" t="str">
        <f t="shared" si="10"/>
        <v>1 / 4F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0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0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1.816860465116279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18.3</v>
      </c>
      <c r="BQ10" s="445">
        <f t="shared" si="14"/>
        <v>18.3</v>
      </c>
      <c r="BR10" s="446" t="str">
        <f t="shared" si="15"/>
        <v/>
      </c>
      <c r="BS10" s="449">
        <f t="shared" si="16"/>
        <v>17.3</v>
      </c>
      <c r="BT10" s="446">
        <f t="shared" si="17"/>
        <v>17.3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0</v>
      </c>
      <c r="CK10" s="1">
        <f t="shared" si="21"/>
        <v>1</v>
      </c>
      <c r="CL10" s="1">
        <f t="shared" si="22"/>
        <v>0</v>
      </c>
      <c r="CM10" s="1">
        <f t="shared" si="23"/>
        <v>0</v>
      </c>
      <c r="CN10" s="1">
        <f t="shared" si="24"/>
        <v>0</v>
      </c>
      <c r="CO10" s="1">
        <f t="shared" si="25"/>
        <v>0</v>
      </c>
      <c r="CP10" s="1">
        <f t="shared" si="26"/>
        <v>0</v>
      </c>
      <c r="CQ10" s="1">
        <f t="shared" si="27"/>
        <v>0</v>
      </c>
      <c r="CR10" s="1">
        <f t="shared" si="28"/>
        <v>1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15</v>
      </c>
      <c r="F11" s="432">
        <f>'IMPORTAÇÃO GENOTIPER'!BO7</f>
        <v>11</v>
      </c>
      <c r="G11" s="432">
        <f>'IMPORTAÇÃO GENOTIPER'!BW7</f>
        <v>15</v>
      </c>
      <c r="H11" s="432">
        <f>'IMPORTAÇÃO GENOTIPER'!CE7</f>
        <v>10</v>
      </c>
      <c r="I11" s="432">
        <f>'IMPORTAÇÃO GENOTIPER'!CM7</f>
        <v>11.3</v>
      </c>
      <c r="J11" s="433">
        <f t="shared" si="29"/>
        <v>10</v>
      </c>
      <c r="K11" s="433">
        <f t="shared" si="29"/>
        <v>10</v>
      </c>
      <c r="L11" s="433">
        <f t="shared" si="29"/>
        <v>10</v>
      </c>
      <c r="M11" s="433">
        <f t="shared" si="30"/>
        <v>15</v>
      </c>
      <c r="N11" s="433">
        <f t="shared" si="31"/>
        <v>11</v>
      </c>
      <c r="O11" s="433">
        <f t="shared" si="31"/>
        <v>15</v>
      </c>
      <c r="P11" s="433">
        <f t="shared" si="31"/>
        <v>10</v>
      </c>
      <c r="Q11" s="433">
        <f t="shared" si="31"/>
        <v>11.3</v>
      </c>
      <c r="R11" s="434">
        <f t="shared" si="0"/>
        <v>10</v>
      </c>
      <c r="S11" s="434">
        <f t="shared" si="1"/>
        <v>10</v>
      </c>
      <c r="T11" s="434">
        <f t="shared" si="0"/>
        <v>10</v>
      </c>
      <c r="U11" s="434">
        <f t="shared" si="2"/>
        <v>15</v>
      </c>
      <c r="V11" s="434">
        <f t="shared" si="3"/>
        <v>11</v>
      </c>
      <c r="W11" s="434">
        <f t="shared" si="4"/>
        <v>15</v>
      </c>
      <c r="X11" s="434">
        <f t="shared" si="32"/>
        <v>10</v>
      </c>
      <c r="Y11" s="434">
        <f t="shared" si="33"/>
        <v>11.3</v>
      </c>
      <c r="Z11" s="435">
        <f t="shared" si="5"/>
        <v>10</v>
      </c>
      <c r="AA11" s="435">
        <f t="shared" si="6"/>
        <v>0</v>
      </c>
      <c r="AB11" s="436">
        <f>(IF((OR((T11="&gt;22"),(U11="&gt;22"))),2,(IF(((Z11+AA11)=(T11+U11)),0,1))))</f>
        <v>1</v>
      </c>
      <c r="AC11" s="437">
        <f t="shared" si="34"/>
        <v>10</v>
      </c>
      <c r="AD11" s="438">
        <f t="shared" si="35"/>
        <v>15</v>
      </c>
      <c r="AE11" s="438">
        <f t="shared" si="36"/>
        <v>0</v>
      </c>
      <c r="AF11" s="439">
        <f t="shared" si="37"/>
        <v>15</v>
      </c>
      <c r="AG11" s="440">
        <f t="shared" si="38"/>
        <v>0</v>
      </c>
      <c r="AH11" s="441">
        <f>IF(AF11=0,0,VLOOKUP(AF11,FREQUENCIAS!$1:$1048576,(IF(($A11=FREQUENCIAS!$D$1),4,"ERRO")),FREQUENCIAS!$1:$1048576))</f>
        <v>2.69E-2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0.05</v>
      </c>
      <c r="AN11" s="121">
        <f t="shared" si="7"/>
        <v>5</v>
      </c>
      <c r="AO11" s="122">
        <f t="shared" si="8"/>
        <v>0.83333333333333337</v>
      </c>
      <c r="AP11" s="328"/>
      <c r="AQ11" s="443">
        <f t="shared" si="9"/>
        <v>0.90249999999999997</v>
      </c>
      <c r="AR11" s="328"/>
      <c r="AS11" s="125" t="str">
        <f t="shared" si="10"/>
        <v>1 / 4F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0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5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O11" s="445" t="str">
        <f t="shared" si="12"/>
        <v/>
      </c>
      <c r="BP11" s="445">
        <f t="shared" si="13"/>
        <v>10</v>
      </c>
      <c r="BQ11" s="445">
        <f t="shared" si="14"/>
        <v>10</v>
      </c>
      <c r="BR11" s="446" t="str">
        <f t="shared" si="15"/>
        <v/>
      </c>
      <c r="BS11" s="446">
        <f t="shared" si="16"/>
        <v>15</v>
      </c>
      <c r="BT11" s="446">
        <f t="shared" si="17"/>
        <v>15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0</v>
      </c>
      <c r="CK11" s="1">
        <f t="shared" si="21"/>
        <v>1</v>
      </c>
      <c r="CL11" s="1">
        <f t="shared" si="22"/>
        <v>0</v>
      </c>
      <c r="CM11" s="1">
        <f t="shared" si="23"/>
        <v>0</v>
      </c>
      <c r="CN11" s="1">
        <f t="shared" si="24"/>
        <v>0</v>
      </c>
      <c r="CO11" s="1">
        <f t="shared" si="25"/>
        <v>0</v>
      </c>
      <c r="CP11" s="1">
        <f t="shared" si="26"/>
        <v>0</v>
      </c>
      <c r="CQ11" s="1">
        <f t="shared" si="27"/>
        <v>0</v>
      </c>
      <c r="CR11" s="1">
        <f t="shared" si="28"/>
        <v>1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12</v>
      </c>
      <c r="C12" s="296">
        <f>'IMPORTAÇÃO GENOTIPER'!AA8</f>
        <v>14</v>
      </c>
      <c r="D12" s="296">
        <f>'IMPORTAÇÃO GENOTIPER'!AI8</f>
        <v>14</v>
      </c>
      <c r="E12" s="296">
        <f>'IMPORTAÇÃO GENOTIPER'!AQ8</f>
        <v>14</v>
      </c>
      <c r="F12" s="432">
        <f>'IMPORTAÇÃO GENOTIPER'!BO8</f>
        <v>14</v>
      </c>
      <c r="G12" s="432">
        <f>'IMPORTAÇÃO GENOTIPER'!BW8</f>
        <v>14</v>
      </c>
      <c r="H12" s="432">
        <f>'IMPORTAÇÃO GENOTIPER'!CE8</f>
        <v>13</v>
      </c>
      <c r="I12" s="432">
        <f>'IMPORTAÇÃO GENOTIPER'!CM8</f>
        <v>14</v>
      </c>
      <c r="J12" s="433">
        <f t="shared" si="29"/>
        <v>12</v>
      </c>
      <c r="K12" s="433">
        <f t="shared" si="29"/>
        <v>14</v>
      </c>
      <c r="L12" s="433">
        <f t="shared" si="29"/>
        <v>14</v>
      </c>
      <c r="M12" s="433">
        <f t="shared" si="30"/>
        <v>14</v>
      </c>
      <c r="N12" s="433">
        <f t="shared" si="31"/>
        <v>14</v>
      </c>
      <c r="O12" s="433">
        <f t="shared" si="31"/>
        <v>14</v>
      </c>
      <c r="P12" s="433">
        <f t="shared" si="31"/>
        <v>13</v>
      </c>
      <c r="Q12" s="433">
        <f t="shared" si="31"/>
        <v>14</v>
      </c>
      <c r="R12" s="434">
        <f t="shared" si="0"/>
        <v>12</v>
      </c>
      <c r="S12" s="434">
        <f t="shared" si="1"/>
        <v>14</v>
      </c>
      <c r="T12" s="434">
        <f t="shared" si="0"/>
        <v>14</v>
      </c>
      <c r="U12" s="434">
        <f t="shared" si="2"/>
        <v>14</v>
      </c>
      <c r="V12" s="434">
        <f t="shared" si="3"/>
        <v>14</v>
      </c>
      <c r="W12" s="434">
        <f t="shared" si="4"/>
        <v>14</v>
      </c>
      <c r="X12" s="434">
        <f t="shared" si="32"/>
        <v>13</v>
      </c>
      <c r="Y12" s="434">
        <f t="shared" si="33"/>
        <v>14</v>
      </c>
      <c r="Z12" s="435">
        <f t="shared" si="5"/>
        <v>14</v>
      </c>
      <c r="AA12" s="435">
        <f t="shared" si="6"/>
        <v>14</v>
      </c>
      <c r="AB12" s="436">
        <f>(IF((OR((T12="&gt;21"),(U12="&gt;21"))),2,(IF(((Z12+AA12)=(T12+U12)),0,1))))</f>
        <v>0</v>
      </c>
      <c r="AC12" s="435">
        <f t="shared" si="34"/>
        <v>14</v>
      </c>
      <c r="AD12" s="438">
        <f t="shared" si="35"/>
        <v>14</v>
      </c>
      <c r="AE12" s="438">
        <f t="shared" si="36"/>
        <v>0</v>
      </c>
      <c r="AF12" s="439">
        <f t="shared" si="37"/>
        <v>14</v>
      </c>
      <c r="AG12" s="440">
        <f t="shared" si="38"/>
        <v>0</v>
      </c>
      <c r="AH12" s="451">
        <f>IF(AF12=0,0,VLOOKUP(AF12,FREQUENCIAS!$1:$1048576,(IF(($A12=FREQUENCIAS!$E$1),5,"ERRO")),FREQUENCIAS!$1:$1048576))</f>
        <v>0.30480000000000002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0.30480000000000002</v>
      </c>
      <c r="AN12" s="121">
        <f t="shared" si="7"/>
        <v>2.4606299212598426</v>
      </c>
      <c r="AO12" s="122">
        <f t="shared" si="8"/>
        <v>0.71103526734926048</v>
      </c>
      <c r="AP12" s="328" t="s">
        <v>140</v>
      </c>
      <c r="AQ12" s="443">
        <f t="shared" si="9"/>
        <v>0.48330304000000007</v>
      </c>
      <c r="AR12" s="328"/>
      <c r="AS12" s="125" t="str">
        <f t="shared" si="10"/>
        <v>3 / 4F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0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0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2.4606299212598426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O12" s="445" t="str">
        <f t="shared" si="12"/>
        <v/>
      </c>
      <c r="BP12" s="445">
        <f t="shared" si="13"/>
        <v>15</v>
      </c>
      <c r="BQ12" s="445">
        <f t="shared" si="14"/>
        <v>14</v>
      </c>
      <c r="BR12" s="446" t="str">
        <f t="shared" si="15"/>
        <v/>
      </c>
      <c r="BS12" s="446">
        <f t="shared" si="16"/>
        <v>14</v>
      </c>
      <c r="BT12" s="446">
        <f t="shared" si="17"/>
        <v>14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0</v>
      </c>
      <c r="CM12" s="1">
        <f t="shared" si="23"/>
        <v>1</v>
      </c>
      <c r="CN12" s="1">
        <f t="shared" si="24"/>
        <v>0</v>
      </c>
      <c r="CO12" s="1">
        <f t="shared" si="25"/>
        <v>0</v>
      </c>
      <c r="CP12" s="1">
        <f t="shared" si="26"/>
        <v>0</v>
      </c>
      <c r="CQ12" s="1">
        <f t="shared" si="27"/>
        <v>0</v>
      </c>
      <c r="CR12" s="1">
        <f t="shared" si="28"/>
        <v>3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9</v>
      </c>
      <c r="C13" s="292">
        <f>'IMPORTAÇÃO GENOTIPER'!AA9</f>
        <v>9</v>
      </c>
      <c r="D13" s="292">
        <f>'IMPORTAÇÃO GENOTIPER'!AI9</f>
        <v>9</v>
      </c>
      <c r="E13" s="292">
        <f>'IMPORTAÇÃO GENOTIPER'!AQ9</f>
        <v>10</v>
      </c>
      <c r="F13" s="432">
        <f>'IMPORTAÇÃO GENOTIPER'!BO9</f>
        <v>10</v>
      </c>
      <c r="G13" s="432">
        <f>'IMPORTAÇÃO GENOTIPER'!BW9</f>
        <v>14</v>
      </c>
      <c r="H13" s="432">
        <f>'IMPORTAÇÃO GENOTIPER'!CE9</f>
        <v>11</v>
      </c>
      <c r="I13" s="432">
        <f>'IMPORTAÇÃO GENOTIPER'!CM9</f>
        <v>14</v>
      </c>
      <c r="J13" s="433">
        <f t="shared" si="29"/>
        <v>9</v>
      </c>
      <c r="K13" s="433">
        <f t="shared" si="29"/>
        <v>9</v>
      </c>
      <c r="L13" s="433">
        <f t="shared" si="29"/>
        <v>9</v>
      </c>
      <c r="M13" s="433">
        <f t="shared" si="30"/>
        <v>10</v>
      </c>
      <c r="N13" s="433">
        <f t="shared" si="31"/>
        <v>10</v>
      </c>
      <c r="O13" s="433">
        <f t="shared" si="31"/>
        <v>14</v>
      </c>
      <c r="P13" s="433">
        <f t="shared" si="31"/>
        <v>11</v>
      </c>
      <c r="Q13" s="433">
        <f t="shared" si="31"/>
        <v>14</v>
      </c>
      <c r="R13" s="434">
        <f t="shared" si="0"/>
        <v>9</v>
      </c>
      <c r="S13" s="434">
        <f t="shared" si="1"/>
        <v>9</v>
      </c>
      <c r="T13" s="434">
        <f t="shared" si="0"/>
        <v>9</v>
      </c>
      <c r="U13" s="434">
        <f t="shared" si="2"/>
        <v>10</v>
      </c>
      <c r="V13" s="434">
        <f t="shared" si="3"/>
        <v>10</v>
      </c>
      <c r="W13" s="434">
        <f t="shared" si="4"/>
        <v>14</v>
      </c>
      <c r="X13" s="434">
        <f t="shared" si="32"/>
        <v>11</v>
      </c>
      <c r="Y13" s="434">
        <f t="shared" si="33"/>
        <v>14</v>
      </c>
      <c r="Z13" s="435">
        <f t="shared" si="5"/>
        <v>9</v>
      </c>
      <c r="AA13" s="435">
        <f t="shared" si="6"/>
        <v>0</v>
      </c>
      <c r="AB13" s="436">
        <f>(IF((OR((T13="&gt;21"),(U13="&gt;21"))),2,(IF(((Z13+AA13)=(T13+U13)),0,1))))</f>
        <v>1</v>
      </c>
      <c r="AC13" s="437">
        <f t="shared" si="34"/>
        <v>9</v>
      </c>
      <c r="AD13" s="438">
        <f t="shared" si="35"/>
        <v>10</v>
      </c>
      <c r="AE13" s="438">
        <f t="shared" si="36"/>
        <v>0</v>
      </c>
      <c r="AF13" s="439">
        <f t="shared" si="37"/>
        <v>10</v>
      </c>
      <c r="AG13" s="440">
        <f t="shared" si="38"/>
        <v>0</v>
      </c>
      <c r="AH13" s="441">
        <f>IF(AF13=0,0,VLOOKUP(AF13,FREQUENCIAS!$1:$1048576,(IF(($A13=FREQUENCIAS!$F$1),6,"ERRO")),FREQUENCIAS!$1:$1048576))</f>
        <v>5.2623999999999997E-2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5.2623999999999997E-2</v>
      </c>
      <c r="AN13" s="121">
        <f t="shared" si="7"/>
        <v>4.7506840985101855</v>
      </c>
      <c r="AO13" s="122">
        <f t="shared" si="8"/>
        <v>0.8261076451305911</v>
      </c>
      <c r="AP13" s="328" t="s">
        <v>163</v>
      </c>
      <c r="AQ13" s="443">
        <f t="shared" si="9"/>
        <v>0.89752128537599996</v>
      </c>
      <c r="AR13" s="328"/>
      <c r="AS13" s="125" t="str">
        <f t="shared" si="10"/>
        <v>1 / 4F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4.7506840985101855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9</v>
      </c>
      <c r="BQ13" s="445">
        <f t="shared" si="14"/>
        <v>9</v>
      </c>
      <c r="BR13" s="446" t="str">
        <f t="shared" si="15"/>
        <v/>
      </c>
      <c r="BS13" s="446">
        <f t="shared" si="16"/>
        <v>10</v>
      </c>
      <c r="BT13" s="446">
        <f t="shared" si="17"/>
        <v>10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0</v>
      </c>
      <c r="CL13" s="1">
        <f t="shared" si="22"/>
        <v>0</v>
      </c>
      <c r="CM13" s="1">
        <f t="shared" si="23"/>
        <v>0</v>
      </c>
      <c r="CN13" s="1">
        <f t="shared" si="24"/>
        <v>0</v>
      </c>
      <c r="CO13" s="1">
        <f t="shared" si="25"/>
        <v>0</v>
      </c>
      <c r="CP13" s="1">
        <f t="shared" si="26"/>
        <v>0</v>
      </c>
      <c r="CQ13" s="1">
        <f t="shared" si="27"/>
        <v>0</v>
      </c>
      <c r="CR13" s="1">
        <f t="shared" si="28"/>
        <v>1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13</v>
      </c>
      <c r="C14" s="292">
        <f>'IMPORTAÇÃO GENOTIPER'!AA10</f>
        <v>15</v>
      </c>
      <c r="D14" s="292">
        <f>'IMPORTAÇÃO GENOTIPER'!AI10</f>
        <v>12</v>
      </c>
      <c r="E14" s="292">
        <f>'IMPORTAÇÃO GENOTIPER'!AQ10</f>
        <v>15</v>
      </c>
      <c r="F14" s="432">
        <f>'IMPORTAÇÃO GENOTIPER'!BO10</f>
        <v>7</v>
      </c>
      <c r="G14" s="432">
        <f>'IMPORTAÇÃO GENOTIPER'!BW10</f>
        <v>13</v>
      </c>
      <c r="H14" s="432">
        <f>'IMPORTAÇÃO GENOTIPER'!CE10</f>
        <v>5</v>
      </c>
      <c r="I14" s="432">
        <f>'IMPORTAÇÃO GENOTIPER'!CM10</f>
        <v>12</v>
      </c>
      <c r="J14" s="433">
        <f t="shared" si="29"/>
        <v>13</v>
      </c>
      <c r="K14" s="433">
        <f t="shared" si="29"/>
        <v>15</v>
      </c>
      <c r="L14" s="433">
        <f t="shared" si="29"/>
        <v>12</v>
      </c>
      <c r="M14" s="433">
        <f t="shared" si="30"/>
        <v>15</v>
      </c>
      <c r="N14" s="433">
        <f t="shared" si="31"/>
        <v>7</v>
      </c>
      <c r="O14" s="433">
        <f t="shared" si="31"/>
        <v>13</v>
      </c>
      <c r="P14" s="433">
        <f t="shared" si="31"/>
        <v>5</v>
      </c>
      <c r="Q14" s="433">
        <f t="shared" si="31"/>
        <v>12</v>
      </c>
      <c r="R14" s="434">
        <f t="shared" si="0"/>
        <v>13</v>
      </c>
      <c r="S14" s="434">
        <f t="shared" si="1"/>
        <v>15</v>
      </c>
      <c r="T14" s="434">
        <f t="shared" si="0"/>
        <v>12</v>
      </c>
      <c r="U14" s="434">
        <f t="shared" si="2"/>
        <v>15</v>
      </c>
      <c r="V14" s="434">
        <f t="shared" si="3"/>
        <v>7</v>
      </c>
      <c r="W14" s="434">
        <f t="shared" si="4"/>
        <v>13</v>
      </c>
      <c r="X14" s="434">
        <f t="shared" si="32"/>
        <v>5</v>
      </c>
      <c r="Y14" s="434">
        <f t="shared" si="33"/>
        <v>12</v>
      </c>
      <c r="Z14" s="435">
        <f t="shared" si="5"/>
        <v>0</v>
      </c>
      <c r="AA14" s="435">
        <f t="shared" si="6"/>
        <v>15</v>
      </c>
      <c r="AB14" s="436">
        <f>(IF((OR((T14="&gt;20"),(U14="&gt;20"))),2,(IF(((Z14+AA14)=(T14+U14)),0,1))))</f>
        <v>1</v>
      </c>
      <c r="AC14" s="437">
        <f t="shared" si="34"/>
        <v>15</v>
      </c>
      <c r="AD14" s="438">
        <f t="shared" si="35"/>
        <v>12</v>
      </c>
      <c r="AE14" s="438">
        <f t="shared" si="36"/>
        <v>0</v>
      </c>
      <c r="AF14" s="439">
        <f t="shared" si="37"/>
        <v>12</v>
      </c>
      <c r="AG14" s="440">
        <f t="shared" si="38"/>
        <v>0</v>
      </c>
      <c r="AH14" s="441">
        <f>IF(AF14=0,0,VLOOKUP(AF14,FREQUENCIAS!$1:$1048576,(IF(($A14=FREQUENCIAS!$G$1),7,"ERRO")),FREQUENCIAS!$1:$1048576))</f>
        <v>1.6804900000000001E-2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0.05</v>
      </c>
      <c r="AN14" s="121">
        <f t="shared" si="7"/>
        <v>5</v>
      </c>
      <c r="AO14" s="122">
        <f t="shared" si="8"/>
        <v>0.83333333333333337</v>
      </c>
      <c r="AP14" s="328"/>
      <c r="AQ14" s="443">
        <f t="shared" si="9"/>
        <v>0.90249999999999997</v>
      </c>
      <c r="AR14" s="328"/>
      <c r="AS14" s="125" t="str">
        <f t="shared" si="10"/>
        <v>1 / 4F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0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5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15</v>
      </c>
      <c r="BQ14" s="445">
        <f t="shared" si="14"/>
        <v>15</v>
      </c>
      <c r="BR14" s="446" t="str">
        <f t="shared" si="15"/>
        <v/>
      </c>
      <c r="BS14" s="446">
        <f t="shared" si="16"/>
        <v>12</v>
      </c>
      <c r="BT14" s="446">
        <f t="shared" si="17"/>
        <v>12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0</v>
      </c>
      <c r="CK14" s="1">
        <f t="shared" si="21"/>
        <v>0</v>
      </c>
      <c r="CL14" s="1">
        <f t="shared" si="22"/>
        <v>0</v>
      </c>
      <c r="CM14" s="1">
        <f t="shared" si="23"/>
        <v>1</v>
      </c>
      <c r="CN14" s="1">
        <f t="shared" si="24"/>
        <v>0</v>
      </c>
      <c r="CO14" s="1">
        <f t="shared" si="25"/>
        <v>0</v>
      </c>
      <c r="CP14" s="1">
        <f t="shared" si="26"/>
        <v>0</v>
      </c>
      <c r="CQ14" s="1">
        <f t="shared" si="27"/>
        <v>0</v>
      </c>
      <c r="CR14" s="1">
        <f t="shared" si="28"/>
        <v>1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12</v>
      </c>
      <c r="D15" s="292">
        <f>'IMPORTAÇÃO GENOTIPER'!AI11</f>
        <v>9</v>
      </c>
      <c r="E15" s="292">
        <f>'IMPORTAÇÃO GENOTIPER'!AQ11</f>
        <v>11</v>
      </c>
      <c r="F15" s="432">
        <f>'IMPORTAÇÃO GENOTIPER'!BO11</f>
        <v>10</v>
      </c>
      <c r="G15" s="432">
        <f>'IMPORTAÇÃO GENOTIPER'!BW11</f>
        <v>12</v>
      </c>
      <c r="H15" s="432">
        <f>'IMPORTAÇÃO GENOTIPER'!CE11</f>
        <v>11</v>
      </c>
      <c r="I15" s="432">
        <f>'IMPORTAÇÃO GENOTIPER'!CM11</f>
        <v>11</v>
      </c>
      <c r="J15" s="433">
        <f t="shared" si="29"/>
        <v>9</v>
      </c>
      <c r="K15" s="433">
        <f t="shared" si="29"/>
        <v>12</v>
      </c>
      <c r="L15" s="433">
        <f t="shared" si="29"/>
        <v>9</v>
      </c>
      <c r="M15" s="433">
        <f t="shared" si="30"/>
        <v>11</v>
      </c>
      <c r="N15" s="433">
        <f t="shared" si="31"/>
        <v>10</v>
      </c>
      <c r="O15" s="433">
        <f t="shared" si="31"/>
        <v>12</v>
      </c>
      <c r="P15" s="433">
        <f t="shared" si="31"/>
        <v>11</v>
      </c>
      <c r="Q15" s="433">
        <f t="shared" si="31"/>
        <v>11</v>
      </c>
      <c r="R15" s="434">
        <f t="shared" si="0"/>
        <v>9</v>
      </c>
      <c r="S15" s="434">
        <f t="shared" si="1"/>
        <v>12</v>
      </c>
      <c r="T15" s="434">
        <f t="shared" si="0"/>
        <v>9</v>
      </c>
      <c r="U15" s="434">
        <f t="shared" si="2"/>
        <v>11</v>
      </c>
      <c r="V15" s="434">
        <f t="shared" si="3"/>
        <v>10</v>
      </c>
      <c r="W15" s="434">
        <f t="shared" si="4"/>
        <v>12</v>
      </c>
      <c r="X15" s="434">
        <f t="shared" si="32"/>
        <v>11</v>
      </c>
      <c r="Y15" s="434">
        <f t="shared" si="33"/>
        <v>11</v>
      </c>
      <c r="Z15" s="435">
        <f t="shared" si="5"/>
        <v>9</v>
      </c>
      <c r="AA15" s="435">
        <f t="shared" si="6"/>
        <v>0</v>
      </c>
      <c r="AB15" s="436">
        <f>(IF((OR((T15="&gt;23"),(U15="&gt;23"))),2,(IF(((Z15+AA15)=(T15+U15)),0,1))))</f>
        <v>1</v>
      </c>
      <c r="AC15" s="437">
        <f t="shared" si="34"/>
        <v>9</v>
      </c>
      <c r="AD15" s="438">
        <f t="shared" si="35"/>
        <v>11</v>
      </c>
      <c r="AE15" s="438">
        <f t="shared" si="36"/>
        <v>0</v>
      </c>
      <c r="AF15" s="439">
        <f t="shared" si="37"/>
        <v>11</v>
      </c>
      <c r="AG15" s="440">
        <f t="shared" si="38"/>
        <v>0</v>
      </c>
      <c r="AH15" s="441">
        <f>IF(AF15=0,0,VLOOKUP(AF15,FREQUENCIAS!$1:$1048576,(IF(($A15=FREQUENCIAS!$H$1),8,"ERRO")),FREQUENCIAS!$1:$1048576))</f>
        <v>0.28868100000000002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0.28868100000000002</v>
      </c>
      <c r="AN15" s="121">
        <f t="shared" si="7"/>
        <v>1.7320156158527924</v>
      </c>
      <c r="AO15" s="122">
        <f t="shared" si="8"/>
        <v>0.63396988135887633</v>
      </c>
      <c r="AP15" s="328"/>
      <c r="AQ15" s="443">
        <f t="shared" si="9"/>
        <v>0.50597471976100006</v>
      </c>
      <c r="AR15" s="328"/>
      <c r="AS15" s="125" t="str">
        <f t="shared" si="10"/>
        <v>1 / 2F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1.7320156158527924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O15" s="445" t="str">
        <f t="shared" si="12"/>
        <v/>
      </c>
      <c r="BP15" s="445">
        <f t="shared" si="13"/>
        <v>9</v>
      </c>
      <c r="BQ15" s="445">
        <f t="shared" si="14"/>
        <v>9</v>
      </c>
      <c r="BR15" s="446" t="str">
        <f t="shared" si="15"/>
        <v/>
      </c>
      <c r="BS15" s="446">
        <f t="shared" si="16"/>
        <v>11</v>
      </c>
      <c r="BT15" s="446">
        <f t="shared" si="17"/>
        <v>11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0</v>
      </c>
      <c r="CK15" s="1">
        <f t="shared" si="21"/>
        <v>0</v>
      </c>
      <c r="CL15" s="1">
        <f t="shared" si="22"/>
        <v>1</v>
      </c>
      <c r="CM15" s="1">
        <f t="shared" si="23"/>
        <v>1</v>
      </c>
      <c r="CN15" s="1">
        <f t="shared" si="24"/>
        <v>0</v>
      </c>
      <c r="CO15" s="1">
        <f t="shared" si="25"/>
        <v>0</v>
      </c>
      <c r="CP15" s="1">
        <f t="shared" si="26"/>
        <v>0</v>
      </c>
      <c r="CQ15" s="1">
        <f t="shared" si="27"/>
        <v>0</v>
      </c>
      <c r="CR15" s="1">
        <f t="shared" si="28"/>
        <v>2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14</v>
      </c>
      <c r="D16" s="292">
        <f>'IMPORTAÇÃO GENOTIPER'!AI12</f>
        <v>14</v>
      </c>
      <c r="E16" s="292">
        <f>'IMPORTAÇÃO GENOTIPER'!AQ12</f>
        <v>17</v>
      </c>
      <c r="F16" s="432">
        <f>'IMPORTAÇÃO GENOTIPER'!BO12</f>
        <v>14</v>
      </c>
      <c r="G16" s="432">
        <f>'IMPORTAÇÃO GENOTIPER'!BW12</f>
        <v>17</v>
      </c>
      <c r="H16" s="432">
        <f>'IMPORTAÇÃO GENOTIPER'!CE12</f>
        <v>15</v>
      </c>
      <c r="I16" s="432">
        <f>'IMPORTAÇÃO GENOTIPER'!CM12</f>
        <v>17</v>
      </c>
      <c r="J16" s="433">
        <f t="shared" si="29"/>
        <v>14</v>
      </c>
      <c r="K16" s="433">
        <f t="shared" si="29"/>
        <v>14</v>
      </c>
      <c r="L16" s="433">
        <f t="shared" si="29"/>
        <v>14</v>
      </c>
      <c r="M16" s="433">
        <f t="shared" si="30"/>
        <v>17</v>
      </c>
      <c r="N16" s="433">
        <f t="shared" si="31"/>
        <v>14</v>
      </c>
      <c r="O16" s="433">
        <f t="shared" si="31"/>
        <v>17</v>
      </c>
      <c r="P16" s="433">
        <f t="shared" si="31"/>
        <v>15</v>
      </c>
      <c r="Q16" s="433">
        <f t="shared" si="31"/>
        <v>17</v>
      </c>
      <c r="R16" s="434">
        <f t="shared" si="0"/>
        <v>14</v>
      </c>
      <c r="S16" s="434">
        <f t="shared" si="1"/>
        <v>14</v>
      </c>
      <c r="T16" s="434">
        <f t="shared" si="0"/>
        <v>14</v>
      </c>
      <c r="U16" s="434">
        <f t="shared" si="2"/>
        <v>17</v>
      </c>
      <c r="V16" s="434">
        <f t="shared" si="3"/>
        <v>14</v>
      </c>
      <c r="W16" s="434">
        <f t="shared" si="4"/>
        <v>17</v>
      </c>
      <c r="X16" s="434">
        <f t="shared" si="32"/>
        <v>15</v>
      </c>
      <c r="Y16" s="434">
        <f t="shared" si="33"/>
        <v>17</v>
      </c>
      <c r="Z16" s="435">
        <f t="shared" si="5"/>
        <v>14</v>
      </c>
      <c r="AA16" s="435">
        <f t="shared" si="6"/>
        <v>0</v>
      </c>
      <c r="AB16" s="436">
        <f>(IF((OR((T16="&gt;22"),(U16="&gt;22"))),2,(IF(((Z16+AA16)=(T16+U16)),0,1))))</f>
        <v>1</v>
      </c>
      <c r="AC16" s="437">
        <f t="shared" si="34"/>
        <v>14</v>
      </c>
      <c r="AD16" s="438">
        <f t="shared" si="35"/>
        <v>17</v>
      </c>
      <c r="AE16" s="438">
        <f t="shared" si="36"/>
        <v>0</v>
      </c>
      <c r="AF16" s="439">
        <f t="shared" si="37"/>
        <v>17</v>
      </c>
      <c r="AG16" s="440">
        <f t="shared" si="38"/>
        <v>0</v>
      </c>
      <c r="AH16" s="441">
        <f>IF(AF16=0,0,VLOOKUP(AF16,FREQUENCIAS!$1:$1048576,(IF(($A16=FREQUENCIAS!$I$1),9,"ERRO")),FREQUENCIAS!$1:$1048576))</f>
        <v>0.121915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0.121915</v>
      </c>
      <c r="AN16" s="121">
        <f t="shared" si="7"/>
        <v>4.1012180617643441</v>
      </c>
      <c r="AO16" s="122">
        <f t="shared" si="8"/>
        <v>0.80396838796298531</v>
      </c>
      <c r="AP16" s="328"/>
      <c r="AQ16" s="443">
        <f t="shared" si="9"/>
        <v>0.77103326722499999</v>
      </c>
      <c r="AR16" s="328"/>
      <c r="AS16" s="125" t="str">
        <f t="shared" si="10"/>
        <v>1 / 2F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0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0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4.1012180617643441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15</v>
      </c>
      <c r="BQ16" s="445">
        <f t="shared" si="14"/>
        <v>14</v>
      </c>
      <c r="BR16" s="446" t="str">
        <f t="shared" si="15"/>
        <v/>
      </c>
      <c r="BS16" s="446">
        <f t="shared" si="16"/>
        <v>17</v>
      </c>
      <c r="BT16" s="446">
        <f t="shared" si="17"/>
        <v>17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0</v>
      </c>
      <c r="CK16" s="1">
        <f t="shared" si="21"/>
        <v>1</v>
      </c>
      <c r="CL16" s="1">
        <f t="shared" si="22"/>
        <v>0</v>
      </c>
      <c r="CM16" s="1">
        <f t="shared" si="23"/>
        <v>1</v>
      </c>
      <c r="CN16" s="1">
        <f t="shared" si="24"/>
        <v>0</v>
      </c>
      <c r="CO16" s="1">
        <f t="shared" si="25"/>
        <v>0</v>
      </c>
      <c r="CP16" s="1">
        <f t="shared" si="26"/>
        <v>0</v>
      </c>
      <c r="CQ16" s="1">
        <f t="shared" si="27"/>
        <v>0</v>
      </c>
      <c r="CR16" s="1">
        <f t="shared" si="28"/>
        <v>2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17</v>
      </c>
      <c r="C17" s="292">
        <f>'IMPORTAÇÃO GENOTIPER'!AA13</f>
        <v>22</v>
      </c>
      <c r="D17" s="292">
        <f>'IMPORTAÇÃO GENOTIPER'!AI13</f>
        <v>17</v>
      </c>
      <c r="E17" s="292">
        <f>'IMPORTAÇÃO GENOTIPER'!AQ13</f>
        <v>20</v>
      </c>
      <c r="F17" s="432">
        <f>'IMPORTAÇÃO GENOTIPER'!BO13</f>
        <v>19</v>
      </c>
      <c r="G17" s="432">
        <f>'IMPORTAÇÃO GENOTIPER'!BW13</f>
        <v>20</v>
      </c>
      <c r="H17" s="432">
        <f>'IMPORTAÇÃO GENOTIPER'!CE13</f>
        <v>20</v>
      </c>
      <c r="I17" s="432">
        <f>'IMPORTAÇÃO GENOTIPER'!CM13</f>
        <v>21</v>
      </c>
      <c r="J17" s="433">
        <f t="shared" si="29"/>
        <v>17</v>
      </c>
      <c r="K17" s="433">
        <f t="shared" si="29"/>
        <v>22</v>
      </c>
      <c r="L17" s="433">
        <f t="shared" si="29"/>
        <v>17</v>
      </c>
      <c r="M17" s="433">
        <f t="shared" si="30"/>
        <v>20</v>
      </c>
      <c r="N17" s="433">
        <f t="shared" si="31"/>
        <v>19</v>
      </c>
      <c r="O17" s="433">
        <f t="shared" si="31"/>
        <v>20</v>
      </c>
      <c r="P17" s="433">
        <f t="shared" si="31"/>
        <v>20</v>
      </c>
      <c r="Q17" s="433">
        <f t="shared" si="31"/>
        <v>21</v>
      </c>
      <c r="R17" s="434">
        <f t="shared" si="0"/>
        <v>17</v>
      </c>
      <c r="S17" s="434">
        <f t="shared" si="1"/>
        <v>22</v>
      </c>
      <c r="T17" s="434">
        <f t="shared" si="0"/>
        <v>17</v>
      </c>
      <c r="U17" s="434">
        <f t="shared" si="2"/>
        <v>20</v>
      </c>
      <c r="V17" s="434">
        <f t="shared" si="3"/>
        <v>19</v>
      </c>
      <c r="W17" s="434">
        <f t="shared" si="4"/>
        <v>20</v>
      </c>
      <c r="X17" s="434">
        <f t="shared" si="32"/>
        <v>20</v>
      </c>
      <c r="Y17" s="434">
        <f t="shared" si="33"/>
        <v>21</v>
      </c>
      <c r="Z17" s="435">
        <f t="shared" si="5"/>
        <v>17</v>
      </c>
      <c r="AA17" s="435">
        <f t="shared" si="6"/>
        <v>0</v>
      </c>
      <c r="AB17" s="436">
        <f>(IF((OR((T17="&gt;28"),(U17="&gt;28"))),2,(IF(((Z17+AA17)=(T17+U17)),0,1))))</f>
        <v>1</v>
      </c>
      <c r="AC17" s="437">
        <f t="shared" si="34"/>
        <v>17</v>
      </c>
      <c r="AD17" s="438">
        <f t="shared" si="35"/>
        <v>20</v>
      </c>
      <c r="AE17" s="438">
        <f t="shared" si="36"/>
        <v>0</v>
      </c>
      <c r="AF17" s="439">
        <f t="shared" si="37"/>
        <v>20</v>
      </c>
      <c r="AG17" s="440">
        <f t="shared" si="38"/>
        <v>0</v>
      </c>
      <c r="AH17" s="441">
        <f>IF(AF17=0,0,VLOOKUP(AF17,FREQUENCIAS!$1:$1048576,(IF(($A17=FREQUENCIAS!$J$1),10,"ERRO")),FREQUENCIAS!$1:$1048576))</f>
        <v>0.13669999999999999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0.13669999999999999</v>
      </c>
      <c r="AN17" s="121">
        <f t="shared" si="7"/>
        <v>3.6576444769568401</v>
      </c>
      <c r="AO17" s="122">
        <f t="shared" si="8"/>
        <v>0.78529919899481715</v>
      </c>
      <c r="AP17" s="328" t="s">
        <v>173</v>
      </c>
      <c r="AQ17" s="443">
        <f t="shared" si="9"/>
        <v>0.74528688999999992</v>
      </c>
      <c r="AR17" s="328"/>
      <c r="AS17" s="125" t="str">
        <f t="shared" si="10"/>
        <v>1 / 2F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0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0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3.6576444769568401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O17" s="445" t="str">
        <f t="shared" si="12"/>
        <v/>
      </c>
      <c r="BP17" s="445">
        <f t="shared" si="13"/>
        <v>17</v>
      </c>
      <c r="BQ17" s="445">
        <f t="shared" si="14"/>
        <v>17</v>
      </c>
      <c r="BR17" s="446" t="str">
        <f t="shared" si="15"/>
        <v/>
      </c>
      <c r="BS17" s="446">
        <f t="shared" si="16"/>
        <v>20</v>
      </c>
      <c r="BT17" s="446">
        <f t="shared" si="17"/>
        <v>20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0</v>
      </c>
      <c r="CK17" s="1">
        <f t="shared" si="21"/>
        <v>1</v>
      </c>
      <c r="CL17" s="1">
        <f t="shared" si="22"/>
        <v>1</v>
      </c>
      <c r="CM17" s="1">
        <f t="shared" si="23"/>
        <v>0</v>
      </c>
      <c r="CN17" s="1">
        <f t="shared" si="24"/>
        <v>0</v>
      </c>
      <c r="CO17" s="1">
        <f t="shared" si="25"/>
        <v>0</v>
      </c>
      <c r="CP17" s="1">
        <f t="shared" si="26"/>
        <v>0</v>
      </c>
      <c r="CQ17" s="1">
        <f t="shared" si="27"/>
        <v>0</v>
      </c>
      <c r="CR17" s="1">
        <f t="shared" si="28"/>
        <v>2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11</v>
      </c>
      <c r="D18" s="292">
        <f>'IMPORTAÇÃO GENOTIPER'!AI14</f>
        <v>11</v>
      </c>
      <c r="E18" s="292">
        <f>'IMPORTAÇÃO GENOTIPER'!AQ14</f>
        <v>12</v>
      </c>
      <c r="F18" s="432">
        <f>'IMPORTAÇÃO GENOTIPER'!BO14</f>
        <v>10</v>
      </c>
      <c r="G18" s="432">
        <f>'IMPORTAÇÃO GENOTIPER'!BW14</f>
        <v>12</v>
      </c>
      <c r="H18" s="432">
        <f>'IMPORTAÇÃO GENOTIPER'!CE14</f>
        <v>11</v>
      </c>
      <c r="I18" s="432">
        <f>'IMPORTAÇÃO GENOTIPER'!CM14</f>
        <v>12</v>
      </c>
      <c r="J18" s="433">
        <f t="shared" si="29"/>
        <v>10</v>
      </c>
      <c r="K18" s="433">
        <f t="shared" si="29"/>
        <v>11</v>
      </c>
      <c r="L18" s="433">
        <f t="shared" si="29"/>
        <v>11</v>
      </c>
      <c r="M18" s="433">
        <f t="shared" si="30"/>
        <v>12</v>
      </c>
      <c r="N18" s="433">
        <f t="shared" si="31"/>
        <v>10</v>
      </c>
      <c r="O18" s="433">
        <f t="shared" si="31"/>
        <v>12</v>
      </c>
      <c r="P18" s="433">
        <f t="shared" si="31"/>
        <v>11</v>
      </c>
      <c r="Q18" s="433">
        <f t="shared" si="31"/>
        <v>12</v>
      </c>
      <c r="R18" s="434">
        <f t="shared" si="0"/>
        <v>10</v>
      </c>
      <c r="S18" s="434">
        <f t="shared" si="1"/>
        <v>11</v>
      </c>
      <c r="T18" s="434">
        <f t="shared" si="0"/>
        <v>11</v>
      </c>
      <c r="U18" s="434">
        <f t="shared" si="2"/>
        <v>12</v>
      </c>
      <c r="V18" s="434">
        <f t="shared" si="3"/>
        <v>10</v>
      </c>
      <c r="W18" s="434">
        <f t="shared" si="4"/>
        <v>12</v>
      </c>
      <c r="X18" s="434">
        <f t="shared" si="32"/>
        <v>11</v>
      </c>
      <c r="Y18" s="434">
        <f t="shared" si="33"/>
        <v>12</v>
      </c>
      <c r="Z18" s="435">
        <f t="shared" si="5"/>
        <v>11</v>
      </c>
      <c r="AA18" s="435">
        <f t="shared" si="6"/>
        <v>0</v>
      </c>
      <c r="AB18" s="436">
        <f>(IF((OR((T18="&gt;17,2"),(U18="&gt;17,2"))),2,(IF(((Z18+AA18)=(T18+U18)),0,1))))</f>
        <v>1</v>
      </c>
      <c r="AC18" s="437">
        <f t="shared" si="34"/>
        <v>11</v>
      </c>
      <c r="AD18" s="438">
        <f t="shared" si="35"/>
        <v>12</v>
      </c>
      <c r="AE18" s="438">
        <f t="shared" si="36"/>
        <v>0</v>
      </c>
      <c r="AF18" s="439">
        <f t="shared" si="37"/>
        <v>12</v>
      </c>
      <c r="AG18" s="440">
        <f t="shared" si="38"/>
        <v>0</v>
      </c>
      <c r="AH18" s="441">
        <f>IF(AF18=0,0,VLOOKUP(AF18,FREQUENCIAS!$1:$1048576,(IF(($A18=FREQUENCIAS!$K$1),11,"ERRO")),FREQUENCIAS!$1:$1048576))</f>
        <v>0.30245100000000003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0.30245100000000003</v>
      </c>
      <c r="AN18" s="121">
        <f t="shared" si="7"/>
        <v>1.6531603466346614</v>
      </c>
      <c r="AO18" s="122">
        <f t="shared" si="8"/>
        <v>0.62309100493363456</v>
      </c>
      <c r="AP18" s="328"/>
      <c r="AQ18" s="443">
        <f t="shared" si="9"/>
        <v>0.48657460740099995</v>
      </c>
      <c r="AR18" s="328"/>
      <c r="AS18" s="125" t="str">
        <f t="shared" si="10"/>
        <v>1 / 2F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0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0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1.6531603466346614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O18" s="445" t="str">
        <f t="shared" si="12"/>
        <v/>
      </c>
      <c r="BP18" s="445">
        <f t="shared" si="13"/>
        <v>11</v>
      </c>
      <c r="BQ18" s="445">
        <f t="shared" si="14"/>
        <v>11</v>
      </c>
      <c r="BR18" s="446" t="str">
        <f t="shared" si="15"/>
        <v/>
      </c>
      <c r="BS18" s="446">
        <f t="shared" si="16"/>
        <v>12</v>
      </c>
      <c r="BT18" s="446">
        <f t="shared" si="17"/>
        <v>12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0</v>
      </c>
      <c r="CK18" s="1">
        <f t="shared" si="21"/>
        <v>1</v>
      </c>
      <c r="CL18" s="1">
        <f t="shared" si="22"/>
        <v>0</v>
      </c>
      <c r="CM18" s="1">
        <f t="shared" si="23"/>
        <v>1</v>
      </c>
      <c r="CN18" s="1">
        <f t="shared" si="24"/>
        <v>0</v>
      </c>
      <c r="CO18" s="1">
        <f t="shared" si="25"/>
        <v>0</v>
      </c>
      <c r="CP18" s="1">
        <f t="shared" si="26"/>
        <v>0</v>
      </c>
      <c r="CQ18" s="1">
        <f t="shared" si="27"/>
        <v>0</v>
      </c>
      <c r="CR18" s="1">
        <f t="shared" si="28"/>
        <v>2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11</v>
      </c>
      <c r="D19" s="292">
        <f>'IMPORTAÇÃO GENOTIPER'!AI15</f>
        <v>11</v>
      </c>
      <c r="E19" s="292">
        <f>'IMPORTAÇÃO GENOTIPER'!AQ15</f>
        <v>12</v>
      </c>
      <c r="F19" s="432">
        <f>'IMPORTAÇÃO GENOTIPER'!BO15</f>
        <v>2.2000000000000002</v>
      </c>
      <c r="G19" s="432">
        <f>'IMPORTAÇÃO GENOTIPER'!BW15</f>
        <v>12</v>
      </c>
      <c r="H19" s="432">
        <f>'IMPORTAÇÃO GENOTIPER'!CE15</f>
        <v>11</v>
      </c>
      <c r="I19" s="432">
        <f>'IMPORTAÇÃO GENOTIPER'!CM15</f>
        <v>12</v>
      </c>
      <c r="J19" s="433">
        <f t="shared" si="29"/>
        <v>9</v>
      </c>
      <c r="K19" s="433">
        <f t="shared" si="29"/>
        <v>11</v>
      </c>
      <c r="L19" s="433">
        <f t="shared" si="29"/>
        <v>11</v>
      </c>
      <c r="M19" s="433">
        <f t="shared" si="30"/>
        <v>12</v>
      </c>
      <c r="N19" s="433">
        <f t="shared" si="31"/>
        <v>2.2000000000000002</v>
      </c>
      <c r="O19" s="433">
        <f t="shared" si="31"/>
        <v>12</v>
      </c>
      <c r="P19" s="433">
        <f t="shared" si="31"/>
        <v>11</v>
      </c>
      <c r="Q19" s="433">
        <f t="shared" si="31"/>
        <v>12</v>
      </c>
      <c r="R19" s="434">
        <f t="shared" si="0"/>
        <v>9</v>
      </c>
      <c r="S19" s="434">
        <f t="shared" si="1"/>
        <v>11</v>
      </c>
      <c r="T19" s="434">
        <f t="shared" si="0"/>
        <v>11</v>
      </c>
      <c r="U19" s="434">
        <f t="shared" si="2"/>
        <v>12</v>
      </c>
      <c r="V19" s="434">
        <f t="shared" si="3"/>
        <v>2.2000000000000002</v>
      </c>
      <c r="W19" s="434">
        <f t="shared" si="4"/>
        <v>12</v>
      </c>
      <c r="X19" s="434">
        <f t="shared" si="32"/>
        <v>11</v>
      </c>
      <c r="Y19" s="434">
        <f t="shared" si="33"/>
        <v>12</v>
      </c>
      <c r="Z19" s="435">
        <f t="shared" si="5"/>
        <v>11</v>
      </c>
      <c r="AA19" s="435">
        <f t="shared" si="6"/>
        <v>0</v>
      </c>
      <c r="AB19" s="436">
        <f>(IF((OR((T19="&gt;21"),(U19="&gt;21"))),2,(IF(((Z19+AA19)=(T19+U19)),0,1))))</f>
        <v>1</v>
      </c>
      <c r="AC19" s="437">
        <f t="shared" si="34"/>
        <v>11</v>
      </c>
      <c r="AD19" s="438">
        <f t="shared" si="35"/>
        <v>12</v>
      </c>
      <c r="AE19" s="438">
        <f t="shared" si="36"/>
        <v>0</v>
      </c>
      <c r="AF19" s="439">
        <f t="shared" si="37"/>
        <v>12</v>
      </c>
      <c r="AG19" s="440">
        <f t="shared" si="38"/>
        <v>0</v>
      </c>
      <c r="AH19" s="441">
        <f>IF(AF19=0,0,VLOOKUP(AF19,FREQUENCIAS!$1:$1048576,(IF(($A19=FREQUENCIAS!$L$1),12,"ERRO")),FREQUENCIAS!$1:$1048576))</f>
        <v>0.16545399999999999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0.16545399999999999</v>
      </c>
      <c r="AN19" s="121">
        <f t="shared" si="7"/>
        <v>3.0219879845757736</v>
      </c>
      <c r="AO19" s="122">
        <f t="shared" si="8"/>
        <v>0.75136673609295312</v>
      </c>
      <c r="AP19" s="328" t="s">
        <v>164</v>
      </c>
      <c r="AQ19" s="443">
        <f t="shared" si="9"/>
        <v>0.69646702611599998</v>
      </c>
      <c r="AR19" s="328"/>
      <c r="AS19" s="125" t="str">
        <f t="shared" si="10"/>
        <v>1 / 2F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0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0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3.0219879845757736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11</v>
      </c>
      <c r="BQ19" s="445">
        <f t="shared" si="14"/>
        <v>11</v>
      </c>
      <c r="BR19" s="446" t="str">
        <f t="shared" si="15"/>
        <v/>
      </c>
      <c r="BS19" s="446">
        <f t="shared" si="16"/>
        <v>12</v>
      </c>
      <c r="BT19" s="446">
        <f t="shared" si="17"/>
        <v>12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0</v>
      </c>
      <c r="CK19" s="1">
        <f t="shared" si="21"/>
        <v>1</v>
      </c>
      <c r="CL19" s="1">
        <f t="shared" si="22"/>
        <v>0</v>
      </c>
      <c r="CM19" s="1">
        <f t="shared" si="23"/>
        <v>1</v>
      </c>
      <c r="CN19" s="1">
        <f t="shared" si="24"/>
        <v>0</v>
      </c>
      <c r="CO19" s="1">
        <f t="shared" si="25"/>
        <v>0</v>
      </c>
      <c r="CP19" s="1">
        <f t="shared" si="26"/>
        <v>0</v>
      </c>
      <c r="CQ19" s="1">
        <f t="shared" si="27"/>
        <v>0</v>
      </c>
      <c r="CR19" s="1">
        <f t="shared" si="28"/>
        <v>2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8</v>
      </c>
      <c r="D20" s="292">
        <f>'IMPORTAÇÃO GENOTIPER'!AI16</f>
        <v>8</v>
      </c>
      <c r="E20" s="292">
        <f>'IMPORTAÇÃO GENOTIPER'!AQ16</f>
        <v>9</v>
      </c>
      <c r="F20" s="432">
        <f>'IMPORTAÇÃO GENOTIPER'!BO16</f>
        <v>7</v>
      </c>
      <c r="G20" s="432">
        <f>'IMPORTAÇÃO GENOTIPER'!BW16</f>
        <v>9.3000000000000007</v>
      </c>
      <c r="H20" s="432">
        <f>'IMPORTAÇÃO GENOTIPER'!CE16</f>
        <v>6</v>
      </c>
      <c r="I20" s="432">
        <f>'IMPORTAÇÃO GENOTIPER'!CM16</f>
        <v>9</v>
      </c>
      <c r="J20" s="433">
        <f t="shared" si="29"/>
        <v>7</v>
      </c>
      <c r="K20" s="433">
        <f t="shared" si="29"/>
        <v>8</v>
      </c>
      <c r="L20" s="433">
        <f t="shared" si="29"/>
        <v>8</v>
      </c>
      <c r="M20" s="433">
        <f t="shared" si="30"/>
        <v>9</v>
      </c>
      <c r="N20" s="433">
        <f t="shared" si="31"/>
        <v>7</v>
      </c>
      <c r="O20" s="433">
        <f t="shared" si="31"/>
        <v>9.3000000000000007</v>
      </c>
      <c r="P20" s="433">
        <f t="shared" si="31"/>
        <v>6</v>
      </c>
      <c r="Q20" s="433">
        <f t="shared" si="31"/>
        <v>9</v>
      </c>
      <c r="R20" s="434">
        <f t="shared" si="0"/>
        <v>7</v>
      </c>
      <c r="S20" s="434">
        <f t="shared" si="1"/>
        <v>8</v>
      </c>
      <c r="T20" s="434">
        <f t="shared" si="0"/>
        <v>8</v>
      </c>
      <c r="U20" s="434">
        <f t="shared" si="2"/>
        <v>9</v>
      </c>
      <c r="V20" s="434">
        <f t="shared" si="3"/>
        <v>7</v>
      </c>
      <c r="W20" s="434">
        <f t="shared" si="4"/>
        <v>9.3000000000000007</v>
      </c>
      <c r="X20" s="434">
        <f t="shared" si="32"/>
        <v>6</v>
      </c>
      <c r="Y20" s="434">
        <f t="shared" si="33"/>
        <v>9</v>
      </c>
      <c r="Z20" s="435">
        <f t="shared" si="5"/>
        <v>8</v>
      </c>
      <c r="AA20" s="435">
        <f t="shared" si="6"/>
        <v>0</v>
      </c>
      <c r="AB20" s="436">
        <f>(IF((OR((T20="&gt;20"),(U20="&gt;20"))),2,(IF(((Z20+AA20)=(T20+U20)),0,1))))</f>
        <v>1</v>
      </c>
      <c r="AC20" s="437">
        <f t="shared" si="34"/>
        <v>8</v>
      </c>
      <c r="AD20" s="438">
        <f t="shared" si="35"/>
        <v>9</v>
      </c>
      <c r="AE20" s="438">
        <f t="shared" si="36"/>
        <v>0</v>
      </c>
      <c r="AF20" s="439">
        <f t="shared" si="37"/>
        <v>9</v>
      </c>
      <c r="AG20" s="440">
        <f t="shared" si="38"/>
        <v>0</v>
      </c>
      <c r="AH20" s="441">
        <f>IF(AF20=0,0,VLOOKUP(AF20,FREQUENCIAS!$1:$1048576,(IF(($A20=FREQUENCIAS!$M$1),13,"ERRO")),FREQUENCIAS!$1:$1048576))</f>
        <v>0.16256300000000001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0.16256300000000001</v>
      </c>
      <c r="AN20" s="121">
        <f t="shared" si="7"/>
        <v>1.5378653199067438</v>
      </c>
      <c r="AO20" s="122">
        <f t="shared" si="8"/>
        <v>0.60596805821171551</v>
      </c>
      <c r="AP20" s="328"/>
      <c r="AQ20" s="443">
        <f t="shared" si="9"/>
        <v>0.70130072896899998</v>
      </c>
      <c r="AR20" s="328"/>
      <c r="AS20" s="125" t="str">
        <f t="shared" si="10"/>
        <v>1 / 4F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0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0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1.5378653199067438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O20" s="445" t="str">
        <f t="shared" si="12"/>
        <v/>
      </c>
      <c r="BP20" s="445">
        <f t="shared" si="13"/>
        <v>8</v>
      </c>
      <c r="BQ20" s="445">
        <f t="shared" si="14"/>
        <v>8</v>
      </c>
      <c r="BR20" s="446" t="str">
        <f t="shared" si="15"/>
        <v/>
      </c>
      <c r="BS20" s="446">
        <f t="shared" si="16"/>
        <v>9</v>
      </c>
      <c r="BT20" s="446">
        <f t="shared" si="17"/>
        <v>9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0</v>
      </c>
      <c r="CK20" s="1">
        <f t="shared" si="21"/>
        <v>0</v>
      </c>
      <c r="CL20" s="1">
        <f t="shared" si="22"/>
        <v>0</v>
      </c>
      <c r="CM20" s="1">
        <f t="shared" si="23"/>
        <v>1</v>
      </c>
      <c r="CN20" s="1">
        <f t="shared" si="24"/>
        <v>0</v>
      </c>
      <c r="CO20" s="1">
        <f t="shared" si="25"/>
        <v>0</v>
      </c>
      <c r="CP20" s="1">
        <f t="shared" si="26"/>
        <v>0</v>
      </c>
      <c r="CQ20" s="1">
        <f t="shared" si="27"/>
        <v>0</v>
      </c>
      <c r="CR20" s="1">
        <f t="shared" si="28"/>
        <v>1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15</v>
      </c>
      <c r="C21" s="292">
        <f>'IMPORTAÇÃO GENOTIPER'!AA17</f>
        <v>15</v>
      </c>
      <c r="D21" s="292">
        <f>'IMPORTAÇÃO GENOTIPER'!AI17</f>
        <v>15</v>
      </c>
      <c r="E21" s="292">
        <f>'IMPORTAÇÃO GENOTIPER'!AQ17</f>
        <v>17</v>
      </c>
      <c r="F21" s="432">
        <f>'IMPORTAÇÃO GENOTIPER'!BO17</f>
        <v>16</v>
      </c>
      <c r="G21" s="432">
        <f>'IMPORTAÇÃO GENOTIPER'!BW17</f>
        <v>18</v>
      </c>
      <c r="H21" s="432">
        <f>'IMPORTAÇÃO GENOTIPER'!CE17</f>
        <v>16</v>
      </c>
      <c r="I21" s="432">
        <f>'IMPORTAÇÃO GENOTIPER'!CM17</f>
        <v>17</v>
      </c>
      <c r="J21" s="433">
        <f t="shared" si="29"/>
        <v>15</v>
      </c>
      <c r="K21" s="433">
        <f t="shared" si="29"/>
        <v>15</v>
      </c>
      <c r="L21" s="433">
        <f t="shared" si="29"/>
        <v>15</v>
      </c>
      <c r="M21" s="433">
        <f t="shared" si="30"/>
        <v>17</v>
      </c>
      <c r="N21" s="433">
        <f t="shared" si="31"/>
        <v>16</v>
      </c>
      <c r="O21" s="433">
        <f t="shared" si="31"/>
        <v>18</v>
      </c>
      <c r="P21" s="433">
        <f t="shared" si="31"/>
        <v>16</v>
      </c>
      <c r="Q21" s="433">
        <f t="shared" si="31"/>
        <v>17</v>
      </c>
      <c r="R21" s="434">
        <f t="shared" si="0"/>
        <v>15</v>
      </c>
      <c r="S21" s="434">
        <f t="shared" si="1"/>
        <v>15</v>
      </c>
      <c r="T21" s="434">
        <f t="shared" si="0"/>
        <v>15</v>
      </c>
      <c r="U21" s="434">
        <f t="shared" si="2"/>
        <v>17</v>
      </c>
      <c r="V21" s="434">
        <f t="shared" si="3"/>
        <v>16</v>
      </c>
      <c r="W21" s="434">
        <f t="shared" si="4"/>
        <v>18</v>
      </c>
      <c r="X21" s="434">
        <f t="shared" si="32"/>
        <v>16</v>
      </c>
      <c r="Y21" s="434">
        <f t="shared" si="33"/>
        <v>17</v>
      </c>
      <c r="Z21" s="435">
        <f t="shared" si="5"/>
        <v>15</v>
      </c>
      <c r="AA21" s="435">
        <f t="shared" si="6"/>
        <v>0</v>
      </c>
      <c r="AB21" s="436">
        <f>(IF((OR((T21="&gt;24"),(U21="&gt;24"))),2,(IF(((Z21+AA21)=(T21+U21)),0,1))))</f>
        <v>1</v>
      </c>
      <c r="AC21" s="437">
        <f t="shared" si="34"/>
        <v>15</v>
      </c>
      <c r="AD21" s="438">
        <f t="shared" si="35"/>
        <v>17</v>
      </c>
      <c r="AE21" s="438">
        <f t="shared" si="36"/>
        <v>0</v>
      </c>
      <c r="AF21" s="439">
        <f t="shared" si="37"/>
        <v>17</v>
      </c>
      <c r="AG21" s="440">
        <f t="shared" si="38"/>
        <v>0</v>
      </c>
      <c r="AH21" s="441">
        <f>IF(AF21=0,0,VLOOKUP(AF21,FREQUENCIAS!$1:$1048576,(IF(($A21=FREQUENCIAS!$N$1),14,"ERRO")),FREQUENCIAS!$1:$1048576))</f>
        <v>0.25484400000000001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0.25484400000000001</v>
      </c>
      <c r="AN21" s="121">
        <f t="shared" si="7"/>
        <v>0.98099229332454363</v>
      </c>
      <c r="AO21" s="122">
        <f t="shared" si="8"/>
        <v>0.49520247838936382</v>
      </c>
      <c r="AP21" s="328"/>
      <c r="AQ21" s="443">
        <f t="shared" si="9"/>
        <v>0.55525746433599987</v>
      </c>
      <c r="AR21" s="328"/>
      <c r="AS21" s="125" t="str">
        <f t="shared" si="10"/>
        <v>1 / 4F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0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0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0.98099229332454363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O21" s="445" t="str">
        <f t="shared" si="12"/>
        <v/>
      </c>
      <c r="BP21" s="445">
        <f t="shared" si="13"/>
        <v>15</v>
      </c>
      <c r="BQ21" s="445">
        <f t="shared" si="14"/>
        <v>15</v>
      </c>
      <c r="BR21" s="446" t="str">
        <f t="shared" si="15"/>
        <v/>
      </c>
      <c r="BS21" s="446">
        <f t="shared" si="16"/>
        <v>17</v>
      </c>
      <c r="BT21" s="446">
        <f t="shared" si="17"/>
        <v>17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0</v>
      </c>
      <c r="CK21" s="1">
        <f t="shared" si="21"/>
        <v>0</v>
      </c>
      <c r="CL21" s="1">
        <f t="shared" si="22"/>
        <v>0</v>
      </c>
      <c r="CM21" s="1">
        <f t="shared" si="23"/>
        <v>1</v>
      </c>
      <c r="CN21" s="1">
        <f t="shared" si="24"/>
        <v>0</v>
      </c>
      <c r="CO21" s="1">
        <f t="shared" si="25"/>
        <v>0</v>
      </c>
      <c r="CP21" s="1">
        <f t="shared" si="26"/>
        <v>0</v>
      </c>
      <c r="CQ21" s="1">
        <f t="shared" si="27"/>
        <v>0</v>
      </c>
      <c r="CR21" s="1">
        <f t="shared" si="28"/>
        <v>1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28</v>
      </c>
      <c r="C22" s="292">
        <f>'IMPORTAÇÃO GENOTIPER'!AA18</f>
        <v>30</v>
      </c>
      <c r="D22" s="292">
        <f>'IMPORTAÇÃO GENOTIPER'!AI18</f>
        <v>30</v>
      </c>
      <c r="E22" s="292">
        <f>'IMPORTAÇÃO GENOTIPER'!AQ18</f>
        <v>33.200000000000003</v>
      </c>
      <c r="F22" s="432">
        <f>'IMPORTAÇÃO GENOTIPER'!BO18</f>
        <v>33.200000000000003</v>
      </c>
      <c r="G22" s="432">
        <f>'IMPORTAÇÃO GENOTIPER'!BW18</f>
        <v>33.200000000000003</v>
      </c>
      <c r="H22" s="432">
        <f>'IMPORTAÇÃO GENOTIPER'!CE18</f>
        <v>29</v>
      </c>
      <c r="I22" s="432">
        <f>'IMPORTAÇÃO GENOTIPER'!CM18</f>
        <v>32.200000000000003</v>
      </c>
      <c r="J22" s="433">
        <f t="shared" si="29"/>
        <v>28</v>
      </c>
      <c r="K22" s="433">
        <f t="shared" si="29"/>
        <v>30</v>
      </c>
      <c r="L22" s="433">
        <f t="shared" si="29"/>
        <v>30</v>
      </c>
      <c r="M22" s="433">
        <f t="shared" si="30"/>
        <v>33.200000000000003</v>
      </c>
      <c r="N22" s="433">
        <f t="shared" si="31"/>
        <v>33.200000000000003</v>
      </c>
      <c r="O22" s="433">
        <f t="shared" si="31"/>
        <v>33.200000000000003</v>
      </c>
      <c r="P22" s="433">
        <f t="shared" si="31"/>
        <v>29</v>
      </c>
      <c r="Q22" s="433">
        <f t="shared" si="31"/>
        <v>32.200000000000003</v>
      </c>
      <c r="R22" s="434">
        <f t="shared" si="0"/>
        <v>28</v>
      </c>
      <c r="S22" s="434">
        <f t="shared" si="1"/>
        <v>30</v>
      </c>
      <c r="T22" s="434">
        <f t="shared" si="0"/>
        <v>30</v>
      </c>
      <c r="U22" s="434">
        <f t="shared" si="2"/>
        <v>33.200000000000003</v>
      </c>
      <c r="V22" s="434">
        <f t="shared" si="3"/>
        <v>33.200000000000003</v>
      </c>
      <c r="W22" s="434">
        <f t="shared" si="4"/>
        <v>33.200000000000003</v>
      </c>
      <c r="X22" s="434">
        <f t="shared" si="32"/>
        <v>29</v>
      </c>
      <c r="Y22" s="434">
        <f t="shared" si="33"/>
        <v>32.200000000000003</v>
      </c>
      <c r="Z22" s="435">
        <f t="shared" si="5"/>
        <v>30</v>
      </c>
      <c r="AA22" s="435">
        <f t="shared" si="6"/>
        <v>0</v>
      </c>
      <c r="AB22" s="436">
        <f>(IF((OR((T22="&gt;22"),(U22="&gt;22"))),2,(IF(((Z22+AA22)=(T22+U22)),0,1))))</f>
        <v>1</v>
      </c>
      <c r="AC22" s="437">
        <f t="shared" si="34"/>
        <v>30</v>
      </c>
      <c r="AD22" s="438">
        <f t="shared" si="35"/>
        <v>33.200000000000003</v>
      </c>
      <c r="AE22" s="438">
        <f t="shared" si="36"/>
        <v>0</v>
      </c>
      <c r="AF22" s="439">
        <f t="shared" si="37"/>
        <v>33.200000000000003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2.8434999999999998E-2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0.05</v>
      </c>
      <c r="AN22" s="121">
        <f t="shared" si="7"/>
        <v>10</v>
      </c>
      <c r="AO22" s="122">
        <f t="shared" si="8"/>
        <v>0.90909090909090906</v>
      </c>
      <c r="AP22" s="328"/>
      <c r="AQ22" s="443">
        <f t="shared" si="9"/>
        <v>0.90249999999999997</v>
      </c>
      <c r="AR22" s="328"/>
      <c r="AS22" s="125" t="str">
        <f t="shared" si="10"/>
        <v>1 / 2F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0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0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10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30</v>
      </c>
      <c r="BQ22" s="445">
        <f t="shared" si="14"/>
        <v>30</v>
      </c>
      <c r="BR22" s="446" t="str">
        <f t="shared" si="15"/>
        <v/>
      </c>
      <c r="BS22" s="446">
        <f t="shared" si="16"/>
        <v>33.200000000000003</v>
      </c>
      <c r="BT22" s="446">
        <f t="shared" si="17"/>
        <v>33.200000000000003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0</v>
      </c>
      <c r="CM22" s="1">
        <f t="shared" si="23"/>
        <v>0</v>
      </c>
      <c r="CN22" s="1">
        <f t="shared" si="24"/>
        <v>0</v>
      </c>
      <c r="CO22" s="1">
        <f t="shared" si="25"/>
        <v>0</v>
      </c>
      <c r="CP22" s="1">
        <f t="shared" si="26"/>
        <v>0</v>
      </c>
      <c r="CQ22" s="1">
        <f t="shared" si="27"/>
        <v>0</v>
      </c>
      <c r="CR22" s="1">
        <f t="shared" si="28"/>
        <v>2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10</v>
      </c>
      <c r="C23" s="292">
        <f>'IMPORTAÇÃO GENOTIPER'!AA19</f>
        <v>12</v>
      </c>
      <c r="D23" s="292">
        <f>'IMPORTAÇÃO GENOTIPER'!AI19</f>
        <v>10</v>
      </c>
      <c r="E23" s="292">
        <f>'IMPORTAÇÃO GENOTIPER'!AQ19</f>
        <v>11</v>
      </c>
      <c r="F23" s="432">
        <f>'IMPORTAÇÃO GENOTIPER'!BO19</f>
        <v>11</v>
      </c>
      <c r="G23" s="432">
        <f>'IMPORTAÇÃO GENOTIPER'!BW19</f>
        <v>11</v>
      </c>
      <c r="H23" s="432">
        <f>'IMPORTAÇÃO GENOTIPER'!CE19</f>
        <v>8</v>
      </c>
      <c r="I23" s="432">
        <f>'IMPORTAÇÃO GENOTIPER'!CM19</f>
        <v>10</v>
      </c>
      <c r="J23" s="433">
        <f t="shared" si="29"/>
        <v>10</v>
      </c>
      <c r="K23" s="433">
        <f t="shared" si="29"/>
        <v>12</v>
      </c>
      <c r="L23" s="433">
        <f t="shared" si="29"/>
        <v>10</v>
      </c>
      <c r="M23" s="433">
        <f t="shared" si="30"/>
        <v>11</v>
      </c>
      <c r="N23" s="433">
        <f t="shared" si="31"/>
        <v>11</v>
      </c>
      <c r="O23" s="433">
        <f t="shared" si="31"/>
        <v>11</v>
      </c>
      <c r="P23" s="433">
        <f t="shared" si="31"/>
        <v>8</v>
      </c>
      <c r="Q23" s="433">
        <f t="shared" si="31"/>
        <v>10</v>
      </c>
      <c r="R23" s="434">
        <f t="shared" si="0"/>
        <v>10</v>
      </c>
      <c r="S23" s="434">
        <f t="shared" si="1"/>
        <v>12</v>
      </c>
      <c r="T23" s="434">
        <f t="shared" si="0"/>
        <v>10</v>
      </c>
      <c r="U23" s="434">
        <f t="shared" si="2"/>
        <v>11</v>
      </c>
      <c r="V23" s="434">
        <f t="shared" si="3"/>
        <v>11</v>
      </c>
      <c r="W23" s="434">
        <f t="shared" si="4"/>
        <v>11</v>
      </c>
      <c r="X23" s="434">
        <f t="shared" si="32"/>
        <v>8</v>
      </c>
      <c r="Y23" s="434">
        <f t="shared" si="33"/>
        <v>10</v>
      </c>
      <c r="Z23" s="435">
        <f t="shared" si="5"/>
        <v>10</v>
      </c>
      <c r="AA23" s="435">
        <f t="shared" si="6"/>
        <v>0</v>
      </c>
      <c r="AB23" s="436">
        <f>(IF((OR((T23="&gt;32"),(U23="&gt;32"))),2,(IF(((Z23+AA23)=(T23+U23)),0,1))))</f>
        <v>1</v>
      </c>
      <c r="AC23" s="437">
        <f t="shared" si="34"/>
        <v>10</v>
      </c>
      <c r="AD23" s="438">
        <f t="shared" si="35"/>
        <v>11</v>
      </c>
      <c r="AE23" s="438">
        <f t="shared" si="36"/>
        <v>0</v>
      </c>
      <c r="AF23" s="439">
        <f t="shared" si="37"/>
        <v>11</v>
      </c>
      <c r="AG23" s="440">
        <f t="shared" si="38"/>
        <v>0</v>
      </c>
      <c r="AH23" s="441">
        <f>IF(AF23=0,0,VLOOKUP(AF23,FREQUENCIAS!$1:$1048576,(IF(($A23=FREQUENCIAS!$P$1),16,"ERRO")),FREQUENCIAS!$1:$1048576))</f>
        <v>0.23635999999999999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0.23635999999999999</v>
      </c>
      <c r="AN23" s="121">
        <f t="shared" si="7"/>
        <v>2.1154171602640042</v>
      </c>
      <c r="AO23" s="122">
        <f t="shared" si="8"/>
        <v>0.6790156988429572</v>
      </c>
      <c r="AP23" s="328" t="s">
        <v>173</v>
      </c>
      <c r="AQ23" s="443">
        <f t="shared" si="9"/>
        <v>0.58314604959999994</v>
      </c>
      <c r="AR23" s="328"/>
      <c r="AS23" s="125" t="str">
        <f t="shared" si="10"/>
        <v>1 / 2F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0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0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2.1154171602640042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10</v>
      </c>
      <c r="BQ23" s="452">
        <f t="shared" si="14"/>
        <v>10</v>
      </c>
      <c r="BR23" s="453" t="str">
        <f t="shared" si="15"/>
        <v/>
      </c>
      <c r="BS23" s="453">
        <f t="shared" si="16"/>
        <v>11</v>
      </c>
      <c r="BT23" s="453">
        <f t="shared" si="17"/>
        <v>11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0</v>
      </c>
      <c r="CM23" s="1">
        <f t="shared" si="23"/>
        <v>0</v>
      </c>
      <c r="CN23" s="1">
        <f t="shared" si="24"/>
        <v>0</v>
      </c>
      <c r="CO23" s="1">
        <f t="shared" si="25"/>
        <v>0</v>
      </c>
      <c r="CP23" s="1">
        <f t="shared" si="26"/>
        <v>0</v>
      </c>
      <c r="CQ23" s="1">
        <f t="shared" si="27"/>
        <v>0</v>
      </c>
      <c r="CR23" s="1">
        <f>SUM(CJ23:CQ23)</f>
        <v>2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12</v>
      </c>
      <c r="C24" s="292">
        <f>'IMPORTAÇÃO GENOTIPER'!AA20</f>
        <v>12</v>
      </c>
      <c r="D24" s="292">
        <f>'IMPORTAÇÃO GENOTIPER'!AI20</f>
        <v>11</v>
      </c>
      <c r="E24" s="292">
        <f>'IMPORTAÇÃO GENOTIPER'!AQ20</f>
        <v>12</v>
      </c>
      <c r="F24" s="432">
        <f>'IMPORTAÇÃO GENOTIPER'!BO20</f>
        <v>11</v>
      </c>
      <c r="G24" s="432">
        <f>'IMPORTAÇÃO GENOTIPER'!BW20</f>
        <v>11</v>
      </c>
      <c r="H24" s="432">
        <f>'IMPORTAÇÃO GENOTIPER'!CE20</f>
        <v>12</v>
      </c>
      <c r="I24" s="432">
        <f>'IMPORTAÇÃO GENOTIPER'!CM20</f>
        <v>12</v>
      </c>
      <c r="J24" s="433">
        <f t="shared" si="29"/>
        <v>12</v>
      </c>
      <c r="K24" s="433">
        <f t="shared" si="29"/>
        <v>12</v>
      </c>
      <c r="L24" s="433">
        <f t="shared" si="29"/>
        <v>11</v>
      </c>
      <c r="M24" s="433">
        <f t="shared" si="30"/>
        <v>12</v>
      </c>
      <c r="N24" s="433">
        <f t="shared" si="31"/>
        <v>11</v>
      </c>
      <c r="O24" s="433">
        <f t="shared" si="31"/>
        <v>11</v>
      </c>
      <c r="P24" s="433">
        <f t="shared" si="31"/>
        <v>12</v>
      </c>
      <c r="Q24" s="433">
        <f t="shared" si="31"/>
        <v>12</v>
      </c>
      <c r="R24" s="434">
        <f t="shared" si="0"/>
        <v>12</v>
      </c>
      <c r="S24" s="434">
        <f t="shared" si="1"/>
        <v>12</v>
      </c>
      <c r="T24" s="434">
        <f t="shared" si="0"/>
        <v>11</v>
      </c>
      <c r="U24" s="434">
        <f t="shared" si="2"/>
        <v>12</v>
      </c>
      <c r="V24" s="434">
        <f t="shared" si="3"/>
        <v>11</v>
      </c>
      <c r="W24" s="434">
        <f t="shared" si="4"/>
        <v>11</v>
      </c>
      <c r="X24" s="434">
        <f t="shared" si="32"/>
        <v>12</v>
      </c>
      <c r="Y24" s="434">
        <f t="shared" si="33"/>
        <v>12</v>
      </c>
      <c r="Z24" s="435">
        <f t="shared" si="5"/>
        <v>0</v>
      </c>
      <c r="AA24" s="435">
        <f t="shared" si="6"/>
        <v>12</v>
      </c>
      <c r="AB24" s="436">
        <f t="shared" ref="AB24:AB42" si="47">(IF((OR((T24="&gt;32"),(U24="&gt;32"))),2,(IF(((Z24+AA24)=(T24+U24)),0,1))))</f>
        <v>1</v>
      </c>
      <c r="AC24" s="437">
        <f t="shared" si="34"/>
        <v>12</v>
      </c>
      <c r="AD24" s="438">
        <f t="shared" si="35"/>
        <v>11</v>
      </c>
      <c r="AE24" s="438">
        <f t="shared" si="36"/>
        <v>0</v>
      </c>
      <c r="AF24" s="439">
        <f t="shared" si="37"/>
        <v>11</v>
      </c>
      <c r="AG24" s="440">
        <f t="shared" si="38"/>
        <v>0</v>
      </c>
      <c r="AH24" s="441">
        <f>IF(AF24=0,0,VLOOKUP(AF24,FREQUENCIAS!$1:$1048576,(IF(($A24=FREQUENCIAS!$Q$1),17,"ERRO")),FREQUENCIAS!$1:$1048576))</f>
        <v>0.32906299999999999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0.32906299999999999</v>
      </c>
      <c r="AN24" s="121">
        <f t="shared" si="7"/>
        <v>1.5194658773547922</v>
      </c>
      <c r="AO24" s="122">
        <f t="shared" si="8"/>
        <v>0.60309047683951644</v>
      </c>
      <c r="AP24" s="328" t="s">
        <v>173</v>
      </c>
      <c r="AQ24" s="443">
        <f t="shared" si="9"/>
        <v>0.450156457969</v>
      </c>
      <c r="AR24" s="328"/>
      <c r="AS24" s="125" t="str">
        <f t="shared" si="10"/>
        <v>1 / 2F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0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0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1.5194658773547922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12</v>
      </c>
      <c r="BQ24" s="452">
        <f t="shared" si="14"/>
        <v>12</v>
      </c>
      <c r="BR24" s="453" t="str">
        <f t="shared" si="15"/>
        <v/>
      </c>
      <c r="BS24" s="453">
        <f t="shared" si="16"/>
        <v>11</v>
      </c>
      <c r="BT24" s="453">
        <f t="shared" si="17"/>
        <v>11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0</v>
      </c>
      <c r="CM24" s="1">
        <f t="shared" si="23"/>
        <v>0</v>
      </c>
      <c r="CN24" s="1">
        <f t="shared" si="24"/>
        <v>0</v>
      </c>
      <c r="CO24" s="1">
        <f t="shared" si="25"/>
        <v>0</v>
      </c>
      <c r="CP24" s="1">
        <f t="shared" si="26"/>
        <v>0</v>
      </c>
      <c r="CQ24" s="1">
        <f t="shared" si="27"/>
        <v>0</v>
      </c>
      <c r="CR24" s="1">
        <f t="shared" ref="CR24:CR42" si="49">SUM(CJ24:CQ24)</f>
        <v>2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8</v>
      </c>
      <c r="F25" s="432">
        <f>'IMPORTAÇÃO GENOTIPER'!BO21</f>
        <v>8</v>
      </c>
      <c r="G25" s="432">
        <f>'IMPORTAÇÃO GENOTIPER'!BW21</f>
        <v>11</v>
      </c>
      <c r="H25" s="432">
        <f>'IMPORTAÇÃO GENOTIPER'!CE21</f>
        <v>8</v>
      </c>
      <c r="I25" s="432">
        <f>'IMPORTAÇÃO GENOTIPER'!CM21</f>
        <v>8</v>
      </c>
      <c r="J25" s="433">
        <f t="shared" si="29"/>
        <v>8</v>
      </c>
      <c r="K25" s="433">
        <f t="shared" si="29"/>
        <v>8</v>
      </c>
      <c r="L25" s="433">
        <f t="shared" si="29"/>
        <v>8</v>
      </c>
      <c r="M25" s="433">
        <f t="shared" si="30"/>
        <v>8</v>
      </c>
      <c r="N25" s="433">
        <f t="shared" si="31"/>
        <v>8</v>
      </c>
      <c r="O25" s="433">
        <f t="shared" si="31"/>
        <v>11</v>
      </c>
      <c r="P25" s="433">
        <f t="shared" si="31"/>
        <v>8</v>
      </c>
      <c r="Q25" s="433">
        <f t="shared" si="31"/>
        <v>8</v>
      </c>
      <c r="R25" s="434">
        <f t="shared" ref="R25:R42" si="50">IF((J25&gt;K25),K25,J25)</f>
        <v>8</v>
      </c>
      <c r="S25" s="434">
        <f t="shared" si="1"/>
        <v>8</v>
      </c>
      <c r="T25" s="434">
        <f t="shared" ref="T25:T42" si="51">IF((L25&gt;M25),M25,L25)</f>
        <v>8</v>
      </c>
      <c r="U25" s="434">
        <f t="shared" si="2"/>
        <v>8</v>
      </c>
      <c r="V25" s="434">
        <f t="shared" si="3"/>
        <v>8</v>
      </c>
      <c r="W25" s="434">
        <f t="shared" si="4"/>
        <v>11</v>
      </c>
      <c r="X25" s="434">
        <f t="shared" si="32"/>
        <v>8</v>
      </c>
      <c r="Y25" s="434">
        <f t="shared" si="33"/>
        <v>8</v>
      </c>
      <c r="Z25" s="435">
        <f t="shared" si="5"/>
        <v>8</v>
      </c>
      <c r="AA25" s="435">
        <f t="shared" si="6"/>
        <v>8</v>
      </c>
      <c r="AB25" s="436">
        <f t="shared" si="47"/>
        <v>0</v>
      </c>
      <c r="AC25" s="437">
        <f t="shared" si="34"/>
        <v>8</v>
      </c>
      <c r="AD25" s="438">
        <f t="shared" si="35"/>
        <v>8</v>
      </c>
      <c r="AE25" s="438">
        <f t="shared" si="36"/>
        <v>0</v>
      </c>
      <c r="AF25" s="439">
        <f t="shared" si="37"/>
        <v>8</v>
      </c>
      <c r="AG25" s="440">
        <f t="shared" si="38"/>
        <v>0</v>
      </c>
      <c r="AH25" s="441">
        <f>IF(AF25=0,0,VLOOKUP(AF25,FREQUENCIAS!$1:$1048576,(IF(($A25=FREQUENCIAS!$R$1),18,"ERRO")),FREQUENCIAS!$1:$1048576))</f>
        <v>0.45586199999999999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0.45586199999999999</v>
      </c>
      <c r="AN25" s="121">
        <f t="shared" si="7"/>
        <v>1.6452347420930018</v>
      </c>
      <c r="AO25" s="122">
        <f t="shared" si="8"/>
        <v>0.62196171701239455</v>
      </c>
      <c r="AP25" s="328" t="s">
        <v>173</v>
      </c>
      <c r="AQ25" s="443">
        <f t="shared" si="9"/>
        <v>0.29608616304400004</v>
      </c>
      <c r="AR25" s="328"/>
      <c r="AS25" s="125" t="str">
        <f t="shared" si="10"/>
        <v>3 / 4F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0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0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1.6452347420930018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8</v>
      </c>
      <c r="BQ25" s="452">
        <f t="shared" si="14"/>
        <v>8</v>
      </c>
      <c r="BR25" s="453" t="str">
        <f t="shared" si="15"/>
        <v/>
      </c>
      <c r="BS25" s="453">
        <f t="shared" si="16"/>
        <v>8</v>
      </c>
      <c r="BT25" s="453">
        <f t="shared" si="17"/>
        <v>8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0</v>
      </c>
      <c r="CL25" s="1">
        <f t="shared" si="22"/>
        <v>1</v>
      </c>
      <c r="CM25" s="1">
        <f t="shared" si="23"/>
        <v>1</v>
      </c>
      <c r="CN25" s="1">
        <f t="shared" si="24"/>
        <v>0</v>
      </c>
      <c r="CO25" s="1">
        <f t="shared" si="25"/>
        <v>0</v>
      </c>
      <c r="CP25" s="1">
        <f t="shared" si="26"/>
        <v>0</v>
      </c>
      <c r="CQ25" s="1">
        <f t="shared" si="27"/>
        <v>0</v>
      </c>
      <c r="CR25" s="1">
        <f t="shared" si="49"/>
        <v>3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13</v>
      </c>
      <c r="D26" s="292">
        <f>'IMPORTAÇÃO GENOTIPER'!AI22</f>
        <v>13</v>
      </c>
      <c r="E26" s="292">
        <f>'IMPORTAÇÃO GENOTIPER'!AQ22</f>
        <v>13</v>
      </c>
      <c r="F26" s="432">
        <f>'IMPORTAÇÃO GENOTIPER'!BO22</f>
        <v>14</v>
      </c>
      <c r="G26" s="432">
        <f>'IMPORTAÇÃO GENOTIPER'!BW22</f>
        <v>14</v>
      </c>
      <c r="H26" s="432">
        <f>'IMPORTAÇÃO GENOTIPER'!CE22</f>
        <v>11</v>
      </c>
      <c r="I26" s="432">
        <f>'IMPORTAÇÃO GENOTIPER'!CM22</f>
        <v>13</v>
      </c>
      <c r="J26" s="433">
        <f t="shared" ref="J26:L41" si="52">(IF(CODE(D26)=(60),($BL26-1),(IF(CODE(D26)=(62),($BM26+1),B26))))</f>
        <v>12</v>
      </c>
      <c r="K26" s="433">
        <f t="shared" si="52"/>
        <v>13</v>
      </c>
      <c r="L26" s="433">
        <f t="shared" si="52"/>
        <v>13</v>
      </c>
      <c r="M26" s="433">
        <f t="shared" si="30"/>
        <v>13</v>
      </c>
      <c r="N26" s="433">
        <f t="shared" ref="N26:Q41" si="53">(IF(CODE(H26)=(60),($BL26-1),(IF(CODE(H26)=(62),($BM26+1),F26))))</f>
        <v>14</v>
      </c>
      <c r="O26" s="433">
        <f t="shared" si="53"/>
        <v>14</v>
      </c>
      <c r="P26" s="433">
        <f t="shared" si="53"/>
        <v>11</v>
      </c>
      <c r="Q26" s="433">
        <f t="shared" si="53"/>
        <v>13</v>
      </c>
      <c r="R26" s="434">
        <f t="shared" si="50"/>
        <v>12</v>
      </c>
      <c r="S26" s="434">
        <f t="shared" si="1"/>
        <v>13</v>
      </c>
      <c r="T26" s="434">
        <f t="shared" si="51"/>
        <v>13</v>
      </c>
      <c r="U26" s="434">
        <f t="shared" si="2"/>
        <v>13</v>
      </c>
      <c r="V26" s="434">
        <f t="shared" si="3"/>
        <v>14</v>
      </c>
      <c r="W26" s="434">
        <f t="shared" si="4"/>
        <v>14</v>
      </c>
      <c r="X26" s="434">
        <f t="shared" si="32"/>
        <v>11</v>
      </c>
      <c r="Y26" s="434">
        <f t="shared" si="33"/>
        <v>13</v>
      </c>
      <c r="Z26" s="435">
        <f t="shared" si="5"/>
        <v>13</v>
      </c>
      <c r="AA26" s="435">
        <f t="shared" si="6"/>
        <v>13</v>
      </c>
      <c r="AB26" s="436">
        <f t="shared" si="47"/>
        <v>0</v>
      </c>
      <c r="AC26" s="437">
        <f t="shared" si="34"/>
        <v>13</v>
      </c>
      <c r="AD26" s="438">
        <f t="shared" si="35"/>
        <v>13</v>
      </c>
      <c r="AE26" s="438">
        <f t="shared" si="36"/>
        <v>0</v>
      </c>
      <c r="AF26" s="439">
        <f t="shared" si="37"/>
        <v>13</v>
      </c>
      <c r="AG26" s="440">
        <f t="shared" si="38"/>
        <v>0</v>
      </c>
      <c r="AH26" s="441">
        <f>IF(AF26=0,0,VLOOKUP(AF26,FREQUENCIAS!$1:$1048576,(IF(($A26=FREQUENCIAS!$S$1),19,"ERRO")),FREQUENCIAS!$1:$1048576))</f>
        <v>0.27866200000000002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0.27866200000000002</v>
      </c>
      <c r="AN26" s="121">
        <f t="shared" si="7"/>
        <v>0.89714421054898041</v>
      </c>
      <c r="AO26" s="122">
        <f t="shared" si="8"/>
        <v>0.47289194229961673</v>
      </c>
      <c r="AP26" s="328" t="s">
        <v>173</v>
      </c>
      <c r="AQ26" s="443">
        <f t="shared" si="9"/>
        <v>0.52032851024400006</v>
      </c>
      <c r="AR26" s="328"/>
      <c r="AS26" s="125" t="str">
        <f t="shared" si="10"/>
        <v>1 / 4F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0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0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0.89714421054898041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13</v>
      </c>
      <c r="BQ26" s="452">
        <f t="shared" si="14"/>
        <v>13</v>
      </c>
      <c r="BR26" s="453" t="str">
        <f t="shared" si="15"/>
        <v/>
      </c>
      <c r="BS26" s="453">
        <f t="shared" si="16"/>
        <v>13</v>
      </c>
      <c r="BT26" s="453">
        <f t="shared" si="17"/>
        <v>13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0</v>
      </c>
      <c r="CK26" s="1">
        <f t="shared" si="21"/>
        <v>0</v>
      </c>
      <c r="CL26" s="1">
        <f t="shared" si="22"/>
        <v>0</v>
      </c>
      <c r="CM26" s="1">
        <f t="shared" si="23"/>
        <v>1</v>
      </c>
      <c r="CN26" s="1">
        <f t="shared" si="24"/>
        <v>0</v>
      </c>
      <c r="CO26" s="1">
        <f t="shared" si="25"/>
        <v>0</v>
      </c>
      <c r="CP26" s="1">
        <f t="shared" si="26"/>
        <v>0</v>
      </c>
      <c r="CQ26" s="1">
        <f t="shared" si="27"/>
        <v>0</v>
      </c>
      <c r="CR26" s="1">
        <f t="shared" si="49"/>
        <v>1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17</v>
      </c>
      <c r="C27" s="292">
        <f>'IMPORTAÇÃO GENOTIPER'!AA23</f>
        <v>18</v>
      </c>
      <c r="D27" s="292">
        <f>'IMPORTAÇÃO GENOTIPER'!AI23</f>
        <v>17</v>
      </c>
      <c r="E27" s="292">
        <f>'IMPORTAÇÃO GENOTIPER'!AQ23</f>
        <v>18</v>
      </c>
      <c r="F27" s="432">
        <f>'IMPORTAÇÃO GENOTIPER'!BO23</f>
        <v>18</v>
      </c>
      <c r="G27" s="432">
        <f>'IMPORTAÇÃO GENOTIPER'!BW23</f>
        <v>19</v>
      </c>
      <c r="H27" s="432">
        <f>'IMPORTAÇÃO GENOTIPER'!CE23</f>
        <v>17</v>
      </c>
      <c r="I27" s="432">
        <f>'IMPORTAÇÃO GENOTIPER'!CM23</f>
        <v>18</v>
      </c>
      <c r="J27" s="433">
        <f t="shared" si="52"/>
        <v>17</v>
      </c>
      <c r="K27" s="433">
        <f t="shared" si="52"/>
        <v>18</v>
      </c>
      <c r="L27" s="433">
        <f t="shared" si="52"/>
        <v>17</v>
      </c>
      <c r="M27" s="433">
        <f t="shared" si="30"/>
        <v>18</v>
      </c>
      <c r="N27" s="433">
        <f t="shared" si="53"/>
        <v>18</v>
      </c>
      <c r="O27" s="433">
        <f t="shared" si="53"/>
        <v>19</v>
      </c>
      <c r="P27" s="433">
        <f t="shared" si="53"/>
        <v>17</v>
      </c>
      <c r="Q27" s="433">
        <f t="shared" si="53"/>
        <v>18</v>
      </c>
      <c r="R27" s="434">
        <f t="shared" si="50"/>
        <v>17</v>
      </c>
      <c r="S27" s="434">
        <f t="shared" si="1"/>
        <v>18</v>
      </c>
      <c r="T27" s="434">
        <f t="shared" si="51"/>
        <v>17</v>
      </c>
      <c r="U27" s="434">
        <f t="shared" si="2"/>
        <v>18</v>
      </c>
      <c r="V27" s="434">
        <f t="shared" si="3"/>
        <v>18</v>
      </c>
      <c r="W27" s="434">
        <f t="shared" si="4"/>
        <v>19</v>
      </c>
      <c r="X27" s="434">
        <f t="shared" si="32"/>
        <v>17</v>
      </c>
      <c r="Y27" s="434">
        <f t="shared" si="33"/>
        <v>18</v>
      </c>
      <c r="Z27" s="435">
        <f t="shared" si="5"/>
        <v>17</v>
      </c>
      <c r="AA27" s="435">
        <f t="shared" si="6"/>
        <v>18</v>
      </c>
      <c r="AB27" s="436">
        <f t="shared" si="47"/>
        <v>0</v>
      </c>
      <c r="AC27" s="437" t="str">
        <f t="shared" si="34"/>
        <v>NÃO DEF</v>
      </c>
      <c r="AD27" s="438">
        <f t="shared" si="35"/>
        <v>17</v>
      </c>
      <c r="AE27" s="438">
        <f t="shared" si="36"/>
        <v>18</v>
      </c>
      <c r="AF27" s="439">
        <f t="shared" si="37"/>
        <v>17</v>
      </c>
      <c r="AG27" s="440">
        <f t="shared" si="38"/>
        <v>18</v>
      </c>
      <c r="AH27" s="441">
        <f>IF(AF27=0,0,VLOOKUP(AF27,FREQUENCIAS!$1:$1048576,(IF(($A27=FREQUENCIAS!$T$1),20,"ERRO")),FREQUENCIAS!$1:$1048576))</f>
        <v>9.6000000000000002E-2</v>
      </c>
      <c r="AI27" s="441">
        <f>IF(AG27=0,0,VLOOKUP(AG27,FREQUENCIAS!$1:$1048576,(IF(($A27=FREQUENCIAS!$T$1),20,"ERRO")),FREQUENCIAS!$1:$1048576))</f>
        <v>0.18790000000000001</v>
      </c>
      <c r="AJ27" s="442"/>
      <c r="AK27" s="442"/>
      <c r="AL27" s="442"/>
      <c r="AM27" s="120">
        <f t="shared" si="39"/>
        <v>0.28390000000000004</v>
      </c>
      <c r="AN27" s="121">
        <f t="shared" si="7"/>
        <v>2.6417752729834443</v>
      </c>
      <c r="AO27" s="122">
        <f t="shared" si="8"/>
        <v>0.72540864687107065</v>
      </c>
      <c r="AP27" s="328" t="s">
        <v>173</v>
      </c>
      <c r="AQ27" s="443">
        <f t="shared" si="9"/>
        <v>0.51279920999999995</v>
      </c>
      <c r="AR27" s="328"/>
      <c r="AS27" s="125" t="str">
        <f t="shared" si="10"/>
        <v>3 / 4F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1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0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0</v>
      </c>
      <c r="BC27" s="1" t="s">
        <v>318</v>
      </c>
      <c r="BD27" s="444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2.6417752729834443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CORRETO</v>
      </c>
      <c r="BO27" s="452" t="str">
        <f t="shared" si="12"/>
        <v/>
      </c>
      <c r="BP27" s="452" t="str">
        <f t="shared" si="13"/>
        <v>NÃO DEF</v>
      </c>
      <c r="BQ27" s="452" t="str">
        <f t="shared" si="14"/>
        <v>NÃO DEF</v>
      </c>
      <c r="BR27" s="453" t="str">
        <f t="shared" si="15"/>
        <v/>
      </c>
      <c r="BS27" s="453">
        <f t="shared" si="16"/>
        <v>17</v>
      </c>
      <c r="BT27" s="453">
        <f t="shared" si="17"/>
        <v>17</v>
      </c>
      <c r="BU27" s="454" t="str">
        <f t="shared" si="44"/>
        <v/>
      </c>
      <c r="BV27" s="454">
        <f t="shared" si="18"/>
        <v>18</v>
      </c>
      <c r="BW27" s="454">
        <f t="shared" si="19"/>
        <v>18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0</v>
      </c>
      <c r="CK27" s="1">
        <f t="shared" si="21"/>
        <v>0</v>
      </c>
      <c r="CL27" s="1">
        <f t="shared" si="22"/>
        <v>1</v>
      </c>
      <c r="CM27" s="1">
        <f t="shared" si="23"/>
        <v>0</v>
      </c>
      <c r="CN27" s="1">
        <f t="shared" si="24"/>
        <v>1</v>
      </c>
      <c r="CO27" s="1">
        <f t="shared" si="25"/>
        <v>0</v>
      </c>
      <c r="CP27" s="1">
        <f t="shared" si="26"/>
        <v>0</v>
      </c>
      <c r="CQ27" s="1">
        <f t="shared" si="27"/>
        <v>1</v>
      </c>
      <c r="CR27" s="1">
        <f t="shared" si="49"/>
        <v>3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14</v>
      </c>
      <c r="C28" s="292">
        <f>'IMPORTAÇÃO GENOTIPER'!AA24</f>
        <v>14</v>
      </c>
      <c r="D28" s="292">
        <f>'IMPORTAÇÃO GENOTIPER'!AI24</f>
        <v>14</v>
      </c>
      <c r="E28" s="292">
        <f>'IMPORTAÇÃO GENOTIPER'!AQ24</f>
        <v>15</v>
      </c>
      <c r="F28" s="432">
        <f>'IMPORTAÇÃO GENOTIPER'!BO24</f>
        <v>14</v>
      </c>
      <c r="G28" s="432">
        <f>'IMPORTAÇÃO GENOTIPER'!BW24</f>
        <v>14</v>
      </c>
      <c r="H28" s="432">
        <f>'IMPORTAÇÃO GENOTIPER'!CE24</f>
        <v>15</v>
      </c>
      <c r="I28" s="432">
        <f>'IMPORTAÇÃO GENOTIPER'!CM24</f>
        <v>15</v>
      </c>
      <c r="J28" s="433">
        <f t="shared" si="52"/>
        <v>14</v>
      </c>
      <c r="K28" s="433">
        <f t="shared" si="52"/>
        <v>14</v>
      </c>
      <c r="L28" s="433">
        <f t="shared" si="52"/>
        <v>14</v>
      </c>
      <c r="M28" s="433">
        <f t="shared" si="30"/>
        <v>15</v>
      </c>
      <c r="N28" s="433">
        <f t="shared" si="53"/>
        <v>14</v>
      </c>
      <c r="O28" s="433">
        <f t="shared" si="53"/>
        <v>14</v>
      </c>
      <c r="P28" s="433">
        <f t="shared" si="53"/>
        <v>15</v>
      </c>
      <c r="Q28" s="433">
        <f t="shared" si="53"/>
        <v>15</v>
      </c>
      <c r="R28" s="434">
        <f t="shared" si="50"/>
        <v>14</v>
      </c>
      <c r="S28" s="434">
        <f t="shared" si="1"/>
        <v>14</v>
      </c>
      <c r="T28" s="434">
        <f t="shared" si="51"/>
        <v>14</v>
      </c>
      <c r="U28" s="434">
        <f t="shared" si="2"/>
        <v>15</v>
      </c>
      <c r="V28" s="434">
        <f t="shared" si="3"/>
        <v>14</v>
      </c>
      <c r="W28" s="434">
        <f t="shared" si="4"/>
        <v>14</v>
      </c>
      <c r="X28" s="434">
        <f t="shared" si="32"/>
        <v>15</v>
      </c>
      <c r="Y28" s="434">
        <f t="shared" si="33"/>
        <v>15</v>
      </c>
      <c r="Z28" s="435">
        <f t="shared" si="5"/>
        <v>14</v>
      </c>
      <c r="AA28" s="435">
        <f t="shared" si="6"/>
        <v>0</v>
      </c>
      <c r="AB28" s="436">
        <f t="shared" si="47"/>
        <v>1</v>
      </c>
      <c r="AC28" s="437">
        <f t="shared" si="34"/>
        <v>14</v>
      </c>
      <c r="AD28" s="438">
        <f t="shared" si="35"/>
        <v>15</v>
      </c>
      <c r="AE28" s="438">
        <f t="shared" si="36"/>
        <v>0</v>
      </c>
      <c r="AF28" s="439">
        <f t="shared" si="37"/>
        <v>15</v>
      </c>
      <c r="AG28" s="440">
        <f t="shared" si="38"/>
        <v>0</v>
      </c>
      <c r="AH28" s="441">
        <f>IF(AF28=0,0,VLOOKUP(AF28,FREQUENCIAS!$1:$1048576,(IF(($A28=FREQUENCIAS!$U$1),21,"ERRO")),FREQUENCIAS!$1:$1048576))</f>
        <v>0.15179999999999999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0.15179999999999999</v>
      </c>
      <c r="AN28" s="121">
        <f t="shared" si="7"/>
        <v>3.293807641633729</v>
      </c>
      <c r="AO28" s="122">
        <f t="shared" si="8"/>
        <v>0.76710647437864388</v>
      </c>
      <c r="AP28" s="328" t="s">
        <v>173</v>
      </c>
      <c r="AQ28" s="443">
        <f t="shared" si="9"/>
        <v>0.71944324000000015</v>
      </c>
      <c r="AR28" s="328"/>
      <c r="AS28" s="125" t="str">
        <f t="shared" si="10"/>
        <v>1 / 2F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0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0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3.293807641633729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14</v>
      </c>
      <c r="BQ28" s="452">
        <f t="shared" si="14"/>
        <v>14</v>
      </c>
      <c r="BR28" s="453" t="str">
        <f t="shared" si="15"/>
        <v/>
      </c>
      <c r="BS28" s="453">
        <f t="shared" si="16"/>
        <v>15</v>
      </c>
      <c r="BT28" s="453">
        <f t="shared" si="17"/>
        <v>15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0</v>
      </c>
      <c r="CK28" s="1">
        <f t="shared" si="21"/>
        <v>0</v>
      </c>
      <c r="CL28" s="1">
        <f t="shared" si="22"/>
        <v>1</v>
      </c>
      <c r="CM28" s="1">
        <f t="shared" si="23"/>
        <v>1</v>
      </c>
      <c r="CN28" s="1">
        <f t="shared" si="24"/>
        <v>0</v>
      </c>
      <c r="CO28" s="1">
        <f t="shared" si="25"/>
        <v>0</v>
      </c>
      <c r="CP28" s="1">
        <f t="shared" si="26"/>
        <v>0</v>
      </c>
      <c r="CQ28" s="1">
        <f t="shared" si="27"/>
        <v>0</v>
      </c>
      <c r="CR28" s="1">
        <f t="shared" si="49"/>
        <v>2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26</v>
      </c>
      <c r="D29" s="292">
        <f>'IMPORTAÇÃO GENOTIPER'!AI25</f>
        <v>21</v>
      </c>
      <c r="E29" s="292">
        <f>'IMPORTAÇÃO GENOTIPER'!AQ25</f>
        <v>23</v>
      </c>
      <c r="F29" s="432">
        <f>'IMPORTAÇÃO GENOTIPER'!BO25</f>
        <v>22</v>
      </c>
      <c r="G29" s="432">
        <f>'IMPORTAÇÃO GENOTIPER'!BW25</f>
        <v>25</v>
      </c>
      <c r="H29" s="432">
        <f>'IMPORTAÇÃO GENOTIPER'!CE25</f>
        <v>20</v>
      </c>
      <c r="I29" s="432">
        <f>'IMPORTAÇÃO GENOTIPER'!CM25</f>
        <v>23</v>
      </c>
      <c r="J29" s="433">
        <f t="shared" si="52"/>
        <v>21</v>
      </c>
      <c r="K29" s="433">
        <f t="shared" si="52"/>
        <v>26</v>
      </c>
      <c r="L29" s="433">
        <f t="shared" si="52"/>
        <v>21</v>
      </c>
      <c r="M29" s="433">
        <f t="shared" si="30"/>
        <v>23</v>
      </c>
      <c r="N29" s="433">
        <f t="shared" si="53"/>
        <v>22</v>
      </c>
      <c r="O29" s="433">
        <f t="shared" si="53"/>
        <v>25</v>
      </c>
      <c r="P29" s="433">
        <f t="shared" si="53"/>
        <v>20</v>
      </c>
      <c r="Q29" s="433">
        <f t="shared" si="53"/>
        <v>23</v>
      </c>
      <c r="R29" s="434">
        <f t="shared" si="50"/>
        <v>21</v>
      </c>
      <c r="S29" s="434">
        <f t="shared" si="1"/>
        <v>26</v>
      </c>
      <c r="T29" s="434">
        <f t="shared" si="51"/>
        <v>21</v>
      </c>
      <c r="U29" s="434">
        <f t="shared" si="2"/>
        <v>23</v>
      </c>
      <c r="V29" s="434">
        <f t="shared" si="3"/>
        <v>22</v>
      </c>
      <c r="W29" s="434">
        <f t="shared" si="4"/>
        <v>25</v>
      </c>
      <c r="X29" s="434">
        <f t="shared" si="32"/>
        <v>20</v>
      </c>
      <c r="Y29" s="434">
        <f t="shared" si="33"/>
        <v>23</v>
      </c>
      <c r="Z29" s="435">
        <f t="shared" si="5"/>
        <v>21</v>
      </c>
      <c r="AA29" s="435">
        <f t="shared" si="6"/>
        <v>0</v>
      </c>
      <c r="AB29" s="436">
        <f t="shared" si="47"/>
        <v>1</v>
      </c>
      <c r="AC29" s="437">
        <f t="shared" si="34"/>
        <v>21</v>
      </c>
      <c r="AD29" s="438">
        <f t="shared" si="35"/>
        <v>23</v>
      </c>
      <c r="AE29" s="438">
        <f t="shared" si="36"/>
        <v>0</v>
      </c>
      <c r="AF29" s="439">
        <f t="shared" si="37"/>
        <v>23</v>
      </c>
      <c r="AG29" s="440">
        <f t="shared" si="38"/>
        <v>0</v>
      </c>
      <c r="AH29" s="441">
        <f>IF(AF29=0,0,VLOOKUP(AF29,FREQUENCIAS!$1:$1048576,(IF(($A29=FREQUENCIAS!$V$1),22,"ERRO")),FREQUENCIAS!$1:$1048576))</f>
        <v>0.149283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0.149283</v>
      </c>
      <c r="AN29" s="121">
        <f t="shared" si="7"/>
        <v>1.674671596899848</v>
      </c>
      <c r="AO29" s="122">
        <f t="shared" si="8"/>
        <v>0.62612232426624737</v>
      </c>
      <c r="AP29" s="328" t="s">
        <v>173</v>
      </c>
      <c r="AQ29" s="443">
        <f t="shared" si="9"/>
        <v>0.72371941408899987</v>
      </c>
      <c r="AR29" s="328"/>
      <c r="AS29" s="125" t="str">
        <f t="shared" si="10"/>
        <v>1 / 4F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0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0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1.674671596899848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CORRETO</v>
      </c>
      <c r="BO29" s="452" t="str">
        <f t="shared" si="12"/>
        <v/>
      </c>
      <c r="BP29" s="452">
        <f t="shared" si="13"/>
        <v>21</v>
      </c>
      <c r="BQ29" s="452">
        <f t="shared" si="14"/>
        <v>21</v>
      </c>
      <c r="BR29" s="453" t="str">
        <f t="shared" si="15"/>
        <v/>
      </c>
      <c r="BS29" s="453">
        <f t="shared" si="16"/>
        <v>23</v>
      </c>
      <c r="BT29" s="453">
        <f t="shared" si="17"/>
        <v>23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0</v>
      </c>
      <c r="CK29" s="1">
        <f t="shared" si="21"/>
        <v>0</v>
      </c>
      <c r="CL29" s="1">
        <f t="shared" si="22"/>
        <v>0</v>
      </c>
      <c r="CM29" s="1">
        <f t="shared" si="23"/>
        <v>1</v>
      </c>
      <c r="CN29" s="1">
        <f t="shared" si="24"/>
        <v>0</v>
      </c>
      <c r="CO29" s="1">
        <f t="shared" si="25"/>
        <v>0</v>
      </c>
      <c r="CP29" s="1">
        <f t="shared" si="26"/>
        <v>0</v>
      </c>
      <c r="CQ29" s="1">
        <f t="shared" si="27"/>
        <v>0</v>
      </c>
      <c r="CR29" s="1">
        <f t="shared" si="49"/>
        <v>1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17</v>
      </c>
      <c r="D30" s="292">
        <f>'IMPORTAÇÃO GENOTIPER'!AI26</f>
        <v>15</v>
      </c>
      <c r="E30" s="292">
        <f>'IMPORTAÇÃO GENOTIPER'!AQ26</f>
        <v>16</v>
      </c>
      <c r="F30" s="432">
        <f>'IMPORTAÇÃO GENOTIPER'!BO26</f>
        <v>16</v>
      </c>
      <c r="G30" s="432">
        <f>'IMPORTAÇÃO GENOTIPER'!BW26</f>
        <v>16</v>
      </c>
      <c r="H30" s="432">
        <f>'IMPORTAÇÃO GENOTIPER'!CE26</f>
        <v>15</v>
      </c>
      <c r="I30" s="432">
        <f>'IMPORTAÇÃO GENOTIPER'!CM26</f>
        <v>16</v>
      </c>
      <c r="J30" s="433">
        <f t="shared" si="52"/>
        <v>15</v>
      </c>
      <c r="K30" s="433">
        <f t="shared" si="52"/>
        <v>17</v>
      </c>
      <c r="L30" s="433">
        <f t="shared" si="52"/>
        <v>15</v>
      </c>
      <c r="M30" s="433">
        <f t="shared" si="30"/>
        <v>16</v>
      </c>
      <c r="N30" s="433">
        <f t="shared" si="53"/>
        <v>16</v>
      </c>
      <c r="O30" s="433">
        <f t="shared" si="53"/>
        <v>16</v>
      </c>
      <c r="P30" s="433">
        <f t="shared" si="53"/>
        <v>15</v>
      </c>
      <c r="Q30" s="433">
        <f t="shared" si="53"/>
        <v>16</v>
      </c>
      <c r="R30" s="434">
        <f t="shared" si="50"/>
        <v>15</v>
      </c>
      <c r="S30" s="434">
        <f t="shared" si="1"/>
        <v>17</v>
      </c>
      <c r="T30" s="434">
        <f t="shared" si="51"/>
        <v>15</v>
      </c>
      <c r="U30" s="434">
        <f t="shared" si="2"/>
        <v>16</v>
      </c>
      <c r="V30" s="434">
        <f t="shared" si="3"/>
        <v>16</v>
      </c>
      <c r="W30" s="434">
        <f t="shared" si="4"/>
        <v>16</v>
      </c>
      <c r="X30" s="434">
        <f t="shared" si="32"/>
        <v>15</v>
      </c>
      <c r="Y30" s="434">
        <f t="shared" si="33"/>
        <v>16</v>
      </c>
      <c r="Z30" s="435">
        <f t="shared" si="5"/>
        <v>15</v>
      </c>
      <c r="AA30" s="435">
        <f t="shared" si="6"/>
        <v>0</v>
      </c>
      <c r="AB30" s="436">
        <f t="shared" si="47"/>
        <v>1</v>
      </c>
      <c r="AC30" s="437">
        <f t="shared" si="34"/>
        <v>15</v>
      </c>
      <c r="AD30" s="438">
        <f t="shared" si="35"/>
        <v>16</v>
      </c>
      <c r="AE30" s="438">
        <f t="shared" si="36"/>
        <v>0</v>
      </c>
      <c r="AF30" s="439">
        <f t="shared" si="37"/>
        <v>16</v>
      </c>
      <c r="AG30" s="440">
        <f t="shared" si="38"/>
        <v>0</v>
      </c>
      <c r="AH30" s="441">
        <f>IF(AF30=0,0,VLOOKUP(AF30,FREQUENCIAS!$1:$1048576,(IF(($A30=FREQUENCIAS!$W$1),23,"ERRO")),FREQUENCIAS!$1:$1048576))</f>
        <v>0.32869999999999999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0.32869999999999999</v>
      </c>
      <c r="AN30" s="121">
        <f t="shared" si="7"/>
        <v>2.2817158503194404</v>
      </c>
      <c r="AO30" s="122">
        <f t="shared" si="8"/>
        <v>0.69528135718920925</v>
      </c>
      <c r="AP30" s="328" t="s">
        <v>173</v>
      </c>
      <c r="AQ30" s="443">
        <f t="shared" si="9"/>
        <v>0.45064368999999999</v>
      </c>
      <c r="AR30" s="328"/>
      <c r="AS30" s="125" t="str">
        <f t="shared" si="10"/>
        <v>3 / 4F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0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2.2817158503194404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>
        <f t="shared" si="13"/>
        <v>15</v>
      </c>
      <c r="BQ30" s="452">
        <f t="shared" si="14"/>
        <v>15</v>
      </c>
      <c r="BR30" s="453" t="str">
        <f t="shared" si="15"/>
        <v>&lt;</v>
      </c>
      <c r="BS30" s="453">
        <f t="shared" si="16"/>
        <v>17</v>
      </c>
      <c r="BT30" s="453" t="str">
        <f t="shared" si="17"/>
        <v>&lt;17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0</v>
      </c>
      <c r="CM30" s="1">
        <f t="shared" si="23"/>
        <v>1</v>
      </c>
      <c r="CN30" s="1">
        <f t="shared" si="24"/>
        <v>0</v>
      </c>
      <c r="CO30" s="1">
        <f t="shared" si="25"/>
        <v>0</v>
      </c>
      <c r="CP30" s="1">
        <f t="shared" si="26"/>
        <v>0</v>
      </c>
      <c r="CQ30" s="1">
        <f t="shared" si="27"/>
        <v>0</v>
      </c>
      <c r="CR30" s="1">
        <f t="shared" si="49"/>
        <v>3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MUTAÇÃO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MUTAÇÃO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MUTAÇÃO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MUTAÇÃO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MUTAÇÃO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MUTAÇÃO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MUTAÇÃO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MUTAÇÃO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MUTAÇÃO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MUTAÇÃO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MUTAÇÃO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85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292206557.08908105</v>
      </c>
      <c r="I43" s="885"/>
      <c r="J43" s="885"/>
      <c r="K43" s="885"/>
      <c r="L43" s="885"/>
      <c r="M43" s="885"/>
      <c r="N43" s="885"/>
      <c r="O43" s="885"/>
      <c r="P43" s="885"/>
      <c r="Q43" s="885"/>
      <c r="R43" s="885"/>
      <c r="S43" s="885"/>
      <c r="T43" s="885"/>
      <c r="U43" s="885"/>
      <c r="V43" s="885"/>
      <c r="W43" s="885"/>
      <c r="X43" s="885"/>
      <c r="Y43" s="885"/>
      <c r="Z43" s="885"/>
      <c r="AA43" s="885"/>
      <c r="AB43" s="885"/>
      <c r="AC43" s="885"/>
      <c r="AD43" s="885"/>
      <c r="AE43" s="885"/>
      <c r="AF43" s="885"/>
      <c r="AG43" s="885"/>
      <c r="AH43" s="885"/>
      <c r="AI43" s="885"/>
      <c r="AJ43" s="885"/>
      <c r="AK43" s="885"/>
      <c r="AL43" s="885"/>
      <c r="AM43" s="885"/>
      <c r="AN43" s="885"/>
      <c r="AO43" s="885"/>
      <c r="AP43" s="328"/>
      <c r="AQ43" s="828">
        <f>(IF((PRODUCT(AO9:AO42)&lt;&gt;0),((1-AQ9)*(1-AQ10)*(1-AQ11)*(1-AQ12)*(1-AQ13)*(1-AQ14)*(1-AQ15)*(1-AQ16)*(1-AQ17)*(1-AQ18)*(1-AQ19)*(1-AQ20)*(1-AQ21)*(1-AQ22)*(1-AQ23)*(1-AQ24)*(1-AQ25)*(1-AQ26)*(1-AQ27)*(1-AQ28)*(1-AQ29)*(1-AQ42)),$AP$23))</f>
        <v>1.7705332702755788E-11</v>
      </c>
      <c r="AR43" s="828"/>
      <c r="AS43" s="457" t="s">
        <v>320</v>
      </c>
      <c r="AT43" s="458"/>
      <c r="AX43" s="328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86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0.99999999657000005</v>
      </c>
      <c r="I44" s="886"/>
      <c r="J44" s="886"/>
      <c r="K44" s="886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886"/>
      <c r="AD44" s="886"/>
      <c r="AE44" s="886"/>
      <c r="AF44" s="886"/>
      <c r="AG44" s="886"/>
      <c r="AH44" s="886"/>
      <c r="AI44" s="886"/>
      <c r="AJ44" s="886"/>
      <c r="AK44" s="886"/>
      <c r="AL44" s="886"/>
      <c r="AM44" s="886"/>
      <c r="AN44" s="886"/>
      <c r="AO44" s="887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86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0.99999999998</v>
      </c>
      <c r="I45" s="888"/>
      <c r="J45" s="888"/>
      <c r="K45" s="888"/>
      <c r="L45" s="888"/>
      <c r="M45" s="888"/>
      <c r="N45" s="888"/>
      <c r="O45" s="888"/>
      <c r="P45" s="888"/>
      <c r="Q45" s="888"/>
      <c r="R45" s="888"/>
      <c r="S45" s="888"/>
      <c r="T45" s="888"/>
      <c r="U45" s="888"/>
      <c r="V45" s="888"/>
      <c r="W45" s="888"/>
      <c r="X45" s="888"/>
      <c r="Y45" s="888"/>
      <c r="Z45" s="888"/>
      <c r="AA45" s="888"/>
      <c r="AB45" s="888"/>
      <c r="AC45" s="888"/>
      <c r="AD45" s="888"/>
      <c r="AE45" s="888"/>
      <c r="AF45" s="888"/>
      <c r="AG45" s="888"/>
      <c r="AH45" s="888"/>
      <c r="AI45" s="888"/>
      <c r="AJ45" s="888"/>
      <c r="AK45" s="888"/>
      <c r="AL45" s="888"/>
      <c r="AM45" s="888"/>
      <c r="AN45" s="888"/>
      <c r="AO45" s="889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VÍNCULO BIOLOGICAMENTE PROVADO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811" t="s">
        <v>324</v>
      </c>
      <c r="B47" s="812"/>
      <c r="C47" s="812"/>
      <c r="D47" s="812"/>
      <c r="E47" s="812"/>
      <c r="F47" s="812"/>
      <c r="G47" s="812"/>
      <c r="H47" s="812"/>
      <c r="I47" s="812"/>
      <c r="J47" s="812"/>
      <c r="K47" s="812"/>
      <c r="L47" s="812"/>
      <c r="M47" s="812"/>
      <c r="N47" s="812"/>
      <c r="O47" s="812"/>
      <c r="P47" s="812"/>
      <c r="Q47" s="812"/>
      <c r="R47" s="812"/>
      <c r="S47" s="812"/>
      <c r="T47" s="812"/>
      <c r="U47" s="812"/>
      <c r="V47" s="812"/>
      <c r="W47" s="812"/>
      <c r="X47" s="812"/>
      <c r="Y47" s="812"/>
      <c r="Z47" s="812"/>
      <c r="AA47" s="812"/>
      <c r="AB47" s="812"/>
      <c r="AC47" s="812"/>
      <c r="AD47" s="812"/>
      <c r="AE47" s="812"/>
      <c r="AF47" s="812"/>
      <c r="AG47" s="812"/>
      <c r="AH47" s="812"/>
      <c r="AI47" s="812"/>
      <c r="AJ47" s="812"/>
      <c r="AK47" s="812"/>
      <c r="AL47" s="812"/>
      <c r="AM47" s="812"/>
      <c r="AN47" s="812"/>
      <c r="AO47" s="812"/>
      <c r="AP47" s="812"/>
      <c r="AQ47" s="812"/>
      <c r="AR47" s="812"/>
      <c r="AS47" s="812"/>
      <c r="AT47" s="813"/>
    </row>
    <row r="48" spans="1:96" ht="12" customHeight="1">
      <c r="A48" s="814"/>
      <c r="B48" s="815"/>
      <c r="C48" s="815"/>
      <c r="D48" s="815"/>
      <c r="E48" s="815"/>
      <c r="F48" s="815"/>
      <c r="G48" s="815"/>
      <c r="H48" s="815"/>
      <c r="I48" s="815"/>
      <c r="J48" s="815"/>
      <c r="K48" s="815"/>
      <c r="L48" s="815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815"/>
      <c r="X48" s="815"/>
      <c r="Y48" s="815"/>
      <c r="Z48" s="815"/>
      <c r="AA48" s="815"/>
      <c r="AB48" s="815"/>
      <c r="AC48" s="815"/>
      <c r="AD48" s="815"/>
      <c r="AE48" s="815"/>
      <c r="AF48" s="815"/>
      <c r="AG48" s="815"/>
      <c r="AH48" s="815"/>
      <c r="AI48" s="815"/>
      <c r="AJ48" s="815"/>
      <c r="AK48" s="815"/>
      <c r="AL48" s="815"/>
      <c r="AM48" s="815"/>
      <c r="AN48" s="815"/>
      <c r="AO48" s="815"/>
      <c r="AP48" s="815"/>
      <c r="AQ48" s="815"/>
      <c r="AR48" s="815"/>
      <c r="AS48" s="815"/>
      <c r="AT48" s="816"/>
    </row>
    <row r="49" spans="1:80" ht="12" customHeight="1">
      <c r="A49" s="814"/>
      <c r="B49" s="815"/>
      <c r="C49" s="815"/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815"/>
      <c r="X49" s="815"/>
      <c r="Y49" s="815"/>
      <c r="Z49" s="815"/>
      <c r="AA49" s="815"/>
      <c r="AB49" s="815"/>
      <c r="AC49" s="815"/>
      <c r="AD49" s="815"/>
      <c r="AE49" s="815"/>
      <c r="AF49" s="815"/>
      <c r="AG49" s="815"/>
      <c r="AH49" s="815"/>
      <c r="AI49" s="815"/>
      <c r="AJ49" s="815"/>
      <c r="AK49" s="815"/>
      <c r="AL49" s="815"/>
      <c r="AM49" s="815"/>
      <c r="AN49" s="815"/>
      <c r="AO49" s="815"/>
      <c r="AP49" s="815"/>
      <c r="AQ49" s="815"/>
      <c r="AR49" s="815"/>
      <c r="AS49" s="815"/>
      <c r="AT49" s="816"/>
    </row>
    <row r="50" spans="1:80" ht="12" customHeight="1" thickBot="1">
      <c r="A50" s="814"/>
      <c r="B50" s="815"/>
      <c r="C50" s="815"/>
      <c r="D50" s="815"/>
      <c r="E50" s="815"/>
      <c r="F50" s="815"/>
      <c r="G50" s="815"/>
      <c r="H50" s="815"/>
      <c r="I50" s="815"/>
      <c r="J50" s="815"/>
      <c r="K50" s="815"/>
      <c r="L50" s="815"/>
      <c r="M50" s="815"/>
      <c r="N50" s="815"/>
      <c r="O50" s="815"/>
      <c r="P50" s="815"/>
      <c r="Q50" s="815"/>
      <c r="R50" s="815"/>
      <c r="S50" s="815"/>
      <c r="T50" s="815"/>
      <c r="U50" s="815"/>
      <c r="V50" s="815"/>
      <c r="W50" s="815"/>
      <c r="X50" s="815"/>
      <c r="Y50" s="815"/>
      <c r="Z50" s="815"/>
      <c r="AA50" s="815"/>
      <c r="AB50" s="815"/>
      <c r="AC50" s="815"/>
      <c r="AD50" s="815"/>
      <c r="AE50" s="815"/>
      <c r="AF50" s="815"/>
      <c r="AG50" s="815"/>
      <c r="AH50" s="815"/>
      <c r="AI50" s="815"/>
      <c r="AJ50" s="815"/>
      <c r="AK50" s="815"/>
      <c r="AL50" s="815"/>
      <c r="AM50" s="815"/>
      <c r="AN50" s="815"/>
      <c r="AO50" s="815"/>
      <c r="AP50" s="815"/>
      <c r="AQ50" s="815"/>
      <c r="AR50" s="815"/>
      <c r="AS50" s="815"/>
      <c r="AT50" s="816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92">
        <f ca="1">TODAY()</f>
        <v>45747</v>
      </c>
      <c r="B55" s="893"/>
      <c r="C55" s="893"/>
      <c r="D55" s="893"/>
      <c r="E55" s="893"/>
      <c r="F55" s="893"/>
      <c r="G55" s="893"/>
      <c r="H55" s="893"/>
      <c r="I55" s="893"/>
      <c r="J55" s="893"/>
      <c r="K55" s="893"/>
      <c r="L55" s="893"/>
      <c r="M55" s="893"/>
      <c r="N55" s="893"/>
      <c r="O55" s="893"/>
      <c r="P55" s="893"/>
      <c r="Q55" s="893"/>
      <c r="R55" s="893"/>
      <c r="S55" s="893"/>
      <c r="T55" s="893"/>
      <c r="U55" s="893"/>
      <c r="V55" s="893"/>
      <c r="W55" s="893"/>
      <c r="X55" s="893"/>
      <c r="Y55" s="893"/>
      <c r="Z55" s="893"/>
      <c r="AA55" s="893"/>
      <c r="AB55" s="893"/>
      <c r="AC55" s="893"/>
      <c r="AD55" s="893"/>
      <c r="AE55" s="893"/>
      <c r="AF55" s="893"/>
      <c r="AG55" s="893"/>
      <c r="AH55" s="893"/>
      <c r="AI55" s="893"/>
      <c r="AJ55" s="893"/>
      <c r="AK55" s="893"/>
      <c r="AL55" s="893"/>
      <c r="AM55" s="893"/>
      <c r="AN55" s="893"/>
      <c r="AO55" s="893"/>
      <c r="AP55" s="893"/>
      <c r="AQ55" s="893"/>
      <c r="AR55" s="893"/>
      <c r="AS55" s="893"/>
      <c r="AT55" s="894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69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70"/>
      <c r="C58" s="870"/>
      <c r="D58" s="870"/>
      <c r="E58" s="870"/>
      <c r="F58" s="870"/>
      <c r="G58" s="870"/>
      <c r="H58" s="870"/>
      <c r="I58" s="870"/>
      <c r="J58" s="870"/>
      <c r="K58" s="870"/>
      <c r="L58" s="870"/>
      <c r="M58" s="870"/>
      <c r="N58" s="870"/>
      <c r="O58" s="870"/>
      <c r="P58" s="870"/>
      <c r="Q58" s="870"/>
      <c r="R58" s="870"/>
      <c r="S58" s="870"/>
      <c r="T58" s="870"/>
      <c r="U58" s="870"/>
      <c r="V58" s="870"/>
      <c r="W58" s="870"/>
      <c r="X58" s="870"/>
      <c r="Y58" s="870"/>
      <c r="Z58" s="870"/>
      <c r="AA58" s="870"/>
      <c r="AB58" s="870"/>
      <c r="AC58" s="870"/>
      <c r="AD58" s="870"/>
      <c r="AE58" s="870"/>
      <c r="AF58" s="870"/>
      <c r="AG58" s="870"/>
      <c r="AH58" s="870"/>
      <c r="AI58" s="870"/>
      <c r="AJ58" s="870"/>
      <c r="AK58" s="870"/>
      <c r="AL58" s="870"/>
      <c r="AM58" s="870"/>
      <c r="AN58" s="870"/>
      <c r="AO58" s="870"/>
      <c r="AP58" s="870"/>
      <c r="AQ58" s="870"/>
      <c r="AR58" s="870"/>
      <c r="AS58" s="870"/>
      <c r="AT58" s="871"/>
    </row>
    <row r="59" spans="1:80" ht="11.1" customHeight="1">
      <c r="A59" s="793" t="s">
        <v>326</v>
      </c>
      <c r="B59" s="794"/>
      <c r="C59" s="794"/>
      <c r="D59" s="794"/>
      <c r="E59" s="794"/>
      <c r="F59" s="794"/>
      <c r="G59" s="794"/>
      <c r="H59" s="794"/>
      <c r="I59" s="794"/>
      <c r="J59" s="794"/>
      <c r="K59" s="794"/>
      <c r="L59" s="794"/>
      <c r="M59" s="794"/>
      <c r="N59" s="794"/>
      <c r="O59" s="794"/>
      <c r="P59" s="794"/>
      <c r="Q59" s="794"/>
      <c r="R59" s="794"/>
      <c r="S59" s="794"/>
      <c r="T59" s="794"/>
      <c r="U59" s="794"/>
      <c r="V59" s="794"/>
      <c r="W59" s="794"/>
      <c r="X59" s="794"/>
      <c r="Y59" s="794"/>
      <c r="Z59" s="794"/>
      <c r="AA59" s="794"/>
      <c r="AB59" s="794"/>
      <c r="AC59" s="794"/>
      <c r="AD59" s="794"/>
      <c r="AE59" s="794"/>
      <c r="AF59" s="794"/>
      <c r="AG59" s="794"/>
      <c r="AH59" s="794"/>
      <c r="AI59" s="794"/>
      <c r="AJ59" s="794"/>
      <c r="AK59" s="794"/>
      <c r="AL59" s="794"/>
      <c r="AM59" s="794"/>
      <c r="AN59" s="794"/>
      <c r="AO59" s="794"/>
      <c r="AP59" s="794"/>
      <c r="AQ59" s="794"/>
      <c r="AR59" s="794"/>
      <c r="AS59" s="794"/>
      <c r="AT59" s="795"/>
      <c r="BF59" s="2"/>
      <c r="BG59" s="2"/>
      <c r="BL59" s="1"/>
      <c r="BM59" s="1"/>
    </row>
    <row r="60" spans="1:80" ht="11.1" customHeight="1">
      <c r="A60" s="790" t="s">
        <v>242</v>
      </c>
      <c r="B60" s="791"/>
      <c r="C60" s="791"/>
      <c r="D60" s="791"/>
      <c r="E60" s="791"/>
      <c r="F60" s="791"/>
      <c r="G60" s="791"/>
      <c r="H60" s="791"/>
      <c r="I60" s="791"/>
      <c r="J60" s="791"/>
      <c r="K60" s="791"/>
      <c r="L60" s="791"/>
      <c r="M60" s="791"/>
      <c r="N60" s="791"/>
      <c r="O60" s="791"/>
      <c r="P60" s="791"/>
      <c r="Q60" s="791"/>
      <c r="R60" s="791"/>
      <c r="S60" s="791"/>
      <c r="T60" s="791"/>
      <c r="U60" s="791"/>
      <c r="V60" s="791"/>
      <c r="W60" s="791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2"/>
      <c r="BF60" s="2"/>
      <c r="BG60" s="2"/>
      <c r="BL60" s="1"/>
      <c r="BM60" s="1"/>
    </row>
    <row r="61" spans="1:80" ht="11.1" hidden="1" customHeight="1">
      <c r="A61" s="790"/>
      <c r="B61" s="791"/>
      <c r="C61" s="791"/>
      <c r="D61" s="791"/>
      <c r="E61" s="791"/>
      <c r="F61" s="791"/>
      <c r="G61" s="791"/>
      <c r="H61" s="791"/>
      <c r="I61" s="791"/>
      <c r="J61" s="791"/>
      <c r="K61" s="791"/>
      <c r="L61" s="791"/>
      <c r="M61" s="791"/>
      <c r="N61" s="791"/>
      <c r="O61" s="791"/>
      <c r="P61" s="791"/>
      <c r="Q61" s="791"/>
      <c r="R61" s="791"/>
      <c r="S61" s="791"/>
      <c r="T61" s="791"/>
      <c r="U61" s="791"/>
      <c r="V61" s="791"/>
      <c r="W61" s="791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2"/>
      <c r="BF61" s="2"/>
      <c r="BG61" s="2"/>
      <c r="BL61" s="1"/>
      <c r="BM61" s="1"/>
    </row>
    <row r="62" spans="1:80" ht="11.1" customHeight="1" thickBot="1">
      <c r="A62" s="882" t="s">
        <v>327</v>
      </c>
      <c r="B62" s="788"/>
      <c r="C62" s="788"/>
      <c r="D62" s="788"/>
      <c r="E62" s="788"/>
      <c r="F62" s="788"/>
      <c r="G62" s="788"/>
      <c r="H62" s="788"/>
      <c r="I62" s="788"/>
      <c r="J62" s="788"/>
      <c r="K62" s="788"/>
      <c r="L62" s="788"/>
      <c r="M62" s="788"/>
      <c r="N62" s="788"/>
      <c r="O62" s="788"/>
      <c r="P62" s="788"/>
      <c r="Q62" s="788"/>
      <c r="R62" s="788"/>
      <c r="S62" s="788"/>
      <c r="T62" s="788"/>
      <c r="U62" s="788"/>
      <c r="V62" s="788"/>
      <c r="W62" s="788"/>
      <c r="X62" s="788"/>
      <c r="Y62" s="788"/>
      <c r="Z62" s="788"/>
      <c r="AA62" s="788"/>
      <c r="AB62" s="788"/>
      <c r="AC62" s="788"/>
      <c r="AD62" s="788"/>
      <c r="AE62" s="788"/>
      <c r="AF62" s="788"/>
      <c r="AG62" s="788"/>
      <c r="AH62" s="788"/>
      <c r="AI62" s="788"/>
      <c r="AJ62" s="788"/>
      <c r="AK62" s="788"/>
      <c r="AL62" s="788"/>
      <c r="AM62" s="788"/>
      <c r="AN62" s="788"/>
      <c r="AO62" s="788"/>
      <c r="AP62" s="788"/>
      <c r="AQ62" s="788"/>
      <c r="AR62" s="788"/>
      <c r="AS62" s="788"/>
      <c r="AT62" s="789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1:AT1"/>
    <mergeCell ref="B2:G2"/>
    <mergeCell ref="BF5:BG5"/>
    <mergeCell ref="BF6:BG6"/>
    <mergeCell ref="BF7:BH7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15</v>
      </c>
      <c r="C9" s="196">
        <f>'PD0101'!C9</f>
        <v>16</v>
      </c>
      <c r="D9" s="195">
        <f>'PD0101'!D9</f>
        <v>15</v>
      </c>
      <c r="E9" s="196">
        <f>'PD0101'!E9</f>
        <v>16</v>
      </c>
      <c r="F9" s="195">
        <f>'PD0101'!F9</f>
        <v>0</v>
      </c>
      <c r="G9" s="196">
        <f>'PD0101'!G9</f>
        <v>0</v>
      </c>
      <c r="H9" s="167">
        <f t="shared" ref="H9:H30" si="0">IF((B9&gt;C9),C9,B9)</f>
        <v>15</v>
      </c>
      <c r="I9" s="167">
        <f t="shared" ref="I9:I30" si="1">IF((C9&gt;B9),C9,B9)</f>
        <v>16</v>
      </c>
      <c r="J9" s="167">
        <f t="shared" ref="J9:J30" si="2">IF((D9&gt;E9),E9,D9)</f>
        <v>15</v>
      </c>
      <c r="K9" s="167">
        <f t="shared" ref="K9:K30" si="3">IF((E9&gt;D9),E9,D9)</f>
        <v>16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15</v>
      </c>
      <c r="O9" s="168">
        <f t="shared" ref="O9:O30" si="7">IF((K9=H9),K9,(IF((K9=I9),K9,0)))</f>
        <v>16</v>
      </c>
      <c r="P9" s="168">
        <f t="shared" ref="P9:P30" si="8">(IF(((N9+O9)=(J9+K9)),0,1))</f>
        <v>0</v>
      </c>
      <c r="Q9" s="169" t="str">
        <f t="shared" ref="Q9:Q30" si="9">IF(OR((N9=O9),(O9=0)),N9,(IF(AND((N9=0),(O9&lt;&gt;0)),O9,$AD$7)))</f>
        <v>NÃO DEF</v>
      </c>
      <c r="R9" s="170">
        <f t="shared" ref="R9:R30" si="10">(IF((Q9&lt;&gt;$AD$7),(J9+K9-Q9),D9))</f>
        <v>15</v>
      </c>
      <c r="S9" s="170">
        <f t="shared" ref="S9:S30" si="11">(IF((Q9&lt;&gt;$AD$7),0,K9))</f>
        <v>16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0.290991</v>
      </c>
      <c r="W9" s="173">
        <f>IF(S9=0,0,VLOOKUP(S9,FREQUENCIAS!$1:$1048576,(IF(($A9=FREQUENCIAS!$B$1),2,"ERRO")),FREQUENCIAS!$1:$1048576))</f>
        <v>0.27030799999999999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0</v>
      </c>
      <c r="AC9" s="197">
        <f t="shared" ref="AC9:AC30" si="15">((IF((AND(($J9=$L9),($K9=$M9))),2,( IF((OR(($J9=$L9),($K9=$M9),($J9=$M9),($K9=$L9))),1,0)))))</f>
        <v>0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VERIFICAR</v>
      </c>
    </row>
    <row r="10" spans="1:35" ht="17.25" thickTop="1" thickBot="1">
      <c r="A10" s="166" t="s">
        <v>214</v>
      </c>
      <c r="B10" s="195">
        <f>'PD0101'!B10</f>
        <v>13</v>
      </c>
      <c r="C10" s="196">
        <f>'PD0101'!C10</f>
        <v>18.3</v>
      </c>
      <c r="D10" s="195">
        <f>'PD0101'!D10</f>
        <v>17.3</v>
      </c>
      <c r="E10" s="196">
        <f>'PD0101'!E10</f>
        <v>18.3</v>
      </c>
      <c r="F10" s="195">
        <f>'PD0101'!F10</f>
        <v>0</v>
      </c>
      <c r="G10" s="196">
        <f>'PD0101'!G10</f>
        <v>0</v>
      </c>
      <c r="H10" s="167">
        <f t="shared" si="0"/>
        <v>13</v>
      </c>
      <c r="I10" s="167">
        <f t="shared" si="1"/>
        <v>18.3</v>
      </c>
      <c r="J10" s="167">
        <f t="shared" si="2"/>
        <v>17.3</v>
      </c>
      <c r="K10" s="167">
        <f t="shared" si="3"/>
        <v>18.3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18.3</v>
      </c>
      <c r="P10" s="168">
        <f t="shared" si="8"/>
        <v>1</v>
      </c>
      <c r="Q10" s="169">
        <f t="shared" si="9"/>
        <v>18.3</v>
      </c>
      <c r="R10" s="170">
        <f t="shared" si="10"/>
        <v>17.3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0.1376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1</v>
      </c>
      <c r="AB10" s="197">
        <f t="shared" si="14"/>
        <v>0</v>
      </c>
      <c r="AC10" s="197">
        <f t="shared" si="15"/>
        <v>0</v>
      </c>
      <c r="AD10" s="164"/>
      <c r="AE10" s="165">
        <f t="shared" si="16"/>
        <v>0</v>
      </c>
      <c r="AF10" s="164"/>
      <c r="AG10" s="163" t="str">
        <f t="shared" si="17"/>
        <v>VERIFICAR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10</v>
      </c>
      <c r="D11" s="195">
        <f>'PD0101'!D11</f>
        <v>10</v>
      </c>
      <c r="E11" s="196">
        <f>'PD0101'!E11</f>
        <v>15</v>
      </c>
      <c r="F11" s="195">
        <f>'PD0101'!F11</f>
        <v>0</v>
      </c>
      <c r="G11" s="196">
        <f>'PD0101'!G11</f>
        <v>0</v>
      </c>
      <c r="H11" s="167">
        <f t="shared" si="0"/>
        <v>10</v>
      </c>
      <c r="I11" s="167">
        <f t="shared" si="1"/>
        <v>10</v>
      </c>
      <c r="J11" s="167">
        <f t="shared" si="2"/>
        <v>10</v>
      </c>
      <c r="K11" s="167">
        <f t="shared" si="3"/>
        <v>15</v>
      </c>
      <c r="L11" s="167">
        <f t="shared" si="4"/>
        <v>0</v>
      </c>
      <c r="M11" s="167">
        <f t="shared" si="5"/>
        <v>0</v>
      </c>
      <c r="N11" s="168">
        <f t="shared" si="6"/>
        <v>10</v>
      </c>
      <c r="O11" s="168">
        <f t="shared" si="7"/>
        <v>0</v>
      </c>
      <c r="P11" s="168">
        <f t="shared" si="8"/>
        <v>1</v>
      </c>
      <c r="Q11" s="169">
        <f t="shared" si="9"/>
        <v>10</v>
      </c>
      <c r="R11" s="170">
        <f t="shared" si="10"/>
        <v>15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2.69E-2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1</v>
      </c>
      <c r="AB11" s="197">
        <f t="shared" si="14"/>
        <v>0</v>
      </c>
      <c r="AC11" s="197">
        <f t="shared" si="15"/>
        <v>0</v>
      </c>
      <c r="AD11" s="164"/>
      <c r="AE11" s="165">
        <f t="shared" si="16"/>
        <v>0</v>
      </c>
      <c r="AF11" s="164"/>
      <c r="AG11" s="163" t="str">
        <f t="shared" si="17"/>
        <v>VERIFICAR</v>
      </c>
    </row>
    <row r="12" spans="1:35" ht="17.25" thickTop="1" thickBot="1">
      <c r="A12" s="166" t="s">
        <v>216</v>
      </c>
      <c r="B12" s="195">
        <f>'PD0101'!B12</f>
        <v>12</v>
      </c>
      <c r="C12" s="196">
        <f>'PD0101'!C12</f>
        <v>14</v>
      </c>
      <c r="D12" s="195">
        <f>'PD0101'!D12</f>
        <v>14</v>
      </c>
      <c r="E12" s="196">
        <f>'PD0101'!E12</f>
        <v>14</v>
      </c>
      <c r="F12" s="195">
        <f>'PD0101'!F12</f>
        <v>0</v>
      </c>
      <c r="G12" s="196">
        <f>'PD0101'!G12</f>
        <v>0</v>
      </c>
      <c r="H12" s="167">
        <f t="shared" si="0"/>
        <v>12</v>
      </c>
      <c r="I12" s="167">
        <f t="shared" si="1"/>
        <v>14</v>
      </c>
      <c r="J12" s="167">
        <f t="shared" si="2"/>
        <v>14</v>
      </c>
      <c r="K12" s="167">
        <f t="shared" si="3"/>
        <v>14</v>
      </c>
      <c r="L12" s="167">
        <f t="shared" si="4"/>
        <v>0</v>
      </c>
      <c r="M12" s="167">
        <f t="shared" si="5"/>
        <v>0</v>
      </c>
      <c r="N12" s="168">
        <f t="shared" si="6"/>
        <v>14</v>
      </c>
      <c r="O12" s="168">
        <f t="shared" si="7"/>
        <v>14</v>
      </c>
      <c r="P12" s="168">
        <f t="shared" si="8"/>
        <v>0</v>
      </c>
      <c r="Q12" s="168">
        <f t="shared" si="9"/>
        <v>14</v>
      </c>
      <c r="R12" s="170">
        <f t="shared" si="10"/>
        <v>14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0.30480000000000002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1</v>
      </c>
      <c r="AB12" s="197">
        <f t="shared" si="14"/>
        <v>0</v>
      </c>
      <c r="AC12" s="197">
        <f t="shared" si="15"/>
        <v>0</v>
      </c>
      <c r="AD12" s="164" t="s">
        <v>140</v>
      </c>
      <c r="AE12" s="165">
        <f t="shared" si="16"/>
        <v>0</v>
      </c>
      <c r="AF12" s="164"/>
      <c r="AG12" s="163" t="str">
        <f t="shared" si="17"/>
        <v>VERIFICAR</v>
      </c>
    </row>
    <row r="13" spans="1:35" ht="17.25" thickTop="1" thickBot="1">
      <c r="A13" s="166" t="s">
        <v>157</v>
      </c>
      <c r="B13" s="195">
        <f>'PD0101'!B13</f>
        <v>9</v>
      </c>
      <c r="C13" s="196">
        <f>'PD0101'!C13</f>
        <v>9</v>
      </c>
      <c r="D13" s="195">
        <f>'PD0101'!D13</f>
        <v>9</v>
      </c>
      <c r="E13" s="196">
        <f>'PD0101'!E13</f>
        <v>10</v>
      </c>
      <c r="F13" s="195">
        <f>'PD0101'!F13</f>
        <v>0</v>
      </c>
      <c r="G13" s="196">
        <f>'PD0101'!G13</f>
        <v>0</v>
      </c>
      <c r="H13" s="167">
        <f t="shared" si="0"/>
        <v>9</v>
      </c>
      <c r="I13" s="167">
        <f t="shared" si="1"/>
        <v>9</v>
      </c>
      <c r="J13" s="167">
        <f t="shared" si="2"/>
        <v>9</v>
      </c>
      <c r="K13" s="167">
        <f t="shared" si="3"/>
        <v>10</v>
      </c>
      <c r="L13" s="167">
        <f t="shared" si="4"/>
        <v>0</v>
      </c>
      <c r="M13" s="167">
        <f t="shared" si="5"/>
        <v>0</v>
      </c>
      <c r="N13" s="168">
        <f t="shared" si="6"/>
        <v>9</v>
      </c>
      <c r="O13" s="168">
        <f t="shared" si="7"/>
        <v>0</v>
      </c>
      <c r="P13" s="168">
        <f t="shared" si="8"/>
        <v>1</v>
      </c>
      <c r="Q13" s="169">
        <f t="shared" si="9"/>
        <v>9</v>
      </c>
      <c r="R13" s="170">
        <f t="shared" si="10"/>
        <v>10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5.2623999999999997E-2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0</v>
      </c>
      <c r="AC13" s="197">
        <f t="shared" si="15"/>
        <v>0</v>
      </c>
      <c r="AD13" s="164" t="s">
        <v>116</v>
      </c>
      <c r="AE13" s="165">
        <f t="shared" si="16"/>
        <v>0</v>
      </c>
      <c r="AF13" s="164"/>
      <c r="AG13" s="163" t="str">
        <f t="shared" si="17"/>
        <v>VERIFICAR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13</v>
      </c>
      <c r="C14" s="162">
        <f>'PD0101'!C14</f>
        <v>15</v>
      </c>
      <c r="D14" s="161">
        <f>'PD0101'!D14</f>
        <v>12</v>
      </c>
      <c r="E14" s="162">
        <f>'PD0101'!E14</f>
        <v>15</v>
      </c>
      <c r="F14" s="161">
        <f>'PD0101'!F14</f>
        <v>0</v>
      </c>
      <c r="G14" s="162">
        <f>'PD0101'!G14</f>
        <v>0</v>
      </c>
      <c r="H14" s="167">
        <f t="shared" si="0"/>
        <v>13</v>
      </c>
      <c r="I14" s="167">
        <f t="shared" si="1"/>
        <v>15</v>
      </c>
      <c r="J14" s="167">
        <f t="shared" si="2"/>
        <v>12</v>
      </c>
      <c r="K14" s="167">
        <f t="shared" si="3"/>
        <v>15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15</v>
      </c>
      <c r="P14" s="168">
        <f t="shared" si="8"/>
        <v>1</v>
      </c>
      <c r="Q14" s="169">
        <f t="shared" si="9"/>
        <v>15</v>
      </c>
      <c r="R14" s="170">
        <f t="shared" si="10"/>
        <v>12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0</v>
      </c>
      <c r="AD14" s="164"/>
      <c r="AE14" s="165">
        <f t="shared" si="16"/>
        <v>0</v>
      </c>
      <c r="AF14" s="164"/>
      <c r="AG14" s="163" t="str">
        <f t="shared" si="17"/>
        <v>VERIFICAR</v>
      </c>
    </row>
    <row r="15" spans="1:35" ht="17.25" thickTop="1" thickBot="1">
      <c r="A15" s="166" t="s">
        <v>159</v>
      </c>
      <c r="B15" s="195">
        <f>'PD0101'!B15</f>
        <v>9</v>
      </c>
      <c r="C15" s="196">
        <f>'PD0101'!C15</f>
        <v>12</v>
      </c>
      <c r="D15" s="195">
        <f>'PD0101'!D15</f>
        <v>9</v>
      </c>
      <c r="E15" s="196">
        <f>'PD0101'!E15</f>
        <v>11</v>
      </c>
      <c r="F15" s="195">
        <f>'PD0101'!F15</f>
        <v>0</v>
      </c>
      <c r="G15" s="196">
        <f>'PD0101'!G15</f>
        <v>0</v>
      </c>
      <c r="H15" s="167">
        <f t="shared" si="0"/>
        <v>9</v>
      </c>
      <c r="I15" s="167">
        <f t="shared" si="1"/>
        <v>12</v>
      </c>
      <c r="J15" s="167">
        <f t="shared" si="2"/>
        <v>9</v>
      </c>
      <c r="K15" s="167">
        <f t="shared" si="3"/>
        <v>11</v>
      </c>
      <c r="L15" s="167">
        <f t="shared" si="4"/>
        <v>0</v>
      </c>
      <c r="M15" s="167">
        <f t="shared" si="5"/>
        <v>0</v>
      </c>
      <c r="N15" s="168">
        <f t="shared" si="6"/>
        <v>9</v>
      </c>
      <c r="O15" s="168">
        <f t="shared" si="7"/>
        <v>0</v>
      </c>
      <c r="P15" s="168">
        <f t="shared" si="8"/>
        <v>1</v>
      </c>
      <c r="Q15" s="169">
        <f t="shared" si="9"/>
        <v>9</v>
      </c>
      <c r="R15" s="170">
        <f t="shared" si="10"/>
        <v>11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0.28868100000000002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1</v>
      </c>
      <c r="AB15" s="197">
        <f t="shared" si="14"/>
        <v>0</v>
      </c>
      <c r="AC15" s="197">
        <f t="shared" si="15"/>
        <v>0</v>
      </c>
      <c r="AD15" s="164"/>
      <c r="AE15" s="165">
        <f t="shared" si="16"/>
        <v>0</v>
      </c>
      <c r="AF15" s="164"/>
      <c r="AG15" s="163" t="str">
        <f t="shared" si="17"/>
        <v>VERIFICAR</v>
      </c>
    </row>
    <row r="16" spans="1:35" ht="17.25" thickTop="1" thickBot="1">
      <c r="A16" s="166" t="s">
        <v>155</v>
      </c>
      <c r="B16" s="195">
        <f>'PD0101'!B16</f>
        <v>14</v>
      </c>
      <c r="C16" s="196">
        <f>'PD0101'!C16</f>
        <v>14</v>
      </c>
      <c r="D16" s="195">
        <f>'PD0101'!D16</f>
        <v>14</v>
      </c>
      <c r="E16" s="196">
        <f>'PD0101'!E16</f>
        <v>17</v>
      </c>
      <c r="F16" s="195">
        <f>'PD0101'!F16</f>
        <v>0</v>
      </c>
      <c r="G16" s="196">
        <f>'PD0101'!G16</f>
        <v>0</v>
      </c>
      <c r="H16" s="167">
        <f t="shared" si="0"/>
        <v>14</v>
      </c>
      <c r="I16" s="167">
        <f t="shared" si="1"/>
        <v>14</v>
      </c>
      <c r="J16" s="167">
        <f t="shared" si="2"/>
        <v>14</v>
      </c>
      <c r="K16" s="167">
        <f t="shared" si="3"/>
        <v>17</v>
      </c>
      <c r="L16" s="167">
        <f t="shared" si="4"/>
        <v>0</v>
      </c>
      <c r="M16" s="167">
        <f t="shared" si="5"/>
        <v>0</v>
      </c>
      <c r="N16" s="168">
        <f t="shared" si="6"/>
        <v>14</v>
      </c>
      <c r="O16" s="168">
        <f t="shared" si="7"/>
        <v>0</v>
      </c>
      <c r="P16" s="168">
        <f t="shared" si="8"/>
        <v>1</v>
      </c>
      <c r="Q16" s="169">
        <f t="shared" si="9"/>
        <v>14</v>
      </c>
      <c r="R16" s="170">
        <f t="shared" si="10"/>
        <v>17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0.121915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0</v>
      </c>
      <c r="AC16" s="197">
        <f t="shared" si="15"/>
        <v>0</v>
      </c>
      <c r="AD16" s="164"/>
      <c r="AE16" s="165">
        <f t="shared" si="16"/>
        <v>0</v>
      </c>
      <c r="AF16" s="164"/>
      <c r="AG16" s="163" t="str">
        <f t="shared" si="17"/>
        <v>VERIFICAR</v>
      </c>
    </row>
    <row r="17" spans="1:35" ht="17.25" thickTop="1" thickBot="1">
      <c r="A17" s="166" t="s">
        <v>51</v>
      </c>
      <c r="B17" s="195">
        <f>'PD0101'!B17</f>
        <v>17</v>
      </c>
      <c r="C17" s="196">
        <f>'PD0101'!C17</f>
        <v>22</v>
      </c>
      <c r="D17" s="195">
        <f>'PD0101'!D17</f>
        <v>17</v>
      </c>
      <c r="E17" s="196">
        <f>'PD0101'!E17</f>
        <v>20</v>
      </c>
      <c r="F17" s="195">
        <f>'PD0101'!F17</f>
        <v>0</v>
      </c>
      <c r="G17" s="196">
        <f>'PD0101'!G17</f>
        <v>0</v>
      </c>
      <c r="H17" s="167">
        <f t="shared" si="0"/>
        <v>17</v>
      </c>
      <c r="I17" s="167">
        <f t="shared" si="1"/>
        <v>22</v>
      </c>
      <c r="J17" s="167">
        <f t="shared" si="2"/>
        <v>17</v>
      </c>
      <c r="K17" s="167">
        <f t="shared" si="3"/>
        <v>20</v>
      </c>
      <c r="L17" s="167">
        <f t="shared" si="4"/>
        <v>0</v>
      </c>
      <c r="M17" s="167">
        <f t="shared" si="5"/>
        <v>0</v>
      </c>
      <c r="N17" s="168">
        <f t="shared" si="6"/>
        <v>17</v>
      </c>
      <c r="O17" s="168">
        <f t="shared" si="7"/>
        <v>0</v>
      </c>
      <c r="P17" s="168">
        <f t="shared" si="8"/>
        <v>1</v>
      </c>
      <c r="Q17" s="169">
        <f t="shared" si="9"/>
        <v>17</v>
      </c>
      <c r="R17" s="170">
        <f t="shared" si="10"/>
        <v>20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0.13669999999999999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0</v>
      </c>
      <c r="AC17" s="197">
        <f t="shared" si="15"/>
        <v>0</v>
      </c>
      <c r="AD17" s="164" t="s">
        <v>173</v>
      </c>
      <c r="AE17" s="165">
        <f t="shared" si="16"/>
        <v>0</v>
      </c>
      <c r="AF17" s="164"/>
      <c r="AG17" s="163" t="str">
        <f t="shared" si="17"/>
        <v>VERIFICAR</v>
      </c>
    </row>
    <row r="18" spans="1:35" ht="17.25" thickTop="1" thickBot="1">
      <c r="A18" s="166" t="s">
        <v>132</v>
      </c>
      <c r="B18" s="195">
        <f>'PD0101'!B18</f>
        <v>10</v>
      </c>
      <c r="C18" s="196">
        <f>'PD0101'!C18</f>
        <v>11</v>
      </c>
      <c r="D18" s="195">
        <f>'PD0101'!D18</f>
        <v>11</v>
      </c>
      <c r="E18" s="196">
        <f>'PD0101'!E18</f>
        <v>12</v>
      </c>
      <c r="F18" s="195">
        <f>'PD0101'!F18</f>
        <v>0</v>
      </c>
      <c r="G18" s="196">
        <f>'PD0101'!G18</f>
        <v>0</v>
      </c>
      <c r="H18" s="167">
        <f t="shared" si="0"/>
        <v>10</v>
      </c>
      <c r="I18" s="167">
        <f t="shared" si="1"/>
        <v>11</v>
      </c>
      <c r="J18" s="167">
        <f t="shared" si="2"/>
        <v>11</v>
      </c>
      <c r="K18" s="167">
        <f t="shared" si="3"/>
        <v>12</v>
      </c>
      <c r="L18" s="167">
        <f t="shared" si="4"/>
        <v>0</v>
      </c>
      <c r="M18" s="167">
        <f t="shared" si="5"/>
        <v>0</v>
      </c>
      <c r="N18" s="168">
        <f t="shared" si="6"/>
        <v>11</v>
      </c>
      <c r="O18" s="168">
        <f t="shared" si="7"/>
        <v>0</v>
      </c>
      <c r="P18" s="168">
        <f t="shared" si="8"/>
        <v>1</v>
      </c>
      <c r="Q18" s="169">
        <f t="shared" si="9"/>
        <v>11</v>
      </c>
      <c r="R18" s="170">
        <f t="shared" si="10"/>
        <v>12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0.30245100000000003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1</v>
      </c>
      <c r="AB18" s="197">
        <f t="shared" si="14"/>
        <v>0</v>
      </c>
      <c r="AC18" s="197">
        <f t="shared" si="15"/>
        <v>0</v>
      </c>
      <c r="AD18" s="164"/>
      <c r="AE18" s="165">
        <f t="shared" si="16"/>
        <v>0</v>
      </c>
      <c r="AF18" s="164"/>
      <c r="AG18" s="163" t="str">
        <f t="shared" si="17"/>
        <v>VERIFICAR</v>
      </c>
    </row>
    <row r="19" spans="1:35" ht="17.25" thickTop="1" thickBot="1">
      <c r="A19" s="166" t="s">
        <v>220</v>
      </c>
      <c r="B19" s="195">
        <f>'PD0101'!B19</f>
        <v>9</v>
      </c>
      <c r="C19" s="196">
        <f>'PD0101'!C19</f>
        <v>11</v>
      </c>
      <c r="D19" s="195">
        <f>'PD0101'!D19</f>
        <v>11</v>
      </c>
      <c r="E19" s="196">
        <f>'PD0101'!E19</f>
        <v>12</v>
      </c>
      <c r="F19" s="195">
        <f>'PD0101'!F19</f>
        <v>0</v>
      </c>
      <c r="G19" s="196">
        <f>'PD0101'!G19</f>
        <v>0</v>
      </c>
      <c r="H19" s="167">
        <f t="shared" si="0"/>
        <v>9</v>
      </c>
      <c r="I19" s="167">
        <f t="shared" si="1"/>
        <v>11</v>
      </c>
      <c r="J19" s="167">
        <f t="shared" si="2"/>
        <v>11</v>
      </c>
      <c r="K19" s="167">
        <f t="shared" si="3"/>
        <v>12</v>
      </c>
      <c r="L19" s="167">
        <f t="shared" si="4"/>
        <v>0</v>
      </c>
      <c r="M19" s="167">
        <f t="shared" si="5"/>
        <v>0</v>
      </c>
      <c r="N19" s="168">
        <f t="shared" si="6"/>
        <v>11</v>
      </c>
      <c r="O19" s="168">
        <f t="shared" si="7"/>
        <v>0</v>
      </c>
      <c r="P19" s="168">
        <f t="shared" si="8"/>
        <v>1</v>
      </c>
      <c r="Q19" s="169">
        <f t="shared" si="9"/>
        <v>11</v>
      </c>
      <c r="R19" s="170">
        <f t="shared" si="10"/>
        <v>12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0</v>
      </c>
      <c r="AC19" s="197">
        <f t="shared" si="15"/>
        <v>0</v>
      </c>
      <c r="AD19" s="164" t="s">
        <v>59</v>
      </c>
      <c r="AE19" s="165">
        <f t="shared" si="16"/>
        <v>0</v>
      </c>
      <c r="AF19" s="164"/>
      <c r="AG19" s="163" t="str">
        <f t="shared" si="17"/>
        <v>VERIFICAR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7</v>
      </c>
      <c r="C20" s="196">
        <f>'PD0101'!C20</f>
        <v>8</v>
      </c>
      <c r="D20" s="195">
        <f>'PD0101'!D20</f>
        <v>8</v>
      </c>
      <c r="E20" s="196">
        <f>'PD0101'!E20</f>
        <v>9</v>
      </c>
      <c r="F20" s="195">
        <f>'PD0101'!F20</f>
        <v>0</v>
      </c>
      <c r="G20" s="196">
        <f>'PD0101'!G20</f>
        <v>0</v>
      </c>
      <c r="H20" s="167">
        <f t="shared" si="0"/>
        <v>7</v>
      </c>
      <c r="I20" s="167">
        <f t="shared" si="1"/>
        <v>8</v>
      </c>
      <c r="J20" s="167">
        <f t="shared" si="2"/>
        <v>8</v>
      </c>
      <c r="K20" s="167">
        <f t="shared" si="3"/>
        <v>9</v>
      </c>
      <c r="L20" s="167">
        <f t="shared" si="4"/>
        <v>0</v>
      </c>
      <c r="M20" s="167">
        <f t="shared" si="5"/>
        <v>0</v>
      </c>
      <c r="N20" s="168">
        <f t="shared" si="6"/>
        <v>8</v>
      </c>
      <c r="O20" s="168">
        <f t="shared" si="7"/>
        <v>0</v>
      </c>
      <c r="P20" s="168">
        <f t="shared" si="8"/>
        <v>1</v>
      </c>
      <c r="Q20" s="169">
        <f t="shared" si="9"/>
        <v>8</v>
      </c>
      <c r="R20" s="170">
        <f t="shared" si="10"/>
        <v>9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0.16256300000000001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1</v>
      </c>
      <c r="AB20" s="197">
        <f t="shared" si="14"/>
        <v>0</v>
      </c>
      <c r="AC20" s="197">
        <f t="shared" si="15"/>
        <v>0</v>
      </c>
      <c r="AD20" s="164"/>
      <c r="AE20" s="165">
        <f t="shared" si="16"/>
        <v>0</v>
      </c>
      <c r="AF20" s="164"/>
      <c r="AG20" s="163" t="str">
        <f t="shared" si="17"/>
        <v>VERIFICAR</v>
      </c>
    </row>
    <row r="21" spans="1:35" ht="17.25" thickTop="1" thickBot="1">
      <c r="A21" s="166" t="s">
        <v>179</v>
      </c>
      <c r="B21" s="195">
        <f>'PD0101'!B21</f>
        <v>15</v>
      </c>
      <c r="C21" s="196">
        <f>'PD0101'!C21</f>
        <v>15</v>
      </c>
      <c r="D21" s="195">
        <f>'PD0101'!D21</f>
        <v>15</v>
      </c>
      <c r="E21" s="196">
        <f>'PD0101'!E21</f>
        <v>17</v>
      </c>
      <c r="F21" s="195">
        <f>'PD0101'!F21</f>
        <v>0</v>
      </c>
      <c r="G21" s="196">
        <f>'PD0101'!G21</f>
        <v>0</v>
      </c>
      <c r="H21" s="167">
        <f t="shared" si="0"/>
        <v>15</v>
      </c>
      <c r="I21" s="167">
        <f t="shared" si="1"/>
        <v>15</v>
      </c>
      <c r="J21" s="167">
        <f t="shared" si="2"/>
        <v>15</v>
      </c>
      <c r="K21" s="167">
        <f t="shared" si="3"/>
        <v>17</v>
      </c>
      <c r="L21" s="167">
        <f t="shared" si="4"/>
        <v>0</v>
      </c>
      <c r="M21" s="167">
        <f t="shared" si="5"/>
        <v>0</v>
      </c>
      <c r="N21" s="168">
        <f t="shared" si="6"/>
        <v>15</v>
      </c>
      <c r="O21" s="168">
        <f t="shared" si="7"/>
        <v>0</v>
      </c>
      <c r="P21" s="168">
        <f t="shared" si="8"/>
        <v>1</v>
      </c>
      <c r="Q21" s="169">
        <f t="shared" si="9"/>
        <v>15</v>
      </c>
      <c r="R21" s="170">
        <f t="shared" si="10"/>
        <v>17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0.25484400000000001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0</v>
      </c>
      <c r="AC21" s="197">
        <f t="shared" si="15"/>
        <v>0</v>
      </c>
      <c r="AD21" s="164"/>
      <c r="AE21" s="165">
        <f t="shared" si="16"/>
        <v>0</v>
      </c>
      <c r="AF21" s="164"/>
      <c r="AG21" s="163" t="str">
        <f t="shared" si="17"/>
        <v>VERIFICAR</v>
      </c>
    </row>
    <row r="22" spans="1:35" ht="17.25" thickTop="1" thickBot="1">
      <c r="A22" s="166" t="s">
        <v>154</v>
      </c>
      <c r="B22" s="195">
        <f>'PD0101'!B22</f>
        <v>28</v>
      </c>
      <c r="C22" s="196">
        <f>'PD0101'!C22</f>
        <v>30</v>
      </c>
      <c r="D22" s="195">
        <f>'PD0101'!D22</f>
        <v>30</v>
      </c>
      <c r="E22" s="196">
        <f>'PD0101'!E22</f>
        <v>33.200000000000003</v>
      </c>
      <c r="F22" s="195">
        <f>'PD0101'!F22</f>
        <v>0</v>
      </c>
      <c r="G22" s="196">
        <f>'PD0101'!G22</f>
        <v>0</v>
      </c>
      <c r="H22" s="167">
        <f t="shared" si="0"/>
        <v>28</v>
      </c>
      <c r="I22" s="167">
        <f t="shared" si="1"/>
        <v>30</v>
      </c>
      <c r="J22" s="167">
        <f t="shared" si="2"/>
        <v>30</v>
      </c>
      <c r="K22" s="167">
        <f t="shared" si="3"/>
        <v>33.200000000000003</v>
      </c>
      <c r="L22" s="167">
        <f t="shared" si="4"/>
        <v>0</v>
      </c>
      <c r="M22" s="167">
        <f t="shared" si="5"/>
        <v>0</v>
      </c>
      <c r="N22" s="168">
        <f t="shared" si="6"/>
        <v>30</v>
      </c>
      <c r="O22" s="168">
        <f t="shared" si="7"/>
        <v>0</v>
      </c>
      <c r="P22" s="168">
        <f t="shared" si="8"/>
        <v>1</v>
      </c>
      <c r="Q22" s="169">
        <f t="shared" si="9"/>
        <v>30</v>
      </c>
      <c r="R22" s="170">
        <f t="shared" si="10"/>
        <v>33.200000000000003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2.8434999999999998E-2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0</v>
      </c>
      <c r="AC22" s="197">
        <f t="shared" si="15"/>
        <v>0</v>
      </c>
      <c r="AD22" s="164"/>
      <c r="AE22" s="165">
        <f t="shared" si="16"/>
        <v>0</v>
      </c>
      <c r="AF22" s="164"/>
      <c r="AG22" s="163" t="str">
        <f t="shared" si="17"/>
        <v>VERIFICAR</v>
      </c>
    </row>
    <row r="23" spans="1:35" ht="17.25" thickTop="1" thickBot="1">
      <c r="A23" s="166" t="s">
        <v>158</v>
      </c>
      <c r="B23" s="195">
        <f>'PD0101'!B23</f>
        <v>10</v>
      </c>
      <c r="C23" s="196">
        <f>'PD0101'!C23</f>
        <v>12</v>
      </c>
      <c r="D23" s="195">
        <f>'PD0101'!D23</f>
        <v>10</v>
      </c>
      <c r="E23" s="196">
        <f>'PD0101'!E23</f>
        <v>11</v>
      </c>
      <c r="F23" s="195">
        <f>'PD0101'!F23</f>
        <v>0</v>
      </c>
      <c r="G23" s="196">
        <f>'PD0101'!G23</f>
        <v>0</v>
      </c>
      <c r="H23" s="167">
        <f t="shared" si="0"/>
        <v>10</v>
      </c>
      <c r="I23" s="167">
        <f t="shared" si="1"/>
        <v>12</v>
      </c>
      <c r="J23" s="167">
        <f t="shared" si="2"/>
        <v>10</v>
      </c>
      <c r="K23" s="167">
        <f t="shared" si="3"/>
        <v>11</v>
      </c>
      <c r="L23" s="167">
        <f t="shared" si="4"/>
        <v>0</v>
      </c>
      <c r="M23" s="167">
        <f t="shared" si="5"/>
        <v>0</v>
      </c>
      <c r="N23" s="168">
        <f t="shared" si="6"/>
        <v>10</v>
      </c>
      <c r="O23" s="168">
        <f t="shared" si="7"/>
        <v>0</v>
      </c>
      <c r="P23" s="168">
        <f t="shared" si="8"/>
        <v>1</v>
      </c>
      <c r="Q23" s="169">
        <f t="shared" si="9"/>
        <v>10</v>
      </c>
      <c r="R23" s="170">
        <f t="shared" si="10"/>
        <v>11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0.23635999999999999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1</v>
      </c>
      <c r="AB23" s="197">
        <f t="shared" si="14"/>
        <v>0</v>
      </c>
      <c r="AC23" s="197">
        <f t="shared" si="15"/>
        <v>0</v>
      </c>
      <c r="AD23" s="164" t="s">
        <v>173</v>
      </c>
      <c r="AE23" s="165">
        <f t="shared" si="16"/>
        <v>0</v>
      </c>
      <c r="AF23" s="164"/>
      <c r="AG23" s="163" t="str">
        <f t="shared" si="17"/>
        <v>VERIFICAR</v>
      </c>
    </row>
    <row r="24" spans="1:35" ht="17.25" thickTop="1" thickBot="1">
      <c r="A24" s="166" t="s">
        <v>156</v>
      </c>
      <c r="B24" s="195">
        <f>'PD0101'!B24</f>
        <v>12</v>
      </c>
      <c r="C24" s="196">
        <f>'PD0101'!C24</f>
        <v>12</v>
      </c>
      <c r="D24" s="195">
        <f>'PD0101'!D24</f>
        <v>11</v>
      </c>
      <c r="E24" s="196">
        <f>'PD0101'!E24</f>
        <v>12</v>
      </c>
      <c r="F24" s="195">
        <f>'PD0101'!F24</f>
        <v>0</v>
      </c>
      <c r="G24" s="196">
        <f>'PD0101'!G24</f>
        <v>0</v>
      </c>
      <c r="H24" s="167">
        <f t="shared" si="0"/>
        <v>12</v>
      </c>
      <c r="I24" s="167">
        <f t="shared" si="1"/>
        <v>12</v>
      </c>
      <c r="J24" s="167">
        <f t="shared" si="2"/>
        <v>11</v>
      </c>
      <c r="K24" s="167">
        <f t="shared" si="3"/>
        <v>12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12</v>
      </c>
      <c r="P24" s="168">
        <f t="shared" si="8"/>
        <v>1</v>
      </c>
      <c r="Q24" s="169">
        <f t="shared" si="9"/>
        <v>12</v>
      </c>
      <c r="R24" s="170">
        <f t="shared" si="10"/>
        <v>11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0.32906299999999999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1</v>
      </c>
      <c r="AB24" s="197">
        <f t="shared" si="14"/>
        <v>0</v>
      </c>
      <c r="AC24" s="197">
        <f t="shared" si="15"/>
        <v>0</v>
      </c>
      <c r="AD24" s="164" t="s">
        <v>173</v>
      </c>
      <c r="AE24" s="165">
        <f t="shared" si="16"/>
        <v>0</v>
      </c>
      <c r="AF24" s="164"/>
      <c r="AG24" s="163" t="str">
        <f t="shared" si="17"/>
        <v>VERIFICAR</v>
      </c>
    </row>
    <row r="25" spans="1:35" ht="17.25" thickTop="1" thickBot="1">
      <c r="A25" s="166" t="s">
        <v>142</v>
      </c>
      <c r="B25" s="195">
        <f>'PD0101'!B25</f>
        <v>8</v>
      </c>
      <c r="C25" s="196">
        <f>'PD0101'!C25</f>
        <v>8</v>
      </c>
      <c r="D25" s="195">
        <f>'PD0101'!D25</f>
        <v>8</v>
      </c>
      <c r="E25" s="196">
        <f>'PD0101'!E25</f>
        <v>8</v>
      </c>
      <c r="F25" s="195">
        <f>'PD0101'!F25</f>
        <v>0</v>
      </c>
      <c r="G25" s="196">
        <f>'PD0101'!G25</f>
        <v>0</v>
      </c>
      <c r="H25" s="167">
        <f t="shared" si="0"/>
        <v>8</v>
      </c>
      <c r="I25" s="167">
        <f t="shared" si="1"/>
        <v>8</v>
      </c>
      <c r="J25" s="167">
        <f t="shared" si="2"/>
        <v>8</v>
      </c>
      <c r="K25" s="167">
        <f t="shared" si="3"/>
        <v>8</v>
      </c>
      <c r="L25" s="167">
        <f t="shared" si="4"/>
        <v>0</v>
      </c>
      <c r="M25" s="167">
        <f t="shared" si="5"/>
        <v>0</v>
      </c>
      <c r="N25" s="168">
        <f t="shared" si="6"/>
        <v>8</v>
      </c>
      <c r="O25" s="168">
        <f t="shared" si="7"/>
        <v>8</v>
      </c>
      <c r="P25" s="168">
        <f t="shared" si="8"/>
        <v>0</v>
      </c>
      <c r="Q25" s="169">
        <f t="shared" si="9"/>
        <v>8</v>
      </c>
      <c r="R25" s="170">
        <f t="shared" si="10"/>
        <v>8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0.45586199999999999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2</v>
      </c>
      <c r="AB25" s="197">
        <f t="shared" si="14"/>
        <v>0</v>
      </c>
      <c r="AC25" s="197">
        <f t="shared" si="15"/>
        <v>0</v>
      </c>
      <c r="AD25" s="164" t="s">
        <v>173</v>
      </c>
      <c r="AE25" s="165">
        <f t="shared" si="16"/>
        <v>1</v>
      </c>
      <c r="AF25" s="164"/>
      <c r="AG25" s="163" t="str">
        <f t="shared" si="17"/>
        <v>VERIFICAR</v>
      </c>
    </row>
    <row r="26" spans="1:35" ht="17.25" thickTop="1" thickBot="1">
      <c r="A26" s="166" t="s">
        <v>153</v>
      </c>
      <c r="B26" s="195">
        <f>'PD0101'!B26</f>
        <v>12</v>
      </c>
      <c r="C26" s="196">
        <f>'PD0101'!C26</f>
        <v>13</v>
      </c>
      <c r="D26" s="195">
        <f>'PD0101'!D26</f>
        <v>13</v>
      </c>
      <c r="E26" s="196">
        <f>'PD0101'!E26</f>
        <v>13</v>
      </c>
      <c r="F26" s="195">
        <f>'PD0101'!F26</f>
        <v>0</v>
      </c>
      <c r="G26" s="196">
        <f>'PD0101'!G26</f>
        <v>0</v>
      </c>
      <c r="H26" s="167">
        <f t="shared" si="0"/>
        <v>12</v>
      </c>
      <c r="I26" s="167">
        <f t="shared" si="1"/>
        <v>13</v>
      </c>
      <c r="J26" s="167">
        <f t="shared" si="2"/>
        <v>13</v>
      </c>
      <c r="K26" s="167">
        <f t="shared" si="3"/>
        <v>13</v>
      </c>
      <c r="L26" s="167">
        <f t="shared" si="4"/>
        <v>0</v>
      </c>
      <c r="M26" s="167">
        <f t="shared" si="5"/>
        <v>0</v>
      </c>
      <c r="N26" s="168">
        <f t="shared" si="6"/>
        <v>13</v>
      </c>
      <c r="O26" s="168">
        <f t="shared" si="7"/>
        <v>13</v>
      </c>
      <c r="P26" s="168">
        <f t="shared" si="8"/>
        <v>0</v>
      </c>
      <c r="Q26" s="169">
        <f t="shared" si="9"/>
        <v>13</v>
      </c>
      <c r="R26" s="170">
        <f t="shared" si="10"/>
        <v>13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0.27866200000000002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1</v>
      </c>
      <c r="AB26" s="197">
        <f t="shared" si="14"/>
        <v>0</v>
      </c>
      <c r="AC26" s="197">
        <f t="shared" si="15"/>
        <v>0</v>
      </c>
      <c r="AD26" s="164" t="s">
        <v>173</v>
      </c>
      <c r="AE26" s="165">
        <f t="shared" si="16"/>
        <v>0</v>
      </c>
      <c r="AF26" s="164"/>
      <c r="AG26" s="163" t="str">
        <f t="shared" si="17"/>
        <v>VERIFICAR</v>
      </c>
    </row>
    <row r="27" spans="1:35" ht="17.25" thickTop="1" thickBot="1">
      <c r="A27" s="166" t="s">
        <v>217</v>
      </c>
      <c r="B27" s="195">
        <f>'PD0101'!B27</f>
        <v>17</v>
      </c>
      <c r="C27" s="196">
        <f>'PD0101'!C27</f>
        <v>18</v>
      </c>
      <c r="D27" s="195">
        <f>'PD0101'!D27</f>
        <v>17</v>
      </c>
      <c r="E27" s="196">
        <f>'PD0101'!E27</f>
        <v>18</v>
      </c>
      <c r="F27" s="195">
        <f>'PD0101'!F27</f>
        <v>0</v>
      </c>
      <c r="G27" s="196">
        <f>'PD0101'!G27</f>
        <v>0</v>
      </c>
      <c r="H27" s="167">
        <f t="shared" si="0"/>
        <v>17</v>
      </c>
      <c r="I27" s="167">
        <f t="shared" si="1"/>
        <v>18</v>
      </c>
      <c r="J27" s="167">
        <f t="shared" si="2"/>
        <v>17</v>
      </c>
      <c r="K27" s="167">
        <f t="shared" si="3"/>
        <v>18</v>
      </c>
      <c r="L27" s="167">
        <f t="shared" si="4"/>
        <v>0</v>
      </c>
      <c r="M27" s="167">
        <f t="shared" si="5"/>
        <v>0</v>
      </c>
      <c r="N27" s="168">
        <f t="shared" si="6"/>
        <v>17</v>
      </c>
      <c r="O27" s="168">
        <f t="shared" si="7"/>
        <v>18</v>
      </c>
      <c r="P27" s="168">
        <f t="shared" si="8"/>
        <v>0</v>
      </c>
      <c r="Q27" s="169" t="str">
        <f t="shared" si="9"/>
        <v>NÃO DEF</v>
      </c>
      <c r="R27" s="170">
        <f t="shared" si="10"/>
        <v>17</v>
      </c>
      <c r="S27" s="170">
        <f t="shared" si="11"/>
        <v>18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9.6000000000000002E-2</v>
      </c>
      <c r="W27" s="173">
        <f>IF(S27=0,0,VLOOKUP(S27,FREQUENCIAS!$1:$1048576,(IF(($A27=FREQUENCIAS!$T$1),20,"ERRO")),FREQUENCIAS!$1:$1048576))</f>
        <v>0.18790000000000001</v>
      </c>
      <c r="X27" s="173"/>
      <c r="Y27" s="173"/>
      <c r="Z27" s="173"/>
      <c r="AA27" s="197">
        <f t="shared" si="18"/>
        <v>2</v>
      </c>
      <c r="AB27" s="197">
        <f t="shared" si="14"/>
        <v>0</v>
      </c>
      <c r="AC27" s="197">
        <f t="shared" si="15"/>
        <v>0</v>
      </c>
      <c r="AD27" s="164" t="s">
        <v>173</v>
      </c>
      <c r="AE27" s="165">
        <f t="shared" si="16"/>
        <v>1</v>
      </c>
      <c r="AF27" s="164"/>
      <c r="AG27" s="163" t="str">
        <f t="shared" si="17"/>
        <v>VERIFICAR</v>
      </c>
    </row>
    <row r="28" spans="1:35" ht="17.25" thickTop="1" thickBot="1">
      <c r="A28" s="166" t="s">
        <v>52</v>
      </c>
      <c r="B28" s="195">
        <f>'PD0101'!B28</f>
        <v>14</v>
      </c>
      <c r="C28" s="196">
        <f>'PD0101'!C28</f>
        <v>14</v>
      </c>
      <c r="D28" s="195">
        <f>'PD0101'!D28</f>
        <v>14</v>
      </c>
      <c r="E28" s="196">
        <f>'PD0101'!E28</f>
        <v>15</v>
      </c>
      <c r="F28" s="195">
        <f>'PD0101'!F28</f>
        <v>0</v>
      </c>
      <c r="G28" s="196">
        <f>'PD0101'!G28</f>
        <v>0</v>
      </c>
      <c r="H28" s="167">
        <f t="shared" si="0"/>
        <v>14</v>
      </c>
      <c r="I28" s="167">
        <f t="shared" si="1"/>
        <v>14</v>
      </c>
      <c r="J28" s="167">
        <f t="shared" si="2"/>
        <v>14</v>
      </c>
      <c r="K28" s="167">
        <f t="shared" si="3"/>
        <v>15</v>
      </c>
      <c r="L28" s="167">
        <f t="shared" si="4"/>
        <v>0</v>
      </c>
      <c r="M28" s="167">
        <f t="shared" si="5"/>
        <v>0</v>
      </c>
      <c r="N28" s="168">
        <f t="shared" si="6"/>
        <v>14</v>
      </c>
      <c r="O28" s="168">
        <f t="shared" si="7"/>
        <v>0</v>
      </c>
      <c r="P28" s="168">
        <f t="shared" si="8"/>
        <v>1</v>
      </c>
      <c r="Q28" s="169">
        <f t="shared" si="9"/>
        <v>14</v>
      </c>
      <c r="R28" s="170">
        <f t="shared" si="10"/>
        <v>15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0.15179999999999999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0</v>
      </c>
      <c r="AC28" s="197">
        <f t="shared" si="15"/>
        <v>0</v>
      </c>
      <c r="AD28" s="164" t="s">
        <v>173</v>
      </c>
      <c r="AE28" s="165">
        <f t="shared" si="16"/>
        <v>0</v>
      </c>
      <c r="AF28" s="164"/>
      <c r="AG28" s="163" t="str">
        <f t="shared" si="17"/>
        <v>VERIFICAR</v>
      </c>
    </row>
    <row r="29" spans="1:35" ht="17.25" thickTop="1" thickBot="1">
      <c r="A29" s="166" t="s">
        <v>152</v>
      </c>
      <c r="B29" s="195">
        <f>'PD0101'!B29</f>
        <v>21</v>
      </c>
      <c r="C29" s="196">
        <f>'PD0101'!C29</f>
        <v>26</v>
      </c>
      <c r="D29" s="195">
        <f>'PD0101'!D29</f>
        <v>21</v>
      </c>
      <c r="E29" s="196">
        <f>'PD0101'!E29</f>
        <v>23</v>
      </c>
      <c r="F29" s="195">
        <f>'PD0101'!F29</f>
        <v>0</v>
      </c>
      <c r="G29" s="196">
        <f>'PD0101'!G29</f>
        <v>0</v>
      </c>
      <c r="H29" s="167">
        <f t="shared" si="0"/>
        <v>21</v>
      </c>
      <c r="I29" s="167">
        <f t="shared" si="1"/>
        <v>26</v>
      </c>
      <c r="J29" s="167">
        <f t="shared" si="2"/>
        <v>21</v>
      </c>
      <c r="K29" s="167">
        <f t="shared" si="3"/>
        <v>23</v>
      </c>
      <c r="L29" s="167">
        <f t="shared" si="4"/>
        <v>0</v>
      </c>
      <c r="M29" s="167">
        <f t="shared" si="5"/>
        <v>0</v>
      </c>
      <c r="N29" s="168">
        <f t="shared" si="6"/>
        <v>21</v>
      </c>
      <c r="O29" s="168">
        <f t="shared" si="7"/>
        <v>0</v>
      </c>
      <c r="P29" s="168">
        <f t="shared" si="8"/>
        <v>1</v>
      </c>
      <c r="Q29" s="169">
        <f t="shared" si="9"/>
        <v>21</v>
      </c>
      <c r="R29" s="170">
        <f t="shared" si="10"/>
        <v>23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0.149283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0</v>
      </c>
      <c r="AC29" s="197">
        <f t="shared" si="15"/>
        <v>0</v>
      </c>
      <c r="AD29" s="164" t="s">
        <v>173</v>
      </c>
      <c r="AE29" s="165">
        <f t="shared" si="16"/>
        <v>0</v>
      </c>
      <c r="AF29" s="164"/>
      <c r="AG29" s="163" t="str">
        <f t="shared" si="17"/>
        <v>VERIFICAR</v>
      </c>
    </row>
    <row r="30" spans="1:35" ht="17.25" thickTop="1" thickBot="1">
      <c r="A30" s="166" t="s">
        <v>218</v>
      </c>
      <c r="B30" s="195">
        <f>'PD0101'!B30</f>
        <v>15</v>
      </c>
      <c r="C30" s="196">
        <f>'PD0101'!C30</f>
        <v>17</v>
      </c>
      <c r="D30" s="195">
        <f>'PD0101'!D30</f>
        <v>15</v>
      </c>
      <c r="E30" s="196">
        <f>'PD0101'!E30</f>
        <v>16</v>
      </c>
      <c r="F30" s="195">
        <f>'PD0101'!F30</f>
        <v>0</v>
      </c>
      <c r="G30" s="196">
        <f>'PD0101'!G30</f>
        <v>0</v>
      </c>
      <c r="H30" s="167">
        <f t="shared" si="0"/>
        <v>15</v>
      </c>
      <c r="I30" s="167">
        <f t="shared" si="1"/>
        <v>17</v>
      </c>
      <c r="J30" s="167">
        <f t="shared" si="2"/>
        <v>15</v>
      </c>
      <c r="K30" s="167">
        <f t="shared" si="3"/>
        <v>16</v>
      </c>
      <c r="L30" s="167">
        <f t="shared" si="4"/>
        <v>0</v>
      </c>
      <c r="M30" s="167">
        <f t="shared" si="5"/>
        <v>0</v>
      </c>
      <c r="N30" s="168">
        <f t="shared" si="6"/>
        <v>15</v>
      </c>
      <c r="O30" s="168">
        <f t="shared" si="7"/>
        <v>0</v>
      </c>
      <c r="P30" s="168">
        <f t="shared" si="8"/>
        <v>1</v>
      </c>
      <c r="Q30" s="169">
        <f t="shared" si="9"/>
        <v>15</v>
      </c>
      <c r="R30" s="170">
        <f t="shared" si="10"/>
        <v>16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0.32869999999999999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1</v>
      </c>
      <c r="AB30" s="197">
        <f t="shared" si="14"/>
        <v>0</v>
      </c>
      <c r="AC30" s="197">
        <f t="shared" si="15"/>
        <v>0</v>
      </c>
      <c r="AD30" s="164" t="s">
        <v>173</v>
      </c>
      <c r="AE30" s="165">
        <f t="shared" si="16"/>
        <v>0</v>
      </c>
      <c r="AF30" s="164"/>
      <c r="AG30" s="163" t="str">
        <f t="shared" si="17"/>
        <v>VERIFICAR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 t="str">
        <f>(IF(((PRODUCT(AC9:AC30))&lt;&gt;0),PRODUCT(AB9:AB30),$AD$23))</f>
        <v>NIHIL</v>
      </c>
      <c r="AC31" s="895"/>
      <c r="AE31" s="896" t="str">
        <f>(IF(((PRODUCT(AC9:AC30))&lt;&gt;0),((1-AE9)*(1-AE10)*(1-AE11)*(1-AE12)*(1-AE13)*(1-AE14)*(1-AE15)*(1-AE16)*(1-AE17)*(1-AE18)*(1-AE19)*(1-AE20)*(1-AE21)*(1-AE22)*(1-AE23)*(1-AE24)*(1-AE25)*(1-AE26)*(1-AE27)*(1-AE28)*(1-AE29)*(1-AE30)),$AD$23))</f>
        <v>NIHIL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 t="str">
        <f>(IF(((PRODUCT(AC9:AC30))&lt;&gt;0),(ROUNDDOWN((AB31/(AB31+1)),11)),$AD$23))</f>
        <v>NIHIL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 t="str">
        <f>(IF(((PRODUCT(AC9:AC30))&lt;&gt;0),(ROUNDDOWN((1-$AE31),11)),$AD$13))</f>
        <v>TROCA POSSÍVEL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25</v>
      </c>
      <c r="AB34" s="199">
        <f>SUM(AB9:AB30)</f>
        <v>0</v>
      </c>
      <c r="AC34" s="199">
        <f>SUM(AC9:AC30)</f>
        <v>0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ht="16.5" thickTop="1" thickBot="1">
      <c r="A8" s="253" t="s">
        <v>50</v>
      </c>
      <c r="B8" s="923" t="s">
        <v>54</v>
      </c>
      <c r="C8" s="924"/>
      <c r="D8" s="923" t="s">
        <v>131</v>
      </c>
      <c r="E8" s="924"/>
      <c r="F8" s="923" t="s">
        <v>56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15</v>
      </c>
      <c r="E9" s="259">
        <f>'PD0101'!E9</f>
        <v>16</v>
      </c>
      <c r="F9" s="259">
        <f>'PD0101'!B9</f>
        <v>15</v>
      </c>
      <c r="G9" s="259">
        <f>'PD0101'!C9</f>
        <v>16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15</v>
      </c>
      <c r="K9" s="90">
        <f t="shared" si="0"/>
        <v>16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16</v>
      </c>
      <c r="Z9" s="95">
        <f t="shared" ref="Z9:Z30" si="9">(IF(OR((X9=R9),(X9=S9)),X9,0))</f>
        <v>15</v>
      </c>
      <c r="AA9" s="96">
        <f t="shared" ref="AA9:AA30" si="10">(IF(AND((V9=0),(Z9=0),(OR((S9=T9),(S9=U9)))),Y9,(IF((Y9&lt;&gt;0),(IF(OR((Y9=R9),(Y9=S9)),Y9,0)),0))))</f>
        <v>16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0.27030799999999999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0.56129899999999999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0.8907908262797547</v>
      </c>
      <c r="AI9" s="100">
        <f t="shared" ref="AI9:AI30" si="11">(IF((AH9=0),0,(AH9/(AH9+1))))</f>
        <v>0.47112076803992087</v>
      </c>
      <c r="AJ9" s="101"/>
      <c r="AK9" s="102">
        <f t="shared" ref="AK9:AK30" si="12">(1-AG9)^2</f>
        <v>0.19245856740100001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0.8907908262797547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15</v>
      </c>
      <c r="BN9" s="57">
        <f t="shared" ref="BN9:BN30" si="22">(IF((OR(($Z9=($BF9-1)),($Z9=($BG9+1)))),(CONCATENATE((BL9),(BM9))),$Z9))</f>
        <v>15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16</v>
      </c>
      <c r="BQ9" s="37">
        <f t="shared" ref="BQ9:BQ30" si="24">(IF((OR(($AA9=($BF9-1)),($AA9=($BG9+1)))),(CONCATENATE((BO9),(BP9))),$AA9))</f>
        <v>16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17.3</v>
      </c>
      <c r="E10" s="259">
        <f>'PD0101'!E10</f>
        <v>18.3</v>
      </c>
      <c r="F10" s="259">
        <f>'PD0101'!B10</f>
        <v>13</v>
      </c>
      <c r="G10" s="259">
        <f>'PD0101'!C10</f>
        <v>18.3</v>
      </c>
      <c r="H10" s="90">
        <f t="shared" si="0"/>
        <v>0</v>
      </c>
      <c r="I10" s="90">
        <f t="shared" si="0"/>
        <v>0</v>
      </c>
      <c r="J10" s="90">
        <f t="shared" si="0"/>
        <v>17.3</v>
      </c>
      <c r="K10" s="90">
        <f t="shared" si="0"/>
        <v>18.3</v>
      </c>
      <c r="L10" s="90">
        <f t="shared" si="0"/>
        <v>13</v>
      </c>
      <c r="M10" s="90">
        <f t="shared" si="0"/>
        <v>18.3</v>
      </c>
      <c r="N10" s="91">
        <f t="shared" si="1"/>
        <v>0</v>
      </c>
      <c r="O10" s="91">
        <f t="shared" si="2"/>
        <v>0</v>
      </c>
      <c r="P10" s="91">
        <f t="shared" si="3"/>
        <v>17.3</v>
      </c>
      <c r="Q10" s="91">
        <f t="shared" si="4"/>
        <v>18.3</v>
      </c>
      <c r="R10" s="91">
        <f t="shared" si="5"/>
        <v>13</v>
      </c>
      <c r="S10" s="91">
        <f t="shared" si="6"/>
        <v>18.3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17.3</v>
      </c>
      <c r="Y10" s="92">
        <f>(IF((AND((T10=0),(U10=0))),E10,(IF((W10&lt;&gt;$AJ$7),0,Q10))))</f>
        <v>18.3</v>
      </c>
      <c r="Z10" s="95">
        <f t="shared" si="9"/>
        <v>0</v>
      </c>
      <c r="AA10" s="96">
        <f t="shared" si="10"/>
        <v>18.3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4.5100000000000001E-2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0.1827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2.7367268746579092</v>
      </c>
      <c r="AI10" s="100">
        <f t="shared" si="11"/>
        <v>0.73238611395927933</v>
      </c>
      <c r="AJ10" s="101"/>
      <c r="AK10" s="102">
        <f t="shared" si="12"/>
        <v>0.66797929</v>
      </c>
      <c r="AL10" s="101"/>
      <c r="AM10" s="103" t="str">
        <f t="shared" si="13"/>
        <v>1 / 2F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2.7367268746579092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18.3</v>
      </c>
      <c r="BQ10" s="37">
        <f t="shared" si="24"/>
        <v>18.3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10</v>
      </c>
      <c r="E11" s="259">
        <f>'PD0101'!E11</f>
        <v>15</v>
      </c>
      <c r="F11" s="259">
        <f>'PD0101'!B11</f>
        <v>10</v>
      </c>
      <c r="G11" s="259">
        <f>'PD0101'!C11</f>
        <v>10</v>
      </c>
      <c r="H11" s="90">
        <f t="shared" si="0"/>
        <v>0</v>
      </c>
      <c r="I11" s="90">
        <f t="shared" si="0"/>
        <v>0</v>
      </c>
      <c r="J11" s="90">
        <f t="shared" si="0"/>
        <v>10</v>
      </c>
      <c r="K11" s="90">
        <f t="shared" si="0"/>
        <v>15</v>
      </c>
      <c r="L11" s="90">
        <f t="shared" si="0"/>
        <v>10</v>
      </c>
      <c r="M11" s="90">
        <f t="shared" si="0"/>
        <v>10</v>
      </c>
      <c r="N11" s="91">
        <f t="shared" si="1"/>
        <v>0</v>
      </c>
      <c r="O11" s="91">
        <f t="shared" si="2"/>
        <v>0</v>
      </c>
      <c r="P11" s="91">
        <f t="shared" si="3"/>
        <v>10</v>
      </c>
      <c r="Q11" s="91">
        <f t="shared" si="4"/>
        <v>15</v>
      </c>
      <c r="R11" s="91">
        <f t="shared" si="5"/>
        <v>10</v>
      </c>
      <c r="S11" s="91">
        <f t="shared" si="6"/>
        <v>10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15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2.69E-2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0.28799999999999998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3.4722222222222223</v>
      </c>
      <c r="AI11" s="100">
        <f t="shared" si="11"/>
        <v>0.77639751552795033</v>
      </c>
      <c r="AJ11" s="101"/>
      <c r="AK11" s="102">
        <f t="shared" si="12"/>
        <v>0.50694399999999995</v>
      </c>
      <c r="AL11" s="101"/>
      <c r="AM11" s="103" t="str">
        <f t="shared" si="13"/>
        <v>1 / F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3.4722222222222223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14</v>
      </c>
      <c r="E12" s="261">
        <f>'PD0101'!E12</f>
        <v>14</v>
      </c>
      <c r="F12" s="261">
        <f>'PD0101'!B12</f>
        <v>12</v>
      </c>
      <c r="G12" s="261">
        <f>'PD0101'!C12</f>
        <v>14</v>
      </c>
      <c r="H12" s="112">
        <f t="shared" si="0"/>
        <v>0</v>
      </c>
      <c r="I12" s="112">
        <f t="shared" si="0"/>
        <v>0</v>
      </c>
      <c r="J12" s="112">
        <f t="shared" si="0"/>
        <v>14</v>
      </c>
      <c r="K12" s="112">
        <f t="shared" si="0"/>
        <v>14</v>
      </c>
      <c r="L12" s="112">
        <f t="shared" si="0"/>
        <v>12</v>
      </c>
      <c r="M12" s="112">
        <f t="shared" si="0"/>
        <v>14</v>
      </c>
      <c r="N12" s="113">
        <f t="shared" si="1"/>
        <v>0</v>
      </c>
      <c r="O12" s="113">
        <f t="shared" si="2"/>
        <v>0</v>
      </c>
      <c r="P12" s="113">
        <f t="shared" si="3"/>
        <v>14</v>
      </c>
      <c r="Q12" s="113">
        <f t="shared" si="4"/>
        <v>14</v>
      </c>
      <c r="R12" s="113">
        <f t="shared" si="5"/>
        <v>12</v>
      </c>
      <c r="S12" s="113">
        <f t="shared" si="6"/>
        <v>14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0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14</v>
      </c>
      <c r="Z12" s="117">
        <f t="shared" si="9"/>
        <v>14</v>
      </c>
      <c r="AA12" s="118">
        <f t="shared" si="10"/>
        <v>14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0.30480000000000002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0.60960000000000003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0.82020997375328075</v>
      </c>
      <c r="AI12" s="122">
        <f t="shared" si="11"/>
        <v>0.45061283345349668</v>
      </c>
      <c r="AJ12" s="123" t="s">
        <v>140</v>
      </c>
      <c r="AK12" s="124">
        <f t="shared" si="12"/>
        <v>0.15241215999999996</v>
      </c>
      <c r="AL12" s="123"/>
      <c r="AM12" s="125" t="str">
        <f t="shared" si="13"/>
        <v>1 / 2F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0.82020997375328075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14</v>
      </c>
      <c r="BQ12" s="114">
        <f t="shared" si="24"/>
        <v>14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9</v>
      </c>
      <c r="E13" s="259">
        <f>'PD0101'!E13</f>
        <v>10</v>
      </c>
      <c r="F13" s="259">
        <f>'PD0101'!B13</f>
        <v>9</v>
      </c>
      <c r="G13" s="259">
        <f>'PD0101'!C13</f>
        <v>9</v>
      </c>
      <c r="H13" s="90">
        <f t="shared" si="0"/>
        <v>0</v>
      </c>
      <c r="I13" s="90">
        <f t="shared" si="0"/>
        <v>0</v>
      </c>
      <c r="J13" s="90">
        <f t="shared" si="0"/>
        <v>9</v>
      </c>
      <c r="K13" s="90">
        <f t="shared" si="0"/>
        <v>10</v>
      </c>
      <c r="L13" s="90">
        <f t="shared" si="0"/>
        <v>9</v>
      </c>
      <c r="M13" s="90">
        <f t="shared" si="0"/>
        <v>9</v>
      </c>
      <c r="N13" s="91">
        <f t="shared" si="1"/>
        <v>0</v>
      </c>
      <c r="O13" s="91">
        <f t="shared" si="2"/>
        <v>0</v>
      </c>
      <c r="P13" s="91">
        <f t="shared" si="3"/>
        <v>9</v>
      </c>
      <c r="Q13" s="91">
        <f t="shared" si="4"/>
        <v>10</v>
      </c>
      <c r="R13" s="91">
        <f t="shared" si="5"/>
        <v>9</v>
      </c>
      <c r="S13" s="91">
        <f t="shared" si="6"/>
        <v>9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9</v>
      </c>
      <c r="Y13" s="92">
        <f t="shared" ref="Y13:Y23" si="31">(IF((AND((T13=0),(U13=0))),E13,(IF((W13&lt;&gt;$AJ$7),0,Q13))))</f>
        <v>10</v>
      </c>
      <c r="Z13" s="95">
        <f t="shared" si="9"/>
        <v>9</v>
      </c>
      <c r="AA13" s="96">
        <f t="shared" si="10"/>
        <v>0</v>
      </c>
      <c r="AB13" s="97">
        <f>IF(X13=0,0,VLOOKUP(X13,FREQUENCIAS!$1:$1048576,(IF(($A13=FREQUENCIAS!$F$1),6,"ERRO")),FREQUENCIAS!$1:$1048576))</f>
        <v>8.1736000000000003E-2</v>
      </c>
      <c r="AC13" s="97">
        <f>IF(Y13=0,0,VLOOKUP(Y13,FREQUENCIAS!$1:$1048576,(IF(($A13=FREQUENCIAS!$F$1),6,"ERRO")),FREQUENCIAS!$1:$1048576))</f>
        <v>5.2623999999999997E-2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0.13436000000000001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7.4426912771658227</v>
      </c>
      <c r="AI13" s="100">
        <f t="shared" si="11"/>
        <v>0.88155435664163051</v>
      </c>
      <c r="AJ13" s="101" t="s">
        <v>163</v>
      </c>
      <c r="AK13" s="262">
        <f t="shared" si="12"/>
        <v>0.74933260959999992</v>
      </c>
      <c r="AL13" s="101"/>
      <c r="AM13" s="103" t="str">
        <f t="shared" si="13"/>
        <v>1 / 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7.4426912771658227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9</v>
      </c>
      <c r="BN13" s="57">
        <f t="shared" si="22"/>
        <v>9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12</v>
      </c>
      <c r="E14" s="259">
        <f>'PD0101'!E14</f>
        <v>15</v>
      </c>
      <c r="F14" s="259">
        <f>'PD0101'!B14</f>
        <v>13</v>
      </c>
      <c r="G14" s="259">
        <f>'PD0101'!C14</f>
        <v>15</v>
      </c>
      <c r="H14" s="90">
        <f t="shared" si="0"/>
        <v>0</v>
      </c>
      <c r="I14" s="90">
        <f t="shared" si="0"/>
        <v>0</v>
      </c>
      <c r="J14" s="90">
        <f t="shared" si="0"/>
        <v>12</v>
      </c>
      <c r="K14" s="90">
        <f t="shared" si="0"/>
        <v>15</v>
      </c>
      <c r="L14" s="90">
        <f t="shared" si="0"/>
        <v>13</v>
      </c>
      <c r="M14" s="90">
        <f t="shared" si="0"/>
        <v>15</v>
      </c>
      <c r="N14" s="91">
        <f t="shared" si="1"/>
        <v>0</v>
      </c>
      <c r="O14" s="91">
        <f t="shared" si="2"/>
        <v>0</v>
      </c>
      <c r="P14" s="91">
        <f t="shared" si="3"/>
        <v>12</v>
      </c>
      <c r="Q14" s="91">
        <f t="shared" si="4"/>
        <v>15</v>
      </c>
      <c r="R14" s="91">
        <f t="shared" si="5"/>
        <v>13</v>
      </c>
      <c r="S14" s="91">
        <f t="shared" si="6"/>
        <v>15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12</v>
      </c>
      <c r="Y14" s="92">
        <f t="shared" si="31"/>
        <v>15</v>
      </c>
      <c r="Z14" s="95">
        <f t="shared" si="9"/>
        <v>0</v>
      </c>
      <c r="AA14" s="96">
        <f t="shared" si="10"/>
        <v>15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15</v>
      </c>
      <c r="BQ14" s="37">
        <f t="shared" si="24"/>
        <v>15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9</v>
      </c>
      <c r="E15" s="259">
        <f>'PD0101'!E15</f>
        <v>11</v>
      </c>
      <c r="F15" s="259">
        <f>'PD0101'!B15</f>
        <v>9</v>
      </c>
      <c r="G15" s="259">
        <f>'PD0101'!C15</f>
        <v>12</v>
      </c>
      <c r="H15" s="90">
        <f t="shared" si="0"/>
        <v>0</v>
      </c>
      <c r="I15" s="90">
        <f t="shared" si="0"/>
        <v>0</v>
      </c>
      <c r="J15" s="90">
        <f t="shared" si="0"/>
        <v>9</v>
      </c>
      <c r="K15" s="90">
        <f t="shared" si="0"/>
        <v>11</v>
      </c>
      <c r="L15" s="90">
        <f t="shared" si="0"/>
        <v>9</v>
      </c>
      <c r="M15" s="90">
        <f t="shared" si="0"/>
        <v>12</v>
      </c>
      <c r="N15" s="91">
        <f t="shared" si="1"/>
        <v>0</v>
      </c>
      <c r="O15" s="91">
        <f t="shared" si="2"/>
        <v>0</v>
      </c>
      <c r="P15" s="91">
        <f t="shared" si="3"/>
        <v>9</v>
      </c>
      <c r="Q15" s="91">
        <f t="shared" si="4"/>
        <v>11</v>
      </c>
      <c r="R15" s="91">
        <f t="shared" si="5"/>
        <v>9</v>
      </c>
      <c r="S15" s="91">
        <f t="shared" si="6"/>
        <v>12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9</v>
      </c>
      <c r="Y15" s="92">
        <f t="shared" si="31"/>
        <v>11</v>
      </c>
      <c r="Z15" s="95">
        <f t="shared" si="9"/>
        <v>9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0.28868100000000002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0.44897900000000002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1.1136378316135052</v>
      </c>
      <c r="AI15" s="100">
        <f t="shared" si="11"/>
        <v>0.52688204902321334</v>
      </c>
      <c r="AJ15" s="101"/>
      <c r="AK15" s="102">
        <f t="shared" si="12"/>
        <v>0.303624142441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1.1136378316135052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14</v>
      </c>
      <c r="E16" s="259">
        <f>'PD0101'!E16</f>
        <v>17</v>
      </c>
      <c r="F16" s="259">
        <f>'PD0101'!B16</f>
        <v>14</v>
      </c>
      <c r="G16" s="259">
        <f>'PD0101'!C16</f>
        <v>14</v>
      </c>
      <c r="H16" s="90">
        <f t="shared" si="0"/>
        <v>0</v>
      </c>
      <c r="I16" s="90">
        <f t="shared" si="0"/>
        <v>0</v>
      </c>
      <c r="J16" s="90">
        <f t="shared" si="0"/>
        <v>14</v>
      </c>
      <c r="K16" s="90">
        <f t="shared" si="0"/>
        <v>17</v>
      </c>
      <c r="L16" s="90">
        <f t="shared" si="0"/>
        <v>14</v>
      </c>
      <c r="M16" s="90">
        <f t="shared" si="0"/>
        <v>14</v>
      </c>
      <c r="N16" s="91">
        <f t="shared" si="1"/>
        <v>0</v>
      </c>
      <c r="O16" s="91">
        <f t="shared" si="2"/>
        <v>0</v>
      </c>
      <c r="P16" s="91">
        <f t="shared" si="3"/>
        <v>14</v>
      </c>
      <c r="Q16" s="91">
        <f t="shared" si="4"/>
        <v>17</v>
      </c>
      <c r="R16" s="91">
        <f t="shared" si="5"/>
        <v>14</v>
      </c>
      <c r="S16" s="91">
        <f t="shared" si="6"/>
        <v>14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14</v>
      </c>
      <c r="Y16" s="92">
        <f t="shared" si="31"/>
        <v>17</v>
      </c>
      <c r="Z16" s="95">
        <f t="shared" si="9"/>
        <v>14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0.121915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0.26913699999999996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3.7155797976495246</v>
      </c>
      <c r="AI16" s="100">
        <f t="shared" si="11"/>
        <v>0.78793699970925124</v>
      </c>
      <c r="AJ16" s="101"/>
      <c r="AK16" s="102">
        <f t="shared" si="12"/>
        <v>0.53416072476900001</v>
      </c>
      <c r="AL16" s="101"/>
      <c r="AM16" s="103" t="str">
        <f t="shared" si="13"/>
        <v>1 / 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3.7155797976495246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14</v>
      </c>
      <c r="BN16" s="57">
        <f t="shared" si="22"/>
        <v>14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17</v>
      </c>
      <c r="E17" s="259">
        <f>'PD0101'!E17</f>
        <v>20</v>
      </c>
      <c r="F17" s="259">
        <f>'PD0101'!B17</f>
        <v>17</v>
      </c>
      <c r="G17" s="259">
        <f>'PD0101'!C17</f>
        <v>22</v>
      </c>
      <c r="H17" s="90">
        <f t="shared" si="0"/>
        <v>0</v>
      </c>
      <c r="I17" s="90">
        <f t="shared" si="0"/>
        <v>0</v>
      </c>
      <c r="J17" s="90">
        <f t="shared" si="0"/>
        <v>17</v>
      </c>
      <c r="K17" s="90">
        <f t="shared" si="0"/>
        <v>20</v>
      </c>
      <c r="L17" s="90">
        <f t="shared" si="0"/>
        <v>17</v>
      </c>
      <c r="M17" s="90">
        <f t="shared" si="0"/>
        <v>22</v>
      </c>
      <c r="N17" s="91">
        <f t="shared" si="1"/>
        <v>0</v>
      </c>
      <c r="O17" s="91">
        <f t="shared" si="2"/>
        <v>0</v>
      </c>
      <c r="P17" s="91">
        <f t="shared" si="3"/>
        <v>17</v>
      </c>
      <c r="Q17" s="91">
        <f t="shared" si="4"/>
        <v>20</v>
      </c>
      <c r="R17" s="91">
        <f t="shared" si="5"/>
        <v>17</v>
      </c>
      <c r="S17" s="91">
        <f t="shared" si="6"/>
        <v>22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17</v>
      </c>
      <c r="Y17" s="92">
        <f t="shared" si="31"/>
        <v>20</v>
      </c>
      <c r="Z17" s="95">
        <f t="shared" si="9"/>
        <v>17</v>
      </c>
      <c r="AA17" s="96">
        <f t="shared" si="10"/>
        <v>0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0.13669999999999999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0.34439999999999998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1.4518002322880372</v>
      </c>
      <c r="AI17" s="100">
        <f t="shared" si="11"/>
        <v>0.59213642823306489</v>
      </c>
      <c r="AJ17" s="101" t="s">
        <v>173</v>
      </c>
      <c r="AK17" s="102">
        <f t="shared" si="12"/>
        <v>0.42981135999999998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1.4518002322880372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17</v>
      </c>
      <c r="BN17" s="57">
        <f t="shared" si="22"/>
        <v>17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11</v>
      </c>
      <c r="E18" s="259">
        <f>'PD0101'!E18</f>
        <v>12</v>
      </c>
      <c r="F18" s="259">
        <f>'PD0101'!B18</f>
        <v>10</v>
      </c>
      <c r="G18" s="259">
        <f>'PD0101'!C18</f>
        <v>11</v>
      </c>
      <c r="H18" s="90">
        <f t="shared" si="0"/>
        <v>0</v>
      </c>
      <c r="I18" s="90">
        <f t="shared" si="0"/>
        <v>0</v>
      </c>
      <c r="J18" s="90">
        <f t="shared" si="0"/>
        <v>11</v>
      </c>
      <c r="K18" s="90">
        <f t="shared" si="0"/>
        <v>12</v>
      </c>
      <c r="L18" s="90">
        <f t="shared" si="0"/>
        <v>10</v>
      </c>
      <c r="M18" s="90">
        <f t="shared" si="0"/>
        <v>11</v>
      </c>
      <c r="N18" s="91">
        <f t="shared" si="1"/>
        <v>0</v>
      </c>
      <c r="O18" s="91">
        <f t="shared" si="2"/>
        <v>0</v>
      </c>
      <c r="P18" s="91">
        <f t="shared" si="3"/>
        <v>11</v>
      </c>
      <c r="Q18" s="91">
        <f t="shared" si="4"/>
        <v>12</v>
      </c>
      <c r="R18" s="91">
        <f t="shared" si="5"/>
        <v>10</v>
      </c>
      <c r="S18" s="91">
        <f t="shared" si="6"/>
        <v>11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0</v>
      </c>
      <c r="X18" s="116">
        <f t="shared" si="30"/>
        <v>11</v>
      </c>
      <c r="Y18" s="92">
        <f t="shared" si="31"/>
        <v>12</v>
      </c>
      <c r="Z18" s="95">
        <f t="shared" si="9"/>
        <v>11</v>
      </c>
      <c r="AA18" s="96">
        <f t="shared" si="10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0.30245100000000003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0.59603600000000001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0.838875504164178</v>
      </c>
      <c r="AI18" s="100">
        <f t="shared" si="11"/>
        <v>0.4561893952388425</v>
      </c>
      <c r="AJ18" s="101"/>
      <c r="AK18" s="102">
        <f t="shared" si="12"/>
        <v>0.16318691329599999</v>
      </c>
      <c r="AL18" s="101"/>
      <c r="AM18" s="103" t="str">
        <f t="shared" si="13"/>
        <v>1 / 2F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0.838875504164178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11</v>
      </c>
      <c r="BN18" s="57">
        <f t="shared" si="22"/>
        <v>11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11</v>
      </c>
      <c r="E19" s="259">
        <f>'PD0101'!E19</f>
        <v>12</v>
      </c>
      <c r="F19" s="259">
        <f>'PD0101'!B19</f>
        <v>9</v>
      </c>
      <c r="G19" s="259">
        <f>'PD0101'!C19</f>
        <v>11</v>
      </c>
      <c r="H19" s="90">
        <f t="shared" si="0"/>
        <v>0</v>
      </c>
      <c r="I19" s="90">
        <f t="shared" si="0"/>
        <v>0</v>
      </c>
      <c r="J19" s="90">
        <f t="shared" si="0"/>
        <v>11</v>
      </c>
      <c r="K19" s="90">
        <f t="shared" si="0"/>
        <v>12</v>
      </c>
      <c r="L19" s="90">
        <f t="shared" si="0"/>
        <v>9</v>
      </c>
      <c r="M19" s="90">
        <f t="shared" si="0"/>
        <v>11</v>
      </c>
      <c r="N19" s="91">
        <f t="shared" si="1"/>
        <v>0</v>
      </c>
      <c r="O19" s="91">
        <f t="shared" si="2"/>
        <v>0</v>
      </c>
      <c r="P19" s="91">
        <f t="shared" si="3"/>
        <v>11</v>
      </c>
      <c r="Q19" s="91">
        <f t="shared" si="4"/>
        <v>12</v>
      </c>
      <c r="R19" s="91">
        <f t="shared" si="5"/>
        <v>9</v>
      </c>
      <c r="S19" s="91">
        <f t="shared" si="6"/>
        <v>11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11</v>
      </c>
      <c r="Y19" s="92">
        <f t="shared" si="31"/>
        <v>12</v>
      </c>
      <c r="Z19" s="95">
        <f t="shared" si="9"/>
        <v>11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11</v>
      </c>
      <c r="BN19" s="57">
        <f t="shared" si="22"/>
        <v>11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8</v>
      </c>
      <c r="E20" s="259">
        <f>'PD0101'!E20</f>
        <v>9</v>
      </c>
      <c r="F20" s="259">
        <f>'PD0101'!B20</f>
        <v>7</v>
      </c>
      <c r="G20" s="259">
        <f>'PD0101'!C20</f>
        <v>8</v>
      </c>
      <c r="H20" s="90">
        <f t="shared" si="0"/>
        <v>0</v>
      </c>
      <c r="I20" s="90">
        <f t="shared" si="0"/>
        <v>0</v>
      </c>
      <c r="J20" s="90">
        <f t="shared" si="0"/>
        <v>8</v>
      </c>
      <c r="K20" s="90">
        <f t="shared" si="0"/>
        <v>9</v>
      </c>
      <c r="L20" s="90">
        <f t="shared" si="0"/>
        <v>7</v>
      </c>
      <c r="M20" s="90">
        <f t="shared" si="0"/>
        <v>8</v>
      </c>
      <c r="N20" s="91">
        <f t="shared" si="1"/>
        <v>0</v>
      </c>
      <c r="O20" s="91">
        <f t="shared" si="2"/>
        <v>0</v>
      </c>
      <c r="P20" s="91">
        <f t="shared" si="3"/>
        <v>8</v>
      </c>
      <c r="Q20" s="91">
        <f t="shared" si="4"/>
        <v>9</v>
      </c>
      <c r="R20" s="91">
        <f t="shared" si="5"/>
        <v>7</v>
      </c>
      <c r="S20" s="91">
        <f t="shared" si="6"/>
        <v>8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0</v>
      </c>
      <c r="X20" s="116">
        <f t="shared" si="30"/>
        <v>8</v>
      </c>
      <c r="Y20" s="92">
        <f t="shared" si="31"/>
        <v>9</v>
      </c>
      <c r="Z20" s="95">
        <f t="shared" si="9"/>
        <v>8</v>
      </c>
      <c r="AA20" s="96">
        <f t="shared" si="10"/>
        <v>0</v>
      </c>
      <c r="AB20" s="97">
        <f>IF(X20=0,0,VLOOKUP(X20,FREQUENCIAS!$1:$1048576,(IF(($A20=FREQUENCIAS!$M$1),13,"ERRO")),FREQUENCIAS!$1:$1048576))</f>
        <v>0.14935399999999999</v>
      </c>
      <c r="AC20" s="97">
        <f>IF(Y20=0,0,VLOOKUP(Y20,FREQUENCIAS!$1:$1048576,(IF(($A20=FREQUENCIAS!$M$1),13,"ERRO")),FREQUENCIAS!$1:$1048576))</f>
        <v>0.16256300000000001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0.311917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1.602990539149838</v>
      </c>
      <c r="AI20" s="100">
        <f t="shared" si="11"/>
        <v>0.61582649458011107</v>
      </c>
      <c r="AJ20" s="101"/>
      <c r="AK20" s="102">
        <f t="shared" si="12"/>
        <v>0.47345821488899997</v>
      </c>
      <c r="AL20" s="101"/>
      <c r="AM20" s="103" t="str">
        <f t="shared" si="13"/>
        <v>1 / 2F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1.602990539149838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8</v>
      </c>
      <c r="BN20" s="57">
        <f t="shared" si="22"/>
        <v>8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15</v>
      </c>
      <c r="E21" s="259">
        <f>'PD0101'!E21</f>
        <v>17</v>
      </c>
      <c r="F21" s="259">
        <f>'PD0101'!B21</f>
        <v>15</v>
      </c>
      <c r="G21" s="259">
        <f>'PD0101'!C21</f>
        <v>15</v>
      </c>
      <c r="H21" s="90">
        <f t="shared" si="0"/>
        <v>0</v>
      </c>
      <c r="I21" s="90">
        <f t="shared" si="0"/>
        <v>0</v>
      </c>
      <c r="J21" s="90">
        <f t="shared" si="0"/>
        <v>15</v>
      </c>
      <c r="K21" s="90">
        <f t="shared" si="0"/>
        <v>17</v>
      </c>
      <c r="L21" s="90">
        <f t="shared" si="0"/>
        <v>15</v>
      </c>
      <c r="M21" s="90">
        <f t="shared" si="0"/>
        <v>15</v>
      </c>
      <c r="N21" s="91">
        <f t="shared" si="1"/>
        <v>0</v>
      </c>
      <c r="O21" s="91">
        <f t="shared" si="2"/>
        <v>0</v>
      </c>
      <c r="P21" s="91">
        <f t="shared" si="3"/>
        <v>15</v>
      </c>
      <c r="Q21" s="91">
        <f t="shared" si="4"/>
        <v>17</v>
      </c>
      <c r="R21" s="91">
        <f t="shared" si="5"/>
        <v>15</v>
      </c>
      <c r="S21" s="91">
        <f t="shared" si="6"/>
        <v>15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0</v>
      </c>
      <c r="X21" s="116">
        <f t="shared" si="30"/>
        <v>15</v>
      </c>
      <c r="Y21" s="92">
        <f t="shared" si="31"/>
        <v>17</v>
      </c>
      <c r="Z21" s="95">
        <f t="shared" si="9"/>
        <v>15</v>
      </c>
      <c r="AA21" s="96">
        <f t="shared" si="10"/>
        <v>0</v>
      </c>
      <c r="AB21" s="97">
        <f>IF(X21=0,0,VLOOKUP(X21,FREQUENCIAS!$1:$1048576,(IF(($A21=FREQUENCIAS!$N$1),14,"ERRO")),FREQUENCIAS!$1:$1048576))</f>
        <v>0.13799400000000001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0.39283800000000002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2.5455785845564836</v>
      </c>
      <c r="AI21" s="100">
        <f t="shared" si="11"/>
        <v>0.71795858527696688</v>
      </c>
      <c r="AJ21" s="101"/>
      <c r="AK21" s="102">
        <f t="shared" si="12"/>
        <v>0.36864569424399996</v>
      </c>
      <c r="AL21" s="101"/>
      <c r="AM21" s="103" t="str">
        <f t="shared" si="13"/>
        <v>1 / F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2.5455785845564836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15</v>
      </c>
      <c r="BN21" s="57">
        <f t="shared" si="22"/>
        <v>15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30</v>
      </c>
      <c r="E22" s="259">
        <f>'PD0101'!E22</f>
        <v>33.200000000000003</v>
      </c>
      <c r="F22" s="259">
        <f>'PD0101'!B22</f>
        <v>28</v>
      </c>
      <c r="G22" s="259">
        <f>'PD0101'!C22</f>
        <v>30</v>
      </c>
      <c r="H22" s="90">
        <f t="shared" si="0"/>
        <v>0</v>
      </c>
      <c r="I22" s="90">
        <f t="shared" si="0"/>
        <v>0</v>
      </c>
      <c r="J22" s="90">
        <f t="shared" si="0"/>
        <v>30</v>
      </c>
      <c r="K22" s="90">
        <f t="shared" si="0"/>
        <v>33.200000000000003</v>
      </c>
      <c r="L22" s="90">
        <f t="shared" si="0"/>
        <v>28</v>
      </c>
      <c r="M22" s="90">
        <f t="shared" si="0"/>
        <v>30</v>
      </c>
      <c r="N22" s="91">
        <f t="shared" si="1"/>
        <v>0</v>
      </c>
      <c r="O22" s="91">
        <f t="shared" si="2"/>
        <v>0</v>
      </c>
      <c r="P22" s="91">
        <f t="shared" si="3"/>
        <v>30</v>
      </c>
      <c r="Q22" s="91">
        <f t="shared" si="4"/>
        <v>33.200000000000003</v>
      </c>
      <c r="R22" s="91">
        <f t="shared" si="5"/>
        <v>28</v>
      </c>
      <c r="S22" s="91">
        <f t="shared" si="6"/>
        <v>30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0</v>
      </c>
      <c r="X22" s="116">
        <f t="shared" si="30"/>
        <v>30</v>
      </c>
      <c r="Y22" s="92">
        <f t="shared" si="31"/>
        <v>33.200000000000003</v>
      </c>
      <c r="Z22" s="95">
        <f t="shared" si="9"/>
        <v>30</v>
      </c>
      <c r="AA22" s="96">
        <f t="shared" si="10"/>
        <v>0</v>
      </c>
      <c r="AB22" s="97">
        <f>IF(X22=0,0,VLOOKUP(X22,FREQUENCIAS!$1:$1048576,(IF(($A22=FREQUENCIAS!$O$1),15,"ERRO")),FREQUENCIAS!$1:$1048576))</f>
        <v>0.231679</v>
      </c>
      <c r="AC22" s="97">
        <f>IF(Y22=0,0,VLOOKUP(Y22,FREQUENCIAS!$1:$1048576,(IF(($A22=FREQUENCIAS!$O$1),15,"ERRO")),FREQUENCIAS!$1:$1048576))</f>
        <v>2.8434999999999998E-2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0.26011400000000001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1.9222340973573124</v>
      </c>
      <c r="AI22" s="100">
        <f t="shared" si="11"/>
        <v>0.65779606743199048</v>
      </c>
      <c r="AJ22" s="101"/>
      <c r="AK22" s="102">
        <f t="shared" si="12"/>
        <v>0.54743129299600002</v>
      </c>
      <c r="AL22" s="101"/>
      <c r="AM22" s="103" t="str">
        <f t="shared" si="13"/>
        <v>1 / 2F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1.9222340973573124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30</v>
      </c>
      <c r="BN22" s="57">
        <f t="shared" si="22"/>
        <v>30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10</v>
      </c>
      <c r="E23" s="259">
        <f>'PD0101'!E23</f>
        <v>11</v>
      </c>
      <c r="F23" s="259">
        <f>'PD0101'!B23</f>
        <v>10</v>
      </c>
      <c r="G23" s="259">
        <f>'PD0101'!C23</f>
        <v>12</v>
      </c>
      <c r="H23" s="90">
        <f t="shared" si="0"/>
        <v>0</v>
      </c>
      <c r="I23" s="90">
        <f t="shared" si="0"/>
        <v>0</v>
      </c>
      <c r="J23" s="90">
        <f t="shared" si="0"/>
        <v>10</v>
      </c>
      <c r="K23" s="90">
        <f t="shared" si="0"/>
        <v>11</v>
      </c>
      <c r="L23" s="90">
        <f t="shared" si="0"/>
        <v>10</v>
      </c>
      <c r="M23" s="90">
        <f t="shared" si="0"/>
        <v>12</v>
      </c>
      <c r="N23" s="91">
        <f t="shared" si="1"/>
        <v>0</v>
      </c>
      <c r="O23" s="91">
        <f t="shared" si="2"/>
        <v>0</v>
      </c>
      <c r="P23" s="91">
        <f t="shared" si="3"/>
        <v>10</v>
      </c>
      <c r="Q23" s="91">
        <f t="shared" si="4"/>
        <v>11</v>
      </c>
      <c r="R23" s="91">
        <f t="shared" si="5"/>
        <v>10</v>
      </c>
      <c r="S23" s="91">
        <f t="shared" si="6"/>
        <v>12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0</v>
      </c>
      <c r="X23" s="116">
        <f t="shared" si="30"/>
        <v>10</v>
      </c>
      <c r="Y23" s="92">
        <f t="shared" si="31"/>
        <v>11</v>
      </c>
      <c r="Z23" s="95">
        <f t="shared" si="9"/>
        <v>10</v>
      </c>
      <c r="AA23" s="96">
        <f t="shared" si="10"/>
        <v>0</v>
      </c>
      <c r="AB23" s="97">
        <f>IF(X23=0,0,VLOOKUP(X23,FREQUENCIAS!$1:$1048576,(IF(($A23=FREQUENCIAS!$P$1),16,"ERRO")),FREQUENCIAS!$1:$1048576))</f>
        <v>0.275034</v>
      </c>
      <c r="AC23" s="97">
        <f>IF(Y23=0,0,VLOOKUP(Y23,FREQUENCIAS!$1:$1048576,(IF(($A23=FREQUENCIAS!$P$1),16,"ERRO")),FREQUENCIAS!$1:$1048576))</f>
        <v>0.23635999999999999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0.51139400000000002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0.97771972295333931</v>
      </c>
      <c r="AI23" s="100">
        <f t="shared" si="11"/>
        <v>0.49436718034712485</v>
      </c>
      <c r="AJ23" s="101" t="s">
        <v>173</v>
      </c>
      <c r="AK23" s="102">
        <f t="shared" si="12"/>
        <v>0.23873582323599998</v>
      </c>
      <c r="AL23" s="101"/>
      <c r="AM23" s="103" t="str">
        <f t="shared" si="13"/>
        <v>1 / 2F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0.97771972295333931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10</v>
      </c>
      <c r="BN23" s="61">
        <f t="shared" si="22"/>
        <v>10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11</v>
      </c>
      <c r="E24" s="259">
        <f>'PD0101'!E24</f>
        <v>12</v>
      </c>
      <c r="F24" s="259">
        <f>'PD0101'!B24</f>
        <v>12</v>
      </c>
      <c r="G24" s="259">
        <f>'PD0101'!C24</f>
        <v>12</v>
      </c>
      <c r="H24" s="90">
        <f t="shared" si="0"/>
        <v>0</v>
      </c>
      <c r="I24" s="90">
        <f t="shared" si="0"/>
        <v>0</v>
      </c>
      <c r="J24" s="90">
        <f t="shared" si="0"/>
        <v>11</v>
      </c>
      <c r="K24" s="90">
        <f t="shared" si="0"/>
        <v>12</v>
      </c>
      <c r="L24" s="90">
        <f t="shared" si="0"/>
        <v>12</v>
      </c>
      <c r="M24" s="90">
        <f t="shared" si="0"/>
        <v>12</v>
      </c>
      <c r="N24" s="91">
        <f t="shared" si="1"/>
        <v>0</v>
      </c>
      <c r="O24" s="91">
        <f t="shared" si="2"/>
        <v>0</v>
      </c>
      <c r="P24" s="91">
        <f t="shared" si="3"/>
        <v>11</v>
      </c>
      <c r="Q24" s="91">
        <f t="shared" si="4"/>
        <v>12</v>
      </c>
      <c r="R24" s="91">
        <f t="shared" si="5"/>
        <v>12</v>
      </c>
      <c r="S24" s="91">
        <f t="shared" si="6"/>
        <v>12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30"/>
        <v>11</v>
      </c>
      <c r="Y24" s="92">
        <f>(IF((AND(($T24=0),($U24=0))),$E24,(IF(($W24&lt;&gt;$AJ$7),0,$Q24))))</f>
        <v>12</v>
      </c>
      <c r="Z24" s="95">
        <f t="shared" si="9"/>
        <v>0</v>
      </c>
      <c r="AA24" s="96">
        <f t="shared" si="10"/>
        <v>12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0.34637600000000002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0.67543900000000001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0.74025929802691282</v>
      </c>
      <c r="AI24" s="100">
        <f t="shared" si="11"/>
        <v>0.42537298830479503</v>
      </c>
      <c r="AJ24" s="101"/>
      <c r="AK24" s="102">
        <f t="shared" si="12"/>
        <v>0.105339842721</v>
      </c>
      <c r="AL24" s="101"/>
      <c r="AM24" s="103" t="str">
        <f t="shared" si="13"/>
        <v>1 / 2F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0.74025929802691282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12</v>
      </c>
      <c r="BQ24" s="37">
        <f t="shared" si="24"/>
        <v>12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8</v>
      </c>
      <c r="E25" s="259">
        <f>'PD0101'!E25</f>
        <v>8</v>
      </c>
      <c r="F25" s="259">
        <f>'PD0101'!B25</f>
        <v>8</v>
      </c>
      <c r="G25" s="259">
        <f>'PD0101'!C25</f>
        <v>8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8</v>
      </c>
      <c r="K25" s="90">
        <f t="shared" si="33"/>
        <v>8</v>
      </c>
      <c r="L25" s="90">
        <f t="shared" si="33"/>
        <v>8</v>
      </c>
      <c r="M25" s="90">
        <f t="shared" si="33"/>
        <v>8</v>
      </c>
      <c r="N25" s="91">
        <f t="shared" si="1"/>
        <v>0</v>
      </c>
      <c r="O25" s="91">
        <f t="shared" si="2"/>
        <v>0</v>
      </c>
      <c r="P25" s="91">
        <f t="shared" si="3"/>
        <v>8</v>
      </c>
      <c r="Q25" s="91">
        <f t="shared" si="4"/>
        <v>8</v>
      </c>
      <c r="R25" s="91">
        <f t="shared" si="5"/>
        <v>8</v>
      </c>
      <c r="S25" s="91">
        <f t="shared" si="6"/>
        <v>8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8</v>
      </c>
      <c r="Y25" s="92">
        <f>(IF((AND((T25=0),(U25=0))),E25,(IF((W25&lt;&gt;$AJ$7),0,Q25))))</f>
        <v>8</v>
      </c>
      <c r="Z25" s="95">
        <f t="shared" si="9"/>
        <v>8</v>
      </c>
      <c r="AA25" s="96">
        <f t="shared" si="10"/>
        <v>8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0.45586199999999999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0.91172399999999998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1.0968231613953345</v>
      </c>
      <c r="AI25" s="100">
        <f t="shared" si="11"/>
        <v>0.52308806082886439</v>
      </c>
      <c r="AJ25" s="101"/>
      <c r="AK25" s="102">
        <f t="shared" si="12"/>
        <v>7.7926521760000034E-3</v>
      </c>
      <c r="AL25" s="101"/>
      <c r="AM25" s="103" t="str">
        <f t="shared" si="13"/>
        <v>1 / 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1.0968231613953345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8</v>
      </c>
      <c r="BQ25" s="37">
        <f t="shared" si="24"/>
        <v>8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13</v>
      </c>
      <c r="E26" s="259">
        <f>'PD0101'!E26</f>
        <v>13</v>
      </c>
      <c r="F26" s="259">
        <f>'PD0101'!B26</f>
        <v>12</v>
      </c>
      <c r="G26" s="259">
        <f>'PD0101'!C26</f>
        <v>13</v>
      </c>
      <c r="H26" s="90">
        <f t="shared" si="33"/>
        <v>0</v>
      </c>
      <c r="I26" s="90">
        <f t="shared" si="33"/>
        <v>0</v>
      </c>
      <c r="J26" s="90">
        <f t="shared" si="33"/>
        <v>13</v>
      </c>
      <c r="K26" s="90">
        <f t="shared" si="33"/>
        <v>13</v>
      </c>
      <c r="L26" s="90">
        <f t="shared" si="33"/>
        <v>12</v>
      </c>
      <c r="M26" s="90">
        <f t="shared" si="33"/>
        <v>13</v>
      </c>
      <c r="N26" s="91">
        <f t="shared" si="1"/>
        <v>0</v>
      </c>
      <c r="O26" s="91">
        <f t="shared" si="2"/>
        <v>0</v>
      </c>
      <c r="P26" s="91">
        <f t="shared" si="3"/>
        <v>13</v>
      </c>
      <c r="Q26" s="91">
        <f t="shared" si="4"/>
        <v>13</v>
      </c>
      <c r="R26" s="91">
        <f t="shared" si="5"/>
        <v>12</v>
      </c>
      <c r="S26" s="91">
        <f t="shared" si="6"/>
        <v>13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0</v>
      </c>
      <c r="X26" s="116">
        <f t="shared" si="30"/>
        <v>13</v>
      </c>
      <c r="Y26" s="92">
        <f xml:space="preserve"> (IF((AND((T26=0),(U26=0))),E26,(IF((W26&lt;&gt;$AJ$7),0,Q26))))</f>
        <v>13</v>
      </c>
      <c r="Z26" s="95">
        <f t="shared" si="9"/>
        <v>13</v>
      </c>
      <c r="AA26" s="96">
        <f t="shared" si="10"/>
        <v>13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0.27866200000000002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0.55732400000000004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0.89714421054898041</v>
      </c>
      <c r="AI26" s="100">
        <f t="shared" si="11"/>
        <v>0.47289194229961673</v>
      </c>
      <c r="AJ26" s="101" t="s">
        <v>140</v>
      </c>
      <c r="AK26" s="102">
        <f t="shared" si="12"/>
        <v>0.19596204097599995</v>
      </c>
      <c r="AL26" s="101"/>
      <c r="AM26" s="103" t="str">
        <f t="shared" si="13"/>
        <v>1 / 2F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0.89714421054898041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13</v>
      </c>
      <c r="BQ26" s="37">
        <f t="shared" si="24"/>
        <v>13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17</v>
      </c>
      <c r="E27" s="259">
        <f>'PD0101'!E27</f>
        <v>18</v>
      </c>
      <c r="F27" s="259">
        <f>'PD0101'!B27</f>
        <v>17</v>
      </c>
      <c r="G27" s="259">
        <f>'PD0101'!C27</f>
        <v>18</v>
      </c>
      <c r="H27" s="90">
        <f t="shared" si="33"/>
        <v>0</v>
      </c>
      <c r="I27" s="90">
        <f t="shared" si="33"/>
        <v>0</v>
      </c>
      <c r="J27" s="90">
        <f t="shared" si="33"/>
        <v>17</v>
      </c>
      <c r="K27" s="90">
        <f t="shared" si="33"/>
        <v>18</v>
      </c>
      <c r="L27" s="90">
        <f t="shared" si="33"/>
        <v>17</v>
      </c>
      <c r="M27" s="90">
        <f t="shared" si="33"/>
        <v>18</v>
      </c>
      <c r="N27" s="91">
        <f t="shared" si="1"/>
        <v>0</v>
      </c>
      <c r="O27" s="91">
        <f t="shared" si="2"/>
        <v>0</v>
      </c>
      <c r="P27" s="91">
        <f t="shared" si="3"/>
        <v>17</v>
      </c>
      <c r="Q27" s="91">
        <f t="shared" si="4"/>
        <v>18</v>
      </c>
      <c r="R27" s="91">
        <f t="shared" si="5"/>
        <v>17</v>
      </c>
      <c r="S27" s="91">
        <f t="shared" si="6"/>
        <v>18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17</v>
      </c>
      <c r="Y27" s="92">
        <f>(IF((AND((T27=0),(U27=0))),E27,(IF((W27&lt;&gt;$AJ$7),0,Q27))))</f>
        <v>18</v>
      </c>
      <c r="Z27" s="95">
        <f t="shared" si="9"/>
        <v>17</v>
      </c>
      <c r="AA27" s="96">
        <f t="shared" si="10"/>
        <v>18</v>
      </c>
      <c r="AB27" s="97">
        <f>IF(X27=0,0,VLOOKUP(X27,FREQUENCIAS!$1:$1048576,(IF(($A27=FREQUENCIAS!$T$1),20,"ERRO")),FREQUENCIAS!$1:$1048576))</f>
        <v>9.6000000000000002E-2</v>
      </c>
      <c r="AC27" s="97">
        <f>IF(Y27=0,0,VLOOKUP(Y27,FREQUENCIAS!$1:$1048576,(IF(($A27=FREQUENCIAS!$T$1),20,"ERRO")),FREQUENCIAS!$1:$1048576))</f>
        <v>0.18790000000000001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0.28390000000000004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1.7611835153222963</v>
      </c>
      <c r="AI27" s="100">
        <f t="shared" si="11"/>
        <v>0.63783645873198114</v>
      </c>
      <c r="AJ27" s="101" t="s">
        <v>163</v>
      </c>
      <c r="AK27" s="262">
        <f t="shared" si="12"/>
        <v>0.51279920999999995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1.7611835153222963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17</v>
      </c>
      <c r="BN27" s="57">
        <f t="shared" si="22"/>
        <v>17</v>
      </c>
      <c r="BO27" s="37" t="str">
        <f t="shared" si="28"/>
        <v/>
      </c>
      <c r="BP27" s="37">
        <f t="shared" si="23"/>
        <v>18</v>
      </c>
      <c r="BQ27" s="37">
        <f t="shared" si="24"/>
        <v>18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14</v>
      </c>
      <c r="E28" s="259">
        <f>'PD0101'!E28</f>
        <v>15</v>
      </c>
      <c r="F28" s="259">
        <f>'PD0101'!B28</f>
        <v>14</v>
      </c>
      <c r="G28" s="259">
        <f>'PD0101'!C28</f>
        <v>14</v>
      </c>
      <c r="H28" s="90">
        <f t="shared" si="33"/>
        <v>0</v>
      </c>
      <c r="I28" s="90">
        <f t="shared" si="33"/>
        <v>0</v>
      </c>
      <c r="J28" s="90">
        <f t="shared" si="33"/>
        <v>14</v>
      </c>
      <c r="K28" s="90">
        <f t="shared" si="33"/>
        <v>15</v>
      </c>
      <c r="L28" s="90">
        <f t="shared" si="33"/>
        <v>14</v>
      </c>
      <c r="M28" s="90">
        <f t="shared" si="33"/>
        <v>14</v>
      </c>
      <c r="N28" s="91">
        <f t="shared" si="1"/>
        <v>0</v>
      </c>
      <c r="O28" s="91">
        <f t="shared" si="2"/>
        <v>0</v>
      </c>
      <c r="P28" s="91">
        <f t="shared" si="3"/>
        <v>14</v>
      </c>
      <c r="Q28" s="91">
        <f t="shared" si="4"/>
        <v>15</v>
      </c>
      <c r="R28" s="91">
        <f t="shared" si="5"/>
        <v>14</v>
      </c>
      <c r="S28" s="91">
        <f t="shared" si="6"/>
        <v>14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0</v>
      </c>
      <c r="X28" s="116">
        <f t="shared" si="30"/>
        <v>14</v>
      </c>
      <c r="Y28" s="92">
        <f>(IF((AND((T28=0),(U28=0))),E28,(IF((W28&lt;&gt;$AJ$7),0,Q28))))</f>
        <v>15</v>
      </c>
      <c r="Z28" s="95">
        <f t="shared" si="9"/>
        <v>14</v>
      </c>
      <c r="AA28" s="96">
        <f t="shared" si="10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0.15179999999999999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0.44589999999999996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2.2426553038797938</v>
      </c>
      <c r="AI28" s="100">
        <f t="shared" si="11"/>
        <v>0.69161076146344835</v>
      </c>
      <c r="AJ28" s="101"/>
      <c r="AK28" s="102">
        <f t="shared" si="12"/>
        <v>0.30702681000000004</v>
      </c>
      <c r="AL28" s="101"/>
      <c r="AM28" s="103" t="str">
        <f t="shared" si="13"/>
        <v>1 / F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2.2426553038797938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14</v>
      </c>
      <c r="BN28" s="57">
        <f t="shared" si="22"/>
        <v>14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21</v>
      </c>
      <c r="E29" s="259">
        <f>'PD0101'!E29</f>
        <v>23</v>
      </c>
      <c r="F29" s="259">
        <f>'PD0101'!B29</f>
        <v>21</v>
      </c>
      <c r="G29" s="259">
        <f>'PD0101'!C29</f>
        <v>26</v>
      </c>
      <c r="H29" s="90">
        <f t="shared" si="33"/>
        <v>0</v>
      </c>
      <c r="I29" s="90">
        <f t="shared" si="33"/>
        <v>0</v>
      </c>
      <c r="J29" s="90">
        <f t="shared" si="33"/>
        <v>21</v>
      </c>
      <c r="K29" s="90">
        <f t="shared" si="33"/>
        <v>23</v>
      </c>
      <c r="L29" s="90">
        <f t="shared" si="33"/>
        <v>21</v>
      </c>
      <c r="M29" s="90">
        <f t="shared" si="33"/>
        <v>26</v>
      </c>
      <c r="N29" s="91">
        <f t="shared" si="1"/>
        <v>0</v>
      </c>
      <c r="O29" s="91">
        <f t="shared" si="2"/>
        <v>0</v>
      </c>
      <c r="P29" s="91">
        <f t="shared" si="3"/>
        <v>21</v>
      </c>
      <c r="Q29" s="91">
        <f t="shared" si="4"/>
        <v>23</v>
      </c>
      <c r="R29" s="91">
        <f t="shared" si="5"/>
        <v>21</v>
      </c>
      <c r="S29" s="91">
        <f t="shared" si="6"/>
        <v>26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21</v>
      </c>
      <c r="Y29" s="92">
        <f>(IF((AND((T29=0),(U29=0))),E29,(IF((W29&lt;&gt;$AJ$7),0,Q29))))</f>
        <v>23</v>
      </c>
      <c r="Z29" s="95">
        <f t="shared" si="9"/>
        <v>21</v>
      </c>
      <c r="AA29" s="96">
        <f t="shared" si="10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0.149283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0.30036299999999999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1.6646524372176335</v>
      </c>
      <c r="AI29" s="100">
        <f t="shared" si="11"/>
        <v>0.62471653487230172</v>
      </c>
      <c r="AJ29" s="101"/>
      <c r="AK29" s="102">
        <f t="shared" si="12"/>
        <v>0.48949193176900008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1.6646524372176335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21</v>
      </c>
      <c r="BN29" s="57">
        <f t="shared" si="22"/>
        <v>21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15</v>
      </c>
      <c r="E30" s="259">
        <f>'PD0101'!E30</f>
        <v>16</v>
      </c>
      <c r="F30" s="259">
        <f>'PD0101'!B30</f>
        <v>15</v>
      </c>
      <c r="G30" s="259">
        <f>'PD0101'!C30</f>
        <v>17</v>
      </c>
      <c r="H30" s="90">
        <f t="shared" si="33"/>
        <v>0</v>
      </c>
      <c r="I30" s="90">
        <f t="shared" si="33"/>
        <v>0</v>
      </c>
      <c r="J30" s="90">
        <f t="shared" si="33"/>
        <v>15</v>
      </c>
      <c r="K30" s="90">
        <f t="shared" si="33"/>
        <v>16</v>
      </c>
      <c r="L30" s="90">
        <f t="shared" si="33"/>
        <v>15</v>
      </c>
      <c r="M30" s="90">
        <f t="shared" si="33"/>
        <v>17</v>
      </c>
      <c r="N30" s="91">
        <f t="shared" si="1"/>
        <v>0</v>
      </c>
      <c r="O30" s="91">
        <f t="shared" si="2"/>
        <v>0</v>
      </c>
      <c r="P30" s="91">
        <f t="shared" si="3"/>
        <v>15</v>
      </c>
      <c r="Q30" s="91">
        <f t="shared" si="4"/>
        <v>16</v>
      </c>
      <c r="R30" s="91">
        <f t="shared" si="5"/>
        <v>15</v>
      </c>
      <c r="S30" s="91">
        <f t="shared" si="6"/>
        <v>17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0</v>
      </c>
      <c r="X30" s="116">
        <f t="shared" si="30"/>
        <v>15</v>
      </c>
      <c r="Y30" s="92">
        <f>(IF((AND((T30=0),(U30=0))),E30,(IF((W30&lt;&gt;$AJ$7),0,Q30))))</f>
        <v>16</v>
      </c>
      <c r="Z30" s="95">
        <f t="shared" si="9"/>
        <v>15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0.68920000000000003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0.72547881601857223</v>
      </c>
      <c r="AI30" s="100">
        <f t="shared" si="11"/>
        <v>0.4204507231752439</v>
      </c>
      <c r="AJ30" s="101"/>
      <c r="AK30" s="102">
        <f t="shared" si="12"/>
        <v>9.6596639999999984E-2</v>
      </c>
      <c r="AL30" s="101"/>
      <c r="AM30" s="103" t="str">
        <f t="shared" si="13"/>
        <v>1 / 2F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0.72547881601857223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15</v>
      </c>
      <c r="BN30" s="57">
        <f t="shared" si="22"/>
        <v>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22"/>
      <c r="AI31" s="922"/>
      <c r="AK31" s="849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49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231</v>
      </c>
      <c r="AS37" s="921"/>
      <c r="AT37" s="921"/>
      <c r="AU37" s="921"/>
      <c r="AV37" s="921"/>
      <c r="AW37" s="921"/>
      <c r="AX37" s="921"/>
      <c r="AY37" s="921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13">
        <f ca="1">TODAY()</f>
        <v>45747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</row>
    <row r="50" spans="1:59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</row>
    <row r="51" spans="1:59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</row>
    <row r="52" spans="1:59" ht="13.5" thickBot="1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ht="16.5" thickTop="1" thickBot="1">
      <c r="A8" s="253" t="s">
        <v>50</v>
      </c>
      <c r="B8" s="923" t="s">
        <v>130</v>
      </c>
      <c r="C8" s="924"/>
      <c r="D8" s="923" t="s">
        <v>55</v>
      </c>
      <c r="E8" s="924"/>
      <c r="F8" s="923" t="s">
        <v>56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15</v>
      </c>
      <c r="C9" s="259">
        <f>'PD0101'!C9</f>
        <v>16</v>
      </c>
      <c r="D9" s="259">
        <f>'PD0101'!F9</f>
        <v>0</v>
      </c>
      <c r="E9" s="259">
        <f>'PD0101'!G9</f>
        <v>0</v>
      </c>
      <c r="F9" s="259">
        <f>'PD0101'!D9</f>
        <v>15</v>
      </c>
      <c r="G9" s="259">
        <f>'PD0101'!E9</f>
        <v>16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0</v>
      </c>
      <c r="K9" s="90">
        <f t="shared" si="0"/>
        <v>0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13</v>
      </c>
      <c r="C10" s="259">
        <f>'PD0101'!C10</f>
        <v>18.3</v>
      </c>
      <c r="D10" s="259">
        <f>'PD0101'!F10</f>
        <v>0</v>
      </c>
      <c r="E10" s="259">
        <f>'PD0101'!G10</f>
        <v>0</v>
      </c>
      <c r="F10" s="259">
        <f>'PD0101'!D10</f>
        <v>17.3</v>
      </c>
      <c r="G10" s="259">
        <f>'PD0101'!E10</f>
        <v>18.3</v>
      </c>
      <c r="H10" s="90">
        <f t="shared" si="0"/>
        <v>13</v>
      </c>
      <c r="I10" s="90">
        <f t="shared" si="0"/>
        <v>18.3</v>
      </c>
      <c r="J10" s="90">
        <f t="shared" si="0"/>
        <v>0</v>
      </c>
      <c r="K10" s="90">
        <f t="shared" si="0"/>
        <v>0</v>
      </c>
      <c r="L10" s="90">
        <f t="shared" si="0"/>
        <v>17.3</v>
      </c>
      <c r="M10" s="90">
        <f t="shared" si="0"/>
        <v>18.3</v>
      </c>
      <c r="N10" s="91">
        <f t="shared" si="1"/>
        <v>13</v>
      </c>
      <c r="O10" s="91">
        <f t="shared" si="2"/>
        <v>18.3</v>
      </c>
      <c r="P10" s="91">
        <f t="shared" si="3"/>
        <v>0</v>
      </c>
      <c r="Q10" s="91">
        <f t="shared" si="4"/>
        <v>0</v>
      </c>
      <c r="R10" s="91">
        <f t="shared" si="5"/>
        <v>17.3</v>
      </c>
      <c r="S10" s="91">
        <f t="shared" si="6"/>
        <v>18.3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10</v>
      </c>
      <c r="D11" s="259">
        <f>'PD0101'!F11</f>
        <v>0</v>
      </c>
      <c r="E11" s="259">
        <f>'PD0101'!G11</f>
        <v>0</v>
      </c>
      <c r="F11" s="259">
        <f>'PD0101'!D11</f>
        <v>10</v>
      </c>
      <c r="G11" s="259">
        <f>'PD0101'!E11</f>
        <v>15</v>
      </c>
      <c r="H11" s="90">
        <f t="shared" si="0"/>
        <v>10</v>
      </c>
      <c r="I11" s="90">
        <f t="shared" si="0"/>
        <v>10</v>
      </c>
      <c r="J11" s="90">
        <f t="shared" si="0"/>
        <v>0</v>
      </c>
      <c r="K11" s="90">
        <f t="shared" si="0"/>
        <v>0</v>
      </c>
      <c r="L11" s="90">
        <f t="shared" si="0"/>
        <v>10</v>
      </c>
      <c r="M11" s="90">
        <f t="shared" si="0"/>
        <v>15</v>
      </c>
      <c r="N11" s="91">
        <f t="shared" si="1"/>
        <v>10</v>
      </c>
      <c r="O11" s="91">
        <f t="shared" si="2"/>
        <v>10</v>
      </c>
      <c r="P11" s="91">
        <f t="shared" si="3"/>
        <v>0</v>
      </c>
      <c r="Q11" s="91">
        <f t="shared" si="4"/>
        <v>0</v>
      </c>
      <c r="R11" s="91">
        <f t="shared" si="5"/>
        <v>10</v>
      </c>
      <c r="S11" s="91">
        <f t="shared" si="6"/>
        <v>15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12</v>
      </c>
      <c r="C12" s="261">
        <f>'PD0101'!C12</f>
        <v>14</v>
      </c>
      <c r="D12" s="261">
        <f>'PD0101'!F12</f>
        <v>0</v>
      </c>
      <c r="E12" s="261">
        <f>'PD0101'!G12</f>
        <v>0</v>
      </c>
      <c r="F12" s="261">
        <f>'PD0101'!D12</f>
        <v>14</v>
      </c>
      <c r="G12" s="261">
        <f>'PD0101'!E12</f>
        <v>14</v>
      </c>
      <c r="H12" s="112">
        <f t="shared" si="0"/>
        <v>12</v>
      </c>
      <c r="I12" s="112">
        <f t="shared" si="0"/>
        <v>14</v>
      </c>
      <c r="J12" s="112">
        <f t="shared" si="0"/>
        <v>0</v>
      </c>
      <c r="K12" s="112">
        <f t="shared" si="0"/>
        <v>0</v>
      </c>
      <c r="L12" s="112">
        <f t="shared" si="0"/>
        <v>14</v>
      </c>
      <c r="M12" s="112">
        <f t="shared" si="0"/>
        <v>14</v>
      </c>
      <c r="N12" s="113">
        <f t="shared" si="1"/>
        <v>12</v>
      </c>
      <c r="O12" s="113">
        <f t="shared" si="2"/>
        <v>14</v>
      </c>
      <c r="P12" s="113">
        <f t="shared" si="3"/>
        <v>0</v>
      </c>
      <c r="Q12" s="113">
        <f t="shared" si="4"/>
        <v>0</v>
      </c>
      <c r="R12" s="113">
        <f t="shared" si="5"/>
        <v>14</v>
      </c>
      <c r="S12" s="113">
        <f t="shared" si="6"/>
        <v>14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9</v>
      </c>
      <c r="C13" s="259">
        <f>'PD0101'!C13</f>
        <v>9</v>
      </c>
      <c r="D13" s="259">
        <f>'PD0101'!F13</f>
        <v>0</v>
      </c>
      <c r="E13" s="259">
        <f>'PD0101'!G13</f>
        <v>0</v>
      </c>
      <c r="F13" s="259">
        <f>'PD0101'!D13</f>
        <v>9</v>
      </c>
      <c r="G13" s="259">
        <f>'PD0101'!E13</f>
        <v>10</v>
      </c>
      <c r="H13" s="90">
        <f t="shared" si="0"/>
        <v>9</v>
      </c>
      <c r="I13" s="90">
        <f t="shared" si="0"/>
        <v>9</v>
      </c>
      <c r="J13" s="90">
        <f t="shared" si="0"/>
        <v>0</v>
      </c>
      <c r="K13" s="90">
        <f t="shared" si="0"/>
        <v>0</v>
      </c>
      <c r="L13" s="90">
        <f t="shared" si="0"/>
        <v>9</v>
      </c>
      <c r="M13" s="90">
        <f t="shared" si="0"/>
        <v>10</v>
      </c>
      <c r="N13" s="91">
        <f t="shared" si="1"/>
        <v>9</v>
      </c>
      <c r="O13" s="91">
        <f t="shared" si="2"/>
        <v>9</v>
      </c>
      <c r="P13" s="91">
        <f t="shared" si="3"/>
        <v>0</v>
      </c>
      <c r="Q13" s="91">
        <f t="shared" si="4"/>
        <v>0</v>
      </c>
      <c r="R13" s="91">
        <f t="shared" si="5"/>
        <v>9</v>
      </c>
      <c r="S13" s="91">
        <f t="shared" si="6"/>
        <v>10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13</v>
      </c>
      <c r="C14" s="259">
        <f>'PD0101'!C14</f>
        <v>15</v>
      </c>
      <c r="D14" s="259">
        <f>'PD0101'!F14</f>
        <v>0</v>
      </c>
      <c r="E14" s="259">
        <f>'PD0101'!G14</f>
        <v>0</v>
      </c>
      <c r="F14" s="259">
        <f>'PD0101'!D14</f>
        <v>12</v>
      </c>
      <c r="G14" s="259">
        <f>'PD0101'!E14</f>
        <v>15</v>
      </c>
      <c r="H14" s="90">
        <f t="shared" si="0"/>
        <v>13</v>
      </c>
      <c r="I14" s="90">
        <f t="shared" si="0"/>
        <v>15</v>
      </c>
      <c r="J14" s="90">
        <f t="shared" si="0"/>
        <v>0</v>
      </c>
      <c r="K14" s="90">
        <f t="shared" si="0"/>
        <v>0</v>
      </c>
      <c r="L14" s="90">
        <f t="shared" si="0"/>
        <v>12</v>
      </c>
      <c r="M14" s="90">
        <f t="shared" si="0"/>
        <v>15</v>
      </c>
      <c r="N14" s="91">
        <f t="shared" si="1"/>
        <v>13</v>
      </c>
      <c r="O14" s="91">
        <f t="shared" si="2"/>
        <v>15</v>
      </c>
      <c r="P14" s="91">
        <f t="shared" si="3"/>
        <v>0</v>
      </c>
      <c r="Q14" s="91">
        <f t="shared" si="4"/>
        <v>0</v>
      </c>
      <c r="R14" s="91">
        <f t="shared" si="5"/>
        <v>12</v>
      </c>
      <c r="S14" s="91">
        <f t="shared" si="6"/>
        <v>15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9</v>
      </c>
      <c r="C15" s="259">
        <f>'PD0101'!C15</f>
        <v>12</v>
      </c>
      <c r="D15" s="259">
        <f>'PD0101'!F15</f>
        <v>0</v>
      </c>
      <c r="E15" s="259">
        <f>'PD0101'!G15</f>
        <v>0</v>
      </c>
      <c r="F15" s="259">
        <f>'PD0101'!D15</f>
        <v>9</v>
      </c>
      <c r="G15" s="259">
        <f>'PD0101'!E15</f>
        <v>11</v>
      </c>
      <c r="H15" s="90">
        <f t="shared" si="0"/>
        <v>9</v>
      </c>
      <c r="I15" s="90">
        <f t="shared" si="0"/>
        <v>12</v>
      </c>
      <c r="J15" s="90">
        <f t="shared" si="0"/>
        <v>0</v>
      </c>
      <c r="K15" s="90">
        <f t="shared" si="0"/>
        <v>0</v>
      </c>
      <c r="L15" s="90">
        <f t="shared" si="0"/>
        <v>9</v>
      </c>
      <c r="M15" s="90">
        <f t="shared" si="0"/>
        <v>11</v>
      </c>
      <c r="N15" s="91">
        <f t="shared" si="1"/>
        <v>9</v>
      </c>
      <c r="O15" s="91">
        <f t="shared" si="2"/>
        <v>12</v>
      </c>
      <c r="P15" s="91">
        <f t="shared" si="3"/>
        <v>0</v>
      </c>
      <c r="Q15" s="91">
        <f t="shared" si="4"/>
        <v>0</v>
      </c>
      <c r="R15" s="91">
        <f t="shared" si="5"/>
        <v>9</v>
      </c>
      <c r="S15" s="91">
        <f t="shared" si="6"/>
        <v>11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14</v>
      </c>
      <c r="C16" s="259">
        <f>'PD0101'!C16</f>
        <v>14</v>
      </c>
      <c r="D16" s="259">
        <f>'PD0101'!F16</f>
        <v>0</v>
      </c>
      <c r="E16" s="259">
        <f>'PD0101'!G16</f>
        <v>0</v>
      </c>
      <c r="F16" s="259">
        <f>'PD0101'!D16</f>
        <v>14</v>
      </c>
      <c r="G16" s="259">
        <f>'PD0101'!E16</f>
        <v>17</v>
      </c>
      <c r="H16" s="90">
        <f t="shared" si="0"/>
        <v>14</v>
      </c>
      <c r="I16" s="90">
        <f t="shared" si="0"/>
        <v>14</v>
      </c>
      <c r="J16" s="90">
        <f t="shared" si="0"/>
        <v>0</v>
      </c>
      <c r="K16" s="90">
        <f t="shared" si="0"/>
        <v>0</v>
      </c>
      <c r="L16" s="90">
        <f t="shared" si="0"/>
        <v>14</v>
      </c>
      <c r="M16" s="90">
        <f t="shared" si="0"/>
        <v>17</v>
      </c>
      <c r="N16" s="91">
        <f t="shared" si="1"/>
        <v>14</v>
      </c>
      <c r="O16" s="91">
        <f t="shared" si="2"/>
        <v>14</v>
      </c>
      <c r="P16" s="91">
        <f t="shared" si="3"/>
        <v>0</v>
      </c>
      <c r="Q16" s="91">
        <f t="shared" si="4"/>
        <v>0</v>
      </c>
      <c r="R16" s="91">
        <f t="shared" si="5"/>
        <v>14</v>
      </c>
      <c r="S16" s="91">
        <f t="shared" si="6"/>
        <v>17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17</v>
      </c>
      <c r="C17" s="259">
        <f>'PD0101'!C17</f>
        <v>22</v>
      </c>
      <c r="D17" s="259">
        <f>'PD0101'!F17</f>
        <v>0</v>
      </c>
      <c r="E17" s="259">
        <f>'PD0101'!G17</f>
        <v>0</v>
      </c>
      <c r="F17" s="259">
        <f>'PD0101'!D17</f>
        <v>17</v>
      </c>
      <c r="G17" s="259">
        <f>'PD0101'!E17</f>
        <v>20</v>
      </c>
      <c r="H17" s="90">
        <f t="shared" si="0"/>
        <v>17</v>
      </c>
      <c r="I17" s="90">
        <f t="shared" si="0"/>
        <v>22</v>
      </c>
      <c r="J17" s="90">
        <f t="shared" si="0"/>
        <v>0</v>
      </c>
      <c r="K17" s="90">
        <f t="shared" si="0"/>
        <v>0</v>
      </c>
      <c r="L17" s="90">
        <f t="shared" si="0"/>
        <v>17</v>
      </c>
      <c r="M17" s="90">
        <f t="shared" si="0"/>
        <v>20</v>
      </c>
      <c r="N17" s="91">
        <f t="shared" si="1"/>
        <v>17</v>
      </c>
      <c r="O17" s="91">
        <f t="shared" si="2"/>
        <v>22</v>
      </c>
      <c r="P17" s="91">
        <f t="shared" si="3"/>
        <v>0</v>
      </c>
      <c r="Q17" s="91">
        <f t="shared" si="4"/>
        <v>0</v>
      </c>
      <c r="R17" s="91">
        <f t="shared" si="5"/>
        <v>17</v>
      </c>
      <c r="S17" s="91">
        <f t="shared" si="6"/>
        <v>20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10</v>
      </c>
      <c r="C18" s="259">
        <f>'PD0101'!C18</f>
        <v>11</v>
      </c>
      <c r="D18" s="259">
        <f>'PD0101'!F18</f>
        <v>0</v>
      </c>
      <c r="E18" s="259">
        <f>'PD0101'!G18</f>
        <v>0</v>
      </c>
      <c r="F18" s="259">
        <f>'PD0101'!D18</f>
        <v>11</v>
      </c>
      <c r="G18" s="259">
        <f>'PD0101'!E18</f>
        <v>12</v>
      </c>
      <c r="H18" s="90">
        <f t="shared" si="0"/>
        <v>10</v>
      </c>
      <c r="I18" s="90">
        <f t="shared" si="0"/>
        <v>11</v>
      </c>
      <c r="J18" s="90">
        <f t="shared" si="0"/>
        <v>0</v>
      </c>
      <c r="K18" s="90">
        <f t="shared" si="0"/>
        <v>0</v>
      </c>
      <c r="L18" s="90">
        <f t="shared" si="0"/>
        <v>11</v>
      </c>
      <c r="M18" s="90">
        <f t="shared" si="0"/>
        <v>12</v>
      </c>
      <c r="N18" s="91">
        <f t="shared" si="1"/>
        <v>10</v>
      </c>
      <c r="O18" s="91">
        <f t="shared" si="2"/>
        <v>11</v>
      </c>
      <c r="P18" s="91">
        <f t="shared" si="3"/>
        <v>0</v>
      </c>
      <c r="Q18" s="91">
        <f t="shared" si="4"/>
        <v>0</v>
      </c>
      <c r="R18" s="91">
        <f t="shared" si="5"/>
        <v>11</v>
      </c>
      <c r="S18" s="91">
        <f t="shared" si="6"/>
        <v>12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9</v>
      </c>
      <c r="C19" s="259">
        <f>'PD0101'!C19</f>
        <v>11</v>
      </c>
      <c r="D19" s="259">
        <f>'PD0101'!F19</f>
        <v>0</v>
      </c>
      <c r="E19" s="259">
        <f>'PD0101'!G19</f>
        <v>0</v>
      </c>
      <c r="F19" s="259">
        <f>'PD0101'!D19</f>
        <v>11</v>
      </c>
      <c r="G19" s="259">
        <f>'PD0101'!E19</f>
        <v>12</v>
      </c>
      <c r="H19" s="90">
        <f t="shared" si="0"/>
        <v>9</v>
      </c>
      <c r="I19" s="90">
        <f t="shared" si="0"/>
        <v>11</v>
      </c>
      <c r="J19" s="90">
        <f t="shared" si="0"/>
        <v>0</v>
      </c>
      <c r="K19" s="90">
        <f t="shared" si="0"/>
        <v>0</v>
      </c>
      <c r="L19" s="90">
        <f t="shared" si="0"/>
        <v>11</v>
      </c>
      <c r="M19" s="90">
        <f t="shared" si="0"/>
        <v>12</v>
      </c>
      <c r="N19" s="91">
        <f t="shared" si="1"/>
        <v>9</v>
      </c>
      <c r="O19" s="91">
        <f t="shared" si="2"/>
        <v>11</v>
      </c>
      <c r="P19" s="91">
        <f t="shared" si="3"/>
        <v>0</v>
      </c>
      <c r="Q19" s="91">
        <f t="shared" si="4"/>
        <v>0</v>
      </c>
      <c r="R19" s="91">
        <f t="shared" si="5"/>
        <v>11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7</v>
      </c>
      <c r="C20" s="259">
        <f>'PD0101'!C20</f>
        <v>8</v>
      </c>
      <c r="D20" s="259">
        <f>'PD0101'!F20</f>
        <v>0</v>
      </c>
      <c r="E20" s="259">
        <f>'PD0101'!G20</f>
        <v>0</v>
      </c>
      <c r="F20" s="259">
        <f>'PD0101'!D20</f>
        <v>8</v>
      </c>
      <c r="G20" s="259">
        <f>'PD0101'!E20</f>
        <v>9</v>
      </c>
      <c r="H20" s="90">
        <f t="shared" si="0"/>
        <v>7</v>
      </c>
      <c r="I20" s="90">
        <f t="shared" si="0"/>
        <v>8</v>
      </c>
      <c r="J20" s="90">
        <f t="shared" si="0"/>
        <v>0</v>
      </c>
      <c r="K20" s="90">
        <f t="shared" si="0"/>
        <v>0</v>
      </c>
      <c r="L20" s="90">
        <f t="shared" si="0"/>
        <v>8</v>
      </c>
      <c r="M20" s="90">
        <f t="shared" si="0"/>
        <v>9</v>
      </c>
      <c r="N20" s="91">
        <f t="shared" si="1"/>
        <v>7</v>
      </c>
      <c r="O20" s="91">
        <f t="shared" si="2"/>
        <v>8</v>
      </c>
      <c r="P20" s="91">
        <f t="shared" si="3"/>
        <v>0</v>
      </c>
      <c r="Q20" s="91">
        <f t="shared" si="4"/>
        <v>0</v>
      </c>
      <c r="R20" s="91">
        <f t="shared" si="5"/>
        <v>8</v>
      </c>
      <c r="S20" s="91">
        <f t="shared" si="6"/>
        <v>9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15</v>
      </c>
      <c r="C21" s="259">
        <f>'PD0101'!C21</f>
        <v>15</v>
      </c>
      <c r="D21" s="259">
        <f>'PD0101'!F21</f>
        <v>0</v>
      </c>
      <c r="E21" s="259">
        <f>'PD0101'!G21</f>
        <v>0</v>
      </c>
      <c r="F21" s="259">
        <f>'PD0101'!D21</f>
        <v>15</v>
      </c>
      <c r="G21" s="259">
        <f>'PD0101'!E21</f>
        <v>17</v>
      </c>
      <c r="H21" s="90">
        <f t="shared" si="0"/>
        <v>15</v>
      </c>
      <c r="I21" s="90">
        <f t="shared" si="0"/>
        <v>15</v>
      </c>
      <c r="J21" s="90">
        <f t="shared" si="0"/>
        <v>0</v>
      </c>
      <c r="K21" s="90">
        <f t="shared" si="0"/>
        <v>0</v>
      </c>
      <c r="L21" s="90">
        <f t="shared" si="0"/>
        <v>15</v>
      </c>
      <c r="M21" s="90">
        <f t="shared" si="0"/>
        <v>17</v>
      </c>
      <c r="N21" s="91">
        <f t="shared" si="1"/>
        <v>15</v>
      </c>
      <c r="O21" s="91">
        <f t="shared" si="2"/>
        <v>15</v>
      </c>
      <c r="P21" s="91">
        <f t="shared" si="3"/>
        <v>0</v>
      </c>
      <c r="Q21" s="91">
        <f t="shared" si="4"/>
        <v>0</v>
      </c>
      <c r="R21" s="91">
        <f t="shared" si="5"/>
        <v>15</v>
      </c>
      <c r="S21" s="91">
        <f t="shared" si="6"/>
        <v>17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28</v>
      </c>
      <c r="C22" s="259">
        <f>'PD0101'!C22</f>
        <v>30</v>
      </c>
      <c r="D22" s="259">
        <f>'PD0101'!F22</f>
        <v>0</v>
      </c>
      <c r="E22" s="259">
        <f>'PD0101'!G22</f>
        <v>0</v>
      </c>
      <c r="F22" s="259">
        <f>'PD0101'!D22</f>
        <v>30</v>
      </c>
      <c r="G22" s="259">
        <f>'PD0101'!E22</f>
        <v>33.200000000000003</v>
      </c>
      <c r="H22" s="90">
        <f t="shared" si="0"/>
        <v>28</v>
      </c>
      <c r="I22" s="90">
        <f t="shared" si="0"/>
        <v>30</v>
      </c>
      <c r="J22" s="90">
        <f t="shared" si="0"/>
        <v>0</v>
      </c>
      <c r="K22" s="90">
        <f t="shared" si="0"/>
        <v>0</v>
      </c>
      <c r="L22" s="90">
        <f t="shared" si="0"/>
        <v>30</v>
      </c>
      <c r="M22" s="90">
        <f t="shared" si="0"/>
        <v>33.200000000000003</v>
      </c>
      <c r="N22" s="91">
        <f t="shared" si="1"/>
        <v>28</v>
      </c>
      <c r="O22" s="91">
        <f t="shared" si="2"/>
        <v>30</v>
      </c>
      <c r="P22" s="91">
        <f t="shared" si="3"/>
        <v>0</v>
      </c>
      <c r="Q22" s="91">
        <f t="shared" si="4"/>
        <v>0</v>
      </c>
      <c r="R22" s="91">
        <f t="shared" si="5"/>
        <v>30</v>
      </c>
      <c r="S22" s="91">
        <f t="shared" si="6"/>
        <v>33.200000000000003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10</v>
      </c>
      <c r="C23" s="259">
        <f>'PD0101'!C23</f>
        <v>12</v>
      </c>
      <c r="D23" s="259">
        <f>'PD0101'!F23</f>
        <v>0</v>
      </c>
      <c r="E23" s="259">
        <f>'PD0101'!G23</f>
        <v>0</v>
      </c>
      <c r="F23" s="259">
        <f>'PD0101'!D23</f>
        <v>10</v>
      </c>
      <c r="G23" s="259">
        <f>'PD0101'!E23</f>
        <v>11</v>
      </c>
      <c r="H23" s="90">
        <f t="shared" si="0"/>
        <v>10</v>
      </c>
      <c r="I23" s="90">
        <f t="shared" si="0"/>
        <v>12</v>
      </c>
      <c r="J23" s="90">
        <f t="shared" si="0"/>
        <v>0</v>
      </c>
      <c r="K23" s="90">
        <f t="shared" si="0"/>
        <v>0</v>
      </c>
      <c r="L23" s="90">
        <f t="shared" si="0"/>
        <v>10</v>
      </c>
      <c r="M23" s="90">
        <f t="shared" si="0"/>
        <v>11</v>
      </c>
      <c r="N23" s="91">
        <f t="shared" si="1"/>
        <v>10</v>
      </c>
      <c r="O23" s="91">
        <f t="shared" si="2"/>
        <v>12</v>
      </c>
      <c r="P23" s="91">
        <f t="shared" si="3"/>
        <v>0</v>
      </c>
      <c r="Q23" s="91">
        <f t="shared" si="4"/>
        <v>0</v>
      </c>
      <c r="R23" s="91">
        <f t="shared" si="5"/>
        <v>10</v>
      </c>
      <c r="S23" s="91">
        <f t="shared" si="6"/>
        <v>11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12</v>
      </c>
      <c r="C24" s="259">
        <f>'PD0101'!C24</f>
        <v>12</v>
      </c>
      <c r="D24" s="259">
        <f>'PD0101'!F24</f>
        <v>0</v>
      </c>
      <c r="E24" s="259">
        <f>'PD0101'!G24</f>
        <v>0</v>
      </c>
      <c r="F24" s="259">
        <f>'PD0101'!D24</f>
        <v>11</v>
      </c>
      <c r="G24" s="259">
        <f>'PD0101'!E24</f>
        <v>12</v>
      </c>
      <c r="H24" s="90">
        <f t="shared" si="0"/>
        <v>12</v>
      </c>
      <c r="I24" s="90">
        <f t="shared" si="0"/>
        <v>12</v>
      </c>
      <c r="J24" s="90">
        <f t="shared" si="0"/>
        <v>0</v>
      </c>
      <c r="K24" s="90">
        <f t="shared" si="0"/>
        <v>0</v>
      </c>
      <c r="L24" s="90">
        <f t="shared" si="0"/>
        <v>11</v>
      </c>
      <c r="M24" s="90">
        <f t="shared" si="0"/>
        <v>12</v>
      </c>
      <c r="N24" s="91">
        <f t="shared" si="1"/>
        <v>12</v>
      </c>
      <c r="O24" s="91">
        <f t="shared" si="2"/>
        <v>12</v>
      </c>
      <c r="P24" s="91">
        <f t="shared" si="3"/>
        <v>0</v>
      </c>
      <c r="Q24" s="91">
        <f t="shared" si="4"/>
        <v>0</v>
      </c>
      <c r="R24" s="91">
        <f t="shared" si="5"/>
        <v>11</v>
      </c>
      <c r="S24" s="91">
        <f t="shared" si="6"/>
        <v>12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8</v>
      </c>
      <c r="C25" s="259">
        <f>'PD0101'!C25</f>
        <v>8</v>
      </c>
      <c r="D25" s="259">
        <f>'PD0101'!F25</f>
        <v>0</v>
      </c>
      <c r="E25" s="259">
        <f>'PD0101'!G25</f>
        <v>0</v>
      </c>
      <c r="F25" s="259">
        <f>'PD0101'!D25</f>
        <v>8</v>
      </c>
      <c r="G25" s="259">
        <f>'PD0101'!E25</f>
        <v>8</v>
      </c>
      <c r="H25" s="90">
        <f t="shared" ref="H25:M30" si="33">(IF(CODE(B25)=(60),($BF25-1),(IF(CODE(B25)=(62),($BG25+1),B25))))</f>
        <v>8</v>
      </c>
      <c r="I25" s="90">
        <f t="shared" si="33"/>
        <v>8</v>
      </c>
      <c r="J25" s="90">
        <f t="shared" si="33"/>
        <v>0</v>
      </c>
      <c r="K25" s="90">
        <f t="shared" si="33"/>
        <v>0</v>
      </c>
      <c r="L25" s="90">
        <f t="shared" si="33"/>
        <v>8</v>
      </c>
      <c r="M25" s="90">
        <f t="shared" si="33"/>
        <v>8</v>
      </c>
      <c r="N25" s="91">
        <f t="shared" si="1"/>
        <v>8</v>
      </c>
      <c r="O25" s="91">
        <f t="shared" si="2"/>
        <v>8</v>
      </c>
      <c r="P25" s="91">
        <f t="shared" si="3"/>
        <v>0</v>
      </c>
      <c r="Q25" s="91">
        <f t="shared" si="4"/>
        <v>0</v>
      </c>
      <c r="R25" s="91">
        <f t="shared" si="5"/>
        <v>8</v>
      </c>
      <c r="S25" s="91">
        <f t="shared" si="6"/>
        <v>8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12</v>
      </c>
      <c r="C26" s="259">
        <f>'PD0101'!C26</f>
        <v>13</v>
      </c>
      <c r="D26" s="259">
        <f>'PD0101'!F26</f>
        <v>0</v>
      </c>
      <c r="E26" s="259">
        <f>'PD0101'!G26</f>
        <v>0</v>
      </c>
      <c r="F26" s="259">
        <f>'PD0101'!D26</f>
        <v>13</v>
      </c>
      <c r="G26" s="259">
        <f>'PD0101'!E26</f>
        <v>13</v>
      </c>
      <c r="H26" s="90">
        <f t="shared" si="33"/>
        <v>12</v>
      </c>
      <c r="I26" s="90">
        <f t="shared" si="33"/>
        <v>13</v>
      </c>
      <c r="J26" s="90">
        <f t="shared" si="33"/>
        <v>0</v>
      </c>
      <c r="K26" s="90">
        <f t="shared" si="33"/>
        <v>0</v>
      </c>
      <c r="L26" s="90">
        <f t="shared" si="33"/>
        <v>13</v>
      </c>
      <c r="M26" s="90">
        <f t="shared" si="33"/>
        <v>13</v>
      </c>
      <c r="N26" s="91">
        <f t="shared" si="1"/>
        <v>12</v>
      </c>
      <c r="O26" s="91">
        <f t="shared" si="2"/>
        <v>13</v>
      </c>
      <c r="P26" s="91">
        <f t="shared" si="3"/>
        <v>0</v>
      </c>
      <c r="Q26" s="91">
        <f t="shared" si="4"/>
        <v>0</v>
      </c>
      <c r="R26" s="91">
        <f t="shared" si="5"/>
        <v>13</v>
      </c>
      <c r="S26" s="91">
        <f t="shared" si="6"/>
        <v>13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17</v>
      </c>
      <c r="C27" s="259">
        <f>'PD0101'!C27</f>
        <v>18</v>
      </c>
      <c r="D27" s="259">
        <f>'PD0101'!F27</f>
        <v>0</v>
      </c>
      <c r="E27" s="259">
        <f>'PD0101'!G27</f>
        <v>0</v>
      </c>
      <c r="F27" s="259">
        <f>'PD0101'!D27</f>
        <v>17</v>
      </c>
      <c r="G27" s="259">
        <f>'PD0101'!E27</f>
        <v>18</v>
      </c>
      <c r="H27" s="90">
        <f t="shared" si="33"/>
        <v>17</v>
      </c>
      <c r="I27" s="90">
        <f t="shared" si="33"/>
        <v>18</v>
      </c>
      <c r="J27" s="90">
        <f t="shared" si="33"/>
        <v>0</v>
      </c>
      <c r="K27" s="90">
        <f t="shared" si="33"/>
        <v>0</v>
      </c>
      <c r="L27" s="90">
        <f t="shared" si="33"/>
        <v>17</v>
      </c>
      <c r="M27" s="90">
        <f t="shared" si="33"/>
        <v>18</v>
      </c>
      <c r="N27" s="91">
        <f t="shared" si="1"/>
        <v>17</v>
      </c>
      <c r="O27" s="91">
        <f t="shared" si="2"/>
        <v>18</v>
      </c>
      <c r="P27" s="91">
        <f t="shared" si="3"/>
        <v>0</v>
      </c>
      <c r="Q27" s="91">
        <f t="shared" si="4"/>
        <v>0</v>
      </c>
      <c r="R27" s="91">
        <f t="shared" si="5"/>
        <v>17</v>
      </c>
      <c r="S27" s="91">
        <f t="shared" si="6"/>
        <v>18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14</v>
      </c>
      <c r="C28" s="259">
        <f>'PD0101'!C28</f>
        <v>14</v>
      </c>
      <c r="D28" s="259">
        <f>'PD0101'!F28</f>
        <v>0</v>
      </c>
      <c r="E28" s="259">
        <f>'PD0101'!G28</f>
        <v>0</v>
      </c>
      <c r="F28" s="259">
        <f>'PD0101'!D28</f>
        <v>14</v>
      </c>
      <c r="G28" s="259">
        <f>'PD0101'!E28</f>
        <v>15</v>
      </c>
      <c r="H28" s="90">
        <f t="shared" si="33"/>
        <v>14</v>
      </c>
      <c r="I28" s="90">
        <f t="shared" si="33"/>
        <v>14</v>
      </c>
      <c r="J28" s="90">
        <f t="shared" si="33"/>
        <v>0</v>
      </c>
      <c r="K28" s="90">
        <f t="shared" si="33"/>
        <v>0</v>
      </c>
      <c r="L28" s="90">
        <f t="shared" si="33"/>
        <v>14</v>
      </c>
      <c r="M28" s="90">
        <f t="shared" si="33"/>
        <v>15</v>
      </c>
      <c r="N28" s="91">
        <f t="shared" si="1"/>
        <v>14</v>
      </c>
      <c r="O28" s="91">
        <f t="shared" si="2"/>
        <v>14</v>
      </c>
      <c r="P28" s="91">
        <f t="shared" si="3"/>
        <v>0</v>
      </c>
      <c r="Q28" s="91">
        <f t="shared" si="4"/>
        <v>0</v>
      </c>
      <c r="R28" s="91">
        <f t="shared" si="5"/>
        <v>14</v>
      </c>
      <c r="S28" s="91">
        <f t="shared" si="6"/>
        <v>15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21</v>
      </c>
      <c r="C29" s="259">
        <f>'PD0101'!C29</f>
        <v>26</v>
      </c>
      <c r="D29" s="259">
        <f>'PD0101'!F29</f>
        <v>0</v>
      </c>
      <c r="E29" s="259">
        <f>'PD0101'!G29</f>
        <v>0</v>
      </c>
      <c r="F29" s="259">
        <f>'PD0101'!D29</f>
        <v>21</v>
      </c>
      <c r="G29" s="259">
        <f>'PD0101'!E29</f>
        <v>23</v>
      </c>
      <c r="H29" s="90">
        <f t="shared" si="33"/>
        <v>21</v>
      </c>
      <c r="I29" s="90">
        <f t="shared" si="33"/>
        <v>26</v>
      </c>
      <c r="J29" s="90">
        <f t="shared" si="33"/>
        <v>0</v>
      </c>
      <c r="K29" s="90">
        <f t="shared" si="33"/>
        <v>0</v>
      </c>
      <c r="L29" s="90">
        <f t="shared" si="33"/>
        <v>21</v>
      </c>
      <c r="M29" s="90">
        <f t="shared" si="33"/>
        <v>23</v>
      </c>
      <c r="N29" s="91">
        <f t="shared" si="1"/>
        <v>21</v>
      </c>
      <c r="O29" s="91">
        <f t="shared" si="2"/>
        <v>26</v>
      </c>
      <c r="P29" s="91">
        <f t="shared" si="3"/>
        <v>0</v>
      </c>
      <c r="Q29" s="91">
        <f t="shared" si="4"/>
        <v>0</v>
      </c>
      <c r="R29" s="91">
        <f t="shared" si="5"/>
        <v>21</v>
      </c>
      <c r="S29" s="91">
        <f t="shared" si="6"/>
        <v>23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15</v>
      </c>
      <c r="C30" s="259">
        <f>'PD0101'!C30</f>
        <v>17</v>
      </c>
      <c r="D30" s="259">
        <f>'PD0101'!F30</f>
        <v>0</v>
      </c>
      <c r="E30" s="259">
        <f>'PD0101'!G30</f>
        <v>0</v>
      </c>
      <c r="F30" s="259">
        <f>'PD0101'!D30</f>
        <v>15</v>
      </c>
      <c r="G30" s="259">
        <f>'PD0101'!E30</f>
        <v>16</v>
      </c>
      <c r="H30" s="90">
        <f t="shared" si="33"/>
        <v>15</v>
      </c>
      <c r="I30" s="90">
        <f t="shared" si="33"/>
        <v>17</v>
      </c>
      <c r="J30" s="90">
        <f t="shared" si="33"/>
        <v>0</v>
      </c>
      <c r="K30" s="90">
        <f t="shared" si="33"/>
        <v>0</v>
      </c>
      <c r="L30" s="90">
        <f t="shared" si="33"/>
        <v>15</v>
      </c>
      <c r="M30" s="90">
        <f t="shared" si="33"/>
        <v>16</v>
      </c>
      <c r="N30" s="91">
        <f t="shared" si="1"/>
        <v>15</v>
      </c>
      <c r="O30" s="91">
        <f t="shared" si="2"/>
        <v>17</v>
      </c>
      <c r="P30" s="91">
        <f t="shared" si="3"/>
        <v>0</v>
      </c>
      <c r="Q30" s="91">
        <f t="shared" si="4"/>
        <v>0</v>
      </c>
      <c r="R30" s="91">
        <f t="shared" si="5"/>
        <v>15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22"/>
      <c r="AI31" s="922"/>
      <c r="AK31" s="849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9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231</v>
      </c>
      <c r="AS37" s="921"/>
      <c r="AT37" s="921"/>
      <c r="AU37" s="921"/>
      <c r="AV37" s="921"/>
      <c r="AW37" s="921"/>
      <c r="AX37" s="921"/>
      <c r="AY37" s="921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13">
        <f ca="1">TODAY()</f>
        <v>45747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</row>
    <row r="50" spans="1:59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</row>
    <row r="51" spans="1:59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</row>
    <row r="52" spans="1:59" ht="13.5" thickBot="1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F7" s="2"/>
      <c r="BG7" s="2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s="1" customFormat="1" ht="16.5" thickTop="1" thickBot="1">
      <c r="A8" s="253" t="s">
        <v>50</v>
      </c>
      <c r="B8" s="923" t="s">
        <v>54</v>
      </c>
      <c r="C8" s="924"/>
      <c r="D8" s="923" t="s">
        <v>55</v>
      </c>
      <c r="E8" s="924"/>
      <c r="F8" s="923" t="s">
        <v>133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16</v>
      </c>
      <c r="D9" s="259">
        <f>'PD0101'!B9</f>
        <v>15</v>
      </c>
      <c r="E9" s="259">
        <f>'PD0101'!C9</f>
        <v>16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15</v>
      </c>
      <c r="K9" s="90">
        <f t="shared" si="0"/>
        <v>16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15</v>
      </c>
      <c r="U9" s="92">
        <f t="shared" ref="U9:U30" si="8">IF((Q9=N9),Q9,(IF((Q9=O9),Q9,0)))</f>
        <v>16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16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0.27030799999999999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 t="str">
        <f t="shared" ref="BJ9:BJ30" si="18">IF(($W9=($BF9-1)),$BF9,IF(($W9=($BG9-1)),$BG9,$W9))</f>
        <v>NÃO DEF</v>
      </c>
      <c r="BK9" s="54" t="str">
        <f t="shared" ref="BK9:BK30" si="19">(IF((OR(($W9=($BF9-1)),($W9=($BG9+1)))),(CONCATENATE((BI9),(BJ9))),$W9))</f>
        <v>NÃO DEF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17.3</v>
      </c>
      <c r="C10" s="259">
        <f>'PD0101'!E10</f>
        <v>18.3</v>
      </c>
      <c r="D10" s="259">
        <f>'PD0101'!B10</f>
        <v>13</v>
      </c>
      <c r="E10" s="259">
        <f>'PD0101'!C10</f>
        <v>18.3</v>
      </c>
      <c r="F10" s="259">
        <f>'IMPORTAÇÃO GENOTIPER'!AY6</f>
        <v>0</v>
      </c>
      <c r="G10" s="259">
        <f>'IMPORTAÇÃO GENOTIPER'!BG6</f>
        <v>0</v>
      </c>
      <c r="H10" s="90">
        <f t="shared" si="0"/>
        <v>17.3</v>
      </c>
      <c r="I10" s="90">
        <f t="shared" si="0"/>
        <v>18.3</v>
      </c>
      <c r="J10" s="90">
        <f t="shared" si="0"/>
        <v>13</v>
      </c>
      <c r="K10" s="90">
        <f t="shared" si="0"/>
        <v>18.3</v>
      </c>
      <c r="L10" s="90">
        <f t="shared" si="0"/>
        <v>0</v>
      </c>
      <c r="M10" s="90">
        <f t="shared" si="0"/>
        <v>0</v>
      </c>
      <c r="N10" s="91">
        <f t="shared" si="1"/>
        <v>17.3</v>
      </c>
      <c r="O10" s="91">
        <f t="shared" si="2"/>
        <v>18.3</v>
      </c>
      <c r="P10" s="91">
        <f t="shared" si="3"/>
        <v>13</v>
      </c>
      <c r="Q10" s="91">
        <f t="shared" si="4"/>
        <v>18.3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18.3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18.3</v>
      </c>
      <c r="X10" s="116">
        <f>(ROUND( (IF((AND((T10=0),(U10=0))),D10,(IF((V10=2),S10,(IF((W10&lt;&gt;$AJ$7),(P10+Q10-W10),P10)))))),1))</f>
        <v>13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8.5300000000000001E-2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18.3</v>
      </c>
      <c r="BK10" s="54">
        <f t="shared" si="19"/>
        <v>18.3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10</v>
      </c>
      <c r="C11" s="259">
        <f>'PD0101'!E11</f>
        <v>15</v>
      </c>
      <c r="D11" s="259">
        <f>'PD0101'!B11</f>
        <v>10</v>
      </c>
      <c r="E11" s="259">
        <f>'PD0101'!C11</f>
        <v>10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10</v>
      </c>
      <c r="I11" s="90">
        <f t="shared" si="0"/>
        <v>15</v>
      </c>
      <c r="J11" s="90">
        <f t="shared" si="0"/>
        <v>10</v>
      </c>
      <c r="K11" s="90">
        <f t="shared" si="0"/>
        <v>10</v>
      </c>
      <c r="L11" s="90">
        <f t="shared" si="0"/>
        <v>0</v>
      </c>
      <c r="M11" s="90">
        <f t="shared" si="0"/>
        <v>0</v>
      </c>
      <c r="N11" s="91">
        <f t="shared" si="1"/>
        <v>10</v>
      </c>
      <c r="O11" s="91">
        <f t="shared" si="2"/>
        <v>15</v>
      </c>
      <c r="P11" s="91">
        <f t="shared" si="3"/>
        <v>10</v>
      </c>
      <c r="Q11" s="91">
        <f t="shared" si="4"/>
        <v>10</v>
      </c>
      <c r="R11" s="91">
        <f t="shared" si="5"/>
        <v>0</v>
      </c>
      <c r="S11" s="91">
        <f t="shared" si="6"/>
        <v>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14</v>
      </c>
      <c r="C12" s="261">
        <f>'PD0101'!E12</f>
        <v>14</v>
      </c>
      <c r="D12" s="261">
        <f>'PD0101'!B12</f>
        <v>12</v>
      </c>
      <c r="E12" s="261">
        <f>'PD0101'!C12</f>
        <v>14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14</v>
      </c>
      <c r="I12" s="112">
        <f t="shared" si="0"/>
        <v>14</v>
      </c>
      <c r="J12" s="112">
        <f t="shared" si="0"/>
        <v>12</v>
      </c>
      <c r="K12" s="112">
        <f t="shared" si="0"/>
        <v>14</v>
      </c>
      <c r="L12" s="112">
        <f t="shared" si="0"/>
        <v>0</v>
      </c>
      <c r="M12" s="112">
        <f t="shared" si="0"/>
        <v>0</v>
      </c>
      <c r="N12" s="113">
        <f t="shared" si="1"/>
        <v>14</v>
      </c>
      <c r="O12" s="113">
        <f t="shared" si="2"/>
        <v>14</v>
      </c>
      <c r="P12" s="113">
        <f t="shared" si="3"/>
        <v>12</v>
      </c>
      <c r="Q12" s="113">
        <f t="shared" si="4"/>
        <v>14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14</v>
      </c>
      <c r="V12" s="115">
        <f>(IF((OR((P12="&gt;21"),(Q12="&gt;21"))),2,(IF(((T12+U12)=(P12+Q12)),0,1))))</f>
        <v>1</v>
      </c>
      <c r="W12" s="114">
        <f t="shared" si="25"/>
        <v>14</v>
      </c>
      <c r="X12" s="116">
        <f>(ROUND( (IF((AND((T12=0),(U12=0))),D12,(IF((V12=2),S12,(IF((W12&lt;&gt;$AJ$7),(P12+Q12-W12),P12)))))),1))</f>
        <v>12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6.0499999999999998E-2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9</v>
      </c>
      <c r="C13" s="259">
        <f>'PD0101'!E13</f>
        <v>10</v>
      </c>
      <c r="D13" s="259">
        <f>'PD0101'!B13</f>
        <v>9</v>
      </c>
      <c r="E13" s="259">
        <f>'PD0101'!C13</f>
        <v>9</v>
      </c>
      <c r="F13" s="259">
        <f>'IMPORTAÇÃO GENOTIPER'!AY9</f>
        <v>0</v>
      </c>
      <c r="G13" s="259">
        <f>'IMPORTAÇÃO GENOTIPER'!BG9</f>
        <v>0</v>
      </c>
      <c r="H13" s="90">
        <f t="shared" si="0"/>
        <v>9</v>
      </c>
      <c r="I13" s="90">
        <f t="shared" si="0"/>
        <v>10</v>
      </c>
      <c r="J13" s="90">
        <f t="shared" si="0"/>
        <v>9</v>
      </c>
      <c r="K13" s="90">
        <f t="shared" si="0"/>
        <v>9</v>
      </c>
      <c r="L13" s="90">
        <f t="shared" si="0"/>
        <v>0</v>
      </c>
      <c r="M13" s="90">
        <f t="shared" si="0"/>
        <v>0</v>
      </c>
      <c r="N13" s="91">
        <f t="shared" si="1"/>
        <v>9</v>
      </c>
      <c r="O13" s="91">
        <f t="shared" si="2"/>
        <v>10</v>
      </c>
      <c r="P13" s="91">
        <f t="shared" si="3"/>
        <v>9</v>
      </c>
      <c r="Q13" s="91">
        <f t="shared" si="4"/>
        <v>9</v>
      </c>
      <c r="R13" s="91">
        <f t="shared" si="5"/>
        <v>0</v>
      </c>
      <c r="S13" s="91">
        <f t="shared" si="6"/>
        <v>0</v>
      </c>
      <c r="T13" s="92">
        <f t="shared" si="7"/>
        <v>9</v>
      </c>
      <c r="U13" s="92">
        <f t="shared" si="8"/>
        <v>9</v>
      </c>
      <c r="V13" s="93">
        <f>(IF((OR((P13="&gt;21"),(Q13="&gt;21"))),2,(IF(((T13+U13)=(P13+Q13)),0,1))))</f>
        <v>0</v>
      </c>
      <c r="W13" s="94">
        <f t="shared" si="25"/>
        <v>9</v>
      </c>
      <c r="X13" s="116">
        <f t="shared" ref="X13:X30" si="30">(ROUND( (IF((AND((T13=0),(U13=0))),D13,(IF((V13=2),S13,(IF((W13&lt;&gt;$AJ$7),(P13+Q13-W13),P13)))))),1))</f>
        <v>9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8.1736000000000003E-2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9</v>
      </c>
      <c r="BK13" s="54">
        <f t="shared" si="19"/>
        <v>9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12</v>
      </c>
      <c r="C14" s="259">
        <f>'PD0101'!E14</f>
        <v>15</v>
      </c>
      <c r="D14" s="259">
        <f>'PD0101'!B14</f>
        <v>13</v>
      </c>
      <c r="E14" s="259">
        <f>'PD0101'!C14</f>
        <v>15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12</v>
      </c>
      <c r="I14" s="90">
        <f t="shared" si="0"/>
        <v>15</v>
      </c>
      <c r="J14" s="90">
        <f t="shared" si="0"/>
        <v>13</v>
      </c>
      <c r="K14" s="90">
        <f t="shared" si="0"/>
        <v>15</v>
      </c>
      <c r="L14" s="90">
        <f t="shared" si="0"/>
        <v>0</v>
      </c>
      <c r="M14" s="90">
        <f t="shared" si="0"/>
        <v>0</v>
      </c>
      <c r="N14" s="91">
        <f t="shared" si="1"/>
        <v>12</v>
      </c>
      <c r="O14" s="91">
        <f t="shared" si="2"/>
        <v>15</v>
      </c>
      <c r="P14" s="91">
        <f t="shared" si="3"/>
        <v>13</v>
      </c>
      <c r="Q14" s="91">
        <f t="shared" si="4"/>
        <v>15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15</v>
      </c>
      <c r="V14" s="93">
        <f>(IF((OR((P14="&gt;20"),(Q14="&gt;20"))),2,(IF(((T14+U14)=(P14+Q14)),0,1))))</f>
        <v>1</v>
      </c>
      <c r="W14" s="94">
        <f t="shared" si="25"/>
        <v>15</v>
      </c>
      <c r="X14" s="116">
        <f t="shared" si="30"/>
        <v>13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15</v>
      </c>
      <c r="BK14" s="54">
        <f t="shared" si="19"/>
        <v>15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9</v>
      </c>
      <c r="C15" s="259">
        <f>'PD0101'!E15</f>
        <v>11</v>
      </c>
      <c r="D15" s="259">
        <f>'PD0101'!B15</f>
        <v>9</v>
      </c>
      <c r="E15" s="259">
        <f>'PD0101'!C15</f>
        <v>12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9</v>
      </c>
      <c r="I15" s="90">
        <f t="shared" si="0"/>
        <v>11</v>
      </c>
      <c r="J15" s="90">
        <f t="shared" si="0"/>
        <v>9</v>
      </c>
      <c r="K15" s="90">
        <f t="shared" si="0"/>
        <v>12</v>
      </c>
      <c r="L15" s="90">
        <f t="shared" si="0"/>
        <v>0</v>
      </c>
      <c r="M15" s="90">
        <f t="shared" si="0"/>
        <v>0</v>
      </c>
      <c r="N15" s="91">
        <f t="shared" si="1"/>
        <v>9</v>
      </c>
      <c r="O15" s="91">
        <f t="shared" si="2"/>
        <v>11</v>
      </c>
      <c r="P15" s="91">
        <f t="shared" si="3"/>
        <v>9</v>
      </c>
      <c r="Q15" s="91">
        <f t="shared" si="4"/>
        <v>12</v>
      </c>
      <c r="R15" s="91">
        <f t="shared" si="5"/>
        <v>0</v>
      </c>
      <c r="S15" s="91">
        <f t="shared" si="6"/>
        <v>0</v>
      </c>
      <c r="T15" s="92">
        <f t="shared" si="7"/>
        <v>9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9</v>
      </c>
      <c r="X15" s="116">
        <f t="shared" si="30"/>
        <v>12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9</v>
      </c>
      <c r="BK15" s="54">
        <f t="shared" si="19"/>
        <v>9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14</v>
      </c>
      <c r="C16" s="259">
        <f>'PD0101'!E16</f>
        <v>17</v>
      </c>
      <c r="D16" s="259">
        <f>'PD0101'!B16</f>
        <v>14</v>
      </c>
      <c r="E16" s="259">
        <f>'PD0101'!C16</f>
        <v>14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14</v>
      </c>
      <c r="I16" s="90">
        <f t="shared" si="0"/>
        <v>17</v>
      </c>
      <c r="J16" s="90">
        <f t="shared" si="0"/>
        <v>14</v>
      </c>
      <c r="K16" s="90">
        <f t="shared" si="0"/>
        <v>14</v>
      </c>
      <c r="L16" s="90">
        <f t="shared" si="0"/>
        <v>0</v>
      </c>
      <c r="M16" s="90">
        <f t="shared" si="0"/>
        <v>0</v>
      </c>
      <c r="N16" s="91">
        <f t="shared" si="1"/>
        <v>14</v>
      </c>
      <c r="O16" s="91">
        <f t="shared" si="2"/>
        <v>17</v>
      </c>
      <c r="P16" s="91">
        <f t="shared" si="3"/>
        <v>14</v>
      </c>
      <c r="Q16" s="91">
        <f t="shared" si="4"/>
        <v>14</v>
      </c>
      <c r="R16" s="91">
        <f t="shared" si="5"/>
        <v>0</v>
      </c>
      <c r="S16" s="91">
        <f t="shared" si="6"/>
        <v>0</v>
      </c>
      <c r="T16" s="92">
        <f t="shared" si="7"/>
        <v>14</v>
      </c>
      <c r="U16" s="92">
        <f t="shared" si="8"/>
        <v>14</v>
      </c>
      <c r="V16" s="93">
        <f>(IF((OR((P16="&gt;22"),(Q16="&gt;22"))),2,(IF(((T16+U16)=(P16+Q16)),0,1))))</f>
        <v>0</v>
      </c>
      <c r="W16" s="94">
        <f t="shared" si="25"/>
        <v>14</v>
      </c>
      <c r="X16" s="116">
        <f t="shared" si="30"/>
        <v>14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15</v>
      </c>
      <c r="BK16" s="54">
        <f t="shared" si="19"/>
        <v>14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17</v>
      </c>
      <c r="C17" s="259">
        <f>'PD0101'!E17</f>
        <v>20</v>
      </c>
      <c r="D17" s="259">
        <f>'PD0101'!B17</f>
        <v>17</v>
      </c>
      <c r="E17" s="259">
        <f>'PD0101'!C17</f>
        <v>22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17</v>
      </c>
      <c r="I17" s="90">
        <f t="shared" si="0"/>
        <v>20</v>
      </c>
      <c r="J17" s="90">
        <f t="shared" si="0"/>
        <v>17</v>
      </c>
      <c r="K17" s="90">
        <f t="shared" si="0"/>
        <v>22</v>
      </c>
      <c r="L17" s="90">
        <f t="shared" si="0"/>
        <v>0</v>
      </c>
      <c r="M17" s="90">
        <f t="shared" si="0"/>
        <v>0</v>
      </c>
      <c r="N17" s="91">
        <f t="shared" si="1"/>
        <v>17</v>
      </c>
      <c r="O17" s="91">
        <f t="shared" si="2"/>
        <v>20</v>
      </c>
      <c r="P17" s="91">
        <f t="shared" si="3"/>
        <v>17</v>
      </c>
      <c r="Q17" s="91">
        <f t="shared" si="4"/>
        <v>22</v>
      </c>
      <c r="R17" s="91">
        <f t="shared" si="5"/>
        <v>0</v>
      </c>
      <c r="S17" s="91">
        <f t="shared" si="6"/>
        <v>0</v>
      </c>
      <c r="T17" s="92">
        <f t="shared" si="7"/>
        <v>17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17</v>
      </c>
      <c r="X17" s="116">
        <f t="shared" si="30"/>
        <v>22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8.14E-2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17</v>
      </c>
      <c r="BK17" s="54">
        <f t="shared" si="19"/>
        <v>17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11</v>
      </c>
      <c r="C18" s="259">
        <f>'PD0101'!E18</f>
        <v>12</v>
      </c>
      <c r="D18" s="259">
        <f>'PD0101'!B18</f>
        <v>10</v>
      </c>
      <c r="E18" s="259">
        <f>'PD0101'!C18</f>
        <v>11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11</v>
      </c>
      <c r="I18" s="90">
        <f t="shared" si="0"/>
        <v>12</v>
      </c>
      <c r="J18" s="90">
        <f t="shared" si="0"/>
        <v>10</v>
      </c>
      <c r="K18" s="90">
        <f t="shared" si="0"/>
        <v>11</v>
      </c>
      <c r="L18" s="90">
        <f t="shared" si="0"/>
        <v>0</v>
      </c>
      <c r="M18" s="90">
        <f t="shared" si="0"/>
        <v>0</v>
      </c>
      <c r="N18" s="91">
        <f t="shared" si="1"/>
        <v>11</v>
      </c>
      <c r="O18" s="91">
        <f t="shared" si="2"/>
        <v>12</v>
      </c>
      <c r="P18" s="91">
        <f t="shared" si="3"/>
        <v>10</v>
      </c>
      <c r="Q18" s="91">
        <f t="shared" si="4"/>
        <v>11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11</v>
      </c>
      <c r="V18" s="93">
        <f>(IF((OR((P18="&gt;17,2"),(Q18="&gt;17,2"))),2,(IF(((T18+U18)=(P18+Q18)),0,1))))</f>
        <v>1</v>
      </c>
      <c r="W18" s="94">
        <f t="shared" si="25"/>
        <v>11</v>
      </c>
      <c r="X18" s="116">
        <f t="shared" si="30"/>
        <v>10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11</v>
      </c>
      <c r="BK18" s="54">
        <f t="shared" si="19"/>
        <v>11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11</v>
      </c>
      <c r="C19" s="259">
        <f>'PD0101'!E19</f>
        <v>12</v>
      </c>
      <c r="D19" s="259">
        <f>'PD0101'!B19</f>
        <v>9</v>
      </c>
      <c r="E19" s="259">
        <f>'PD0101'!C19</f>
        <v>11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11</v>
      </c>
      <c r="I19" s="90">
        <f t="shared" si="0"/>
        <v>12</v>
      </c>
      <c r="J19" s="90">
        <f t="shared" si="0"/>
        <v>9</v>
      </c>
      <c r="K19" s="90">
        <f t="shared" si="0"/>
        <v>11</v>
      </c>
      <c r="L19" s="90">
        <f t="shared" si="0"/>
        <v>0</v>
      </c>
      <c r="M19" s="90">
        <f t="shared" si="0"/>
        <v>0</v>
      </c>
      <c r="N19" s="91">
        <f t="shared" si="1"/>
        <v>11</v>
      </c>
      <c r="O19" s="91">
        <f t="shared" si="2"/>
        <v>12</v>
      </c>
      <c r="P19" s="91">
        <f t="shared" si="3"/>
        <v>9</v>
      </c>
      <c r="Q19" s="91">
        <f t="shared" si="4"/>
        <v>11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11</v>
      </c>
      <c r="V19" s="93">
        <f>(IF((OR((P19="&gt;21"),(Q19="&gt;21"))),2,(IF(((T19+U19)=(P19+Q19)),0,1))))</f>
        <v>1</v>
      </c>
      <c r="W19" s="94">
        <f t="shared" si="25"/>
        <v>11</v>
      </c>
      <c r="X19" s="116">
        <f t="shared" si="30"/>
        <v>9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11</v>
      </c>
      <c r="BK19" s="54">
        <f t="shared" si="19"/>
        <v>11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8</v>
      </c>
      <c r="C20" s="259">
        <f>'PD0101'!E20</f>
        <v>9</v>
      </c>
      <c r="D20" s="259">
        <f>'PD0101'!B20</f>
        <v>7</v>
      </c>
      <c r="E20" s="259">
        <f>'PD0101'!C20</f>
        <v>8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8</v>
      </c>
      <c r="I20" s="90">
        <f t="shared" si="0"/>
        <v>9</v>
      </c>
      <c r="J20" s="90">
        <f t="shared" si="0"/>
        <v>7</v>
      </c>
      <c r="K20" s="90">
        <f t="shared" si="0"/>
        <v>8</v>
      </c>
      <c r="L20" s="90">
        <f t="shared" si="0"/>
        <v>0</v>
      </c>
      <c r="M20" s="90">
        <f t="shared" si="0"/>
        <v>0</v>
      </c>
      <c r="N20" s="91">
        <f t="shared" si="1"/>
        <v>8</v>
      </c>
      <c r="O20" s="91">
        <f t="shared" si="2"/>
        <v>9</v>
      </c>
      <c r="P20" s="91">
        <f t="shared" si="3"/>
        <v>7</v>
      </c>
      <c r="Q20" s="91">
        <f t="shared" si="4"/>
        <v>8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8</v>
      </c>
      <c r="V20" s="93">
        <f>(IF((OR((P20="&gt;20"),(Q20="&gt;20"))),2,(IF(((T20+U20)=(P20+Q20)),0,1))))</f>
        <v>1</v>
      </c>
      <c r="W20" s="94">
        <f t="shared" si="25"/>
        <v>8</v>
      </c>
      <c r="X20" s="116">
        <f t="shared" si="30"/>
        <v>7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8</v>
      </c>
      <c r="BK20" s="54">
        <f t="shared" si="19"/>
        <v>8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15</v>
      </c>
      <c r="C21" s="259">
        <f>'PD0101'!E21</f>
        <v>17</v>
      </c>
      <c r="D21" s="259">
        <f>'PD0101'!B21</f>
        <v>15</v>
      </c>
      <c r="E21" s="259">
        <f>'PD0101'!C21</f>
        <v>15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15</v>
      </c>
      <c r="I21" s="90">
        <f t="shared" si="0"/>
        <v>17</v>
      </c>
      <c r="J21" s="90">
        <f t="shared" si="0"/>
        <v>15</v>
      </c>
      <c r="K21" s="90">
        <f t="shared" si="0"/>
        <v>15</v>
      </c>
      <c r="L21" s="90">
        <f t="shared" si="0"/>
        <v>0</v>
      </c>
      <c r="M21" s="90">
        <f t="shared" si="0"/>
        <v>0</v>
      </c>
      <c r="N21" s="91">
        <f t="shared" si="1"/>
        <v>15</v>
      </c>
      <c r="O21" s="91">
        <f t="shared" si="2"/>
        <v>17</v>
      </c>
      <c r="P21" s="91">
        <f t="shared" si="3"/>
        <v>15</v>
      </c>
      <c r="Q21" s="91">
        <f t="shared" si="4"/>
        <v>15</v>
      </c>
      <c r="R21" s="91">
        <f t="shared" si="5"/>
        <v>0</v>
      </c>
      <c r="S21" s="91">
        <f t="shared" si="6"/>
        <v>0</v>
      </c>
      <c r="T21" s="92">
        <f t="shared" si="7"/>
        <v>15</v>
      </c>
      <c r="U21" s="92">
        <f t="shared" si="8"/>
        <v>15</v>
      </c>
      <c r="V21" s="93">
        <f>(IF((OR((P21="&gt;24"),(Q21="&gt;24"))),2,(IF(((T21+U21)=(P21+Q21)),0,1))))</f>
        <v>0</v>
      </c>
      <c r="W21" s="94">
        <f t="shared" si="25"/>
        <v>15</v>
      </c>
      <c r="X21" s="116">
        <f t="shared" si="30"/>
        <v>15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0.13799400000000001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15</v>
      </c>
      <c r="BK21" s="54">
        <f t="shared" si="19"/>
        <v>15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30</v>
      </c>
      <c r="C22" s="259">
        <f>'PD0101'!E22</f>
        <v>33.200000000000003</v>
      </c>
      <c r="D22" s="259">
        <f>'PD0101'!B22</f>
        <v>28</v>
      </c>
      <c r="E22" s="259">
        <f>'PD0101'!C22</f>
        <v>30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30</v>
      </c>
      <c r="I22" s="90">
        <f t="shared" si="0"/>
        <v>33.200000000000003</v>
      </c>
      <c r="J22" s="90">
        <f t="shared" si="0"/>
        <v>28</v>
      </c>
      <c r="K22" s="90">
        <f t="shared" si="0"/>
        <v>30</v>
      </c>
      <c r="L22" s="90">
        <f t="shared" si="0"/>
        <v>0</v>
      </c>
      <c r="M22" s="90">
        <f t="shared" si="0"/>
        <v>0</v>
      </c>
      <c r="N22" s="91">
        <f t="shared" si="1"/>
        <v>30</v>
      </c>
      <c r="O22" s="91">
        <f t="shared" si="2"/>
        <v>33.200000000000003</v>
      </c>
      <c r="P22" s="91">
        <f t="shared" si="3"/>
        <v>28</v>
      </c>
      <c r="Q22" s="91">
        <f t="shared" si="4"/>
        <v>30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30</v>
      </c>
      <c r="V22" s="93">
        <f>(IF((OR((P22="&gt;22"),(Q22="&gt;22"))),2,(IF(((T22+U22)=(P22+Q22)),0,1))))</f>
        <v>1</v>
      </c>
      <c r="W22" s="94">
        <f t="shared" si="25"/>
        <v>30</v>
      </c>
      <c r="X22" s="116">
        <f t="shared" si="30"/>
        <v>28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0.15936700000000001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30</v>
      </c>
      <c r="BK22" s="54">
        <f t="shared" si="19"/>
        <v>30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10</v>
      </c>
      <c r="C23" s="259">
        <f>'PD0101'!E23</f>
        <v>11</v>
      </c>
      <c r="D23" s="259">
        <f>'PD0101'!B23</f>
        <v>10</v>
      </c>
      <c r="E23" s="259">
        <f>'PD0101'!C23</f>
        <v>12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10</v>
      </c>
      <c r="I23" s="90">
        <f t="shared" si="0"/>
        <v>11</v>
      </c>
      <c r="J23" s="90">
        <f t="shared" si="0"/>
        <v>10</v>
      </c>
      <c r="K23" s="90">
        <f t="shared" si="0"/>
        <v>12</v>
      </c>
      <c r="L23" s="90">
        <f t="shared" si="0"/>
        <v>0</v>
      </c>
      <c r="M23" s="90">
        <f t="shared" si="0"/>
        <v>0</v>
      </c>
      <c r="N23" s="91">
        <f t="shared" si="1"/>
        <v>10</v>
      </c>
      <c r="O23" s="91">
        <f t="shared" si="2"/>
        <v>11</v>
      </c>
      <c r="P23" s="91">
        <f t="shared" si="3"/>
        <v>10</v>
      </c>
      <c r="Q23" s="91">
        <f t="shared" si="4"/>
        <v>12</v>
      </c>
      <c r="R23" s="91">
        <f t="shared" si="5"/>
        <v>0</v>
      </c>
      <c r="S23" s="91">
        <f t="shared" si="6"/>
        <v>0</v>
      </c>
      <c r="T23" s="92">
        <f t="shared" si="7"/>
        <v>10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10</v>
      </c>
      <c r="X23" s="116">
        <f t="shared" si="30"/>
        <v>12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0.161387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10</v>
      </c>
      <c r="BK23" s="25">
        <f t="shared" si="19"/>
        <v>10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11</v>
      </c>
      <c r="C24" s="259">
        <f>'PD0101'!E24</f>
        <v>12</v>
      </c>
      <c r="D24" s="259">
        <f>'PD0101'!B24</f>
        <v>12</v>
      </c>
      <c r="E24" s="259">
        <f>'PD0101'!C24</f>
        <v>12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11</v>
      </c>
      <c r="I24" s="90">
        <f t="shared" si="0"/>
        <v>12</v>
      </c>
      <c r="J24" s="90">
        <f t="shared" si="0"/>
        <v>12</v>
      </c>
      <c r="K24" s="90">
        <f t="shared" si="0"/>
        <v>12</v>
      </c>
      <c r="L24" s="90">
        <f t="shared" si="0"/>
        <v>0</v>
      </c>
      <c r="M24" s="90">
        <f t="shared" si="0"/>
        <v>0</v>
      </c>
      <c r="N24" s="91">
        <f t="shared" si="1"/>
        <v>11</v>
      </c>
      <c r="O24" s="91">
        <f t="shared" si="2"/>
        <v>12</v>
      </c>
      <c r="P24" s="91">
        <f t="shared" si="3"/>
        <v>12</v>
      </c>
      <c r="Q24" s="91">
        <f t="shared" si="4"/>
        <v>12</v>
      </c>
      <c r="R24" s="91">
        <f t="shared" si="5"/>
        <v>0</v>
      </c>
      <c r="S24" s="91">
        <f t="shared" si="6"/>
        <v>0</v>
      </c>
      <c r="T24" s="92">
        <f t="shared" si="7"/>
        <v>12</v>
      </c>
      <c r="U24" s="92">
        <f t="shared" si="8"/>
        <v>12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12</v>
      </c>
      <c r="X24" s="116">
        <f t="shared" si="30"/>
        <v>12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0.34637600000000002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12</v>
      </c>
      <c r="BK24" s="54">
        <f t="shared" si="19"/>
        <v>12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8</v>
      </c>
      <c r="D25" s="259">
        <f>'PD0101'!B25</f>
        <v>8</v>
      </c>
      <c r="E25" s="259">
        <f>'PD0101'!C25</f>
        <v>8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8</v>
      </c>
      <c r="I25" s="90">
        <f t="shared" si="33"/>
        <v>8</v>
      </c>
      <c r="J25" s="90">
        <f t="shared" si="33"/>
        <v>8</v>
      </c>
      <c r="K25" s="90">
        <f t="shared" si="33"/>
        <v>8</v>
      </c>
      <c r="L25" s="90">
        <f t="shared" si="33"/>
        <v>0</v>
      </c>
      <c r="M25" s="90">
        <f t="shared" si="33"/>
        <v>0</v>
      </c>
      <c r="N25" s="91">
        <f t="shared" si="1"/>
        <v>8</v>
      </c>
      <c r="O25" s="91">
        <f t="shared" si="2"/>
        <v>8</v>
      </c>
      <c r="P25" s="91">
        <f t="shared" si="3"/>
        <v>8</v>
      </c>
      <c r="Q25" s="91">
        <f t="shared" si="4"/>
        <v>8</v>
      </c>
      <c r="R25" s="91">
        <f t="shared" si="5"/>
        <v>0</v>
      </c>
      <c r="S25" s="91">
        <f t="shared" si="6"/>
        <v>0</v>
      </c>
      <c r="T25" s="92">
        <f t="shared" si="7"/>
        <v>8</v>
      </c>
      <c r="U25" s="92">
        <f t="shared" si="8"/>
        <v>8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8</v>
      </c>
      <c r="X25" s="116">
        <f t="shared" si="30"/>
        <v>8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13</v>
      </c>
      <c r="D26" s="259">
        <f>'PD0101'!B26</f>
        <v>12</v>
      </c>
      <c r="E26" s="259">
        <f>'PD0101'!C26</f>
        <v>13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13</v>
      </c>
      <c r="I26" s="90">
        <f t="shared" si="33"/>
        <v>13</v>
      </c>
      <c r="J26" s="90">
        <f t="shared" si="33"/>
        <v>12</v>
      </c>
      <c r="K26" s="90">
        <f t="shared" si="33"/>
        <v>13</v>
      </c>
      <c r="L26" s="90">
        <f t="shared" si="33"/>
        <v>0</v>
      </c>
      <c r="M26" s="90">
        <f t="shared" si="33"/>
        <v>0</v>
      </c>
      <c r="N26" s="91">
        <f t="shared" si="1"/>
        <v>13</v>
      </c>
      <c r="O26" s="91">
        <f t="shared" si="2"/>
        <v>13</v>
      </c>
      <c r="P26" s="91">
        <f t="shared" si="3"/>
        <v>12</v>
      </c>
      <c r="Q26" s="91">
        <f t="shared" si="4"/>
        <v>13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13</v>
      </c>
      <c r="V26" s="93">
        <f>(IF((OR((P26="&gt;21"),(Q26="&gt;21"))),2,(IF(((T26+U26)=(P26+Q26)),0,1))))</f>
        <v>1</v>
      </c>
      <c r="W26" s="92">
        <f t="shared" si="34"/>
        <v>13</v>
      </c>
      <c r="X26" s="116">
        <f t="shared" si="30"/>
        <v>12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0.12992999999999999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13</v>
      </c>
      <c r="BK26" s="54">
        <f t="shared" si="19"/>
        <v>13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17</v>
      </c>
      <c r="C27" s="259">
        <f>'PD0101'!E27</f>
        <v>18</v>
      </c>
      <c r="D27" s="259">
        <f>'PD0101'!B27</f>
        <v>17</v>
      </c>
      <c r="E27" s="259">
        <f>'PD0101'!C27</f>
        <v>18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17</v>
      </c>
      <c r="I27" s="90">
        <f t="shared" si="33"/>
        <v>18</v>
      </c>
      <c r="J27" s="90">
        <f t="shared" si="33"/>
        <v>17</v>
      </c>
      <c r="K27" s="90">
        <f t="shared" si="33"/>
        <v>18</v>
      </c>
      <c r="L27" s="90">
        <f t="shared" si="33"/>
        <v>0</v>
      </c>
      <c r="M27" s="90">
        <f t="shared" si="33"/>
        <v>0</v>
      </c>
      <c r="N27" s="91">
        <f t="shared" si="1"/>
        <v>17</v>
      </c>
      <c r="O27" s="91">
        <f t="shared" si="2"/>
        <v>18</v>
      </c>
      <c r="P27" s="91">
        <f t="shared" si="3"/>
        <v>17</v>
      </c>
      <c r="Q27" s="91">
        <f t="shared" si="4"/>
        <v>18</v>
      </c>
      <c r="R27" s="91">
        <f t="shared" si="5"/>
        <v>0</v>
      </c>
      <c r="S27" s="91">
        <f t="shared" si="6"/>
        <v>0</v>
      </c>
      <c r="T27" s="92">
        <f t="shared" si="7"/>
        <v>17</v>
      </c>
      <c r="U27" s="92">
        <f t="shared" si="8"/>
        <v>18</v>
      </c>
      <c r="V27" s="93">
        <f>(IF((OR((P27="&gt;21"),(Q27="&gt;21"))),2,(IF(((T27+U27)=(P27+Q27)),0,1))))</f>
        <v>0</v>
      </c>
      <c r="W27" s="94" t="str">
        <f t="shared" si="34"/>
        <v>NÃO DEF</v>
      </c>
      <c r="X27" s="116">
        <f t="shared" si="30"/>
        <v>17</v>
      </c>
      <c r="Y27" s="92">
        <f>(IF((AND((T27=0),(U27=0))),E27,(IF((W27&lt;&gt;$AJ$7),0,Q27))))</f>
        <v>18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9.6000000000000002E-2</v>
      </c>
      <c r="AC27" s="97">
        <f>IF(Y27=0,0,VLOOKUP(Y27,FREQUENCIAS!$1:$1048576,(IF(($A27=FREQUENCIAS!$T$1),20,"ERRO")),FREQUENCIAS!$1:$1048576))</f>
        <v>0.18790000000000001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 t="str">
        <f t="shared" si="18"/>
        <v>NÃO DEF</v>
      </c>
      <c r="BK27" s="54" t="str">
        <f t="shared" si="19"/>
        <v>NÃO DEF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14</v>
      </c>
      <c r="C28" s="259">
        <f>'PD0101'!E28</f>
        <v>15</v>
      </c>
      <c r="D28" s="259">
        <f>'PD0101'!B28</f>
        <v>14</v>
      </c>
      <c r="E28" s="259">
        <f>'PD0101'!C28</f>
        <v>14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14</v>
      </c>
      <c r="I28" s="90">
        <f t="shared" si="33"/>
        <v>15</v>
      </c>
      <c r="J28" s="90">
        <f t="shared" si="33"/>
        <v>14</v>
      </c>
      <c r="K28" s="90">
        <f t="shared" si="33"/>
        <v>14</v>
      </c>
      <c r="L28" s="90">
        <f t="shared" si="33"/>
        <v>0</v>
      </c>
      <c r="M28" s="90">
        <f t="shared" si="33"/>
        <v>0</v>
      </c>
      <c r="N28" s="91">
        <f t="shared" si="1"/>
        <v>14</v>
      </c>
      <c r="O28" s="91">
        <f t="shared" si="2"/>
        <v>15</v>
      </c>
      <c r="P28" s="91">
        <f t="shared" si="3"/>
        <v>14</v>
      </c>
      <c r="Q28" s="91">
        <f t="shared" si="4"/>
        <v>14</v>
      </c>
      <c r="R28" s="91">
        <f t="shared" si="5"/>
        <v>0</v>
      </c>
      <c r="S28" s="91">
        <f t="shared" si="6"/>
        <v>0</v>
      </c>
      <c r="T28" s="92">
        <f t="shared" si="7"/>
        <v>14</v>
      </c>
      <c r="U28" s="92">
        <f t="shared" si="8"/>
        <v>14</v>
      </c>
      <c r="V28" s="93">
        <f>(IF((OR((P28="&gt;20"),(Q28="&gt;20"))),2,(IF(((T28+U28)=(P28+Q28)),0,1))))</f>
        <v>0</v>
      </c>
      <c r="W28" s="94">
        <f t="shared" si="34"/>
        <v>14</v>
      </c>
      <c r="X28" s="116">
        <f t="shared" si="30"/>
        <v>14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14</v>
      </c>
      <c r="BK28" s="54">
        <f t="shared" si="19"/>
        <v>14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21</v>
      </c>
      <c r="C29" s="259">
        <f>'PD0101'!E29</f>
        <v>23</v>
      </c>
      <c r="D29" s="259">
        <f>'PD0101'!B29</f>
        <v>21</v>
      </c>
      <c r="E29" s="259">
        <f>'PD0101'!C29</f>
        <v>26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21</v>
      </c>
      <c r="I29" s="90">
        <f t="shared" si="33"/>
        <v>23</v>
      </c>
      <c r="J29" s="90">
        <f t="shared" si="33"/>
        <v>21</v>
      </c>
      <c r="K29" s="90">
        <f t="shared" si="33"/>
        <v>26</v>
      </c>
      <c r="L29" s="90">
        <f t="shared" si="33"/>
        <v>0</v>
      </c>
      <c r="M29" s="90">
        <f t="shared" si="33"/>
        <v>0</v>
      </c>
      <c r="N29" s="91">
        <f t="shared" si="1"/>
        <v>21</v>
      </c>
      <c r="O29" s="91">
        <f t="shared" si="2"/>
        <v>23</v>
      </c>
      <c r="P29" s="91">
        <f t="shared" si="3"/>
        <v>21</v>
      </c>
      <c r="Q29" s="91">
        <f t="shared" si="4"/>
        <v>26</v>
      </c>
      <c r="R29" s="91">
        <f t="shared" si="5"/>
        <v>0</v>
      </c>
      <c r="S29" s="91">
        <f t="shared" si="6"/>
        <v>0</v>
      </c>
      <c r="T29" s="92">
        <f t="shared" si="7"/>
        <v>21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21</v>
      </c>
      <c r="X29" s="116">
        <f t="shared" si="30"/>
        <v>26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4.7419999999999997E-2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21</v>
      </c>
      <c r="BK29" s="54">
        <f t="shared" si="19"/>
        <v>21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15</v>
      </c>
      <c r="C30" s="259">
        <f>'PD0101'!E30</f>
        <v>16</v>
      </c>
      <c r="D30" s="259">
        <f>'PD0101'!B30</f>
        <v>15</v>
      </c>
      <c r="E30" s="259">
        <f>'PD0101'!C30</f>
        <v>17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15</v>
      </c>
      <c r="I30" s="90">
        <f t="shared" si="33"/>
        <v>16</v>
      </c>
      <c r="J30" s="90">
        <f t="shared" si="33"/>
        <v>15</v>
      </c>
      <c r="K30" s="90">
        <f t="shared" si="33"/>
        <v>17</v>
      </c>
      <c r="L30" s="90">
        <f t="shared" si="33"/>
        <v>0</v>
      </c>
      <c r="M30" s="90">
        <f t="shared" si="33"/>
        <v>0</v>
      </c>
      <c r="N30" s="91">
        <f t="shared" si="1"/>
        <v>15</v>
      </c>
      <c r="O30" s="91">
        <f t="shared" si="2"/>
        <v>16</v>
      </c>
      <c r="P30" s="91">
        <f t="shared" si="3"/>
        <v>15</v>
      </c>
      <c r="Q30" s="91">
        <f t="shared" si="4"/>
        <v>17</v>
      </c>
      <c r="R30" s="91">
        <f t="shared" si="5"/>
        <v>0</v>
      </c>
      <c r="S30" s="91">
        <f t="shared" si="6"/>
        <v>0</v>
      </c>
      <c r="T30" s="92">
        <f t="shared" si="7"/>
        <v>15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15</v>
      </c>
      <c r="X30" s="116">
        <f t="shared" si="30"/>
        <v>17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0.12039999999999999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15</v>
      </c>
      <c r="BK30" s="54">
        <f t="shared" si="19"/>
        <v>15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22"/>
      <c r="AI31" s="922"/>
      <c r="AK31" s="849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9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237</v>
      </c>
      <c r="AS37" s="921"/>
      <c r="AT37" s="921"/>
      <c r="AU37" s="921"/>
      <c r="AV37" s="921"/>
      <c r="AW37" s="921"/>
      <c r="AX37" s="921"/>
      <c r="AY37" s="921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13">
        <f ca="1">TODAY()</f>
        <v>45747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  <c r="BF49" s="2"/>
      <c r="BG49" s="2"/>
    </row>
    <row r="50" spans="1:59" s="1" customFormat="1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  <c r="BF50" s="2"/>
      <c r="BG50" s="2"/>
    </row>
    <row r="51" spans="1:59" s="1" customFormat="1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  <c r="BF51" s="2"/>
      <c r="BG51" s="2"/>
    </row>
    <row r="52" spans="1:59" s="1" customFormat="1" ht="13.5" thickBot="1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>
      <c r="A70" s="110">
        <v>17.100000000000001</v>
      </c>
      <c r="T70" s="288">
        <v>1.1999999999999999E-3</v>
      </c>
    </row>
    <row r="71" spans="1:28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>
      <c r="A74" s="110">
        <v>18.100000000000001</v>
      </c>
    </row>
    <row r="75" spans="1:28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>
      <c r="A78" s="110">
        <v>19.100000000000001</v>
      </c>
      <c r="T78" s="288">
        <v>4.1999999999999997E-3</v>
      </c>
    </row>
    <row r="79" spans="1:28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>
      <c r="A80" s="110">
        <v>19.3</v>
      </c>
      <c r="C80" s="288">
        <v>3.5999999999999999E-3</v>
      </c>
      <c r="T80" s="288">
        <v>1.26E-2</v>
      </c>
    </row>
    <row r="81" spans="1:24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>
      <c r="A82" s="110">
        <v>20.100000000000001</v>
      </c>
    </row>
    <row r="83" spans="1:24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>
      <c r="A84" s="110">
        <v>20.3</v>
      </c>
      <c r="C84" s="288">
        <v>3.0000000000000001E-3</v>
      </c>
      <c r="T84" s="288">
        <v>1.8E-3</v>
      </c>
    </row>
    <row r="85" spans="1:24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>
      <c r="A86" s="110">
        <v>21.1</v>
      </c>
    </row>
    <row r="87" spans="1:24">
      <c r="A87" s="110">
        <v>21.2</v>
      </c>
      <c r="I87" s="287">
        <v>3.9999999999999998E-6</v>
      </c>
      <c r="V87" s="287">
        <v>1.3439999999999999E-3</v>
      </c>
    </row>
    <row r="88" spans="1:24">
      <c r="A88" s="110">
        <v>21.3</v>
      </c>
    </row>
    <row r="89" spans="1:24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>
      <c r="A90" s="110">
        <v>22.1</v>
      </c>
    </row>
    <row r="91" spans="1:24">
      <c r="A91" s="110">
        <v>22.2</v>
      </c>
      <c r="V91" s="287">
        <v>2.4369999999999999E-3</v>
      </c>
      <c r="X91" s="288">
        <v>3.7999999999999999E-2</v>
      </c>
    </row>
    <row r="92" spans="1:24">
      <c r="A92" s="110">
        <v>22.3</v>
      </c>
    </row>
    <row r="93" spans="1:24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>
      <c r="A94" s="110">
        <v>23.1</v>
      </c>
    </row>
    <row r="95" spans="1:24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>
      <c r="A96" s="110">
        <v>23.3</v>
      </c>
    </row>
    <row r="97" spans="1:24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>
      <c r="A98" s="110">
        <v>24.1</v>
      </c>
    </row>
    <row r="99" spans="1:24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>
      <c r="A100" s="110">
        <v>24.3</v>
      </c>
    </row>
    <row r="101" spans="1:24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>
      <c r="A102" s="110">
        <v>25.1</v>
      </c>
    </row>
    <row r="103" spans="1:24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>
      <c r="A104" s="110">
        <v>25.3</v>
      </c>
    </row>
    <row r="105" spans="1:24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>
      <c r="A106" s="110">
        <v>26.1</v>
      </c>
    </row>
    <row r="107" spans="1:24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>
      <c r="A108" s="110">
        <v>26.3</v>
      </c>
    </row>
    <row r="109" spans="1:24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>
      <c r="A110" s="110">
        <v>27.1</v>
      </c>
    </row>
    <row r="111" spans="1:24">
      <c r="A111" s="110">
        <v>27.2</v>
      </c>
      <c r="O111" s="287">
        <v>7.7000000000000001E-5</v>
      </c>
      <c r="X111" s="288">
        <v>9.5000000000000001E-2</v>
      </c>
    </row>
    <row r="112" spans="1:24">
      <c r="A112" s="110">
        <v>27.3</v>
      </c>
    </row>
    <row r="113" spans="1:24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>
      <c r="A114" s="110">
        <v>28.1</v>
      </c>
    </row>
    <row r="115" spans="1:24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>
      <c r="A116" s="110">
        <v>28.3</v>
      </c>
      <c r="X116" s="288">
        <v>1E-3</v>
      </c>
    </row>
    <row r="117" spans="1:24">
      <c r="A117" s="110">
        <v>29</v>
      </c>
      <c r="O117" s="287">
        <v>0.20807800000000001</v>
      </c>
      <c r="V117" s="287">
        <v>1.807E-3</v>
      </c>
    </row>
    <row r="118" spans="1:24">
      <c r="A118" s="110">
        <v>29.1</v>
      </c>
    </row>
    <row r="119" spans="1:24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>
      <c r="A120" s="110">
        <v>29.3</v>
      </c>
    </row>
    <row r="121" spans="1:24">
      <c r="A121" s="110">
        <v>30</v>
      </c>
      <c r="O121" s="287">
        <v>0.231679</v>
      </c>
      <c r="V121" s="287">
        <v>7.1000000000000002E-4</v>
      </c>
    </row>
    <row r="122" spans="1:24">
      <c r="A122" s="110">
        <v>30.1</v>
      </c>
    </row>
    <row r="123" spans="1:24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>
      <c r="A124" s="110">
        <v>30.3</v>
      </c>
    </row>
    <row r="125" spans="1:24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>
      <c r="A126" s="110">
        <v>31.1</v>
      </c>
    </row>
    <row r="127" spans="1:24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>
      <c r="A128" s="110">
        <v>31.3</v>
      </c>
    </row>
    <row r="129" spans="1:24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>
      <c r="A130" s="110">
        <v>32.1</v>
      </c>
    </row>
    <row r="131" spans="1:24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>
      <c r="A132" s="110">
        <v>32.299999999999997</v>
      </c>
    </row>
    <row r="133" spans="1:24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>
      <c r="A134" s="110">
        <v>33.1</v>
      </c>
    </row>
    <row r="135" spans="1:24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>
      <c r="A136" s="110">
        <v>33.299999999999997</v>
      </c>
      <c r="O136" s="287">
        <v>7.9999999999999996E-6</v>
      </c>
    </row>
    <row r="137" spans="1:24">
      <c r="A137" s="110">
        <v>34</v>
      </c>
      <c r="O137" s="287">
        <v>4.5880000000000001E-3</v>
      </c>
      <c r="X137" s="288">
        <v>7.0000000000000001E-3</v>
      </c>
    </row>
    <row r="138" spans="1:24">
      <c r="A138" s="110">
        <v>34.1</v>
      </c>
    </row>
    <row r="139" spans="1:24">
      <c r="A139" s="110">
        <v>34.200000000000003</v>
      </c>
      <c r="O139" s="287">
        <v>3.7690000000000002E-3</v>
      </c>
      <c r="X139" s="288">
        <v>1E-3</v>
      </c>
    </row>
    <row r="140" spans="1:24">
      <c r="A140" s="110">
        <v>34.299999999999997</v>
      </c>
    </row>
    <row r="141" spans="1:24">
      <c r="A141" s="110">
        <v>35</v>
      </c>
      <c r="O141" s="287">
        <v>6.4419999999999998E-3</v>
      </c>
    </row>
    <row r="142" spans="1:24">
      <c r="A142" s="110">
        <v>35.1</v>
      </c>
      <c r="O142" s="287">
        <v>3.9999999999999998E-6</v>
      </c>
    </row>
    <row r="143" spans="1:24">
      <c r="A143" s="110">
        <v>35.200000000000003</v>
      </c>
      <c r="O143" s="287">
        <v>1.323E-3</v>
      </c>
    </row>
    <row r="144" spans="1:24">
      <c r="A144" s="110">
        <v>35.299999999999997</v>
      </c>
    </row>
    <row r="145" spans="1:22">
      <c r="A145" s="110">
        <v>36</v>
      </c>
      <c r="O145" s="287">
        <v>2.261E-3</v>
      </c>
    </row>
    <row r="146" spans="1:22" s="288" customFormat="1" ht="14.25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4.25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4.25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4.25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4.25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4.25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4.25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4.25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4.25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4.25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4.25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4.25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4.25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4.25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4.25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4.25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4.25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4.25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4.25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4.25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4.25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4.25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4.25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4.25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4.25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4.25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4.25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2025-02-17T14:12:41Z</cp:lastPrinted>
  <dcterms:created xsi:type="dcterms:W3CDTF">2000-11-01T18:17:47Z</dcterms:created>
  <dcterms:modified xsi:type="dcterms:W3CDTF">2025-03-31T23:32:47Z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</Properties>
</file>