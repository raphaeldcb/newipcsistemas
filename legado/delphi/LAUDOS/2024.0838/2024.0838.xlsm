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2024.0838\"/>
    </mc:Choice>
  </mc:AlternateContent>
  <xr:revisionPtr revIDLastSave="0" documentId="8_{EB0A9F42-50D2-47A3-AE51-84A14DA9FB3E}" xr6:coauthVersionLast="47" xr6:coauthVersionMax="47" xr10:uidLastSave="{00000000-0000-0000-0000-000000000000}"/>
  <bookViews>
    <workbookView xWindow="-120" yWindow="-120" windowWidth="29040" windowHeight="15720" tabRatio="703" activeTab="1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N19" i="20" l="1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A33" i="18"/>
  <c r="A32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N40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O41" i="18"/>
  <c r="CF39" i="18"/>
  <c r="K39" i="18"/>
  <c r="CF42" i="18"/>
  <c r="M42" i="18"/>
  <c r="K42" i="18"/>
  <c r="AT38" i="18"/>
  <c r="CC38" i="18"/>
  <c r="BN38" i="18"/>
  <c r="AM38" i="18"/>
  <c r="BD38" i="18" s="1"/>
  <c r="AN38" i="18"/>
  <c r="AO38" i="18" s="1"/>
  <c r="J38" i="18"/>
  <c r="BN41" i="18"/>
  <c r="K41" i="18"/>
  <c r="CH35" i="18"/>
  <c r="O35" i="18"/>
  <c r="CD38" i="18"/>
  <c r="K38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Y34" i="18"/>
  <c r="W36" i="18"/>
  <c r="BI36" i="18"/>
  <c r="T38" i="18"/>
  <c r="BI39" i="18"/>
  <c r="W35" i="18"/>
  <c r="R34" i="18"/>
  <c r="S34" i="18"/>
  <c r="U34" i="18"/>
  <c r="BI40" i="18"/>
  <c r="BE40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L38" i="9" l="1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I31" i="18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M4" i="9" s="1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H33" i="18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CE4" i="9" s="1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W4" i="9" s="1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F31" i="18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25" i="9" l="1"/>
  <c r="I29" i="18" s="1"/>
  <c r="N40" i="19" s="1"/>
  <c r="CM18" i="9"/>
  <c r="I22" i="18" s="1"/>
  <c r="N33" i="19" s="1"/>
  <c r="BA31" i="18"/>
  <c r="CG31" i="18"/>
  <c r="BO17" i="9"/>
  <c r="F21" i="18" s="1"/>
  <c r="BA21" i="18" s="1"/>
  <c r="BO9" i="9"/>
  <c r="F13" i="18" s="1"/>
  <c r="BA13" i="18" s="1"/>
  <c r="BO18" i="9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F32" i="18" s="1"/>
  <c r="BO29" i="9"/>
  <c r="F33" i="18" s="1"/>
  <c r="BO31" i="9"/>
  <c r="BO36" i="9"/>
  <c r="BO37" i="9"/>
  <c r="CM29" i="9"/>
  <c r="I33" i="18" s="1"/>
  <c r="CM37" i="9"/>
  <c r="BO34" i="9"/>
  <c r="CM28" i="9"/>
  <c r="I32" i="18" s="1"/>
  <c r="CM36" i="9"/>
  <c r="BO22" i="9"/>
  <c r="F26" i="18" s="1"/>
  <c r="BA26" i="18" s="1"/>
  <c r="BW21" i="9"/>
  <c r="G25" i="18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N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B24" i="18" s="1"/>
  <c r="BW19" i="9"/>
  <c r="G23" i="18" s="1"/>
  <c r="BB23" i="18" s="1"/>
  <c r="BW26" i="9"/>
  <c r="G30" i="18" s="1"/>
  <c r="BB30" i="18" s="1"/>
  <c r="BW25" i="9"/>
  <c r="G29" i="18" s="1"/>
  <c r="BB29" i="18" s="1"/>
  <c r="BW24" i="9"/>
  <c r="G28" i="18" s="1"/>
  <c r="BB28" i="18" s="1"/>
  <c r="BW9" i="9"/>
  <c r="G13" i="18" s="1"/>
  <c r="BB13" i="18" s="1"/>
  <c r="BW17" i="9"/>
  <c r="G21" i="18" s="1"/>
  <c r="BB21" i="18" s="1"/>
  <c r="BW18" i="9"/>
  <c r="G22" i="18" s="1"/>
  <c r="BB22" i="18" s="1"/>
  <c r="BW23" i="9"/>
  <c r="G27" i="18" s="1"/>
  <c r="BB27" i="18" s="1"/>
  <c r="BW22" i="9"/>
  <c r="G26" i="18" s="1"/>
  <c r="BB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3" i="19"/>
  <c r="K36" i="19"/>
  <c r="CG25" i="18"/>
  <c r="K34" i="19"/>
  <c r="K35" i="19"/>
  <c r="K32" i="19"/>
  <c r="N13" i="18"/>
  <c r="BO6" i="9"/>
  <c r="F10" i="18" s="1"/>
  <c r="BA10" i="18" s="1"/>
  <c r="BO10" i="9"/>
  <c r="F14" i="18" s="1"/>
  <c r="BA14" i="18" s="1"/>
  <c r="K41" i="19"/>
  <c r="BW29" i="9"/>
  <c r="G33" i="18" s="1"/>
  <c r="CE27" i="9"/>
  <c r="H31" i="18" s="1"/>
  <c r="N31" i="18" s="1"/>
  <c r="BW27" i="9"/>
  <c r="G31" i="18" s="1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H32" i="18" s="1"/>
  <c r="CE36" i="9"/>
  <c r="BW28" i="9"/>
  <c r="G32" i="18" s="1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BB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BB18" i="18" s="1"/>
  <c r="CE14" i="9"/>
  <c r="H18" i="18" s="1"/>
  <c r="M29" i="19" s="1"/>
  <c r="BW16" i="9"/>
  <c r="G20" i="18" s="1"/>
  <c r="BB20" i="18" s="1"/>
  <c r="BW13" i="9"/>
  <c r="G17" i="18" s="1"/>
  <c r="BB17" i="18" s="1"/>
  <c r="CE13" i="9"/>
  <c r="H17" i="18" s="1"/>
  <c r="M28" i="19" s="1"/>
  <c r="BW15" i="9"/>
  <c r="G19" i="18" s="1"/>
  <c r="BB19" i="18" s="1"/>
  <c r="CE15" i="9"/>
  <c r="H19" i="18" s="1"/>
  <c r="M30" i="19" s="1"/>
  <c r="BW10" i="9"/>
  <c r="G14" i="18" s="1"/>
  <c r="BB14" i="18" s="1"/>
  <c r="BW12" i="9"/>
  <c r="G16" i="18" s="1"/>
  <c r="BB16" i="18" s="1"/>
  <c r="CE12" i="9"/>
  <c r="H16" i="18" s="1"/>
  <c r="M27" i="19" s="1"/>
  <c r="BW11" i="9"/>
  <c r="G15" i="18" s="1"/>
  <c r="BB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BB10" i="18" s="1"/>
  <c r="CE6" i="9"/>
  <c r="H10" i="18" s="1"/>
  <c r="M21" i="19" s="1"/>
  <c r="BW8" i="9"/>
  <c r="G12" i="18" s="1"/>
  <c r="BB12" i="18" s="1"/>
  <c r="CE5" i="9"/>
  <c r="H9" i="18" s="1"/>
  <c r="M20" i="19" s="1"/>
  <c r="BW5" i="9"/>
  <c r="G9" i="18" s="1"/>
  <c r="BB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2" i="18" l="1"/>
  <c r="BB33" i="18"/>
  <c r="O33" i="18"/>
  <c r="CH33" i="18"/>
  <c r="BA33" i="18"/>
  <c r="CG33" i="18"/>
  <c r="N33" i="18"/>
  <c r="O32" i="18"/>
  <c r="CH32" i="18"/>
  <c r="BB32" i="18"/>
  <c r="N32" i="18"/>
  <c r="CG32" i="18"/>
  <c r="BA32" i="18"/>
  <c r="O31" i="18"/>
  <c r="BB31" i="18"/>
  <c r="CH31" i="18"/>
  <c r="V31" i="18"/>
  <c r="W31" i="18"/>
  <c r="CG30" i="18"/>
  <c r="K40" i="19"/>
  <c r="CG27" i="18"/>
  <c r="K38" i="19"/>
  <c r="CG26" i="18"/>
  <c r="L36" i="19"/>
  <c r="BB25" i="18"/>
  <c r="O25" i="18"/>
  <c r="K24" i="19"/>
  <c r="CG23" i="18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K21" i="19"/>
  <c r="N10" i="18"/>
  <c r="CG10" i="18"/>
  <c r="K26" i="19"/>
  <c r="N15" i="18"/>
  <c r="K23" i="19"/>
  <c r="N12" i="18"/>
  <c r="K29" i="19"/>
  <c r="N18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33" i="18" l="1"/>
  <c r="W33" i="18"/>
  <c r="V32" i="18"/>
  <c r="W32" i="18"/>
  <c r="V27" i="18"/>
  <c r="W25" i="18"/>
  <c r="V25" i="18"/>
  <c r="V23" i="18"/>
  <c r="W22" i="18"/>
  <c r="W29" i="18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J33" i="12" s="1"/>
  <c r="D33" i="18"/>
  <c r="E32" i="12"/>
  <c r="AT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AS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K32" i="12" l="1"/>
  <c r="J32" i="12"/>
  <c r="K31" i="12"/>
  <c r="Q31" i="12" s="1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N32" i="18" s="1"/>
  <c r="B31" i="12"/>
  <c r="H31" i="12" s="1"/>
  <c r="O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CE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6" s="1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G20" i="17" s="1"/>
  <c r="B9" i="18"/>
  <c r="AW9" i="18" s="1"/>
  <c r="B21" i="12"/>
  <c r="AQ21" i="12" s="1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4" s="1"/>
  <c r="H25" i="14" s="1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J30" i="12" s="1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AU13" i="13" s="1"/>
  <c r="D16" i="21"/>
  <c r="D12" i="12"/>
  <c r="I23" i="17" s="1"/>
  <c r="B15" i="21"/>
  <c r="D12" i="18"/>
  <c r="AY12" i="18" s="1"/>
  <c r="G11" i="12"/>
  <c r="L22" i="17" s="1"/>
  <c r="E14" i="21"/>
  <c r="F19" i="13"/>
  <c r="AU19" i="13" s="1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AT18" i="12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AR22" i="12"/>
  <c r="H33" i="17"/>
  <c r="G23" i="15"/>
  <c r="M23" i="15" s="1"/>
  <c r="F10" i="14"/>
  <c r="L10" i="14" s="1"/>
  <c r="AR17" i="12"/>
  <c r="E14" i="13"/>
  <c r="K14" i="13" s="1"/>
  <c r="D9" i="16"/>
  <c r="J23" i="17"/>
  <c r="E29" i="13"/>
  <c r="AT29" i="13" s="1"/>
  <c r="H40" i="17"/>
  <c r="E20" i="13"/>
  <c r="AT20" i="13" s="1"/>
  <c r="H29" i="17"/>
  <c r="C19" i="14"/>
  <c r="I19" i="14" s="1"/>
  <c r="H23" i="17"/>
  <c r="D12" i="13"/>
  <c r="J12" i="13" s="1"/>
  <c r="G23" i="17"/>
  <c r="F30" i="15"/>
  <c r="AU30" i="15" s="1"/>
  <c r="H13" i="12"/>
  <c r="G24" i="17"/>
  <c r="D20" i="13"/>
  <c r="J20" i="13" s="1"/>
  <c r="G36" i="17"/>
  <c r="H28" i="12"/>
  <c r="B26" i="16"/>
  <c r="B18" i="16"/>
  <c r="F15" i="15"/>
  <c r="AU15" i="15" s="1"/>
  <c r="G26" i="17"/>
  <c r="F26" i="13"/>
  <c r="L26" i="13" s="1"/>
  <c r="G11" i="13"/>
  <c r="AV11" i="13" s="1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AS31" i="12"/>
  <c r="F29" i="13"/>
  <c r="AU29" i="13" s="1"/>
  <c r="BH37" i="12"/>
  <c r="AR31" i="12"/>
  <c r="AT37" i="12"/>
  <c r="Q36" i="12"/>
  <c r="U36" i="12" s="1"/>
  <c r="P37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B26" i="14"/>
  <c r="H26" i="14" s="1"/>
  <c r="E22" i="13"/>
  <c r="K22" i="13" s="1"/>
  <c r="AR13" i="12"/>
  <c r="AQ15" i="12"/>
  <c r="AT30" i="12"/>
  <c r="F25" i="15"/>
  <c r="AU25" i="15" s="1"/>
  <c r="AQ26" i="12"/>
  <c r="E30" i="16"/>
  <c r="I22" i="12"/>
  <c r="H26" i="12"/>
  <c r="C22" i="14"/>
  <c r="I22" i="14" s="1"/>
  <c r="G9" i="15"/>
  <c r="AV9" i="15" s="1"/>
  <c r="F28" i="14"/>
  <c r="L28" i="14" s="1"/>
  <c r="AS28" i="12"/>
  <c r="I9" i="12"/>
  <c r="B28" i="14"/>
  <c r="AQ28" i="14" s="1"/>
  <c r="D25" i="13"/>
  <c r="AS25" i="13" s="1"/>
  <c r="AT22" i="12"/>
  <c r="AS14" i="12"/>
  <c r="H25" i="12"/>
  <c r="C18" i="13"/>
  <c r="I18" i="13" s="1"/>
  <c r="F14" i="14"/>
  <c r="L14" i="14" s="1"/>
  <c r="G24" i="15"/>
  <c r="M24" i="15" s="1"/>
  <c r="C29" i="14"/>
  <c r="I29" i="14" s="1"/>
  <c r="C20" i="16"/>
  <c r="I29" i="12"/>
  <c r="B30" i="14"/>
  <c r="H30" i="14" s="1"/>
  <c r="F12" i="12"/>
  <c r="G29" i="15"/>
  <c r="AV29" i="15" s="1"/>
  <c r="AQ30" i="12"/>
  <c r="F24" i="13"/>
  <c r="L24" i="13" s="1"/>
  <c r="F17" i="12"/>
  <c r="AI5" i="14"/>
  <c r="AI5" i="12"/>
  <c r="C14" i="16"/>
  <c r="D28" i="13"/>
  <c r="J28" i="13" s="1"/>
  <c r="C29" i="16"/>
  <c r="F19" i="12"/>
  <c r="AI6" i="12"/>
  <c r="AI6" i="15"/>
  <c r="F12" i="15"/>
  <c r="AU12" i="15" s="1"/>
  <c r="B15" i="14"/>
  <c r="AQ15" i="14" s="1"/>
  <c r="AR24" i="12"/>
  <c r="AQ28" i="12"/>
  <c r="AR29" i="12"/>
  <c r="B30" i="16"/>
  <c r="D30" i="13"/>
  <c r="AS30" i="13" s="1"/>
  <c r="E15" i="16"/>
  <c r="I19" i="12"/>
  <c r="B19" i="16"/>
  <c r="I12" i="12"/>
  <c r="I14" i="12"/>
  <c r="C14" i="14"/>
  <c r="I14" i="14" s="1"/>
  <c r="B20" i="16"/>
  <c r="H24" i="12"/>
  <c r="H30" i="12"/>
  <c r="D9" i="15"/>
  <c r="AS9" i="15" s="1"/>
  <c r="K15" i="12"/>
  <c r="B14" i="13"/>
  <c r="F26" i="16"/>
  <c r="G21" i="12"/>
  <c r="F21" i="13"/>
  <c r="AU17" i="13"/>
  <c r="G14" i="13"/>
  <c r="AV14" i="13" s="1"/>
  <c r="G12" i="13"/>
  <c r="B30" i="13"/>
  <c r="H30" i="13" s="1"/>
  <c r="D26" i="15"/>
  <c r="J26" i="15" s="1"/>
  <c r="E20" i="15"/>
  <c r="AT20" i="15" s="1"/>
  <c r="E16" i="15"/>
  <c r="K16" i="15" s="1"/>
  <c r="F16" i="14"/>
  <c r="L16" i="14" s="1"/>
  <c r="C15" i="13"/>
  <c r="I15" i="13" s="1"/>
  <c r="E15" i="15"/>
  <c r="K15" i="15" s="1"/>
  <c r="AT15" i="12"/>
  <c r="D14" i="15"/>
  <c r="J14" i="15" s="1"/>
  <c r="J14" i="12"/>
  <c r="C11" i="13"/>
  <c r="AR11" i="13" s="1"/>
  <c r="E11" i="15"/>
  <c r="K11" i="15" s="1"/>
  <c r="BY10" i="12"/>
  <c r="C24" i="16"/>
  <c r="B24" i="16"/>
  <c r="D24" i="13"/>
  <c r="J24" i="13" s="1"/>
  <c r="AR20" i="12"/>
  <c r="E17" i="13"/>
  <c r="AT17" i="13" s="1"/>
  <c r="C17" i="14"/>
  <c r="I17" i="14" s="1"/>
  <c r="C17" i="16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C11" i="14"/>
  <c r="I11" i="14" s="1"/>
  <c r="E10" i="13"/>
  <c r="BZ10" i="13" s="1"/>
  <c r="F10" i="12"/>
  <c r="G10" i="12"/>
  <c r="F27" i="13"/>
  <c r="L27" i="13" s="1"/>
  <c r="F13" i="12"/>
  <c r="D30" i="15"/>
  <c r="AS30" i="15" s="1"/>
  <c r="G15" i="12"/>
  <c r="D27" i="14"/>
  <c r="AS27" i="14" s="1"/>
  <c r="C15" i="16"/>
  <c r="D18" i="13"/>
  <c r="AS18" i="13" s="1"/>
  <c r="B18" i="14"/>
  <c r="AQ18" i="14" s="1"/>
  <c r="I20" i="12"/>
  <c r="J24" i="12"/>
  <c r="K28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F18" i="13"/>
  <c r="F18" i="12"/>
  <c r="K29" i="17" s="1"/>
  <c r="G20" i="15"/>
  <c r="M20" i="15" s="1"/>
  <c r="C20" i="14"/>
  <c r="AR20" i="14" s="1"/>
  <c r="H21" i="12"/>
  <c r="G25" i="15"/>
  <c r="M25" i="15" s="1"/>
  <c r="D10" i="16"/>
  <c r="D12" i="16"/>
  <c r="C28" i="13"/>
  <c r="I28" i="13" s="1"/>
  <c r="E28" i="15"/>
  <c r="AT28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H22" i="12"/>
  <c r="D22" i="13"/>
  <c r="E28" i="16"/>
  <c r="AV29" i="13"/>
  <c r="F30" i="13"/>
  <c r="F30" i="12"/>
  <c r="K41" i="17" s="1"/>
  <c r="G28" i="13"/>
  <c r="G28" i="12"/>
  <c r="L39" i="17" s="1"/>
  <c r="AI4" i="14"/>
  <c r="AI4" i="12"/>
  <c r="AI4" i="13"/>
  <c r="G11" i="16"/>
  <c r="C11" i="15"/>
  <c r="AV11" i="12"/>
  <c r="M11" i="12"/>
  <c r="CB10" i="13"/>
  <c r="F9" i="13"/>
  <c r="F9" i="12"/>
  <c r="K20" i="17" s="1"/>
  <c r="G23" i="13"/>
  <c r="G23" i="12"/>
  <c r="L34" i="17" s="1"/>
  <c r="M30" i="13"/>
  <c r="AV30" i="13"/>
  <c r="C17" i="15"/>
  <c r="G17" i="16"/>
  <c r="M17" i="12"/>
  <c r="E17" i="14"/>
  <c r="AV17" i="12"/>
  <c r="C12" i="15"/>
  <c r="E12" i="14"/>
  <c r="AU22" i="12"/>
  <c r="F22" i="16"/>
  <c r="B22" i="15"/>
  <c r="G20" i="13"/>
  <c r="G20" i="12"/>
  <c r="L31" i="17" s="1"/>
  <c r="D9" i="13"/>
  <c r="B9" i="16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29" i="15" l="1"/>
  <c r="D29" i="14"/>
  <c r="L29" i="12"/>
  <c r="AU27" i="12"/>
  <c r="B27" i="15"/>
  <c r="F27" i="16"/>
  <c r="L26" i="12"/>
  <c r="B26" i="15"/>
  <c r="H26" i="15" s="1"/>
  <c r="D26" i="14"/>
  <c r="AS26" i="14" s="1"/>
  <c r="AU26" i="12"/>
  <c r="M21" i="13"/>
  <c r="L19" i="13"/>
  <c r="R19" i="13" s="1"/>
  <c r="M18" i="13"/>
  <c r="M15" i="13"/>
  <c r="G14" i="16"/>
  <c r="C14" i="15"/>
  <c r="E14" i="14"/>
  <c r="M14" i="12"/>
  <c r="AV14" i="12"/>
  <c r="AU14" i="13"/>
  <c r="L13" i="13"/>
  <c r="AV12" i="12"/>
  <c r="M12" i="12"/>
  <c r="G12" i="16"/>
  <c r="E11" i="14"/>
  <c r="AV10" i="13"/>
  <c r="H32" i="12"/>
  <c r="N32" i="12" s="1"/>
  <c r="J32" i="18"/>
  <c r="BH32" i="12"/>
  <c r="N31" i="12"/>
  <c r="BH31" i="12"/>
  <c r="AQ31" i="12"/>
  <c r="C28" i="14"/>
  <c r="I28" i="14" s="1"/>
  <c r="B25" i="16"/>
  <c r="BW25" i="12"/>
  <c r="AQ25" i="12"/>
  <c r="G35" i="17"/>
  <c r="AQ24" i="12"/>
  <c r="B24" i="14"/>
  <c r="AQ24" i="14" s="1"/>
  <c r="H23" i="12"/>
  <c r="BW23" i="12"/>
  <c r="H32" i="17"/>
  <c r="I21" i="12"/>
  <c r="G32" i="17"/>
  <c r="B21" i="16"/>
  <c r="F21" i="15"/>
  <c r="AU21" i="15" s="1"/>
  <c r="D21" i="13"/>
  <c r="AS21" i="13" s="1"/>
  <c r="B21" i="14"/>
  <c r="AQ21" i="14" s="1"/>
  <c r="D19" i="13"/>
  <c r="AS19" i="13" s="1"/>
  <c r="AQ19" i="12"/>
  <c r="I18" i="12"/>
  <c r="G17" i="15"/>
  <c r="M17" i="15" s="1"/>
  <c r="I17" i="12"/>
  <c r="H16" i="12"/>
  <c r="H26" i="17"/>
  <c r="E15" i="13"/>
  <c r="K15" i="13" s="1"/>
  <c r="AR15" i="12"/>
  <c r="G13" i="15"/>
  <c r="AV13" i="15" s="1"/>
  <c r="I13" i="12"/>
  <c r="C13" i="16"/>
  <c r="C13" i="14"/>
  <c r="AR13" i="14" s="1"/>
  <c r="F13" i="15"/>
  <c r="L13" i="15" s="1"/>
  <c r="B13" i="14"/>
  <c r="AQ13" i="14" s="1"/>
  <c r="AQ12" i="12"/>
  <c r="H12" i="12"/>
  <c r="AR11" i="12"/>
  <c r="G11" i="15"/>
  <c r="AV11" i="15" s="1"/>
  <c r="H22" i="17"/>
  <c r="C11" i="16"/>
  <c r="H11" i="16" s="1"/>
  <c r="AR10" i="12"/>
  <c r="BX10" i="12"/>
  <c r="AQ9" i="12"/>
  <c r="F9" i="15"/>
  <c r="B9" i="14"/>
  <c r="I41" i="17"/>
  <c r="F29" i="14"/>
  <c r="L29" i="14" s="1"/>
  <c r="D29" i="15"/>
  <c r="J29" i="15" s="1"/>
  <c r="J29" i="12"/>
  <c r="AT28" i="12"/>
  <c r="E25" i="15"/>
  <c r="AT25" i="15" s="1"/>
  <c r="B24" i="13"/>
  <c r="H24" i="13" s="1"/>
  <c r="D24" i="15"/>
  <c r="AS24" i="15" s="1"/>
  <c r="I35" i="17"/>
  <c r="D24" i="16"/>
  <c r="J24" i="16" s="1"/>
  <c r="AS24" i="12"/>
  <c r="D23" i="15"/>
  <c r="AS23" i="15" s="1"/>
  <c r="BY23" i="12"/>
  <c r="F23" i="14"/>
  <c r="AU23" i="14" s="1"/>
  <c r="B23" i="13"/>
  <c r="H23" i="13" s="1"/>
  <c r="E22" i="16"/>
  <c r="D22" i="16"/>
  <c r="D22" i="15"/>
  <c r="AS22" i="15" s="1"/>
  <c r="F22" i="14"/>
  <c r="L22" i="14" s="1"/>
  <c r="R22" i="14" s="1"/>
  <c r="B22" i="13"/>
  <c r="H22" i="13" s="1"/>
  <c r="J22" i="12"/>
  <c r="AS22" i="12"/>
  <c r="J21" i="12"/>
  <c r="B21" i="13"/>
  <c r="AQ21" i="13" s="1"/>
  <c r="E18" i="15"/>
  <c r="K18" i="15" s="1"/>
  <c r="E18" i="16"/>
  <c r="J29" i="17"/>
  <c r="K18" i="12"/>
  <c r="G18" i="14"/>
  <c r="AV18" i="14" s="1"/>
  <c r="D18" i="16"/>
  <c r="B18" i="13"/>
  <c r="H18" i="13" s="1"/>
  <c r="F15" i="14"/>
  <c r="AU15" i="14" s="1"/>
  <c r="D15" i="15"/>
  <c r="J15" i="15" s="1"/>
  <c r="D15" i="16"/>
  <c r="J15" i="12"/>
  <c r="Q15" i="12" s="1"/>
  <c r="AS12" i="12"/>
  <c r="B12" i="13"/>
  <c r="AQ12" i="13" s="1"/>
  <c r="D12" i="15"/>
  <c r="J12" i="15" s="1"/>
  <c r="J12" i="12"/>
  <c r="F12" i="14"/>
  <c r="AU12" i="14" s="1"/>
  <c r="K11" i="12"/>
  <c r="E11" i="16"/>
  <c r="G11" i="14"/>
  <c r="AV11" i="14" s="1"/>
  <c r="I22" i="17"/>
  <c r="CA10" i="14"/>
  <c r="J9" i="12"/>
  <c r="F9" i="14"/>
  <c r="L9" i="14" s="1"/>
  <c r="B9" i="13"/>
  <c r="AQ9" i="13" s="1"/>
  <c r="AS9" i="12"/>
  <c r="AU29" i="12"/>
  <c r="AS23" i="12"/>
  <c r="D23" i="16"/>
  <c r="G20" i="14"/>
  <c r="M20" i="14" s="1"/>
  <c r="D16" i="16"/>
  <c r="J16" i="16" s="1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R16" i="13" s="1"/>
  <c r="B26" i="13"/>
  <c r="H26" i="13" s="1"/>
  <c r="C25" i="16"/>
  <c r="F25" i="14"/>
  <c r="L25" i="14" s="1"/>
  <c r="AU10" i="14"/>
  <c r="J26" i="12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AS28" i="14" s="1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H30" i="16" s="1"/>
  <c r="AR30" i="12"/>
  <c r="G30" i="15"/>
  <c r="M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I29" i="16" s="1"/>
  <c r="H29" i="12"/>
  <c r="O29" i="12" s="1"/>
  <c r="AR28" i="12"/>
  <c r="C28" i="16"/>
  <c r="G28" i="15"/>
  <c r="M28" i="15" s="1"/>
  <c r="S28" i="15" s="1"/>
  <c r="I28" i="12"/>
  <c r="C27" i="14"/>
  <c r="I27" i="14" s="1"/>
  <c r="C27" i="16"/>
  <c r="AR27" i="12"/>
  <c r="E27" i="13"/>
  <c r="AT27" i="13" s="1"/>
  <c r="I27" i="12"/>
  <c r="N27" i="12" s="1"/>
  <c r="AR26" i="12"/>
  <c r="H37" i="17"/>
  <c r="C26" i="16"/>
  <c r="E26" i="13"/>
  <c r="K26" i="13" s="1"/>
  <c r="C26" i="14"/>
  <c r="I26" i="14" s="1"/>
  <c r="I26" i="12"/>
  <c r="N26" i="12" s="1"/>
  <c r="AX26" i="18"/>
  <c r="B23" i="16"/>
  <c r="G34" i="17"/>
  <c r="AQ23" i="12"/>
  <c r="B23" i="14"/>
  <c r="BW23" i="14" s="1"/>
  <c r="F23" i="15"/>
  <c r="CA23" i="15" s="1"/>
  <c r="AW22" i="18"/>
  <c r="F22" i="15"/>
  <c r="L22" i="15" s="1"/>
  <c r="S22" i="15" s="1"/>
  <c r="B20" i="14"/>
  <c r="H20" i="14" s="1"/>
  <c r="AQ20" i="12"/>
  <c r="F20" i="15"/>
  <c r="L20" i="15" s="1"/>
  <c r="AS20" i="13"/>
  <c r="G31" i="17"/>
  <c r="F18" i="15"/>
  <c r="L18" i="15" s="1"/>
  <c r="H18" i="12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N10" i="12" s="1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K30" i="21" s="1"/>
  <c r="AF30" i="21" s="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AO28" i="21" s="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AV23" i="14" s="1"/>
  <c r="K23" i="12"/>
  <c r="Q23" i="12" s="1"/>
  <c r="AT23" i="12"/>
  <c r="E23" i="15"/>
  <c r="BZ23" i="12"/>
  <c r="E23" i="16"/>
  <c r="J23" i="16" s="1"/>
  <c r="C23" i="13"/>
  <c r="BH23" i="13" s="1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F25" i="21" s="1"/>
  <c r="AW24" i="21"/>
  <c r="AL24" i="21"/>
  <c r="AO24" i="21" s="1"/>
  <c r="I32" i="20"/>
  <c r="AH24" i="21"/>
  <c r="AK24" i="21" s="1"/>
  <c r="H32" i="20"/>
  <c r="AV24" i="21"/>
  <c r="AW23" i="21"/>
  <c r="AL23" i="21"/>
  <c r="I31" i="20"/>
  <c r="AV23" i="21"/>
  <c r="H31" i="20"/>
  <c r="AH23" i="21"/>
  <c r="AK23" i="21" s="1"/>
  <c r="C19" i="13"/>
  <c r="I19" i="13" s="1"/>
  <c r="O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F22" i="21" s="1"/>
  <c r="AW21" i="21"/>
  <c r="I29" i="20"/>
  <c r="AL21" i="21"/>
  <c r="AO21" i="21" s="1"/>
  <c r="AH21" i="21"/>
  <c r="AK21" i="21" s="1"/>
  <c r="H29" i="20"/>
  <c r="AV21" i="21"/>
  <c r="E17" i="16"/>
  <c r="J28" i="17"/>
  <c r="C17" i="13"/>
  <c r="I17" i="13" s="1"/>
  <c r="K17" i="12"/>
  <c r="AT17" i="12"/>
  <c r="I28" i="20"/>
  <c r="AW20" i="21"/>
  <c r="AL20" i="21"/>
  <c r="AO20" i="21" s="1"/>
  <c r="D17" i="16"/>
  <c r="I28" i="17"/>
  <c r="D17" i="15"/>
  <c r="AS17" i="15" s="1"/>
  <c r="J17" i="12"/>
  <c r="Q17" i="12" s="1"/>
  <c r="AS17" i="12"/>
  <c r="B17" i="13"/>
  <c r="AQ17" i="13" s="1"/>
  <c r="AV20" i="21"/>
  <c r="AH20" i="21"/>
  <c r="AK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AK18" i="21" s="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K16" i="21" s="1"/>
  <c r="AV16" i="21"/>
  <c r="I23" i="20"/>
  <c r="AL15" i="21"/>
  <c r="AO15" i="21" s="1"/>
  <c r="AW15" i="21"/>
  <c r="AT12" i="12"/>
  <c r="E12" i="16"/>
  <c r="AH15" i="21"/>
  <c r="AK15" i="21" s="1"/>
  <c r="AF15" i="21" s="1"/>
  <c r="H23" i="20"/>
  <c r="AV15" i="21"/>
  <c r="AW14" i="21"/>
  <c r="I22" i="20"/>
  <c r="AL14" i="21"/>
  <c r="J11" i="12"/>
  <c r="Q11" i="12" s="1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AO12" i="21" s="1"/>
  <c r="K9" i="12"/>
  <c r="AH12" i="21"/>
  <c r="AK12" i="21" s="1"/>
  <c r="AV12" i="21"/>
  <c r="H20" i="20"/>
  <c r="AH33" i="21"/>
  <c r="H41" i="20"/>
  <c r="AV33" i="21"/>
  <c r="K30" i="12"/>
  <c r="Q30" i="12" s="1"/>
  <c r="G30" i="14"/>
  <c r="M30" i="14" s="1"/>
  <c r="K41" i="20"/>
  <c r="AY33" i="21"/>
  <c r="AL33" i="21"/>
  <c r="AO33" i="21" s="1"/>
  <c r="I41" i="20"/>
  <c r="AW33" i="21"/>
  <c r="AR30" i="13"/>
  <c r="I30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H22" i="16" s="1"/>
  <c r="D27" i="16"/>
  <c r="B22" i="14"/>
  <c r="H22" i="14" s="1"/>
  <c r="N22" i="14" s="1"/>
  <c r="AV16" i="13"/>
  <c r="B27" i="16"/>
  <c r="H27" i="16" s="1"/>
  <c r="AU25" i="13"/>
  <c r="AU26" i="13"/>
  <c r="J19" i="12"/>
  <c r="P19" i="12" s="1"/>
  <c r="D19" i="15"/>
  <c r="J19" i="15" s="1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R26" i="12" s="1"/>
  <c r="D19" i="16"/>
  <c r="K19" i="16" s="1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27" i="12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I19" i="16" s="1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S26" i="14" s="1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7" i="12"/>
  <c r="D21" i="16"/>
  <c r="G22" i="14"/>
  <c r="M22" i="14" s="1"/>
  <c r="D18" i="15"/>
  <c r="J18" i="15" s="1"/>
  <c r="K26" i="12"/>
  <c r="P26" i="12" s="1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Q21" i="15" s="1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AK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C25" i="13"/>
  <c r="I25" i="13" s="1"/>
  <c r="K24" i="12"/>
  <c r="P24" i="12" s="1"/>
  <c r="B20" i="13"/>
  <c r="BH20" i="13" s="1"/>
  <c r="BB32" i="21"/>
  <c r="H32" i="21"/>
  <c r="F17" i="21"/>
  <c r="AK17" i="21"/>
  <c r="AF17" i="21" s="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F21" i="21"/>
  <c r="F18" i="21"/>
  <c r="I20" i="19"/>
  <c r="L9" i="18"/>
  <c r="J9" i="18"/>
  <c r="BN9" i="18"/>
  <c r="BB27" i="21"/>
  <c r="H27" i="21"/>
  <c r="E25" i="16"/>
  <c r="J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Q25" i="12" s="1"/>
  <c r="AT25" i="12"/>
  <c r="E24" i="16"/>
  <c r="G12" i="21"/>
  <c r="CE10" i="18"/>
  <c r="AY10" i="18" s="1"/>
  <c r="I21" i="19"/>
  <c r="L10" i="18"/>
  <c r="J10" i="18"/>
  <c r="BN10" i="18"/>
  <c r="H17" i="21"/>
  <c r="F23" i="21"/>
  <c r="F16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K20" i="13"/>
  <c r="P20" i="13" s="1"/>
  <c r="AT11" i="13"/>
  <c r="AQ15" i="13"/>
  <c r="I25" i="16"/>
  <c r="H12" i="13"/>
  <c r="K27" i="15"/>
  <c r="Q27" i="15" s="1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L29" i="13"/>
  <c r="R29" i="13" s="1"/>
  <c r="K24" i="13"/>
  <c r="Q24" i="13" s="1"/>
  <c r="AU24" i="15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L21" i="15"/>
  <c r="O13" i="12"/>
  <c r="AR22" i="13"/>
  <c r="M12" i="14"/>
  <c r="AS12" i="13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I22" i="16"/>
  <c r="U38" i="12"/>
  <c r="Y38" i="12" s="1"/>
  <c r="AC38" i="12" s="1"/>
  <c r="T31" i="12"/>
  <c r="L15" i="12"/>
  <c r="CA25" i="12"/>
  <c r="F15" i="16"/>
  <c r="V38" i="12"/>
  <c r="F25" i="16"/>
  <c r="AV29" i="12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BH29" i="12"/>
  <c r="V36" i="12"/>
  <c r="W36" i="12"/>
  <c r="X36" i="12"/>
  <c r="AB36" i="12" s="1"/>
  <c r="Y36" i="12"/>
  <c r="AC36" i="12" s="1"/>
  <c r="U41" i="12"/>
  <c r="V41" i="12" s="1"/>
  <c r="T33" i="12"/>
  <c r="Q20" i="12"/>
  <c r="N13" i="12"/>
  <c r="K17" i="15"/>
  <c r="AR19" i="13"/>
  <c r="AU28" i="14"/>
  <c r="AU24" i="13"/>
  <c r="AV15" i="12"/>
  <c r="J13" i="13"/>
  <c r="AQ30" i="13"/>
  <c r="AQ26" i="14"/>
  <c r="AT22" i="13"/>
  <c r="L15" i="14"/>
  <c r="S15" i="14" s="1"/>
  <c r="O14" i="12"/>
  <c r="I26" i="16"/>
  <c r="H28" i="14"/>
  <c r="O28" i="14" s="1"/>
  <c r="J24" i="15"/>
  <c r="AU11" i="15"/>
  <c r="M27" i="14"/>
  <c r="AR22" i="14"/>
  <c r="AV26" i="13"/>
  <c r="K27" i="13"/>
  <c r="Q27" i="13" s="1"/>
  <c r="I30" i="14"/>
  <c r="N30" i="14" s="1"/>
  <c r="AS11" i="13"/>
  <c r="AS26" i="13"/>
  <c r="AR27" i="14"/>
  <c r="J28" i="16"/>
  <c r="K30" i="16"/>
  <c r="I18" i="16"/>
  <c r="AR24" i="13"/>
  <c r="CB10" i="12"/>
  <c r="CA25" i="15"/>
  <c r="L25" i="15"/>
  <c r="S25" i="15" s="1"/>
  <c r="AR29" i="14"/>
  <c r="J17" i="16"/>
  <c r="J20" i="15"/>
  <c r="AT21" i="15"/>
  <c r="AV22" i="15"/>
  <c r="M14" i="13"/>
  <c r="S14" i="13" s="1"/>
  <c r="BY23" i="13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R18" i="13"/>
  <c r="I13" i="16"/>
  <c r="M9" i="15"/>
  <c r="CB25" i="15"/>
  <c r="AS18" i="15"/>
  <c r="L20" i="14"/>
  <c r="J30" i="16"/>
  <c r="AR15" i="14"/>
  <c r="L30" i="14"/>
  <c r="R30" i="14" s="1"/>
  <c r="L16" i="12"/>
  <c r="J14" i="13"/>
  <c r="Q14" i="13" s="1"/>
  <c r="P17" i="12"/>
  <c r="I10" i="16"/>
  <c r="N11" i="12"/>
  <c r="J16" i="13"/>
  <c r="K12" i="16"/>
  <c r="AR28" i="14"/>
  <c r="AQ24" i="13"/>
  <c r="H19" i="14"/>
  <c r="N19" i="14" s="1"/>
  <c r="I21" i="16"/>
  <c r="L12" i="15"/>
  <c r="J30" i="15"/>
  <c r="B19" i="15"/>
  <c r="AQ19" i="15" s="1"/>
  <c r="J25" i="13"/>
  <c r="AS29" i="13"/>
  <c r="K10" i="13"/>
  <c r="M11" i="15"/>
  <c r="R11" i="15" s="1"/>
  <c r="J9" i="15"/>
  <c r="L21" i="14"/>
  <c r="R21" i="14" s="1"/>
  <c r="M12" i="15"/>
  <c r="J18" i="16"/>
  <c r="H11" i="14"/>
  <c r="O11" i="14" s="1"/>
  <c r="AS15" i="13"/>
  <c r="AU10" i="15"/>
  <c r="AT10" i="13"/>
  <c r="G21" i="16"/>
  <c r="L21" i="16" s="1"/>
  <c r="BH19" i="12"/>
  <c r="AQ25" i="14"/>
  <c r="AU9" i="14"/>
  <c r="AR15" i="13"/>
  <c r="AT18" i="15"/>
  <c r="BH21" i="12"/>
  <c r="AQ10" i="14"/>
  <c r="M16" i="15"/>
  <c r="H9" i="13"/>
  <c r="AT11" i="15"/>
  <c r="I10" i="13"/>
  <c r="F12" i="16"/>
  <c r="M12" i="16" s="1"/>
  <c r="H13" i="16"/>
  <c r="AR14" i="14"/>
  <c r="O17" i="12"/>
  <c r="AQ20" i="14"/>
  <c r="M29" i="15"/>
  <c r="J30" i="13"/>
  <c r="P30" i="13" s="1"/>
  <c r="AR14" i="13"/>
  <c r="B12" i="15"/>
  <c r="H12" i="15" s="1"/>
  <c r="H13" i="14"/>
  <c r="AR11" i="14"/>
  <c r="AU12" i="12"/>
  <c r="D12" i="14"/>
  <c r="AS12" i="14" s="1"/>
  <c r="AT12" i="13"/>
  <c r="K18" i="16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G15" i="16"/>
  <c r="O12" i="12"/>
  <c r="H24" i="16"/>
  <c r="O30" i="12"/>
  <c r="K22" i="16"/>
  <c r="AQ30" i="14"/>
  <c r="H21" i="13"/>
  <c r="M10" i="12"/>
  <c r="F19" i="16"/>
  <c r="M21" i="12"/>
  <c r="I11" i="13"/>
  <c r="O11" i="13" s="1"/>
  <c r="M15" i="12"/>
  <c r="E15" i="14"/>
  <c r="BH15" i="12"/>
  <c r="AV24" i="15"/>
  <c r="H12" i="16"/>
  <c r="BH15" i="13"/>
  <c r="I20" i="14"/>
  <c r="O20" i="14" s="1"/>
  <c r="J12" i="16"/>
  <c r="J22" i="16"/>
  <c r="L10" i="12"/>
  <c r="F13" i="16"/>
  <c r="AR28" i="13"/>
  <c r="AU14" i="14"/>
  <c r="M15" i="15"/>
  <c r="BX25" i="14"/>
  <c r="AT28" i="13"/>
  <c r="H29" i="14"/>
  <c r="O29" i="14" s="1"/>
  <c r="I26" i="13"/>
  <c r="O26" i="13" s="1"/>
  <c r="AQ16" i="13"/>
  <c r="AU13" i="15"/>
  <c r="H15" i="14"/>
  <c r="AU20" i="15"/>
  <c r="N28" i="12"/>
  <c r="AS28" i="15"/>
  <c r="AS14" i="15"/>
  <c r="J21" i="13"/>
  <c r="K10" i="16"/>
  <c r="I20" i="16"/>
  <c r="K15" i="16"/>
  <c r="AQ18" i="13"/>
  <c r="B17" i="15"/>
  <c r="BH17" i="15" s="1"/>
  <c r="K16" i="16"/>
  <c r="J15" i="16"/>
  <c r="H18" i="14"/>
  <c r="N12" i="12"/>
  <c r="K17" i="13"/>
  <c r="O18" i="12"/>
  <c r="K14" i="15"/>
  <c r="Q14" i="15" s="1"/>
  <c r="AR20" i="13"/>
  <c r="K29" i="16"/>
  <c r="AU16" i="14"/>
  <c r="H23" i="14"/>
  <c r="BH25" i="12"/>
  <c r="E25" i="14"/>
  <c r="AT25" i="14" s="1"/>
  <c r="I14" i="16"/>
  <c r="AQ17" i="14"/>
  <c r="O22" i="12"/>
  <c r="O20" i="12"/>
  <c r="O10" i="12"/>
  <c r="H21" i="14"/>
  <c r="I24" i="16"/>
  <c r="N25" i="12"/>
  <c r="N30" i="12"/>
  <c r="K20" i="16"/>
  <c r="CA23" i="14"/>
  <c r="AS26" i="15"/>
  <c r="K28" i="15"/>
  <c r="K10" i="15"/>
  <c r="F17" i="16"/>
  <c r="L17" i="16" s="1"/>
  <c r="AQ14" i="13"/>
  <c r="AT16" i="15"/>
  <c r="J26" i="14"/>
  <c r="BH17" i="12"/>
  <c r="O23" i="12"/>
  <c r="J18" i="13"/>
  <c r="I9" i="16"/>
  <c r="L17" i="15"/>
  <c r="S17" i="15" s="1"/>
  <c r="H20" i="16"/>
  <c r="AS12" i="15"/>
  <c r="S19" i="13"/>
  <c r="L17" i="12"/>
  <c r="R17" i="12" s="1"/>
  <c r="AU27" i="13"/>
  <c r="K9" i="15"/>
  <c r="H14" i="13"/>
  <c r="O14" i="13" s="1"/>
  <c r="AU22" i="14"/>
  <c r="F16" i="16"/>
  <c r="H19" i="16"/>
  <c r="AU17" i="12"/>
  <c r="N21" i="12"/>
  <c r="N15" i="12"/>
  <c r="I16" i="14"/>
  <c r="AU18" i="15"/>
  <c r="O21" i="12"/>
  <c r="AS24" i="13"/>
  <c r="AT25" i="13"/>
  <c r="BH28" i="13"/>
  <c r="L12" i="14"/>
  <c r="P12" i="12"/>
  <c r="AR13" i="13"/>
  <c r="K20" i="15"/>
  <c r="AV21" i="14"/>
  <c r="J19" i="13"/>
  <c r="R15" i="13"/>
  <c r="M11" i="14"/>
  <c r="CA10" i="12"/>
  <c r="D10" i="14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BY23" i="15"/>
  <c r="AT15" i="15"/>
  <c r="BZ10" i="15"/>
  <c r="O15" i="12"/>
  <c r="BH22" i="13"/>
  <c r="AV24" i="13"/>
  <c r="M24" i="13"/>
  <c r="S24" i="13" s="1"/>
  <c r="Q19" i="12"/>
  <c r="AU22" i="15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M22" i="13"/>
  <c r="AV22" i="13"/>
  <c r="I15" i="16"/>
  <c r="N20" i="12"/>
  <c r="AV20" i="15"/>
  <c r="AV25" i="15"/>
  <c r="AU17" i="14"/>
  <c r="AV28" i="13"/>
  <c r="M28" i="13"/>
  <c r="AS19" i="15"/>
  <c r="AU18" i="12"/>
  <c r="F18" i="16"/>
  <c r="L18" i="12"/>
  <c r="D18" i="14"/>
  <c r="BH18" i="12"/>
  <c r="B18" i="15"/>
  <c r="M27" i="12"/>
  <c r="G27" i="16"/>
  <c r="M27" i="16" s="1"/>
  <c r="AV27" i="12"/>
  <c r="E27" i="14"/>
  <c r="C27" i="15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E20" i="14"/>
  <c r="BH20" i="12"/>
  <c r="AT14" i="14"/>
  <c r="K14" i="14"/>
  <c r="AV23" i="13"/>
  <c r="M23" i="13"/>
  <c r="CB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AQ14" i="15"/>
  <c r="CB23" i="14"/>
  <c r="O30" i="13"/>
  <c r="N30" i="13"/>
  <c r="R28" i="14"/>
  <c r="S28" i="14"/>
  <c r="N24" i="13"/>
  <c r="S22" i="14"/>
  <c r="N22" i="13"/>
  <c r="O22" i="13"/>
  <c r="O18" i="13"/>
  <c r="N18" i="13"/>
  <c r="P18" i="15"/>
  <c r="Q18" i="15"/>
  <c r="S17" i="14"/>
  <c r="R17" i="14"/>
  <c r="P15" i="15"/>
  <c r="Q15" i="15"/>
  <c r="O15" i="13"/>
  <c r="N15" i="13"/>
  <c r="R10" i="14"/>
  <c r="S10" i="14"/>
  <c r="P29" i="13"/>
  <c r="Q29" i="13"/>
  <c r="Q28" i="13"/>
  <c r="P28" i="13"/>
  <c r="Q26" i="13"/>
  <c r="P26" i="13"/>
  <c r="N26" i="14"/>
  <c r="O26" i="14"/>
  <c r="S24" i="15"/>
  <c r="R24" i="15"/>
  <c r="S20" i="15"/>
  <c r="R20" i="15"/>
  <c r="S18" i="15"/>
  <c r="R18" i="15"/>
  <c r="O17" i="14"/>
  <c r="N17" i="14"/>
  <c r="P15" i="13"/>
  <c r="Q15" i="13"/>
  <c r="Q12" i="13"/>
  <c r="P12" i="13"/>
  <c r="Q11" i="13"/>
  <c r="P11" i="13"/>
  <c r="M29" i="16" l="1"/>
  <c r="J28" i="14"/>
  <c r="R27" i="12"/>
  <c r="BW23" i="15"/>
  <c r="S20" i="12"/>
  <c r="S16" i="13"/>
  <c r="R14" i="12"/>
  <c r="M11" i="16"/>
  <c r="S30" i="15"/>
  <c r="I30" i="16"/>
  <c r="O30" i="16" s="1"/>
  <c r="AV30" i="15"/>
  <c r="N29" i="12"/>
  <c r="H29" i="16"/>
  <c r="N29" i="16" s="1"/>
  <c r="R28" i="15"/>
  <c r="AV28" i="15"/>
  <c r="I28" i="16"/>
  <c r="O27" i="12"/>
  <c r="I27" i="16"/>
  <c r="BH26" i="14"/>
  <c r="AR26" i="14"/>
  <c r="O26" i="12"/>
  <c r="N25" i="16"/>
  <c r="H24" i="14"/>
  <c r="AQ23" i="14"/>
  <c r="AU23" i="15"/>
  <c r="L23" i="15"/>
  <c r="R23" i="15" s="1"/>
  <c r="R22" i="15"/>
  <c r="AV17" i="15"/>
  <c r="J17" i="13"/>
  <c r="I17" i="16"/>
  <c r="O17" i="16" s="1"/>
  <c r="N16" i="12"/>
  <c r="L16" i="15"/>
  <c r="S16" i="15" s="1"/>
  <c r="AQ16" i="14"/>
  <c r="O15" i="14"/>
  <c r="M14" i="15"/>
  <c r="BH14" i="13"/>
  <c r="M13" i="15"/>
  <c r="S13" i="15" s="1"/>
  <c r="I11" i="16"/>
  <c r="O11" i="16" s="1"/>
  <c r="AV10" i="15"/>
  <c r="M10" i="15"/>
  <c r="S10" i="15" s="1"/>
  <c r="BH10" i="14"/>
  <c r="H10" i="14"/>
  <c r="CA10" i="15"/>
  <c r="J10" i="13"/>
  <c r="Q10" i="13" s="1"/>
  <c r="BY10" i="13"/>
  <c r="AV30" i="14"/>
  <c r="K30" i="15"/>
  <c r="AV29" i="14"/>
  <c r="Q29" i="15"/>
  <c r="AT29" i="15"/>
  <c r="R29" i="14"/>
  <c r="AS29" i="15"/>
  <c r="P29" i="15"/>
  <c r="AU29" i="14"/>
  <c r="H29" i="13"/>
  <c r="P28" i="15"/>
  <c r="H27" i="13"/>
  <c r="R26" i="14"/>
  <c r="Q26" i="15"/>
  <c r="BH26" i="13"/>
  <c r="U26" i="18"/>
  <c r="S25" i="14"/>
  <c r="Q24" i="12"/>
  <c r="K24" i="15"/>
  <c r="K24" i="16"/>
  <c r="M23" i="14"/>
  <c r="K23" i="16"/>
  <c r="BX23" i="13"/>
  <c r="I23" i="13"/>
  <c r="N23" i="13" s="1"/>
  <c r="AR23" i="13"/>
  <c r="P23" i="12"/>
  <c r="AT22" i="15"/>
  <c r="Q22" i="15"/>
  <c r="AQ22" i="13"/>
  <c r="K21" i="16"/>
  <c r="O21" i="16" s="1"/>
  <c r="P21" i="15"/>
  <c r="AV20" i="14"/>
  <c r="S20" i="14"/>
  <c r="N19" i="13"/>
  <c r="AV19" i="14"/>
  <c r="BH19" i="13"/>
  <c r="K19" i="15"/>
  <c r="M18" i="14"/>
  <c r="AF21" i="21"/>
  <c r="K17" i="16"/>
  <c r="AR17" i="13"/>
  <c r="AF20" i="21"/>
  <c r="BH17" i="13"/>
  <c r="M14" i="14"/>
  <c r="S14" i="14" s="1"/>
  <c r="U14" i="18"/>
  <c r="K13" i="15"/>
  <c r="P13" i="15" s="1"/>
  <c r="J13" i="16"/>
  <c r="AA13" i="16" s="1"/>
  <c r="AE13" i="16" s="1"/>
  <c r="AU11" i="14"/>
  <c r="BY10" i="15"/>
  <c r="AS10" i="15"/>
  <c r="I9" i="13"/>
  <c r="BH9" i="13"/>
  <c r="P28" i="12"/>
  <c r="K26" i="16"/>
  <c r="O26" i="16" s="1"/>
  <c r="U25" i="18"/>
  <c r="U21" i="18"/>
  <c r="AQ11" i="13"/>
  <c r="L27" i="14"/>
  <c r="S27" i="14" s="1"/>
  <c r="K25" i="16"/>
  <c r="AR21" i="13"/>
  <c r="H27" i="14"/>
  <c r="N27" i="14" s="1"/>
  <c r="S29" i="14"/>
  <c r="M16" i="14"/>
  <c r="S16" i="14" s="1"/>
  <c r="U27" i="18"/>
  <c r="BH29" i="15"/>
  <c r="Q26" i="12"/>
  <c r="U26" i="12" s="1"/>
  <c r="AU14" i="15"/>
  <c r="P13" i="12"/>
  <c r="T13" i="12" s="1"/>
  <c r="Q10" i="12"/>
  <c r="AT18" i="14"/>
  <c r="BH14" i="15"/>
  <c r="AV22" i="14"/>
  <c r="AT26" i="14"/>
  <c r="BH24" i="13"/>
  <c r="P18" i="12"/>
  <c r="T18" i="12" s="1"/>
  <c r="L29" i="15"/>
  <c r="R29" i="15" s="1"/>
  <c r="P27" i="12"/>
  <c r="T27" i="12" s="1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Q25" i="13" s="1"/>
  <c r="I24" i="14"/>
  <c r="N24" i="12"/>
  <c r="T24" i="12" s="1"/>
  <c r="BX23" i="14"/>
  <c r="I23" i="14"/>
  <c r="H23" i="16"/>
  <c r="N23" i="16" s="1"/>
  <c r="M21" i="15"/>
  <c r="Q20" i="13"/>
  <c r="O19" i="12"/>
  <c r="AT18" i="13"/>
  <c r="P18" i="13"/>
  <c r="T18" i="13" s="1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O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2" s="1"/>
  <c r="U29" i="18"/>
  <c r="Q27" i="12"/>
  <c r="P27" i="15"/>
  <c r="K27" i="16"/>
  <c r="AR25" i="13"/>
  <c r="BX25" i="13"/>
  <c r="BH25" i="13"/>
  <c r="H25" i="13"/>
  <c r="N25" i="13" s="1"/>
  <c r="AQ25" i="13"/>
  <c r="P22" i="12"/>
  <c r="T22" i="12" s="1"/>
  <c r="AF24" i="21"/>
  <c r="J20" i="16"/>
  <c r="N20" i="16" s="1"/>
  <c r="J19" i="16"/>
  <c r="AA19" i="16" s="1"/>
  <c r="AE19" i="16" s="1"/>
  <c r="L19" i="14"/>
  <c r="S19" i="14" s="1"/>
  <c r="H17" i="13"/>
  <c r="N17" i="13" s="1"/>
  <c r="P16" i="12"/>
  <c r="T16" i="12" s="1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J11" i="15"/>
  <c r="P11" i="15" s="1"/>
  <c r="BH10" i="13"/>
  <c r="Q10" i="15"/>
  <c r="BW10" i="13"/>
  <c r="H10" i="13"/>
  <c r="N10" i="13" s="1"/>
  <c r="J9" i="16"/>
  <c r="AA9" i="16" s="1"/>
  <c r="AE9" i="16" s="1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J27" i="16"/>
  <c r="T16" i="18"/>
  <c r="R21" i="12"/>
  <c r="S11" i="12"/>
  <c r="AT10" i="14"/>
  <c r="L18" i="14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S19" i="12"/>
  <c r="AT30" i="14"/>
  <c r="Q23" i="13"/>
  <c r="M19" i="16"/>
  <c r="J25" i="14"/>
  <c r="L30" i="16"/>
  <c r="U18" i="12"/>
  <c r="L25" i="16"/>
  <c r="M14" i="16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3" i="14"/>
  <c r="U27" i="12"/>
  <c r="R15" i="14"/>
  <c r="R14" i="13"/>
  <c r="N28" i="14"/>
  <c r="N11" i="14"/>
  <c r="P17" i="13"/>
  <c r="R22" i="13"/>
  <c r="P27" i="13"/>
  <c r="Q13" i="13"/>
  <c r="K15" i="14"/>
  <c r="R15" i="15"/>
  <c r="AA25" i="16"/>
  <c r="AE25" i="16" s="1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N24" i="14"/>
  <c r="O13" i="16"/>
  <c r="U17" i="12"/>
  <c r="R16" i="12"/>
  <c r="R24" i="13"/>
  <c r="U12" i="12"/>
  <c r="O12" i="16"/>
  <c r="BH12" i="15"/>
  <c r="R20" i="14"/>
  <c r="BZ25" i="14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H19" i="15"/>
  <c r="O24" i="14"/>
  <c r="BH19" i="15"/>
  <c r="O28" i="16"/>
  <c r="S12" i="15"/>
  <c r="O19" i="14"/>
  <c r="U25" i="12"/>
  <c r="R12" i="15"/>
  <c r="BH21" i="15"/>
  <c r="T19" i="12"/>
  <c r="T11" i="12"/>
  <c r="Q9" i="15"/>
  <c r="U19" i="12"/>
  <c r="AA18" i="16"/>
  <c r="AE18" i="16" s="1"/>
  <c r="U16" i="12"/>
  <c r="M17" i="16"/>
  <c r="AC17" i="16" s="1"/>
  <c r="R30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O20" i="16"/>
  <c r="O16" i="16"/>
  <c r="AA12" i="16"/>
  <c r="AE12" i="16" s="1"/>
  <c r="M10" i="16"/>
  <c r="Q16" i="13"/>
  <c r="N15" i="14"/>
  <c r="U30" i="12"/>
  <c r="Q20" i="15"/>
  <c r="O15" i="16"/>
  <c r="R10" i="15"/>
  <c r="N12" i="16"/>
  <c r="R21" i="15"/>
  <c r="O25" i="16"/>
  <c r="N27" i="13"/>
  <c r="J16" i="14"/>
  <c r="L24" i="16"/>
  <c r="AB24" i="16" s="1"/>
  <c r="N29" i="14"/>
  <c r="P10" i="15"/>
  <c r="N21" i="13"/>
  <c r="R15" i="12"/>
  <c r="I21" i="15"/>
  <c r="N21" i="15" s="1"/>
  <c r="L19" i="16"/>
  <c r="L10" i="16"/>
  <c r="N28" i="16"/>
  <c r="L13" i="16"/>
  <c r="U23" i="12"/>
  <c r="BH16" i="14"/>
  <c r="P19" i="15"/>
  <c r="R23" i="12"/>
  <c r="O19" i="16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AA15" i="16"/>
  <c r="AE15" i="16" s="1"/>
  <c r="AA17" i="16"/>
  <c r="BY10" i="14"/>
  <c r="K25" i="14"/>
  <c r="H17" i="15"/>
  <c r="O17" i="15" s="1"/>
  <c r="S17" i="12"/>
  <c r="AQ17" i="15"/>
  <c r="T29" i="12"/>
  <c r="U10" i="12"/>
  <c r="O24" i="16"/>
  <c r="O14" i="16"/>
  <c r="N23" i="14"/>
  <c r="U15" i="12"/>
  <c r="T23" i="12"/>
  <c r="BH25" i="14"/>
  <c r="U24" i="13"/>
  <c r="AA24" i="16"/>
  <c r="AE24" i="16" s="1"/>
  <c r="T25" i="12"/>
  <c r="O23" i="14"/>
  <c r="Q19" i="13"/>
  <c r="U19" i="13" s="1"/>
  <c r="P9" i="15"/>
  <c r="S22" i="12"/>
  <c r="N9" i="14"/>
  <c r="P11" i="14"/>
  <c r="Q29" i="14"/>
  <c r="S27" i="12"/>
  <c r="U15" i="13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5" i="13"/>
  <c r="P22" i="14" l="1"/>
  <c r="N19" i="15"/>
  <c r="AA30" i="16"/>
  <c r="AE30" i="16" s="1"/>
  <c r="N30" i="16"/>
  <c r="AA29" i="16"/>
  <c r="AE29" i="16" s="1"/>
  <c r="AB29" i="16"/>
  <c r="P25" i="16"/>
  <c r="U24" i="12"/>
  <c r="O23" i="16"/>
  <c r="AA23" i="16"/>
  <c r="AE23" i="16" s="1"/>
  <c r="T22" i="14"/>
  <c r="AA16" i="16"/>
  <c r="AE16" i="16" s="1"/>
  <c r="N11" i="16"/>
  <c r="AA11" i="16"/>
  <c r="AE11" i="16" s="1"/>
  <c r="AB11" i="16"/>
  <c r="N10" i="16"/>
  <c r="AA10" i="16"/>
  <c r="R27" i="14"/>
  <c r="AA27" i="16"/>
  <c r="AE27" i="16" s="1"/>
  <c r="AA26" i="16"/>
  <c r="AE26" i="16" s="1"/>
  <c r="AC26" i="16"/>
  <c r="AA20" i="16"/>
  <c r="AE20" i="16" s="1"/>
  <c r="S18" i="14"/>
  <c r="AA14" i="16"/>
  <c r="AE14" i="16" s="1"/>
  <c r="AC14" i="16"/>
  <c r="O10" i="13"/>
  <c r="Q21" i="13"/>
  <c r="O27" i="14"/>
  <c r="P10" i="14"/>
  <c r="N14" i="14"/>
  <c r="O14" i="14"/>
  <c r="AB33" i="18"/>
  <c r="AB32" i="18"/>
  <c r="AC33" i="18"/>
  <c r="AC32" i="18"/>
  <c r="N29" i="13"/>
  <c r="T29" i="13" s="1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T25" i="13"/>
  <c r="T12" i="13"/>
  <c r="V12" i="13" s="1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T27" i="13"/>
  <c r="U14" i="15"/>
  <c r="P16" i="16"/>
  <c r="W23" i="12"/>
  <c r="BK23" i="12" s="1"/>
  <c r="AC25" i="16"/>
  <c r="AG25" i="16" s="1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W18" i="13"/>
  <c r="V17" i="14"/>
  <c r="W17" i="14"/>
  <c r="Y17" i="14" s="1"/>
  <c r="AC17" i="14" s="1"/>
  <c r="W15" i="13"/>
  <c r="AG26" i="16" l="1"/>
  <c r="BD20" i="12"/>
  <c r="X20" i="12"/>
  <c r="AB20" i="12" s="1"/>
  <c r="AG20" i="16"/>
  <c r="AG14" i="16"/>
  <c r="U29" i="13"/>
  <c r="V29" i="13" s="1"/>
  <c r="AG21" i="16"/>
  <c r="AA34" i="16"/>
  <c r="AC26" i="18"/>
  <c r="BJ26" i="18" s="1"/>
  <c r="U14" i="14"/>
  <c r="T14" i="14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BK13" i="12" s="1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 s="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U24" i="15"/>
  <c r="V24" i="15" s="1"/>
  <c r="T19" i="15"/>
  <c r="V19" i="15" s="1"/>
  <c r="V18" i="14"/>
  <c r="W12" i="13"/>
  <c r="Y12" i="13" s="1"/>
  <c r="AC12" i="13" s="1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W29" i="13" l="1"/>
  <c r="Y29" i="13" s="1"/>
  <c r="AC29" i="13" s="1"/>
  <c r="X25" i="13"/>
  <c r="AB25" i="13" s="1"/>
  <c r="BK25" i="13"/>
  <c r="X14" i="14"/>
  <c r="AB14" i="14" s="1"/>
  <c r="BQ26" i="18"/>
  <c r="AE26" i="18"/>
  <c r="AG26" i="18" s="1"/>
  <c r="BD25" i="13"/>
  <c r="BI25" i="13"/>
  <c r="BO26" i="18"/>
  <c r="BP26" i="18"/>
  <c r="AD23" i="18"/>
  <c r="AF23" i="18" s="1"/>
  <c r="AH23" i="18" s="1"/>
  <c r="BQ23" i="18"/>
  <c r="BP23" i="18"/>
  <c r="AD26" i="18"/>
  <c r="AF26" i="18" s="1"/>
  <c r="AH26" i="18" s="1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O9" i="18"/>
  <c r="AE16" i="18"/>
  <c r="AG16" i="18" s="1"/>
  <c r="AI16" i="18" s="1"/>
  <c r="BO30" i="18"/>
  <c r="BQ30" i="18" s="1"/>
  <c r="BO16" i="18"/>
  <c r="AD16" i="18"/>
  <c r="AF16" i="18" s="1"/>
  <c r="CM16" i="18" s="1"/>
  <c r="BP24" i="18"/>
  <c r="AD19" i="18"/>
  <c r="AF19" i="18" s="1"/>
  <c r="BR19" i="18" s="1"/>
  <c r="BQ16" i="18"/>
  <c r="BO19" i="18"/>
  <c r="BP16" i="18"/>
  <c r="AE19" i="18"/>
  <c r="AG19" i="18" s="1"/>
  <c r="W28" i="13"/>
  <c r="V28" i="13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X28" i="13" l="1"/>
  <c r="Z28" i="13" s="1"/>
  <c r="BL28" i="13" s="1"/>
  <c r="BQ19" i="18"/>
  <c r="BQ13" i="18"/>
  <c r="AG10" i="18"/>
  <c r="AI10" i="18" s="1"/>
  <c r="BR23" i="18"/>
  <c r="BS23" i="18"/>
  <c r="CM23" i="18"/>
  <c r="CK23" i="18"/>
  <c r="BT23" i="18"/>
  <c r="CL23" i="18"/>
  <c r="CJ23" i="18"/>
  <c r="BR26" i="18"/>
  <c r="BS26" i="18"/>
  <c r="CM26" i="18"/>
  <c r="CL26" i="18"/>
  <c r="CK26" i="18"/>
  <c r="CJ26" i="18"/>
  <c r="BT26" i="18"/>
  <c r="BM13" i="12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D31" i="14" s="1"/>
  <c r="AN20" i="14" s="1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CQ10" i="18" l="1"/>
  <c r="Z25" i="15"/>
  <c r="BM25" i="15" s="1"/>
  <c r="CP10" i="18"/>
  <c r="BV10" i="18"/>
  <c r="BW10" i="18"/>
  <c r="BU10" i="18"/>
  <c r="CO10" i="18"/>
  <c r="CN10" i="18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BP21" i="13" l="1"/>
  <c r="BO21" i="13"/>
  <c r="CR10" i="18"/>
  <c r="AX21" i="14"/>
  <c r="BC21" i="14" s="1"/>
  <c r="BQ21" i="13"/>
  <c r="BD9" i="18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K21" i="13" l="1"/>
  <c r="AX21" i="13"/>
  <c r="BC21" i="13" s="1"/>
  <c r="AH14" i="14"/>
  <c r="AI14" i="14" s="1"/>
  <c r="AK31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AG46" i="12"/>
  <c r="M43" i="17"/>
  <c r="CD44" i="12"/>
  <c r="M43" i="19" l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<sst xmlns="http://schemas.openxmlformats.org/spreadsheetml/2006/main" count="1085" uniqueCount="384">
  <si>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</si>
  <si>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</si>
  <si>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</si>
  <si>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</si>
  <si>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</si>
  <si>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</si>
  <si>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</si>
  <si>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</si>
  <si>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</si>
  <si>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</si>
  <si>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</si>
  <si>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</si>
  <si>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</si>
  <si>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</si>
  <si>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</si>
  <si>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</si>
  <si>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</si>
  <si>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</si>
  <si>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</si>
  <si>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</si>
  <si>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</si>
  <si>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</si>
  <si>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</si>
  <si>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</si>
  <si>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</si>
  <si>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</si>
  <si>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</si>
  <si>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</si>
  <si>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</si>
  <si>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</si>
  <si>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</si>
  <si>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</si>
  <si>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</si>
  <si>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</si>
  <si>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</si>
  <si>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</si>
  <si>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</si>
  <si>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</si>
  <si>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</si>
  <si>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</si>
  <si>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</si>
  <si>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</si>
  <si>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</si>
  <si>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</si>
  <si>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</si>
  <si>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</si>
  <si>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</si>
  <si>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</si>
  <si>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</si>
  <si>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</si>
  <si>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</si>
  <si>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</si>
  <si>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</si>
  <si>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</si>
  <si>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</si>
  <si>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</si>
  <si>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</si>
  <si>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</si>
  <si>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</si>
  <si>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</si>
  <si>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</si>
  <si>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</si>
  <si>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</si>
  <si>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</si>
  <si>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</si>
  <si>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</si>
  <si>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</si>
  <si>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</si>
  <si>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</si>
  <si>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</si>
  <si>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</si>
  <si>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</si>
  <si>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</si>
  <si>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</si>
  <si>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</si>
  <si>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</si>
  <si>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</si>
  <si>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</si>
  <si>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</si>
  <si>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</si>
  <si>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</si>
  <si>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</si>
  <si>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</si>
  <si>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</si>
  <si>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</si>
  <si>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</si>
  <si>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</si>
  <si>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</si>
  <si>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</si>
  <si>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</si>
  <si>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</si>
  <si>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</si>
  <si>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</si>
  <si>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</si>
  <si>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</si>
  <si>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</si>
  <si>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</si>
  <si>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</si>
  <si>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</si>
  <si>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</si>
  <si>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</si>
  <si>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</si>
  <si>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</si>
  <si>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</si>
  <si>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</si>
  <si>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</si>
  <si>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</si>
  <si>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</si>
  <si>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</si>
  <si>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</si>
  <si>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</si>
  <si>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</si>
  <si>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</si>
  <si>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</si>
  <si>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</si>
  <si>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</si>
  <si>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</si>
  <si>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</si>
  <si>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</si>
  <si>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</si>
  <si>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</si>
  <si>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</si>
  <si>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</si>
  <si>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</si>
  <si>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</si>
  <si>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</si>
  <si>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</si>
  <si>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</si>
  <si>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</si>
  <si>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</si>
  <si>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</si>
  <si>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</si>
  <si>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</si>
  <si>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</si>
  <si>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</si>
  <si>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</si>
  <si>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</si>
  <si>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</si>
  <si>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</si>
  <si>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</si>
  <si>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</si>
  <si>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</si>
  <si>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</si>
  <si>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</si>
  <si>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</si>
  <si>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</si>
  <si>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</si>
  <si>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</si>
  <si>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</si>
  <si>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</si>
  <si>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</si>
  <si>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</si>
  <si>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</si>
  <si>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</si>
  <si>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</si>
  <si>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</si>
  <si>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</si>
  <si>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</si>
  <si>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</si>
  <si>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</si>
  <si>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</si>
  <si>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</si>
  <si>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</si>
  <si>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</si>
  <si>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</si>
  <si>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</si>
  <si>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</si>
  <si>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</si>
  <si>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</si>
  <si>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</si>
  <si>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</si>
  <si>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</si>
  <si>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</si>
  <si>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</si>
  <si>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</si>
  <si>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</si>
  <si>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</si>
  <si>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</si>
  <si>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</si>
  <si>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</si>
  <si>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</si>
  <si>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</si>
  <si>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</si>
  <si>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</si>
  <si>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</si>
  <si>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</si>
  <si>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</si>
  <si>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</si>
  <si>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</si>
  <si>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</si>
  <si>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</si>
  <si>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</si>
  <si>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</si>
  <si>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</si>
  <si>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</si>
  <si>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</si>
  <si>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</si>
  <si>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</si>
  <si>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</si>
  <si>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</si>
  <si>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</si>
  <si>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</si>
  <si>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</si>
  <si>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</si>
  <si>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</si>
  <si>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</si>
  <si>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</si>
  <si>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</si>
  <si>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</si>
  <si>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</si>
  <si>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</si>
  <si>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</si>
  <si>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</si>
  <si>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</si>
  <si>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</si>
  <si>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</si>
  <si>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</si>
  <si>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</si>
  <si>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</si>
  <si>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</si>
  <si>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</si>
  <si>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</si>
  <si>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</si>
  <si>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</si>
  <si>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</si>
  <si>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</si>
  <si>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</si>
  <si>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</si>
  <si>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</si>
  <si>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</si>
  <si>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</si>
  <si>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</si>
  <si>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</si>
  <si>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</si>
  <si>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</si>
  <si>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</si>
  <si>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</si>
  <si>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</si>
  <si>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</si>
  <si>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</si>
  <si>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</si>
  <si>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</si>
  <si>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</si>
  <si>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</si>
  <si>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</si>
  <si>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</si>
  <si>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</si>
  <si>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</si>
  <si>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</si>
  <si>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</si>
  <si>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</si>
  <si>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</si>
  <si>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</si>
  <si>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</si>
  <si>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</si>
  <si>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</si>
  <si>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</si>
  <si>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</si>
  <si>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</si>
  <si>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</si>
  <si>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</si>
  <si>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</si>
  <si>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</si>
  <si>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</si>
  <si>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</si>
  <si>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</si>
  <si>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</si>
  <si>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</si>
  <si>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</si>
  <si>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</si>
  <si>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</si>
  <si>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</si>
  <si>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</si>
  <si>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</si>
  <si>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</si>
  <si>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</si>
  <si>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</si>
  <si>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</si>
  <si>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</si>
  <si>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</si>
  <si>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</si>
  <si>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</si>
  <si>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</si>
  <si>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</si>
  <si>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</si>
  <si>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</si>
  <si>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</si>
  <si>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</si>
  <si>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</si>
  <si>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</si>
  <si>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</si>
  <si>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</si>
  <si>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</si>
  <si>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</si>
  <si>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</si>
  <si>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</si>
  <si>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</si>
  <si>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</si>
  <si>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</si>
  <si>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</si>
  <si>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</si>
  <si>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</si>
  <si>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</si>
  <si>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</si>
  <si>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</si>
  <si>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</si>
  <si>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</si>
  <si>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</si>
  <si>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</si>
  <si>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</si>
  <si>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</si>
  <si>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</si>
  <si>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</si>
  <si>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</si>
  <si>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</si>
  <si>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</si>
  <si>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</si>
  <si>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</si>
  <si>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</si>
  <si>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</si>
  <si>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</si>
  <si>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</si>
  <si>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</si>
  <si>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</si>
  <si>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</si>
  <si>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</si>
  <si>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</si>
  <si>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</si>
  <si>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</si>
  <si>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</si>
  <si>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</si>
  <si>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</si>
  <si>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</si>
  <si>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</si>
  <si>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</si>
  <si>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</si>
  <si>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</si>
  <si>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</si>
  <si>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</si>
  <si>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</si>
  <si>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</si>
  <si>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</si>
  <si>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</si>
  <si>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</si>
  <si>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</si>
  <si>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</si>
  <si>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</si>
  <si>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</si>
  <si>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</si>
  <si>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</si>
  <si>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</si>
  <si>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</si>
  <si>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</si>
  <si>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</si>
  <si>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</si>
  <si>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</si>
  <si>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</si>
  <si>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</si>
  <si>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</si>
  <si>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</si>
  <si>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</si>
  <si>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</si>
  <si>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</si>
  <si>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</si>
  <si>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</si>
  <si>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</si>
  <si>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</si>
  <si>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- 15 de outubro de 2025</t>
  </si>
  <si>
    <t>EXAME DE DNA      L2024.0838</t>
  </si>
  <si>
    <t>JUDICIAL - PORTO VELHO / RO</t>
  </si>
  <si>
    <t>INSTITUTO DE PERICIAS CIENTÍFICAS</t>
  </si>
  <si>
    <t xml:space="preserve">Compareceram ao INSTITUTO DE PERICIAS CIENTÍFICAS </t>
  </si>
  <si>
    <t>09/06/2025 às 09h30min</t>
  </si>
  <si>
    <t>01/07/2025 às 15h15min</t>
  </si>
  <si>
    <t>2025.3FPVRO65656</t>
  </si>
  <si>
    <t>7025186-74.2024.8.22.0001</t>
  </si>
  <si>
    <t xml:space="preserve">POSITIVO, com 99,999999999% de probabilidade de </t>
  </si>
  <si>
    <t xml:space="preserve"> integrando o presente Exame nº 2024.0838</t>
  </si>
  <si>
    <t>Mãe:</t>
  </si>
  <si>
    <t>CRISTIANA DE SOUZA MELO</t>
  </si>
  <si>
    <t>Suposto Pai:</t>
  </si>
  <si>
    <t>JHONE DE SOUZA BARRETO</t>
  </si>
  <si>
    <t>Investigante:</t>
  </si>
  <si>
    <t>ZADIEL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</si>
</sst>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2024.0838\Qrcode\65656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14</xdr:col>
      <xdr:colOff>371475</xdr:colOff>
      <xdr:row>9</xdr:row>
      <xdr:rowOff>139514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EF9A0D2-06D8-D339-0515-EF727770D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1294" y="504265"/>
          <a:ext cx="1133475" cy="1114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PD101</v>
      </c>
      <c r="CQ3" s="35" t="str">
        <v>PD101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366</v>
      </c>
      <c r="F4" s="381" t="s">
        <v>365</v>
      </c>
      <c r="G4" s="381" t="s">
        <v>366</v>
      </c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Y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 t="str">
        <f>(IF(AND(($F$4=0),($G$4=0)),0,(IF(OR(($F$4&lt;&gt;"X"),($G$4&lt;&gt;"Y")),"ERRO",(IF((SUM($AR4:$AX4)&lt;&gt;0),(SUM($AR4:$AX4)),$F4))))))</f>
        <v>X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 t="str">
        <f>(IF(AND(($F$4=0),($G$4=0)),0,(IF(OR(($F$4&lt;&gt;"X"),($G$4&lt;&gt;"Y")),"ERRO",(IF((SUM($AR4:$AX4)&lt;&gt;0),(SUM($AR4:$AX4)),$G4))))))</f>
        <v>Y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PD101</v>
      </c>
      <c r="CQ4" s="353" t="str">
        <v>PD101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16</v>
      </c>
      <c r="C5" s="383">
        <v>17</v>
      </c>
      <c r="D5" s="383">
        <v>16</v>
      </c>
      <c r="E5" s="383">
        <v>16</v>
      </c>
      <c r="F5" s="383">
        <v>14</v>
      </c>
      <c r="G5" s="383">
        <v>16</v>
      </c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16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17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16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16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14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16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PD101</v>
      </c>
      <c r="CQ5" s="353" t="str">
        <v>PD101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16</v>
      </c>
      <c r="C6" s="383">
        <v>17.3</v>
      </c>
      <c r="D6" s="383">
        <v>16</v>
      </c>
      <c r="E6" s="383">
        <v>17.3</v>
      </c>
      <c r="F6" s="383">
        <v>15</v>
      </c>
      <c r="G6" s="383">
        <v>17.3</v>
      </c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16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17.3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16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17.3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15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17.3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PD101</v>
      </c>
      <c r="CQ6" s="353" t="str">
        <v>PD101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11</v>
      </c>
      <c r="C7" s="383">
        <v>11.3</v>
      </c>
      <c r="D7" s="383">
        <v>11.3</v>
      </c>
      <c r="E7" s="383">
        <v>11.3</v>
      </c>
      <c r="F7" s="383">
        <v>11.3</v>
      </c>
      <c r="G7" s="383">
        <v>15</v>
      </c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11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11.3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11.3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11.3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11.3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15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PD101</v>
      </c>
      <c r="CQ7" s="353" t="str">
        <v>PD101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14</v>
      </c>
      <c r="C8" s="383">
        <v>14</v>
      </c>
      <c r="D8" s="383">
        <v>14</v>
      </c>
      <c r="E8" s="383">
        <v>14</v>
      </c>
      <c r="F8" s="383">
        <v>13</v>
      </c>
      <c r="G8" s="383">
        <v>14</v>
      </c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14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14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14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14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13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14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PD101</v>
      </c>
      <c r="CQ8" s="353" t="str">
        <v>PD101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11</v>
      </c>
      <c r="C9" s="383">
        <v>11</v>
      </c>
      <c r="D9" s="383">
        <v>11</v>
      </c>
      <c r="E9" s="383">
        <v>12</v>
      </c>
      <c r="F9" s="383">
        <v>12</v>
      </c>
      <c r="G9" s="383">
        <v>12</v>
      </c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11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11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11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12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12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12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PD101</v>
      </c>
      <c r="CQ9" s="353" t="str">
        <v>PD101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13</v>
      </c>
      <c r="C10" s="383">
        <v>16</v>
      </c>
      <c r="D10" s="383">
        <v>11</v>
      </c>
      <c r="E10" s="383">
        <v>16</v>
      </c>
      <c r="F10" s="383">
        <v>11</v>
      </c>
      <c r="G10" s="383">
        <v>11</v>
      </c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13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16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11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16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11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11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PD101</v>
      </c>
      <c r="CQ10" s="353" t="str">
        <v>PD101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10</v>
      </c>
      <c r="C11" s="383">
        <v>11</v>
      </c>
      <c r="D11" s="383">
        <v>11</v>
      </c>
      <c r="E11" s="383">
        <v>12</v>
      </c>
      <c r="F11" s="383">
        <v>11</v>
      </c>
      <c r="G11" s="383">
        <v>12</v>
      </c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10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11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11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12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11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12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PD101</v>
      </c>
      <c r="CQ11" s="353" t="str">
        <v>PD101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12</v>
      </c>
      <c r="C12" s="383">
        <v>14</v>
      </c>
      <c r="D12" s="383">
        <v>10</v>
      </c>
      <c r="E12" s="383">
        <v>12</v>
      </c>
      <c r="F12" s="383">
        <v>10</v>
      </c>
      <c r="G12" s="383">
        <v>18</v>
      </c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12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14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10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12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10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18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PD101</v>
      </c>
      <c r="CQ12" s="353" t="str">
        <v>PD101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17</v>
      </c>
      <c r="C13" s="383">
        <v>17</v>
      </c>
      <c r="D13" s="383">
        <v>17</v>
      </c>
      <c r="E13" s="383">
        <v>20</v>
      </c>
      <c r="F13" s="383">
        <v>20</v>
      </c>
      <c r="G13" s="383">
        <v>25</v>
      </c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17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17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17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20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20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25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PD101</v>
      </c>
      <c r="CQ13" s="353" t="str">
        <v>PD101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10</v>
      </c>
      <c r="C14" s="383">
        <v>11</v>
      </c>
      <c r="D14" s="383">
        <v>10</v>
      </c>
      <c r="E14" s="383">
        <v>12</v>
      </c>
      <c r="F14" s="383">
        <v>11</v>
      </c>
      <c r="G14" s="383">
        <v>12</v>
      </c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11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12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11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12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PD101</v>
      </c>
      <c r="CQ14" s="353" t="str">
        <v>PD101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10</v>
      </c>
      <c r="C15" s="383">
        <v>11</v>
      </c>
      <c r="D15" s="383">
        <v>10</v>
      </c>
      <c r="E15" s="383">
        <v>12</v>
      </c>
      <c r="F15" s="383">
        <v>12</v>
      </c>
      <c r="G15" s="383">
        <v>12</v>
      </c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10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11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10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12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12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12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PD101</v>
      </c>
      <c r="CQ15" s="353" t="str">
        <v>PD101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6</v>
      </c>
      <c r="C16" s="383">
        <v>7</v>
      </c>
      <c r="D16" s="383">
        <v>6</v>
      </c>
      <c r="E16" s="383">
        <v>6</v>
      </c>
      <c r="F16" s="383">
        <v>6</v>
      </c>
      <c r="G16" s="383">
        <v>9.3000000000000007</v>
      </c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6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7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6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6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6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9.3000000000000007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PD101</v>
      </c>
      <c r="CQ16" s="353" t="str">
        <v>PD101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17</v>
      </c>
      <c r="C17" s="383">
        <v>18</v>
      </c>
      <c r="D17" s="383">
        <v>17</v>
      </c>
      <c r="E17" s="383">
        <v>17</v>
      </c>
      <c r="F17" s="383">
        <v>14</v>
      </c>
      <c r="G17" s="383">
        <v>17</v>
      </c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17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18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17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17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14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17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PD101</v>
      </c>
      <c r="CQ17" s="353" t="str">
        <v>PD101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28</v>
      </c>
      <c r="C18" s="383">
        <v>29</v>
      </c>
      <c r="D18" s="383">
        <v>29</v>
      </c>
      <c r="E18" s="383">
        <v>32.200000000000003</v>
      </c>
      <c r="F18" s="383">
        <v>29</v>
      </c>
      <c r="G18" s="383">
        <v>32.200000000000003</v>
      </c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28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29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29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32.200000000000003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29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32.200000000000003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PD101</v>
      </c>
      <c r="CQ18" s="353" t="str">
        <v>PD101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11</v>
      </c>
      <c r="C19" s="383">
        <v>11</v>
      </c>
      <c r="D19" s="383">
        <v>11</v>
      </c>
      <c r="E19" s="383">
        <v>11</v>
      </c>
      <c r="F19" s="383">
        <v>9</v>
      </c>
      <c r="G19" s="383">
        <v>11</v>
      </c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11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11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11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11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9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11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PD101</v>
      </c>
      <c r="CQ19" s="353" t="str">
        <v>PD101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11</v>
      </c>
      <c r="C20" s="383">
        <v>12</v>
      </c>
      <c r="D20" s="383">
        <v>11</v>
      </c>
      <c r="E20" s="383">
        <v>11</v>
      </c>
      <c r="F20" s="383">
        <v>11</v>
      </c>
      <c r="G20" s="383">
        <v>11</v>
      </c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11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12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11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11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11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11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PD101</v>
      </c>
      <c r="CQ20" s="353" t="str">
        <v>PD101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8</v>
      </c>
      <c r="C21" s="383">
        <v>11</v>
      </c>
      <c r="D21" s="383">
        <v>8</v>
      </c>
      <c r="E21" s="383">
        <v>12</v>
      </c>
      <c r="F21" s="383">
        <v>9</v>
      </c>
      <c r="G21" s="383">
        <v>12</v>
      </c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8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11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12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9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12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PD101</v>
      </c>
      <c r="CQ21" s="353" t="str">
        <v>PD101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14</v>
      </c>
      <c r="C22" s="383">
        <v>15</v>
      </c>
      <c r="D22" s="383">
        <v>13</v>
      </c>
      <c r="E22" s="383">
        <v>14</v>
      </c>
      <c r="F22" s="383">
        <v>13</v>
      </c>
      <c r="G22" s="383">
        <v>13</v>
      </c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14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15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14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13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13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PD101</v>
      </c>
      <c r="CQ22" s="353" t="str">
        <v>PD101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22</v>
      </c>
      <c r="C23" s="383">
        <v>24</v>
      </c>
      <c r="D23" s="383">
        <v>19</v>
      </c>
      <c r="E23" s="383">
        <v>22</v>
      </c>
      <c r="F23" s="383">
        <v>17.3</v>
      </c>
      <c r="G23" s="383">
        <v>19</v>
      </c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22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24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19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22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17.3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19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PD101</v>
      </c>
      <c r="CQ23" s="353" t="str">
        <v>PD101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12</v>
      </c>
      <c r="C24" s="383">
        <v>15.2</v>
      </c>
      <c r="D24" s="383">
        <v>12</v>
      </c>
      <c r="E24" s="383">
        <v>13</v>
      </c>
      <c r="F24" s="383">
        <v>12</v>
      </c>
      <c r="G24" s="383">
        <v>13</v>
      </c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12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15.2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12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13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12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13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PD101</v>
      </c>
      <c r="CQ24" s="353" t="str">
        <v>PD101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24</v>
      </c>
      <c r="C25" s="383">
        <v>25</v>
      </c>
      <c r="D25" s="383">
        <v>21</v>
      </c>
      <c r="E25" s="383">
        <v>24</v>
      </c>
      <c r="F25" s="383">
        <v>21</v>
      </c>
      <c r="G25" s="383">
        <v>21</v>
      </c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24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25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21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24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21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21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15</v>
      </c>
      <c r="C26" s="383">
        <v>16</v>
      </c>
      <c r="D26" s="383">
        <v>16</v>
      </c>
      <c r="E26" s="383">
        <v>16</v>
      </c>
      <c r="F26" s="383">
        <v>14</v>
      </c>
      <c r="G26" s="383">
        <v>16</v>
      </c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15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16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16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14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16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>
        <f>'PD0101'!AG43</f>
        <v>1217241836624.3335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VÍNCULO BIOLOGICAMENTE PROVADO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abSelected="1" zoomScale="170" zoomScaleNormal="170" workbookViewId="0">
      <selection activeCell="M4" sqref="M4:O1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1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12"/>
      <c r="K3" s="712"/>
      <c r="L3" s="712"/>
      <c r="M3" s="712"/>
      <c r="N3" s="712"/>
      <c r="O3" s="713"/>
    </row>
    <row r="4" spans="1:15" ht="12.75" customHeight="1">
      <c r="A4" s="386"/>
      <c r="B4" s="390"/>
      <c r="C4" s="390"/>
      <c r="D4" s="390"/>
      <c r="E4" s="717" t="s">
        <v>368</v>
      </c>
      <c r="F4" s="717"/>
      <c r="G4" s="717"/>
      <c r="H4" s="717"/>
      <c r="I4" s="717"/>
      <c r="J4" s="717"/>
      <c r="K4" s="717"/>
      <c r="L4" s="717"/>
      <c r="M4" s="721"/>
      <c r="N4" s="721"/>
      <c r="O4" s="722"/>
    </row>
    <row r="5" spans="1:15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2"/>
    </row>
    <row r="6" spans="1:15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2"/>
    </row>
    <row r="7" spans="1:15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2"/>
    </row>
    <row r="8" spans="1:15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2"/>
    </row>
    <row r="9" spans="1:15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2"/>
    </row>
    <row r="10" spans="1:15" ht="12.75" customHeight="1" thickBot="1">
      <c r="A10" s="725"/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4"/>
    </row>
    <row r="11" spans="1:15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20"/>
    </row>
    <row r="12" spans="1:15" ht="13.5" thickTop="1">
      <c r="A12" s="309" t="s">
        <v>250</v>
      </c>
      <c r="B12" s="709" t="s">
        <v>369</v>
      </c>
      <c r="C12" s="709"/>
      <c r="D12" s="709"/>
      <c r="E12" s="709"/>
      <c r="F12" s="709"/>
      <c r="G12" s="709"/>
      <c r="H12" s="709"/>
      <c r="I12" s="651"/>
      <c r="J12" s="652" t="s">
        <v>357</v>
      </c>
      <c r="K12" s="709" t="s">
        <v>375</v>
      </c>
      <c r="L12" s="709"/>
      <c r="M12" s="709"/>
      <c r="N12" s="709"/>
      <c r="O12" s="728"/>
    </row>
    <row r="13" spans="1:15">
      <c r="A13" s="309" t="s">
        <v>359</v>
      </c>
      <c r="B13" s="702" t="s">
        <v>370</v>
      </c>
      <c r="C13" s="702"/>
      <c r="D13" s="702"/>
      <c r="E13" s="702"/>
      <c r="F13" s="702"/>
      <c r="G13" s="702"/>
      <c r="H13" s="321"/>
      <c r="I13" s="392"/>
      <c r="J13" s="321" t="s">
        <v>362</v>
      </c>
      <c r="K13" s="392" t="s">
        <v>372</v>
      </c>
      <c r="L13" s="392"/>
      <c r="M13" s="392"/>
      <c r="N13" s="392"/>
      <c r="O13" s="388"/>
    </row>
    <row r="14" spans="1:15">
      <c r="A14" s="309" t="s">
        <v>382</v>
      </c>
      <c r="B14" s="700" t="s">
        <v>383</v>
      </c>
      <c r="C14" s="700"/>
      <c r="D14" s="700"/>
      <c r="E14" s="700"/>
      <c r="F14" s="700"/>
      <c r="G14" s="700"/>
      <c r="H14" s="662"/>
      <c r="I14" s="662"/>
      <c r="J14" s="321" t="s">
        <v>251</v>
      </c>
      <c r="K14" s="700" t="s">
        <v>373</v>
      </c>
      <c r="L14" s="700"/>
      <c r="M14" s="700"/>
      <c r="N14" s="700"/>
      <c r="O14" s="731"/>
    </row>
    <row r="15" spans="1:15">
      <c r="A15" s="309" t="s">
        <v>380</v>
      </c>
      <c r="B15" s="700" t="s">
        <v>381</v>
      </c>
      <c r="C15" s="700"/>
      <c r="D15" s="700"/>
      <c r="E15" s="700"/>
      <c r="F15" s="700"/>
      <c r="G15" s="700"/>
      <c r="H15" s="392"/>
      <c r="I15" s="392"/>
      <c r="J15" s="321" t="s">
        <v>360</v>
      </c>
      <c r="K15" s="700">
        <v>52315</v>
      </c>
      <c r="L15" s="700"/>
      <c r="M15" s="700"/>
      <c r="N15" s="700"/>
      <c r="O15" s="396"/>
    </row>
    <row r="16" spans="1:15">
      <c r="A16" s="309" t="s">
        <v>378</v>
      </c>
      <c r="B16" s="700" t="s">
        <v>379</v>
      </c>
      <c r="C16" s="700"/>
      <c r="D16" s="700"/>
      <c r="E16" s="700"/>
      <c r="F16" s="700"/>
      <c r="G16" s="700"/>
      <c r="H16" s="392"/>
      <c r="I16" s="392"/>
      <c r="J16" s="405" t="s">
        <v>291</v>
      </c>
      <c r="K16" s="392" t="s">
        <v>374</v>
      </c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27"/>
      <c r="C17" s="727"/>
      <c r="D17" s="727"/>
      <c r="E17" s="727"/>
      <c r="F17" s="727"/>
      <c r="G17" s="727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6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01" t="str">
        <f>'PD0101'!B8</f>
        <v>MÃE</v>
      </c>
      <c r="H19" s="701"/>
      <c r="I19" s="701" t="s">
        <v>253</v>
      </c>
      <c r="J19" s="701"/>
      <c r="K19" s="701" t="str">
        <f>'PD0101'!F8</f>
        <v>SUP. PAI</v>
      </c>
      <c r="L19" s="701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6" t="s">
        <v>371</v>
      </c>
      <c r="B20" s="707"/>
      <c r="C20" s="707"/>
      <c r="D20" s="707"/>
      <c r="E20" s="708"/>
      <c r="F20" s="666" t="str">
        <f>'PD0101'!$A$9</f>
        <v>D3S1358</v>
      </c>
      <c r="G20" s="667">
        <f>'PD0101'!$B$9</f>
        <v>16</v>
      </c>
      <c r="H20" s="667">
        <f>'PD0101'!$C$9</f>
        <v>17</v>
      </c>
      <c r="I20" s="667">
        <f>'PD0101'!$D$9</f>
        <v>16</v>
      </c>
      <c r="J20" s="667">
        <f>'PD0101'!$E$9</f>
        <v>16</v>
      </c>
      <c r="K20" s="667">
        <f>'PD0101'!$F$9</f>
        <v>14</v>
      </c>
      <c r="L20" s="667">
        <f>'PD0101'!$G$9</f>
        <v>16</v>
      </c>
      <c r="M20" s="668">
        <f>'PD0101'!$AG$9</f>
        <v>0.27030799999999999</v>
      </c>
      <c r="N20" s="669">
        <f>'PD0101'!$AH$9</f>
        <v>1.8497417760480637</v>
      </c>
      <c r="O20" s="670">
        <f>'PD0101'!$AI$9</f>
        <v>0.64909101294547111</v>
      </c>
    </row>
    <row r="21" spans="1:15" ht="15.75" customHeight="1">
      <c r="A21" s="706" t="s">
        <v>350</v>
      </c>
      <c r="B21" s="707"/>
      <c r="C21" s="707"/>
      <c r="D21" s="707"/>
      <c r="E21" s="708"/>
      <c r="F21" s="666" t="str">
        <f>'PD0101'!$A$10</f>
        <v>D1S1656</v>
      </c>
      <c r="G21" s="667">
        <f>'PD0101'!$B$10</f>
        <v>16</v>
      </c>
      <c r="H21" s="667">
        <f>'PD0101'!$C$10</f>
        <v>17.3</v>
      </c>
      <c r="I21" s="667">
        <f>'PD0101'!$D$10</f>
        <v>16</v>
      </c>
      <c r="J21" s="667">
        <f>'PD0101'!$E$10</f>
        <v>17.3</v>
      </c>
      <c r="K21" s="667">
        <f>'PD0101'!$F$10</f>
        <v>15</v>
      </c>
      <c r="L21" s="667">
        <f>'PD0101'!$G$10</f>
        <v>17.3</v>
      </c>
      <c r="M21" s="668">
        <f>'PD0101'!$AG$10</f>
        <v>0.27039999999999997</v>
      </c>
      <c r="N21" s="669">
        <f>'PD0101'!$AH$10</f>
        <v>1.8491124260355032</v>
      </c>
      <c r="O21" s="670">
        <f>'PD0101'!$AI$10</f>
        <v>0.64901349948078924</v>
      </c>
    </row>
    <row r="22" spans="1:15" ht="15.75" customHeight="1">
      <c r="A22" s="706" t="s">
        <v>293</v>
      </c>
      <c r="B22" s="707"/>
      <c r="C22" s="707"/>
      <c r="D22" s="707"/>
      <c r="E22" s="708"/>
      <c r="F22" s="666" t="str">
        <f>'PD0101'!$A$11</f>
        <v>D2S441</v>
      </c>
      <c r="G22" s="667">
        <f>'PD0101'!$B$11</f>
        <v>11</v>
      </c>
      <c r="H22" s="667">
        <f>'PD0101'!$C$11</f>
        <v>11.3</v>
      </c>
      <c r="I22" s="667">
        <f>'PD0101'!$D$11</f>
        <v>11.3</v>
      </c>
      <c r="J22" s="667">
        <f>'PD0101'!$E$11</f>
        <v>11.3</v>
      </c>
      <c r="K22" s="667">
        <f>'PD0101'!$F$11</f>
        <v>11.3</v>
      </c>
      <c r="L22" s="667">
        <f>'PD0101'!$G$11</f>
        <v>15</v>
      </c>
      <c r="M22" s="668">
        <f>'PD0101'!$AG$11</f>
        <v>0.05</v>
      </c>
      <c r="N22" s="669">
        <f>'PD0101'!$AH$11</f>
        <v>10</v>
      </c>
      <c r="O22" s="670">
        <f>'PD0101'!$AI$11</f>
        <v>0.90909090909090906</v>
      </c>
    </row>
    <row r="23" spans="1:15" ht="15.75" customHeight="1">
      <c r="A23" s="706" t="s">
        <v>290</v>
      </c>
      <c r="B23" s="707"/>
      <c r="C23" s="707"/>
      <c r="D23" s="707"/>
      <c r="E23" s="708"/>
      <c r="F23" s="666" t="str">
        <f>'PD0101'!$A$12</f>
        <v>D10S1248</v>
      </c>
      <c r="G23" s="667">
        <f>'PD0101'!$B$12</f>
        <v>14</v>
      </c>
      <c r="H23" s="667">
        <f>'PD0101'!$C$12</f>
        <v>14</v>
      </c>
      <c r="I23" s="667">
        <f>'PD0101'!$D$12</f>
        <v>14</v>
      </c>
      <c r="J23" s="667">
        <f>'PD0101'!$E$12</f>
        <v>14</v>
      </c>
      <c r="K23" s="667">
        <f>'PD0101'!$F$12</f>
        <v>13</v>
      </c>
      <c r="L23" s="667">
        <f>'PD0101'!$G$12</f>
        <v>14</v>
      </c>
      <c r="M23" s="668">
        <f>'PD0101'!$AG$12</f>
        <v>0.30480000000000002</v>
      </c>
      <c r="N23" s="669">
        <f>'PD0101'!$AH$12</f>
        <v>1.6404199475065615</v>
      </c>
      <c r="O23" s="670">
        <f>'PD0101'!$AI$12</f>
        <v>0.62127236580516887</v>
      </c>
    </row>
    <row r="24" spans="1:15" ht="15.75" customHeight="1">
      <c r="A24" s="706" t="s">
        <v>294</v>
      </c>
      <c r="B24" s="707"/>
      <c r="C24" s="707"/>
      <c r="D24" s="707"/>
      <c r="E24" s="708"/>
      <c r="F24" s="666" t="str">
        <f>'PD0101'!$A$13</f>
        <v>D13S317</v>
      </c>
      <c r="G24" s="667">
        <f>'PD0101'!$B$13</f>
        <v>11</v>
      </c>
      <c r="H24" s="667">
        <f>'PD0101'!$C$13</f>
        <v>11</v>
      </c>
      <c r="I24" s="667">
        <f>'PD0101'!$D$13</f>
        <v>11</v>
      </c>
      <c r="J24" s="667">
        <f>'PD0101'!$E$13</f>
        <v>12</v>
      </c>
      <c r="K24" s="667">
        <f>'PD0101'!$F$13</f>
        <v>12</v>
      </c>
      <c r="L24" s="667">
        <f>'PD0101'!$G$13</f>
        <v>12</v>
      </c>
      <c r="M24" s="668">
        <f>'PD0101'!$AG$13</f>
        <v>0.29337999999999997</v>
      </c>
      <c r="N24" s="669">
        <f>'PD0101'!$AH$13</f>
        <v>3.408548639989093</v>
      </c>
      <c r="O24" s="670">
        <f>'PD0101'!$AI$13</f>
        <v>0.77316797847500363</v>
      </c>
    </row>
    <row r="25" spans="1:15" ht="15.75" customHeight="1">
      <c r="A25" s="706" t="s">
        <v>363</v>
      </c>
      <c r="B25" s="707"/>
      <c r="C25" s="707"/>
      <c r="D25" s="707"/>
      <c r="E25" s="708"/>
      <c r="F25" s="666" t="str">
        <f>'PD0101'!$A$14</f>
        <v>Penta_E</v>
      </c>
      <c r="G25" s="667">
        <f>'PD0101'!$B$14</f>
        <v>13</v>
      </c>
      <c r="H25" s="667">
        <f>'PD0101'!$C$14</f>
        <v>16</v>
      </c>
      <c r="I25" s="667">
        <f>'PD0101'!$D$14</f>
        <v>11</v>
      </c>
      <c r="J25" s="667">
        <f>'PD0101'!$E$14</f>
        <v>16</v>
      </c>
      <c r="K25" s="667">
        <f>'PD0101'!$F$14</f>
        <v>11</v>
      </c>
      <c r="L25" s="667">
        <f>'PD0101'!$G$14</f>
        <v>11</v>
      </c>
      <c r="M25" s="668">
        <f>'PD0101'!$AG$14</f>
        <v>0.05</v>
      </c>
      <c r="N25" s="669">
        <f>'PD0101'!$AH$14</f>
        <v>20</v>
      </c>
      <c r="O25" s="670">
        <f>'PD0101'!$AI$14</f>
        <v>0.95238095238095233</v>
      </c>
    </row>
    <row r="26" spans="1:15" ht="15.75" customHeight="1">
      <c r="A26" s="706" t="s">
        <v>369</v>
      </c>
      <c r="B26" s="707"/>
      <c r="C26" s="707"/>
      <c r="D26" s="707"/>
      <c r="E26" s="708"/>
      <c r="F26" s="666" t="str">
        <f>'PD0101'!$A$15</f>
        <v>D16S539</v>
      </c>
      <c r="G26" s="667">
        <f>'PD0101'!$B$15</f>
        <v>10</v>
      </c>
      <c r="H26" s="667">
        <f>'PD0101'!$C$15</f>
        <v>11</v>
      </c>
      <c r="I26" s="667">
        <f>'PD0101'!$D$15</f>
        <v>11</v>
      </c>
      <c r="J26" s="667">
        <f>'PD0101'!$E$15</f>
        <v>12</v>
      </c>
      <c r="K26" s="667">
        <f>'PD0101'!$F$15</f>
        <v>11</v>
      </c>
      <c r="L26" s="667">
        <f>'PD0101'!$G$15</f>
        <v>12</v>
      </c>
      <c r="M26" s="668">
        <f>'PD0101'!$AG$15</f>
        <v>0.25604300000000002</v>
      </c>
      <c r="N26" s="669">
        <f>'PD0101'!$AH$15</f>
        <v>1.952796991130396</v>
      </c>
      <c r="O26" s="670">
        <f>'PD0101'!$AI$15</f>
        <v>0.66133804558735421</v>
      </c>
    </row>
    <row r="27" spans="1:15" ht="15.75" customHeight="1">
      <c r="A27" s="706"/>
      <c r="B27" s="707"/>
      <c r="C27" s="707"/>
      <c r="D27" s="707"/>
      <c r="E27" s="708"/>
      <c r="F27" s="666" t="str">
        <f>'PD0101'!$A$16</f>
        <v>D18S51</v>
      </c>
      <c r="G27" s="667">
        <f>'PD0101'!$B$16</f>
        <v>12</v>
      </c>
      <c r="H27" s="667">
        <f>'PD0101'!$C$16</f>
        <v>14</v>
      </c>
      <c r="I27" s="667">
        <f>'PD0101'!$D$16</f>
        <v>10</v>
      </c>
      <c r="J27" s="667">
        <f>'PD0101'!$E$16</f>
        <v>12</v>
      </c>
      <c r="K27" s="667">
        <f>'PD0101'!$F$16</f>
        <v>10</v>
      </c>
      <c r="L27" s="667">
        <f>'PD0101'!$G$16</f>
        <v>18</v>
      </c>
      <c r="M27" s="668">
        <f>'PD0101'!$AG$16</f>
        <v>0.05</v>
      </c>
      <c r="N27" s="669">
        <f>'PD0101'!$AH$16</f>
        <v>10</v>
      </c>
      <c r="O27" s="670">
        <f>'PD0101'!$AI$16</f>
        <v>0.90909090909090906</v>
      </c>
    </row>
    <row r="28" spans="1:15" ht="15.75" customHeight="1" thickBot="1">
      <c r="A28" s="706"/>
      <c r="B28" s="707"/>
      <c r="C28" s="707"/>
      <c r="D28" s="707"/>
      <c r="E28" s="708"/>
      <c r="F28" s="666" t="str">
        <f>'PD0101'!$A$17</f>
        <v>D2S1338</v>
      </c>
      <c r="G28" s="667">
        <f>'PD0101'!$B$17</f>
        <v>17</v>
      </c>
      <c r="H28" s="667">
        <f>'PD0101'!$C$17</f>
        <v>17</v>
      </c>
      <c r="I28" s="667">
        <f>'PD0101'!$D$17</f>
        <v>17</v>
      </c>
      <c r="J28" s="667">
        <f>'PD0101'!$E$17</f>
        <v>20</v>
      </c>
      <c r="K28" s="667">
        <f>'PD0101'!$F$17</f>
        <v>20</v>
      </c>
      <c r="L28" s="667">
        <f>'PD0101'!$G$17</f>
        <v>25</v>
      </c>
      <c r="M28" s="668">
        <f>'PD0101'!$AG$17</f>
        <v>0.13669999999999999</v>
      </c>
      <c r="N28" s="669">
        <f>'PD0101'!$AH$17</f>
        <v>3.6576444769568401</v>
      </c>
      <c r="O28" s="670">
        <f>'PD0101'!$AI$17</f>
        <v>0.78529919899481715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10</v>
      </c>
      <c r="H29" s="667">
        <f>'PD0101'!$C$18</f>
        <v>11</v>
      </c>
      <c r="I29" s="667">
        <f>'PD0101'!$D$18</f>
        <v>10</v>
      </c>
      <c r="J29" s="667">
        <f>'PD0101'!$E$18</f>
        <v>12</v>
      </c>
      <c r="K29" s="667">
        <f>'PD0101'!$F$18</f>
        <v>11</v>
      </c>
      <c r="L29" s="667">
        <f>'PD0101'!$G$18</f>
        <v>12</v>
      </c>
      <c r="M29" s="668">
        <f>'PD0101'!$AG$18</f>
        <v>0.30245100000000003</v>
      </c>
      <c r="N29" s="669">
        <f>'PD0101'!$AH$18</f>
        <v>1.6531603466346614</v>
      </c>
      <c r="O29" s="670">
        <f>'PD0101'!$AI$18</f>
        <v>0.62309100493363456</v>
      </c>
    </row>
    <row r="30" spans="1:15" ht="15.75" customHeight="1" thickTop="1">
      <c r="A30" s="706" t="s">
        <v>364</v>
      </c>
      <c r="B30" s="707"/>
      <c r="C30" s="707"/>
      <c r="D30" s="707"/>
      <c r="E30" s="708"/>
      <c r="F30" s="666" t="str">
        <f>'PD0101'!$A$19</f>
        <v>Penta_D</v>
      </c>
      <c r="G30" s="667">
        <f>'PD0101'!$B$19</f>
        <v>10</v>
      </c>
      <c r="H30" s="667">
        <f>'PD0101'!$C$19</f>
        <v>11</v>
      </c>
      <c r="I30" s="667">
        <f>'PD0101'!$D$19</f>
        <v>10</v>
      </c>
      <c r="J30" s="667">
        <f>'PD0101'!$E$19</f>
        <v>12</v>
      </c>
      <c r="K30" s="667">
        <f>'PD0101'!$F$19</f>
        <v>12</v>
      </c>
      <c r="L30" s="667">
        <f>'PD0101'!$G$19</f>
        <v>12</v>
      </c>
      <c r="M30" s="668">
        <f>'PD0101'!$AG$19</f>
        <v>0.16545399999999999</v>
      </c>
      <c r="N30" s="669">
        <f>'PD0101'!$AH$19</f>
        <v>6.0439759691515471</v>
      </c>
      <c r="O30" s="670">
        <f>'PD0101'!$AI$19</f>
        <v>0.85803472294916827</v>
      </c>
    </row>
    <row r="31" spans="1:15" ht="15.75" customHeight="1">
      <c r="A31" s="706"/>
      <c r="B31" s="707"/>
      <c r="C31" s="707"/>
      <c r="D31" s="707"/>
      <c r="E31" s="708"/>
      <c r="F31" s="666" t="str">
        <f>'PD0101'!$A$20</f>
        <v>TH01</v>
      </c>
      <c r="G31" s="667">
        <f>'PD0101'!$B$20</f>
        <v>6</v>
      </c>
      <c r="H31" s="667">
        <f>'PD0101'!$C$20</f>
        <v>7</v>
      </c>
      <c r="I31" s="667">
        <f>'PD0101'!$D$20</f>
        <v>6</v>
      </c>
      <c r="J31" s="667">
        <f>'PD0101'!$E$20</f>
        <v>6</v>
      </c>
      <c r="K31" s="667">
        <f>'PD0101'!$F$20</f>
        <v>6</v>
      </c>
      <c r="L31" s="667">
        <f>'PD0101'!$G$20</f>
        <v>9.3000000000000007</v>
      </c>
      <c r="M31" s="668">
        <f>'PD0101'!$AG$20</f>
        <v>0.21123800000000001</v>
      </c>
      <c r="N31" s="669">
        <f>'PD0101'!$AH$20</f>
        <v>2.3669983620371333</v>
      </c>
      <c r="O31" s="670">
        <f>'PD0101'!$AI$20</f>
        <v>0.70299955851627727</v>
      </c>
    </row>
    <row r="32" spans="1:15" ht="15.75" customHeight="1">
      <c r="A32" s="706"/>
      <c r="B32" s="707"/>
      <c r="C32" s="707"/>
      <c r="D32" s="707"/>
      <c r="E32" s="708"/>
      <c r="F32" s="666" t="str">
        <f>'PD0101'!$A$21</f>
        <v>vWA</v>
      </c>
      <c r="G32" s="667">
        <f>'PD0101'!$B$21</f>
        <v>17</v>
      </c>
      <c r="H32" s="667">
        <f>'PD0101'!$C$21</f>
        <v>18</v>
      </c>
      <c r="I32" s="667">
        <f>'PD0101'!$D$21</f>
        <v>17</v>
      </c>
      <c r="J32" s="667">
        <f>'PD0101'!$E$21</f>
        <v>17</v>
      </c>
      <c r="K32" s="667">
        <f>'PD0101'!$F$21</f>
        <v>14</v>
      </c>
      <c r="L32" s="667">
        <f>'PD0101'!$G$21</f>
        <v>17</v>
      </c>
      <c r="M32" s="668">
        <f>'PD0101'!$AG$21</f>
        <v>0.25484400000000001</v>
      </c>
      <c r="N32" s="669">
        <f>'PD0101'!$AH$21</f>
        <v>1.9619845866490873</v>
      </c>
      <c r="O32" s="670">
        <f>'PD0101'!$AI$21</f>
        <v>0.66238852001208193</v>
      </c>
    </row>
    <row r="33" spans="1:15" ht="15.75" customHeight="1">
      <c r="A33" s="706"/>
      <c r="B33" s="707"/>
      <c r="C33" s="707"/>
      <c r="D33" s="707"/>
      <c r="E33" s="708"/>
      <c r="F33" s="666" t="str">
        <f>'PD0101'!$A$22</f>
        <v>D21S11</v>
      </c>
      <c r="G33" s="667">
        <f>'PD0101'!$B$22</f>
        <v>28</v>
      </c>
      <c r="H33" s="667">
        <f>'PD0101'!$C$22</f>
        <v>29</v>
      </c>
      <c r="I33" s="667">
        <f>'PD0101'!$D$22</f>
        <v>29</v>
      </c>
      <c r="J33" s="667">
        <f>'PD0101'!$E$22</f>
        <v>32.200000000000003</v>
      </c>
      <c r="K33" s="667">
        <f>'PD0101'!$F$22</f>
        <v>29</v>
      </c>
      <c r="L33" s="667">
        <f>'PD0101'!$G$22</f>
        <v>32.200000000000003</v>
      </c>
      <c r="M33" s="668">
        <f>'PD0101'!$AG$22</f>
        <v>7.5126999999999999E-2</v>
      </c>
      <c r="N33" s="669">
        <f>'PD0101'!$AH$22</f>
        <v>6.6553968613148404</v>
      </c>
      <c r="O33" s="670">
        <f>'PD0101'!$AI$22</f>
        <v>0.86937319931076096</v>
      </c>
    </row>
    <row r="34" spans="1:15" ht="15.75" customHeight="1">
      <c r="A34" s="706"/>
      <c r="B34" s="707"/>
      <c r="C34" s="707"/>
      <c r="D34" s="707"/>
      <c r="E34" s="708"/>
      <c r="F34" s="666" t="str">
        <f>'PD0101'!$A$23</f>
        <v>D7S820</v>
      </c>
      <c r="G34" s="667">
        <f>'PD0101'!$B$23</f>
        <v>11</v>
      </c>
      <c r="H34" s="667">
        <f>'PD0101'!$C$23</f>
        <v>11</v>
      </c>
      <c r="I34" s="667">
        <f>'PD0101'!$D$23</f>
        <v>11</v>
      </c>
      <c r="J34" s="667">
        <f>'PD0101'!$E$23</f>
        <v>11</v>
      </c>
      <c r="K34" s="667">
        <f>'PD0101'!$F$23</f>
        <v>9</v>
      </c>
      <c r="L34" s="667">
        <f>'PD0101'!$G$23</f>
        <v>11</v>
      </c>
      <c r="M34" s="668">
        <f>'PD0101'!$AG$23</f>
        <v>0.23635999999999999</v>
      </c>
      <c r="N34" s="669">
        <f>'PD0101'!$AH$23</f>
        <v>2.1154171602640042</v>
      </c>
      <c r="O34" s="670">
        <f>'PD0101'!$AI$23</f>
        <v>0.6790156988429572</v>
      </c>
    </row>
    <row r="35" spans="1:15" ht="15.75" customHeight="1">
      <c r="A35" s="706"/>
      <c r="B35" s="707"/>
      <c r="C35" s="707"/>
      <c r="D35" s="707"/>
      <c r="E35" s="708"/>
      <c r="F35" s="666" t="str">
        <f>'PD0101'!$A$24</f>
        <v>D5S818</v>
      </c>
      <c r="G35" s="667">
        <f>'PD0101'!$B$24</f>
        <v>11</v>
      </c>
      <c r="H35" s="667">
        <f>'PD0101'!$C$24</f>
        <v>12</v>
      </c>
      <c r="I35" s="667">
        <f>'PD0101'!$D$24</f>
        <v>11</v>
      </c>
      <c r="J35" s="667">
        <f>'PD0101'!$E$24</f>
        <v>11</v>
      </c>
      <c r="K35" s="667">
        <f>'PD0101'!$F$24</f>
        <v>11</v>
      </c>
      <c r="L35" s="667">
        <f>'PD0101'!$G$24</f>
        <v>11</v>
      </c>
      <c r="M35" s="668">
        <f>'PD0101'!$AG$24</f>
        <v>0.32906299999999999</v>
      </c>
      <c r="N35" s="669">
        <f>'PD0101'!$AH$24</f>
        <v>3.0389317547095844</v>
      </c>
      <c r="O35" s="670">
        <f>'PD0101'!$AI$24</f>
        <v>0.75240978042425377</v>
      </c>
    </row>
    <row r="36" spans="1:15" ht="15.75" customHeight="1" thickBot="1">
      <c r="A36" s="706"/>
      <c r="B36" s="707"/>
      <c r="C36" s="707"/>
      <c r="D36" s="707"/>
      <c r="E36" s="708"/>
      <c r="F36" s="666" t="str">
        <f>'PD0101'!$A$25</f>
        <v>TPOX</v>
      </c>
      <c r="G36" s="667">
        <f>'PD0101'!$B$25</f>
        <v>8</v>
      </c>
      <c r="H36" s="667">
        <f>'PD0101'!$C$25</f>
        <v>11</v>
      </c>
      <c r="I36" s="667">
        <f>'PD0101'!$D$25</f>
        <v>8</v>
      </c>
      <c r="J36" s="667">
        <f>'PD0101'!$E$25</f>
        <v>12</v>
      </c>
      <c r="K36" s="667">
        <f>'PD0101'!$F$25</f>
        <v>9</v>
      </c>
      <c r="L36" s="667">
        <f>'PD0101'!$G$25</f>
        <v>12</v>
      </c>
      <c r="M36" s="668">
        <f>'PD0101'!$AG$25</f>
        <v>0.05</v>
      </c>
      <c r="N36" s="669">
        <f>'PD0101'!$AH$25</f>
        <v>10</v>
      </c>
      <c r="O36" s="670">
        <f>'PD0101'!$AI$25</f>
        <v>0.90909090909090906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14</v>
      </c>
      <c r="H37" s="667">
        <f>'PD0101'!$C$26</f>
        <v>15</v>
      </c>
      <c r="I37" s="667">
        <f>'PD0101'!$D$26</f>
        <v>13</v>
      </c>
      <c r="J37" s="667">
        <f>'PD0101'!$E$26</f>
        <v>14</v>
      </c>
      <c r="K37" s="667">
        <f>'PD0101'!$F$26</f>
        <v>13</v>
      </c>
      <c r="L37" s="667">
        <f>'PD0101'!$G$26</f>
        <v>13</v>
      </c>
      <c r="M37" s="668">
        <f>'PD0101'!$AG$26</f>
        <v>0.27866200000000002</v>
      </c>
      <c r="N37" s="669">
        <f>'PD0101'!$AH$26</f>
        <v>3.5885768421959217</v>
      </c>
      <c r="O37" s="670">
        <f>'PD0101'!$AI$26</f>
        <v>0.78206750493875632</v>
      </c>
    </row>
    <row r="38" spans="1:15" ht="15.75" customHeight="1" thickTop="1">
      <c r="A38" s="706"/>
      <c r="B38" s="707"/>
      <c r="C38" s="707"/>
      <c r="D38" s="707"/>
      <c r="E38" s="708"/>
      <c r="F38" s="666" t="str">
        <f>'PD0101'!$A$27</f>
        <v>D12S391</v>
      </c>
      <c r="G38" s="667">
        <f>'PD0101'!$B$27</f>
        <v>22</v>
      </c>
      <c r="H38" s="667">
        <f>'PD0101'!$C$27</f>
        <v>24</v>
      </c>
      <c r="I38" s="667">
        <f>'PD0101'!$D$27</f>
        <v>19</v>
      </c>
      <c r="J38" s="667">
        <f>'PD0101'!$E$27</f>
        <v>22</v>
      </c>
      <c r="K38" s="667">
        <f>'PD0101'!$F$27</f>
        <v>17.3</v>
      </c>
      <c r="L38" s="667">
        <f>'PD0101'!$G$27</f>
        <v>19</v>
      </c>
      <c r="M38" s="668">
        <f>'PD0101'!$AG$27</f>
        <v>0.1699</v>
      </c>
      <c r="N38" s="669">
        <f>'PD0101'!$AH$27</f>
        <v>2.9429075927015891</v>
      </c>
      <c r="O38" s="670">
        <f>'PD0101'!$AI$27</f>
        <v>0.74638005672488428</v>
      </c>
    </row>
    <row r="39" spans="1:15" ht="15.75" customHeight="1">
      <c r="A39" s="703" t="s">
        <v>376</v>
      </c>
      <c r="B39" s="704"/>
      <c r="C39" s="704"/>
      <c r="D39" s="704"/>
      <c r="E39" s="705"/>
      <c r="F39" s="666" t="str">
        <f>'PD0101'!$A$28</f>
        <v>D19S433</v>
      </c>
      <c r="G39" s="667">
        <f>'PD0101'!$B$28</f>
        <v>12</v>
      </c>
      <c r="H39" s="667">
        <f>'PD0101'!$C$28</f>
        <v>15.2</v>
      </c>
      <c r="I39" s="667">
        <f>'PD0101'!$D$28</f>
        <v>12</v>
      </c>
      <c r="J39" s="667">
        <f>'PD0101'!$E$28</f>
        <v>13</v>
      </c>
      <c r="K39" s="667">
        <f>'PD0101'!$F$28</f>
        <v>12</v>
      </c>
      <c r="L39" s="667">
        <f>'PD0101'!$G$28</f>
        <v>13</v>
      </c>
      <c r="M39" s="668">
        <f>'PD0101'!$AG$28</f>
        <v>0.2369</v>
      </c>
      <c r="N39" s="669">
        <f>'PD0101'!$AH$28</f>
        <v>2.1105951878429718</v>
      </c>
      <c r="O39" s="670">
        <f>'PD0101'!$AI$28</f>
        <v>0.67851811643370874</v>
      </c>
    </row>
    <row r="40" spans="1:15" ht="15.75" customHeight="1">
      <c r="A40" s="706" t="s">
        <v>361</v>
      </c>
      <c r="B40" s="707"/>
      <c r="C40" s="707"/>
      <c r="D40" s="707"/>
      <c r="E40" s="708"/>
      <c r="F40" s="666" t="str">
        <f>'PD0101'!$A$29</f>
        <v>FGA</v>
      </c>
      <c r="G40" s="667">
        <f>'PD0101'!$B$29</f>
        <v>24</v>
      </c>
      <c r="H40" s="667">
        <f>'PD0101'!$C$29</f>
        <v>25</v>
      </c>
      <c r="I40" s="667">
        <f>'PD0101'!$D$29</f>
        <v>21</v>
      </c>
      <c r="J40" s="667">
        <f>'PD0101'!$E$29</f>
        <v>24</v>
      </c>
      <c r="K40" s="667">
        <f>'PD0101'!$F$29</f>
        <v>21</v>
      </c>
      <c r="L40" s="667">
        <f>'PD0101'!$G$29</f>
        <v>21</v>
      </c>
      <c r="M40" s="668">
        <f>'PD0101'!$AG$29</f>
        <v>0.15107999999999999</v>
      </c>
      <c r="N40" s="669">
        <f>'PD0101'!$AH$29</f>
        <v>6.6190097961344989</v>
      </c>
      <c r="O40" s="670">
        <f>'PD0101'!$AI$29</f>
        <v>0.86874934843798868</v>
      </c>
    </row>
    <row r="41" spans="1:15" ht="15.75" customHeight="1" thickBot="1">
      <c r="A41" s="706" t="s">
        <v>296</v>
      </c>
      <c r="B41" s="707"/>
      <c r="C41" s="707"/>
      <c r="D41" s="707"/>
      <c r="E41" s="708"/>
      <c r="F41" s="671" t="str">
        <f>'PD0101'!$A$30</f>
        <v>D22S1045</v>
      </c>
      <c r="G41" s="672">
        <f>'PD0101'!$B$30</f>
        <v>15</v>
      </c>
      <c r="H41" s="672">
        <f>'PD0101'!$C$30</f>
        <v>16</v>
      </c>
      <c r="I41" s="672">
        <f>'PD0101'!$D$30</f>
        <v>16</v>
      </c>
      <c r="J41" s="672">
        <f>'PD0101'!$E$30</f>
        <v>16</v>
      </c>
      <c r="K41" s="672">
        <f>'PD0101'!$F$30</f>
        <v>14</v>
      </c>
      <c r="L41" s="672">
        <f>'PD0101'!$G$30</f>
        <v>16</v>
      </c>
      <c r="M41" s="673">
        <f>'PD0101'!$AG$30</f>
        <v>0.32869999999999999</v>
      </c>
      <c r="N41" s="674">
        <f>'PD0101'!$AH$30</f>
        <v>1.5211439002129601</v>
      </c>
      <c r="O41" s="675">
        <f>'PD0101'!$AI$30</f>
        <v>0.60335465186436588</v>
      </c>
    </row>
    <row r="42" spans="1:15" ht="15.75" customHeight="1" thickTop="1">
      <c r="A42" s="706" t="s">
        <v>377</v>
      </c>
      <c r="B42" s="707"/>
      <c r="C42" s="707"/>
      <c r="D42" s="707"/>
      <c r="E42" s="708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>
        <f>'PD0101'!$AG$43</f>
        <v>1217241836624.3335</v>
      </c>
      <c r="N42" s="729"/>
      <c r="O42" s="730"/>
    </row>
    <row r="43" spans="1:15" ht="15.75" customHeight="1">
      <c r="A43" s="706" t="s">
        <v>297</v>
      </c>
      <c r="B43" s="707"/>
      <c r="C43" s="707"/>
      <c r="D43" s="707"/>
      <c r="E43" s="708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>
        <f>'PD0101'!$AG$44</f>
        <v>0.99999999999</v>
      </c>
      <c r="N43" s="732"/>
      <c r="O43" s="733"/>
    </row>
    <row r="44" spans="1:15" ht="15.75" customHeight="1">
      <c r="A44" s="706"/>
      <c r="B44" s="707"/>
      <c r="C44" s="707"/>
      <c r="D44" s="707"/>
      <c r="E44" s="708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>
        <f>'PD0101'!$AG$45</f>
        <v>0.99999999999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VÍNCULO BIOLOGICAMENTE PROVADO</v>
      </c>
      <c r="K45" s="737"/>
      <c r="L45" s="737"/>
      <c r="M45" s="737"/>
      <c r="N45" s="737"/>
      <c r="O45" s="738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48" t="s">
        <v>367</v>
      </c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21"/>
      <c r="M4" s="721"/>
      <c r="N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21"/>
      <c r="M5" s="721"/>
      <c r="N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21"/>
      <c r="M6" s="721"/>
      <c r="N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21"/>
      <c r="M7" s="721"/>
      <c r="N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21"/>
      <c r="M8" s="721"/>
      <c r="N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21"/>
      <c r="M9" s="721"/>
      <c r="N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23"/>
      <c r="M10" s="723"/>
      <c r="N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20"/>
    </row>
    <row r="12" spans="1:19" ht="13.5" thickTop="1">
      <c r="A12" s="407" t="s">
        <v>250</v>
      </c>
      <c r="B12" s="777"/>
      <c r="C12" s="777"/>
      <c r="D12" s="777"/>
      <c r="E12" s="777"/>
      <c r="F12" s="777"/>
      <c r="G12" s="777"/>
      <c r="H12" s="777"/>
      <c r="I12" s="686"/>
      <c r="J12" s="687" t="s">
        <v>357</v>
      </c>
      <c r="K12" s="775"/>
      <c r="L12" s="775"/>
      <c r="M12" s="775"/>
      <c r="N12" s="776"/>
    </row>
    <row r="13" spans="1:19">
      <c r="A13" s="407" t="s">
        <v>356</v>
      </c>
      <c r="B13" s="778"/>
      <c r="C13" s="778"/>
      <c r="D13" s="778"/>
      <c r="E13" s="778"/>
      <c r="F13" s="778"/>
      <c r="G13" s="778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55"/>
      <c r="C14" s="755"/>
      <c r="D14" s="755"/>
      <c r="E14" s="755"/>
      <c r="F14" s="755"/>
      <c r="G14" s="755"/>
      <c r="H14" s="405"/>
      <c r="J14" s="321" t="s">
        <v>251</v>
      </c>
      <c r="K14" s="755"/>
      <c r="L14" s="755"/>
      <c r="M14" s="755"/>
      <c r="N14" s="756"/>
    </row>
    <row r="15" spans="1:19">
      <c r="A15" s="407"/>
      <c r="B15" s="755"/>
      <c r="C15" s="755"/>
      <c r="D15" s="755"/>
      <c r="E15" s="755"/>
      <c r="F15" s="755"/>
      <c r="G15" s="755"/>
      <c r="H15" s="406"/>
      <c r="J15" s="321"/>
      <c r="K15" s="755"/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/>
      <c r="K16" s="406"/>
      <c r="L16" s="406"/>
      <c r="M16" s="406"/>
      <c r="N16" s="688"/>
    </row>
    <row r="17" spans="1:14" ht="13.5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6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6"/>
      <c r="B20" s="707"/>
      <c r="C20" s="707"/>
      <c r="D20" s="707"/>
      <c r="E20" s="708"/>
      <c r="F20" s="759" t="str">
        <f>'PD0201'!A12</f>
        <v>D3S1358</v>
      </c>
      <c r="G20" s="760"/>
      <c r="H20" s="678">
        <f>'PD0201'!B12</f>
        <v>16</v>
      </c>
      <c r="I20" s="678">
        <f>'PD0201'!C12</f>
        <v>16</v>
      </c>
      <c r="J20" s="678">
        <f>'PD0201'!D12</f>
        <v>14</v>
      </c>
      <c r="K20" s="678">
        <f>'PD0201'!E12</f>
        <v>16</v>
      </c>
      <c r="L20" s="679">
        <f>'PD0201'!X12</f>
        <v>0.27030799999999999</v>
      </c>
      <c r="M20" s="680">
        <f>'PD0201'!Y12</f>
        <v>1.8497417760480637</v>
      </c>
      <c r="N20" s="681">
        <f>'PD0201'!Z12</f>
        <v>0.64909101294547111</v>
      </c>
    </row>
    <row r="21" spans="1:14" ht="15.75" customHeight="1">
      <c r="A21" s="706" t="s">
        <v>350</v>
      </c>
      <c r="B21" s="707"/>
      <c r="C21" s="707"/>
      <c r="D21" s="707"/>
      <c r="E21" s="708"/>
      <c r="F21" s="759" t="str">
        <f>'PD0201'!A13</f>
        <v>D1S1656</v>
      </c>
      <c r="G21" s="760"/>
      <c r="H21" s="678">
        <f>'PD0201'!B13</f>
        <v>16</v>
      </c>
      <c r="I21" s="678">
        <f>'PD0201'!C13</f>
        <v>17.3</v>
      </c>
      <c r="J21" s="678">
        <f>'PD0201'!D13</f>
        <v>15</v>
      </c>
      <c r="K21" s="678">
        <f>'PD0201'!E13</f>
        <v>17.3</v>
      </c>
      <c r="L21" s="679">
        <f>'PD0201'!X13</f>
        <v>0.1376</v>
      </c>
      <c r="M21" s="680">
        <f>'PD0201'!Y13</f>
        <v>1.816860465116279</v>
      </c>
      <c r="N21" s="681">
        <f>'PD0201'!Z13</f>
        <v>0.6449948400412796</v>
      </c>
    </row>
    <row r="22" spans="1:14" ht="15.75" customHeight="1">
      <c r="A22" s="706" t="s">
        <v>293</v>
      </c>
      <c r="B22" s="707"/>
      <c r="C22" s="707"/>
      <c r="D22" s="707"/>
      <c r="E22" s="708"/>
      <c r="F22" s="759" t="str">
        <f>'PD0201'!A14</f>
        <v>D2S441</v>
      </c>
      <c r="G22" s="760"/>
      <c r="H22" s="678">
        <f>'PD0201'!B14</f>
        <v>11.3</v>
      </c>
      <c r="I22" s="678">
        <f>'PD0201'!C14</f>
        <v>11.3</v>
      </c>
      <c r="J22" s="678">
        <f>'PD0201'!D14</f>
        <v>11.3</v>
      </c>
      <c r="K22" s="678">
        <f>'PD0201'!E14</f>
        <v>15</v>
      </c>
      <c r="L22" s="679">
        <f>'PD0201'!X14</f>
        <v>0.05</v>
      </c>
      <c r="M22" s="680">
        <f>'PD0201'!Y14</f>
        <v>10</v>
      </c>
      <c r="N22" s="681">
        <f>'PD0201'!Z14</f>
        <v>0.90909090909090906</v>
      </c>
    </row>
    <row r="23" spans="1:14" ht="15.75" customHeight="1">
      <c r="A23" s="706" t="s">
        <v>290</v>
      </c>
      <c r="B23" s="707"/>
      <c r="C23" s="707"/>
      <c r="D23" s="707"/>
      <c r="E23" s="708"/>
      <c r="F23" s="759" t="str">
        <f>'PD0201'!A15</f>
        <v>D10S1248</v>
      </c>
      <c r="G23" s="760"/>
      <c r="H23" s="678">
        <f>'PD0201'!B15</f>
        <v>14</v>
      </c>
      <c r="I23" s="678">
        <f>'PD0201'!C15</f>
        <v>14</v>
      </c>
      <c r="J23" s="678">
        <f>'PD0201'!D15</f>
        <v>13</v>
      </c>
      <c r="K23" s="678">
        <f>'PD0201'!E15</f>
        <v>14</v>
      </c>
      <c r="L23" s="679">
        <f>'PD0201'!X15</f>
        <v>0.30480000000000002</v>
      </c>
      <c r="M23" s="680">
        <f>'PD0201'!Y15</f>
        <v>1.6404199475065615</v>
      </c>
      <c r="N23" s="681">
        <f>'PD0201'!Z15</f>
        <v>0.62127236580516887</v>
      </c>
    </row>
    <row r="24" spans="1:14" ht="15.75" customHeight="1">
      <c r="A24" s="706" t="s">
        <v>294</v>
      </c>
      <c r="B24" s="707"/>
      <c r="C24" s="707"/>
      <c r="D24" s="707"/>
      <c r="E24" s="708"/>
      <c r="F24" s="759" t="str">
        <f>'PD0201'!A16</f>
        <v>D13S317</v>
      </c>
      <c r="G24" s="760"/>
      <c r="H24" s="678">
        <f>'PD0201'!B16</f>
        <v>11</v>
      </c>
      <c r="I24" s="678">
        <f>'PD0201'!C16</f>
        <v>12</v>
      </c>
      <c r="J24" s="678">
        <f>'PD0201'!D16</f>
        <v>12</v>
      </c>
      <c r="K24" s="678">
        <f>'PD0201'!E16</f>
        <v>12</v>
      </c>
      <c r="L24" s="679">
        <f>'PD0201'!X16</f>
        <v>0.29337999999999997</v>
      </c>
      <c r="M24" s="680">
        <f>'PD0201'!Y16</f>
        <v>1.7042743199945465</v>
      </c>
      <c r="N24" s="681">
        <f>'PD0201'!Z16</f>
        <v>0.63021502936802043</v>
      </c>
    </row>
    <row r="25" spans="1:14" ht="15.75" customHeight="1">
      <c r="A25" s="706" t="s">
        <v>295</v>
      </c>
      <c r="B25" s="707"/>
      <c r="C25" s="707"/>
      <c r="D25" s="707"/>
      <c r="E25" s="708"/>
      <c r="F25" s="759" t="str">
        <f>'PD0201'!A17</f>
        <v>Penta_E</v>
      </c>
      <c r="G25" s="760"/>
      <c r="H25" s="678">
        <f>'PD0201'!B17</f>
        <v>11</v>
      </c>
      <c r="I25" s="678">
        <f>'PD0201'!C17</f>
        <v>16</v>
      </c>
      <c r="J25" s="678">
        <f>'PD0201'!D17</f>
        <v>11</v>
      </c>
      <c r="K25" s="678">
        <f>'PD0201'!E17</f>
        <v>11</v>
      </c>
      <c r="L25" s="679">
        <f>'PD0201'!X17</f>
        <v>0.05</v>
      </c>
      <c r="M25" s="680">
        <f>'PD0201'!Y17</f>
        <v>10</v>
      </c>
      <c r="N25" s="681">
        <f>'PD0201'!Z17</f>
        <v>0.90909090909090906</v>
      </c>
    </row>
    <row r="26" spans="1:14" ht="15.75" customHeight="1">
      <c r="A26" s="706"/>
      <c r="B26" s="707"/>
      <c r="C26" s="707"/>
      <c r="D26" s="707"/>
      <c r="E26" s="708"/>
      <c r="F26" s="759" t="str">
        <f>'PD0201'!A18</f>
        <v>D16S539</v>
      </c>
      <c r="G26" s="760"/>
      <c r="H26" s="678">
        <f>'PD0201'!B18</f>
        <v>11</v>
      </c>
      <c r="I26" s="678">
        <f>'PD0201'!C18</f>
        <v>12</v>
      </c>
      <c r="J26" s="678">
        <f>'PD0201'!D18</f>
        <v>11</v>
      </c>
      <c r="K26" s="678">
        <f>'PD0201'!E18</f>
        <v>12</v>
      </c>
      <c r="L26" s="679">
        <f>'PD0201'!X18</f>
        <v>0.54472399999999999</v>
      </c>
      <c r="M26" s="680">
        <f>'PD0201'!Y18</f>
        <v>1.8424063034915938</v>
      </c>
      <c r="N26" s="681">
        <f>'PD0201'!Z18</f>
        <v>0.64818541291172671</v>
      </c>
    </row>
    <row r="27" spans="1:14" ht="15.75" customHeight="1">
      <c r="A27" s="706"/>
      <c r="B27" s="707"/>
      <c r="C27" s="707"/>
      <c r="D27" s="707"/>
      <c r="E27" s="708"/>
      <c r="F27" s="759" t="str">
        <f>'PD0201'!A19</f>
        <v>D18S51</v>
      </c>
      <c r="G27" s="760"/>
      <c r="H27" s="678">
        <f>'PD0201'!B19</f>
        <v>10</v>
      </c>
      <c r="I27" s="678">
        <f>'PD0201'!C19</f>
        <v>12</v>
      </c>
      <c r="J27" s="678">
        <f>'PD0201'!D19</f>
        <v>10</v>
      </c>
      <c r="K27" s="678">
        <f>'PD0201'!E19</f>
        <v>18</v>
      </c>
      <c r="L27" s="679">
        <f>'PD0201'!X19</f>
        <v>0.05</v>
      </c>
      <c r="M27" s="680">
        <f>'PD0201'!Y19</f>
        <v>5</v>
      </c>
      <c r="N27" s="681">
        <f>'PD0201'!Z19</f>
        <v>0.83333333333333337</v>
      </c>
    </row>
    <row r="28" spans="1:14" ht="15.75" customHeight="1" thickBot="1">
      <c r="A28" s="706"/>
      <c r="B28" s="707"/>
      <c r="C28" s="707"/>
      <c r="D28" s="707"/>
      <c r="E28" s="708"/>
      <c r="F28" s="759" t="str">
        <f>'PD0201'!A20</f>
        <v>D2S1338</v>
      </c>
      <c r="G28" s="760"/>
      <c r="H28" s="678">
        <f>'PD0201'!B20</f>
        <v>17</v>
      </c>
      <c r="I28" s="678">
        <f>'PD0201'!C20</f>
        <v>20</v>
      </c>
      <c r="J28" s="678">
        <f>'PD0201'!D20</f>
        <v>20</v>
      </c>
      <c r="K28" s="678">
        <f>'PD0201'!E20</f>
        <v>25</v>
      </c>
      <c r="L28" s="679">
        <f>'PD0201'!X20</f>
        <v>0.13669999999999999</v>
      </c>
      <c r="M28" s="680">
        <f>'PD0201'!Y20</f>
        <v>1.8288222384784201</v>
      </c>
      <c r="N28" s="681">
        <f>'PD0201'!Z20</f>
        <v>0.64649599172485139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10</v>
      </c>
      <c r="I29" s="678">
        <f>'PD0201'!C21</f>
        <v>12</v>
      </c>
      <c r="J29" s="678">
        <f>'PD0201'!D21</f>
        <v>11</v>
      </c>
      <c r="K29" s="678">
        <f>'PD0201'!E21</f>
        <v>12</v>
      </c>
      <c r="L29" s="679">
        <f>'PD0201'!X21</f>
        <v>0.30245100000000003</v>
      </c>
      <c r="M29" s="680">
        <f>'PD0201'!Y21</f>
        <v>0.82658017331733069</v>
      </c>
      <c r="N29" s="681">
        <f>'PD0201'!Z21</f>
        <v>0.45252882156064522</v>
      </c>
    </row>
    <row r="30" spans="1:14" ht="15.75" customHeight="1" thickTop="1">
      <c r="A30" s="706" t="s">
        <v>348</v>
      </c>
      <c r="B30" s="707"/>
      <c r="C30" s="707"/>
      <c r="D30" s="707"/>
      <c r="E30" s="708"/>
      <c r="F30" s="759" t="str">
        <f>'PD0201'!A22</f>
        <v>Penta_D</v>
      </c>
      <c r="G30" s="760"/>
      <c r="H30" s="678">
        <f>'PD0201'!B22</f>
        <v>10</v>
      </c>
      <c r="I30" s="678">
        <f>'PD0201'!C22</f>
        <v>12</v>
      </c>
      <c r="J30" s="678">
        <f>'PD0201'!D22</f>
        <v>12</v>
      </c>
      <c r="K30" s="678">
        <f>'PD0201'!E22</f>
        <v>12</v>
      </c>
      <c r="L30" s="679">
        <f>'PD0201'!X22</f>
        <v>0.16545399999999999</v>
      </c>
      <c r="M30" s="680">
        <f>'PD0201'!Y22</f>
        <v>3.0219879845757736</v>
      </c>
      <c r="N30" s="681">
        <f>'PD0201'!Z22</f>
        <v>0.75136673609295312</v>
      </c>
    </row>
    <row r="31" spans="1:14" ht="15.75" customHeight="1">
      <c r="A31" s="706"/>
      <c r="B31" s="707"/>
      <c r="C31" s="707"/>
      <c r="D31" s="707"/>
      <c r="E31" s="708"/>
      <c r="F31" s="759" t="str">
        <f>'PD0201'!A23</f>
        <v>TH01</v>
      </c>
      <c r="G31" s="760"/>
      <c r="H31" s="678">
        <f>'PD0201'!B23</f>
        <v>6</v>
      </c>
      <c r="I31" s="678">
        <f>'PD0201'!C23</f>
        <v>6</v>
      </c>
      <c r="J31" s="678">
        <f>'PD0201'!D23</f>
        <v>6</v>
      </c>
      <c r="K31" s="678">
        <f>'PD0201'!E23</f>
        <v>9.3000000000000007</v>
      </c>
      <c r="L31" s="679">
        <f>'PD0201'!X23</f>
        <v>0.21123800000000001</v>
      </c>
      <c r="M31" s="680">
        <f>'PD0201'!Y23</f>
        <v>2.3669983620371333</v>
      </c>
      <c r="N31" s="681">
        <f>'PD0201'!Z23</f>
        <v>0.70299955851627727</v>
      </c>
    </row>
    <row r="32" spans="1:14" ht="15.75" customHeight="1">
      <c r="A32" s="706"/>
      <c r="B32" s="707"/>
      <c r="C32" s="707"/>
      <c r="D32" s="707"/>
      <c r="E32" s="708"/>
      <c r="F32" s="759" t="str">
        <f>'PD0201'!A24</f>
        <v>vWA</v>
      </c>
      <c r="G32" s="760"/>
      <c r="H32" s="678">
        <f>'PD0201'!B24</f>
        <v>17</v>
      </c>
      <c r="I32" s="678">
        <f>'PD0201'!C24</f>
        <v>17</v>
      </c>
      <c r="J32" s="678">
        <f>'PD0201'!D24</f>
        <v>14</v>
      </c>
      <c r="K32" s="678">
        <f>'PD0201'!E24</f>
        <v>17</v>
      </c>
      <c r="L32" s="679">
        <f>'PD0201'!X24</f>
        <v>0.25484400000000001</v>
      </c>
      <c r="M32" s="680">
        <f>'PD0201'!Y24</f>
        <v>1.9619845866490873</v>
      </c>
      <c r="N32" s="681">
        <f>'PD0201'!Z24</f>
        <v>0.66238852001208193</v>
      </c>
    </row>
    <row r="33" spans="1:14" ht="15.75" customHeight="1">
      <c r="A33" s="706"/>
      <c r="B33" s="707"/>
      <c r="C33" s="707"/>
      <c r="D33" s="707"/>
      <c r="E33" s="708"/>
      <c r="F33" s="759" t="str">
        <f>'PD0201'!A25</f>
        <v>D21S11</v>
      </c>
      <c r="G33" s="760"/>
      <c r="H33" s="678">
        <f>'PD0201'!B25</f>
        <v>29</v>
      </c>
      <c r="I33" s="678">
        <f>'PD0201'!C25</f>
        <v>32.200000000000003</v>
      </c>
      <c r="J33" s="678">
        <f>'PD0201'!D25</f>
        <v>29</v>
      </c>
      <c r="K33" s="678">
        <f>'PD0201'!E25</f>
        <v>32.200000000000003</v>
      </c>
      <c r="L33" s="679">
        <f>'PD0201'!X25</f>
        <v>0.28320500000000004</v>
      </c>
      <c r="M33" s="680">
        <f>'PD0201'!Y25</f>
        <v>4.5291709553837247</v>
      </c>
      <c r="N33" s="681">
        <f>'PD0201'!Z25</f>
        <v>0.8191410596508496</v>
      </c>
    </row>
    <row r="34" spans="1:14" ht="15.75" customHeight="1">
      <c r="A34" s="706"/>
      <c r="B34" s="707"/>
      <c r="C34" s="707"/>
      <c r="D34" s="707"/>
      <c r="E34" s="708"/>
      <c r="F34" s="759" t="str">
        <f>'PD0201'!A26</f>
        <v>D7S820</v>
      </c>
      <c r="G34" s="760"/>
      <c r="H34" s="678">
        <f>'PD0201'!B26</f>
        <v>11</v>
      </c>
      <c r="I34" s="678">
        <f>'PD0201'!C26</f>
        <v>11</v>
      </c>
      <c r="J34" s="678">
        <f>'PD0201'!D26</f>
        <v>9</v>
      </c>
      <c r="K34" s="678">
        <f>'PD0201'!E26</f>
        <v>11</v>
      </c>
      <c r="L34" s="679">
        <f>'PD0201'!X26</f>
        <v>0.23635999999999999</v>
      </c>
      <c r="M34" s="680">
        <f>'PD0201'!Y26</f>
        <v>2.1154171602640042</v>
      </c>
      <c r="N34" s="681">
        <f>'PD0201'!Z26</f>
        <v>0.6790156988429572</v>
      </c>
    </row>
    <row r="35" spans="1:14" ht="15.75" customHeight="1">
      <c r="A35" s="706"/>
      <c r="B35" s="707"/>
      <c r="C35" s="707"/>
      <c r="D35" s="707"/>
      <c r="E35" s="708"/>
      <c r="F35" s="759" t="str">
        <f>'PD0201'!A27</f>
        <v>D5S818</v>
      </c>
      <c r="G35" s="760"/>
      <c r="H35" s="678">
        <f>'PD0201'!B27</f>
        <v>11</v>
      </c>
      <c r="I35" s="678">
        <f>'PD0201'!C27</f>
        <v>11</v>
      </c>
      <c r="J35" s="678">
        <f>'PD0201'!D27</f>
        <v>11</v>
      </c>
      <c r="K35" s="678">
        <f>'PD0201'!E27</f>
        <v>11</v>
      </c>
      <c r="L35" s="679">
        <f>'PD0201'!X27</f>
        <v>0.32906299999999999</v>
      </c>
      <c r="M35" s="680">
        <f>'PD0201'!Y27</f>
        <v>3.0389317547095844</v>
      </c>
      <c r="N35" s="681">
        <f>'PD0201'!Z27</f>
        <v>0.75240978042425377</v>
      </c>
    </row>
    <row r="36" spans="1:14" ht="15.75" customHeight="1" thickBot="1">
      <c r="A36" s="706"/>
      <c r="B36" s="707"/>
      <c r="C36" s="707"/>
      <c r="D36" s="707"/>
      <c r="E36" s="708"/>
      <c r="F36" s="759" t="str">
        <f>'PD0201'!A28</f>
        <v>TPOX</v>
      </c>
      <c r="G36" s="760"/>
      <c r="H36" s="678">
        <f>'PD0201'!B28</f>
        <v>8</v>
      </c>
      <c r="I36" s="678">
        <f>'PD0201'!C28</f>
        <v>12</v>
      </c>
      <c r="J36" s="678">
        <f>'PD0201'!D28</f>
        <v>9</v>
      </c>
      <c r="K36" s="678">
        <f>'PD0201'!E28</f>
        <v>12</v>
      </c>
      <c r="L36" s="679">
        <f>'PD0201'!X28</f>
        <v>0.05</v>
      </c>
      <c r="M36" s="680">
        <f>'PD0201'!Y28</f>
        <v>5</v>
      </c>
      <c r="N36" s="681">
        <f>'PD0201'!Z28</f>
        <v>0.83333333333333337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13</v>
      </c>
      <c r="I37" s="678">
        <f>'PD0201'!C29</f>
        <v>14</v>
      </c>
      <c r="J37" s="678">
        <f>'PD0201'!D29</f>
        <v>13</v>
      </c>
      <c r="K37" s="678">
        <f>'PD0201'!E29</f>
        <v>13</v>
      </c>
      <c r="L37" s="679">
        <f>'PD0201'!X29</f>
        <v>0.27866200000000002</v>
      </c>
      <c r="M37" s="680">
        <f>'PD0201'!Y29</f>
        <v>1.7942884210979608</v>
      </c>
      <c r="N37" s="681">
        <f>'PD0201'!Z29</f>
        <v>0.64212713603591798</v>
      </c>
    </row>
    <row r="38" spans="1:14" ht="15.75" customHeight="1" thickTop="1">
      <c r="A38" s="706"/>
      <c r="B38" s="707"/>
      <c r="C38" s="707"/>
      <c r="D38" s="707"/>
      <c r="E38" s="708"/>
      <c r="F38" s="759" t="str">
        <f>'PD0201'!A30</f>
        <v>D12S391</v>
      </c>
      <c r="G38" s="760"/>
      <c r="H38" s="678">
        <f>'PD0201'!B30</f>
        <v>19</v>
      </c>
      <c r="I38" s="678">
        <f>'PD0201'!C30</f>
        <v>22</v>
      </c>
      <c r="J38" s="678">
        <f>'PD0201'!D30</f>
        <v>17.3</v>
      </c>
      <c r="K38" s="678">
        <f>'PD0201'!E30</f>
        <v>19</v>
      </c>
      <c r="L38" s="679">
        <f>'PD0201'!X30</f>
        <v>0.1699</v>
      </c>
      <c r="M38" s="680">
        <f>'PD0201'!Y30</f>
        <v>1.4714537963507945</v>
      </c>
      <c r="N38" s="681">
        <f>'PD0201'!Z30</f>
        <v>0.5953798523457966</v>
      </c>
    </row>
    <row r="39" spans="1:14" ht="15.75" customHeight="1">
      <c r="A39" s="703"/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12</v>
      </c>
      <c r="I39" s="678">
        <f>'PD0201'!C31</f>
        <v>13</v>
      </c>
      <c r="J39" s="678">
        <f>'PD0201'!D31</f>
        <v>12</v>
      </c>
      <c r="K39" s="678">
        <f>'PD0201'!E31</f>
        <v>13</v>
      </c>
      <c r="L39" s="679">
        <f>'PD0201'!X31</f>
        <v>0.33789999999999998</v>
      </c>
      <c r="M39" s="680">
        <f>'PD0201'!Y31</f>
        <v>3.5305451186739609</v>
      </c>
      <c r="N39" s="681">
        <f>'PD0201'!Z31</f>
        <v>0.77927600899984217</v>
      </c>
    </row>
    <row r="40" spans="1:14" ht="15.75" customHeight="1">
      <c r="A40" s="706"/>
      <c r="B40" s="707"/>
      <c r="C40" s="707"/>
      <c r="D40" s="707"/>
      <c r="E40" s="708"/>
      <c r="F40" s="759" t="str">
        <f>'PD0201'!A32</f>
        <v>FGA</v>
      </c>
      <c r="G40" s="760"/>
      <c r="H40" s="678">
        <f>'PD0201'!B32</f>
        <v>21</v>
      </c>
      <c r="I40" s="678">
        <f>'PD0201'!C32</f>
        <v>24</v>
      </c>
      <c r="J40" s="678">
        <f>'PD0201'!D32</f>
        <v>21</v>
      </c>
      <c r="K40" s="678">
        <f>'PD0201'!E32</f>
        <v>21</v>
      </c>
      <c r="L40" s="679">
        <f>'PD0201'!X32</f>
        <v>0.15107999999999999</v>
      </c>
      <c r="M40" s="680">
        <f>'PD0201'!Y32</f>
        <v>3.3095048980672495</v>
      </c>
      <c r="N40" s="681">
        <f>'PD0201'!Z32</f>
        <v>0.76795478282238738</v>
      </c>
    </row>
    <row r="41" spans="1:14" ht="15.75" customHeight="1" thickBot="1">
      <c r="A41" s="706" t="s">
        <v>296</v>
      </c>
      <c r="B41" s="707"/>
      <c r="C41" s="707"/>
      <c r="D41" s="707"/>
      <c r="E41" s="708"/>
      <c r="F41" s="765" t="str">
        <f>'PD0201'!A33</f>
        <v>D22S1045</v>
      </c>
      <c r="G41" s="766"/>
      <c r="H41" s="682">
        <f>'PD0201'!B33</f>
        <v>16</v>
      </c>
      <c r="I41" s="682">
        <f>'PD0201'!C33</f>
        <v>16</v>
      </c>
      <c r="J41" s="682">
        <f>'PD0201'!D33</f>
        <v>14</v>
      </c>
      <c r="K41" s="682">
        <f>'PD0201'!E33</f>
        <v>16</v>
      </c>
      <c r="L41" s="683">
        <f>'PD0201'!X33</f>
        <v>0.32869999999999999</v>
      </c>
      <c r="M41" s="684">
        <f>'PD0201'!Y33</f>
        <v>1.5211439002129601</v>
      </c>
      <c r="N41" s="685">
        <f>'PD0201'!Z33</f>
        <v>0.60335465186436588</v>
      </c>
    </row>
    <row r="42" spans="1:14" ht="15.75" customHeight="1" thickTop="1">
      <c r="A42" s="706"/>
      <c r="B42" s="707"/>
      <c r="C42" s="707"/>
      <c r="D42" s="707"/>
      <c r="E42" s="708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>
        <f>'PD0201'!Y46</f>
        <v>1254426048.4890683</v>
      </c>
      <c r="N42" s="762"/>
    </row>
    <row r="43" spans="1:14" ht="15.75" customHeight="1">
      <c r="A43" s="706" t="s">
        <v>297</v>
      </c>
      <c r="B43" s="707"/>
      <c r="C43" s="707"/>
      <c r="D43" s="707"/>
      <c r="E43" s="708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>
        <f>'PD0201'!Y47</f>
        <v>0.99999999920000004</v>
      </c>
      <c r="N43" s="764"/>
    </row>
    <row r="44" spans="1:14" ht="15.75" customHeight="1">
      <c r="A44" s="706"/>
      <c r="B44" s="707"/>
      <c r="C44" s="707"/>
      <c r="D44" s="707"/>
      <c r="E44" s="708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>
        <f>'PD0201'!Y48</f>
        <v>0.99999997935999996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VÍNCULO BIOLOGICAMENTE PROVADO</v>
      </c>
      <c r="J45" s="737"/>
      <c r="K45" s="737"/>
      <c r="L45" s="737"/>
      <c r="M45" s="737"/>
      <c r="N45" s="738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opLeftCell="A10" zoomScale="160" zoomScaleNormal="160" workbookViewId="0">
      <selection activeCell="Q19" sqref="Q19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1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1"/>
      <c r="P4" s="721"/>
      <c r="Q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1"/>
      <c r="P5" s="721"/>
      <c r="Q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1"/>
      <c r="P6" s="721"/>
      <c r="Q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1"/>
      <c r="P7" s="721"/>
      <c r="Q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1"/>
      <c r="P8" s="721"/>
      <c r="Q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1"/>
      <c r="P9" s="721"/>
      <c r="Q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3"/>
      <c r="P10" s="723"/>
      <c r="Q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20"/>
    </row>
    <row r="12" spans="1:19" ht="13.5" thickTop="1">
      <c r="A12" s="309" t="s">
        <v>250</v>
      </c>
      <c r="B12" s="780"/>
      <c r="C12" s="780"/>
      <c r="D12" s="780"/>
      <c r="E12" s="780"/>
      <c r="F12" s="780"/>
      <c r="G12" s="780"/>
      <c r="H12" s="780"/>
      <c r="I12" s="651"/>
      <c r="J12" s="652" t="s">
        <v>357</v>
      </c>
      <c r="K12" s="709"/>
      <c r="L12" s="709"/>
      <c r="M12" s="709"/>
      <c r="N12" s="709"/>
      <c r="O12" s="709"/>
      <c r="P12" s="709"/>
      <c r="Q12" s="728"/>
    </row>
    <row r="13" spans="1:19">
      <c r="A13" s="407" t="s">
        <v>356</v>
      </c>
      <c r="B13" s="781"/>
      <c r="C13" s="781"/>
      <c r="D13" s="781"/>
      <c r="E13" s="781"/>
      <c r="F13" s="781"/>
      <c r="G13" s="781"/>
      <c r="H13" s="781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>
      <c r="A14" s="407"/>
      <c r="B14" s="782"/>
      <c r="C14" s="782"/>
      <c r="D14" s="782"/>
      <c r="E14" s="782"/>
      <c r="F14" s="782"/>
      <c r="G14" s="782"/>
      <c r="H14" s="782"/>
      <c r="I14" s="484"/>
      <c r="J14" s="321" t="s">
        <v>251</v>
      </c>
      <c r="K14" s="755"/>
      <c r="L14" s="755"/>
      <c r="M14" s="755"/>
      <c r="N14" s="755"/>
      <c r="O14" s="755"/>
      <c r="P14" s="755"/>
      <c r="Q14" s="756"/>
    </row>
    <row r="15" spans="1:19">
      <c r="A15" s="407"/>
      <c r="B15" s="782"/>
      <c r="C15" s="782"/>
      <c r="D15" s="782"/>
      <c r="E15" s="782"/>
      <c r="F15" s="782"/>
      <c r="G15" s="782"/>
      <c r="H15" s="782"/>
      <c r="I15" s="406"/>
      <c r="J15" s="321" t="s">
        <v>360</v>
      </c>
      <c r="K15" s="755"/>
      <c r="L15" s="755"/>
      <c r="M15" s="755"/>
      <c r="N15" s="755"/>
      <c r="O15" s="755"/>
      <c r="P15" s="392"/>
      <c r="Q15" s="388"/>
    </row>
    <row r="16" spans="1:19">
      <c r="A16" s="407"/>
      <c r="B16" s="782"/>
      <c r="C16" s="782"/>
      <c r="D16" s="782"/>
      <c r="E16" s="782"/>
      <c r="F16" s="782"/>
      <c r="G16" s="782"/>
      <c r="H16" s="782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5" thickBot="1">
      <c r="A17" s="309" t="str">
        <f>IF(B17="","","Sup. Pai2:")</f>
        <v/>
      </c>
      <c r="B17" s="783"/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5"/>
      <c r="P18" s="715"/>
      <c r="Q18" s="716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6"/>
      <c r="B20" s="707"/>
      <c r="C20" s="707"/>
      <c r="D20" s="707"/>
      <c r="E20" s="708"/>
      <c r="F20" s="312" t="str">
        <f>'RD0301'!$A$9</f>
        <v>D3S1358</v>
      </c>
      <c r="G20" s="313">
        <f>'RD0301'!$B$9</f>
        <v>16</v>
      </c>
      <c r="H20" s="313">
        <f>'RD0301'!$C$9</f>
        <v>17</v>
      </c>
      <c r="I20" s="313">
        <f>'RD0301'!$D$9</f>
        <v>16</v>
      </c>
      <c r="J20" s="313">
        <f>'RD0301'!$E$9</f>
        <v>16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1">
        <f>'RD0301'!$AM$9</f>
        <v>0</v>
      </c>
      <c r="P20" s="647">
        <f>'RD0301'!$AN$9</f>
        <v>0</v>
      </c>
      <c r="Q20" s="649">
        <f>'RD0301'!$AO$9</f>
        <v>0</v>
      </c>
    </row>
    <row r="21" spans="1:17" ht="15.75" customHeight="1">
      <c r="A21" s="706" t="s">
        <v>350</v>
      </c>
      <c r="B21" s="707"/>
      <c r="C21" s="707"/>
      <c r="D21" s="707"/>
      <c r="E21" s="708"/>
      <c r="F21" s="312" t="str">
        <f>'RD0301'!$A$10</f>
        <v>D1S1656</v>
      </c>
      <c r="G21" s="313">
        <f>'RD0301'!$B$10</f>
        <v>16</v>
      </c>
      <c r="H21" s="313">
        <f>'RD0301'!$C$10</f>
        <v>17.3</v>
      </c>
      <c r="I21" s="313">
        <f>'RD0301'!$D$10</f>
        <v>16</v>
      </c>
      <c r="J21" s="313">
        <f>'RD0301'!$E$10</f>
        <v>17.3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1">
        <f>'RD0301'!$AM$10</f>
        <v>0</v>
      </c>
      <c r="P21" s="647">
        <f>'RD0301'!$AN$10</f>
        <v>0</v>
      </c>
      <c r="Q21" s="649">
        <f>'RD0301'!$AO$10</f>
        <v>0</v>
      </c>
    </row>
    <row r="22" spans="1:17" ht="15.75" customHeight="1">
      <c r="A22" s="706" t="s">
        <v>293</v>
      </c>
      <c r="B22" s="707"/>
      <c r="C22" s="707"/>
      <c r="D22" s="707"/>
      <c r="E22" s="708"/>
      <c r="F22" s="312" t="str">
        <f>'RD0301'!$A$11</f>
        <v>D2S441</v>
      </c>
      <c r="G22" s="313">
        <f>'RD0301'!$B$11</f>
        <v>11</v>
      </c>
      <c r="H22" s="313">
        <f>'RD0301'!$C$11</f>
        <v>11.3</v>
      </c>
      <c r="I22" s="313">
        <f>'RD0301'!$D$11</f>
        <v>11.3</v>
      </c>
      <c r="J22" s="313">
        <f>'RD0301'!$E$11</f>
        <v>11.3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1">
        <f>'RD0301'!$AM$11</f>
        <v>0</v>
      </c>
      <c r="P22" s="647">
        <f>'RD0301'!$AN$11</f>
        <v>0</v>
      </c>
      <c r="Q22" s="649">
        <f>'RD0301'!$AO$11</f>
        <v>0</v>
      </c>
    </row>
    <row r="23" spans="1:17" ht="15.75" customHeight="1">
      <c r="A23" s="706" t="s">
        <v>290</v>
      </c>
      <c r="B23" s="707"/>
      <c r="C23" s="707"/>
      <c r="D23" s="707"/>
      <c r="E23" s="708"/>
      <c r="F23" s="312" t="str">
        <f>'RD0301'!$A$12</f>
        <v>D10S1248</v>
      </c>
      <c r="G23" s="313">
        <f>'RD0301'!$B$12</f>
        <v>14</v>
      </c>
      <c r="H23" s="313">
        <f>'RD0301'!$C$12</f>
        <v>14</v>
      </c>
      <c r="I23" s="313">
        <f>'RD0301'!$D$12</f>
        <v>14</v>
      </c>
      <c r="J23" s="313">
        <f>'RD0301'!$E$12</f>
        <v>14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1">
        <f>'RD0301'!$AM$12</f>
        <v>0</v>
      </c>
      <c r="P23" s="647">
        <f>'RD0301'!$AN$12</f>
        <v>0</v>
      </c>
      <c r="Q23" s="649">
        <f>'RD0301'!$AO$12</f>
        <v>0</v>
      </c>
    </row>
    <row r="24" spans="1:17" ht="15.75" customHeight="1">
      <c r="A24" s="706" t="s">
        <v>294</v>
      </c>
      <c r="B24" s="707"/>
      <c r="C24" s="707"/>
      <c r="D24" s="707"/>
      <c r="E24" s="708"/>
      <c r="F24" s="312" t="str">
        <f>'RD0301'!$A$13</f>
        <v>D13S317</v>
      </c>
      <c r="G24" s="313">
        <f>'RD0301'!$B$13</f>
        <v>11</v>
      </c>
      <c r="H24" s="313">
        <f>'RD0301'!$C$13</f>
        <v>11</v>
      </c>
      <c r="I24" s="313">
        <f>'RD0301'!$D$13</f>
        <v>11</v>
      </c>
      <c r="J24" s="313">
        <f>'RD0301'!$E$13</f>
        <v>12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1">
        <f>'RD0301'!$AM$13</f>
        <v>0</v>
      </c>
      <c r="P24" s="647">
        <f>'RD0301'!$AN$13</f>
        <v>0</v>
      </c>
      <c r="Q24" s="649">
        <f>'RD0301'!$AO$13</f>
        <v>0</v>
      </c>
    </row>
    <row r="25" spans="1:17" ht="15.75" customHeight="1">
      <c r="A25" s="706" t="s">
        <v>295</v>
      </c>
      <c r="B25" s="707"/>
      <c r="C25" s="707"/>
      <c r="D25" s="707"/>
      <c r="E25" s="708"/>
      <c r="F25" s="312" t="str">
        <f>'RD0301'!$A$14</f>
        <v>Penta_E</v>
      </c>
      <c r="G25" s="313">
        <f>'RD0301'!$B$14</f>
        <v>13</v>
      </c>
      <c r="H25" s="313">
        <f>'RD0301'!$C$14</f>
        <v>16</v>
      </c>
      <c r="I25" s="313">
        <f>'RD0301'!$D$14</f>
        <v>11</v>
      </c>
      <c r="J25" s="313">
        <f>'RD0301'!$E$14</f>
        <v>16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1">
        <f>'RD0301'!$AM$14</f>
        <v>0</v>
      </c>
      <c r="P25" s="647">
        <f>'RD0301'!$AN$14</f>
        <v>0</v>
      </c>
      <c r="Q25" s="649">
        <f>'RD0301'!$AO$14</f>
        <v>0</v>
      </c>
    </row>
    <row r="26" spans="1:17" ht="15.75" customHeight="1">
      <c r="A26" s="706"/>
      <c r="B26" s="707"/>
      <c r="C26" s="707"/>
      <c r="D26" s="707"/>
      <c r="E26" s="708"/>
      <c r="F26" s="312" t="str">
        <f>'RD0301'!$A$15</f>
        <v>D16S539</v>
      </c>
      <c r="G26" s="313">
        <f>'RD0301'!$B$15</f>
        <v>10</v>
      </c>
      <c r="H26" s="313">
        <f>'RD0301'!$C$15</f>
        <v>11</v>
      </c>
      <c r="I26" s="313">
        <f>'RD0301'!$D$15</f>
        <v>11</v>
      </c>
      <c r="J26" s="313">
        <f>'RD0301'!$E$15</f>
        <v>12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1">
        <f>'RD0301'!$AM$15</f>
        <v>0</v>
      </c>
      <c r="P26" s="647">
        <f>'RD0301'!$AN$15</f>
        <v>0</v>
      </c>
      <c r="Q26" s="649">
        <f>'RD0301'!$AO$15</f>
        <v>0</v>
      </c>
    </row>
    <row r="27" spans="1:17" ht="15.75" customHeight="1">
      <c r="A27" s="706"/>
      <c r="B27" s="707"/>
      <c r="C27" s="707"/>
      <c r="D27" s="707"/>
      <c r="E27" s="708"/>
      <c r="F27" s="312" t="str">
        <f>'RD0301'!$A$16</f>
        <v>D18S51</v>
      </c>
      <c r="G27" s="313">
        <f>'RD0301'!$B$16</f>
        <v>12</v>
      </c>
      <c r="H27" s="313">
        <f>'RD0301'!$C$16</f>
        <v>14</v>
      </c>
      <c r="I27" s="313">
        <f>'RD0301'!$D$16</f>
        <v>10</v>
      </c>
      <c r="J27" s="313">
        <f>'RD0301'!$E$16</f>
        <v>12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1">
        <f>'RD0301'!$AM$16</f>
        <v>0</v>
      </c>
      <c r="P27" s="647">
        <f>'RD0301'!$AN$16</f>
        <v>0</v>
      </c>
      <c r="Q27" s="649">
        <f>'RD0301'!$AO$16</f>
        <v>0</v>
      </c>
    </row>
    <row r="28" spans="1:17" ht="15.75" customHeight="1" thickBot="1">
      <c r="A28" s="706"/>
      <c r="B28" s="707"/>
      <c r="C28" s="707"/>
      <c r="D28" s="707"/>
      <c r="E28" s="708"/>
      <c r="F28" s="312" t="str">
        <f>'RD0301'!$A$17</f>
        <v>D2S1338</v>
      </c>
      <c r="G28" s="313">
        <f>'RD0301'!$B$17</f>
        <v>17</v>
      </c>
      <c r="H28" s="313">
        <f>'RD0301'!$C$17</f>
        <v>17</v>
      </c>
      <c r="I28" s="313">
        <f>'RD0301'!$D$17</f>
        <v>17</v>
      </c>
      <c r="J28" s="313">
        <f>'RD0301'!$E$17</f>
        <v>20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1">
        <f>'RD0301'!$AM$17</f>
        <v>0</v>
      </c>
      <c r="P28" s="647">
        <f>'RD0301'!$AN$17</f>
        <v>0</v>
      </c>
      <c r="Q28" s="649">
        <f>'RD0301'!$AO$17</f>
        <v>0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10</v>
      </c>
      <c r="H29" s="313">
        <f>'RD0301'!$C$18</f>
        <v>11</v>
      </c>
      <c r="I29" s="313">
        <f>'RD0301'!$D$18</f>
        <v>10</v>
      </c>
      <c r="J29" s="313">
        <f>'RD0301'!$E$18</f>
        <v>12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1">
        <f>'RD0301'!$AM$18</f>
        <v>0</v>
      </c>
      <c r="P29" s="647">
        <f>'RD0301'!$AN$18</f>
        <v>0</v>
      </c>
      <c r="Q29" s="649">
        <f>'RD0301'!$AO$18</f>
        <v>0</v>
      </c>
    </row>
    <row r="30" spans="1:17" ht="15.75" customHeight="1" thickTop="1">
      <c r="A30" s="706" t="s">
        <v>348</v>
      </c>
      <c r="B30" s="707"/>
      <c r="C30" s="707"/>
      <c r="D30" s="707"/>
      <c r="E30" s="708"/>
      <c r="F30" s="312" t="str">
        <f>'RD0301'!$A$19</f>
        <v>Penta_D</v>
      </c>
      <c r="G30" s="313">
        <f>'RD0301'!$B$19</f>
        <v>10</v>
      </c>
      <c r="H30" s="313">
        <f>'RD0301'!$C$19</f>
        <v>11</v>
      </c>
      <c r="I30" s="313">
        <f>'RD0301'!$D$19</f>
        <v>10</v>
      </c>
      <c r="J30" s="313">
        <f>'RD0301'!$E$19</f>
        <v>12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1">
        <f>'RD0301'!$AM$19</f>
        <v>0</v>
      </c>
      <c r="P30" s="647">
        <f>'RD0301'!$AN$19</f>
        <v>0</v>
      </c>
      <c r="Q30" s="649">
        <f>'RD0301'!$AO$19</f>
        <v>0</v>
      </c>
    </row>
    <row r="31" spans="1:17" ht="15.75" customHeight="1">
      <c r="A31" s="706"/>
      <c r="B31" s="707"/>
      <c r="C31" s="707"/>
      <c r="D31" s="707"/>
      <c r="E31" s="708"/>
      <c r="F31" s="312" t="str">
        <f>'RD0301'!$A$20</f>
        <v>TH01</v>
      </c>
      <c r="G31" s="313">
        <f>'RD0301'!$B$20</f>
        <v>6</v>
      </c>
      <c r="H31" s="313">
        <f>'RD0301'!$C$20</f>
        <v>7</v>
      </c>
      <c r="I31" s="313">
        <f>'RD0301'!$D$20</f>
        <v>6</v>
      </c>
      <c r="J31" s="313">
        <f>'RD0301'!$E$20</f>
        <v>6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1">
        <f>'RD0301'!$AM$20</f>
        <v>0</v>
      </c>
      <c r="P31" s="647">
        <f>'RD0301'!$AN$20</f>
        <v>0</v>
      </c>
      <c r="Q31" s="649">
        <f>'RD0301'!$AO$20</f>
        <v>0</v>
      </c>
    </row>
    <row r="32" spans="1:17" ht="15.75" customHeight="1">
      <c r="A32" s="706"/>
      <c r="B32" s="707"/>
      <c r="C32" s="707"/>
      <c r="D32" s="707"/>
      <c r="E32" s="708"/>
      <c r="F32" s="312" t="str">
        <f>'RD0301'!$A$21</f>
        <v>vWA</v>
      </c>
      <c r="G32" s="313">
        <f>'RD0301'!$B$21</f>
        <v>17</v>
      </c>
      <c r="H32" s="313">
        <f>'RD0301'!$C$21</f>
        <v>18</v>
      </c>
      <c r="I32" s="313">
        <f>'RD0301'!$D$21</f>
        <v>17</v>
      </c>
      <c r="J32" s="313">
        <f>'RD0301'!$E$21</f>
        <v>17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1">
        <f>'RD0301'!$AM$21</f>
        <v>0</v>
      </c>
      <c r="P32" s="647">
        <f>'RD0301'!$AN$21</f>
        <v>0</v>
      </c>
      <c r="Q32" s="649">
        <f>'RD0301'!$AO$21</f>
        <v>0</v>
      </c>
    </row>
    <row r="33" spans="1:17" ht="15.75" customHeight="1">
      <c r="A33" s="706"/>
      <c r="B33" s="707"/>
      <c r="C33" s="707"/>
      <c r="D33" s="707"/>
      <c r="E33" s="708"/>
      <c r="F33" s="312" t="str">
        <f>'RD0301'!$A$22</f>
        <v>D21S11</v>
      </c>
      <c r="G33" s="313">
        <f>'RD0301'!$B$22</f>
        <v>28</v>
      </c>
      <c r="H33" s="313">
        <f>'RD0301'!$C$22</f>
        <v>29</v>
      </c>
      <c r="I33" s="313">
        <f>'RD0301'!$D$22</f>
        <v>29</v>
      </c>
      <c r="J33" s="313">
        <f>'RD0301'!$E$22</f>
        <v>32.200000000000003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1">
        <f>'RD0301'!$AM$22</f>
        <v>0</v>
      </c>
      <c r="P33" s="647">
        <f>'RD0301'!$AN$22</f>
        <v>0</v>
      </c>
      <c r="Q33" s="649">
        <f>'RD0301'!$AO$22</f>
        <v>0</v>
      </c>
    </row>
    <row r="34" spans="1:17" ht="15.75" customHeight="1">
      <c r="A34" s="706"/>
      <c r="B34" s="707"/>
      <c r="C34" s="707"/>
      <c r="D34" s="707"/>
      <c r="E34" s="708"/>
      <c r="F34" s="312" t="str">
        <f>'RD0301'!$A$23</f>
        <v>D7S820</v>
      </c>
      <c r="G34" s="313">
        <f>'RD0301'!$B$23</f>
        <v>11</v>
      </c>
      <c r="H34" s="313">
        <f>'RD0301'!$C$23</f>
        <v>11</v>
      </c>
      <c r="I34" s="313">
        <f>'RD0301'!$D$23</f>
        <v>11</v>
      </c>
      <c r="J34" s="313">
        <f>'RD0301'!$E$23</f>
        <v>11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1">
        <f>'RD0301'!$AM$23</f>
        <v>0</v>
      </c>
      <c r="P34" s="647">
        <f>'RD0301'!$AN$23</f>
        <v>0</v>
      </c>
      <c r="Q34" s="649">
        <f>'RD0301'!$AO$23</f>
        <v>0</v>
      </c>
    </row>
    <row r="35" spans="1:17" ht="15.75" customHeight="1">
      <c r="A35" s="706"/>
      <c r="B35" s="707"/>
      <c r="C35" s="707"/>
      <c r="D35" s="707"/>
      <c r="E35" s="708"/>
      <c r="F35" s="312" t="str">
        <f>'RD0301'!$A$24</f>
        <v>D5S818</v>
      </c>
      <c r="G35" s="313">
        <f>'RD0301'!$B$24</f>
        <v>11</v>
      </c>
      <c r="H35" s="313">
        <f>'RD0301'!$C$24</f>
        <v>12</v>
      </c>
      <c r="I35" s="313">
        <f>'RD0301'!$D$24</f>
        <v>11</v>
      </c>
      <c r="J35" s="313">
        <f>'RD0301'!$E$24</f>
        <v>11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1">
        <f>'RD0301'!$AM$24</f>
        <v>0</v>
      </c>
      <c r="P35" s="647">
        <f>'RD0301'!$AN$24</f>
        <v>0</v>
      </c>
      <c r="Q35" s="649">
        <f>'RD0301'!$AO$24</f>
        <v>0</v>
      </c>
    </row>
    <row r="36" spans="1:17" ht="15.75" customHeight="1" thickBot="1">
      <c r="A36" s="706"/>
      <c r="B36" s="707"/>
      <c r="C36" s="707"/>
      <c r="D36" s="707"/>
      <c r="E36" s="708"/>
      <c r="F36" s="312" t="str">
        <f>'RD0301'!$A$25</f>
        <v>TPOX</v>
      </c>
      <c r="G36" s="313">
        <f>'RD0301'!$B$25</f>
        <v>8</v>
      </c>
      <c r="H36" s="313">
        <f>'RD0301'!$C$25</f>
        <v>11</v>
      </c>
      <c r="I36" s="313">
        <f>'RD0301'!$D$25</f>
        <v>8</v>
      </c>
      <c r="J36" s="313">
        <f>'RD0301'!$E$25</f>
        <v>12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1">
        <f>'RD0301'!$AM$25</f>
        <v>0</v>
      </c>
      <c r="P36" s="647">
        <f>'RD0301'!$AN$25</f>
        <v>0</v>
      </c>
      <c r="Q36" s="649">
        <f>'RD0301'!$AO$25</f>
        <v>0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14</v>
      </c>
      <c r="H37" s="313">
        <f>'RD0301'!$C$26</f>
        <v>15</v>
      </c>
      <c r="I37" s="313">
        <f>'RD0301'!$D$26</f>
        <v>13</v>
      </c>
      <c r="J37" s="313">
        <f>'RD0301'!$E$26</f>
        <v>14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1">
        <f>'RD0301'!$AM$26</f>
        <v>0</v>
      </c>
      <c r="P37" s="647">
        <f>'RD0301'!$AN$26</f>
        <v>0</v>
      </c>
      <c r="Q37" s="649">
        <f>'RD0301'!$AO$26</f>
        <v>0</v>
      </c>
    </row>
    <row r="38" spans="1:17" ht="15.75" customHeight="1" thickTop="1">
      <c r="A38" s="706"/>
      <c r="B38" s="707"/>
      <c r="C38" s="707"/>
      <c r="D38" s="707"/>
      <c r="E38" s="708"/>
      <c r="F38" s="312" t="str">
        <f>'RD0301'!$A$27</f>
        <v>D12S391</v>
      </c>
      <c r="G38" s="313">
        <f>'RD0301'!$B$27</f>
        <v>22</v>
      </c>
      <c r="H38" s="313">
        <f>'RD0301'!$C$27</f>
        <v>24</v>
      </c>
      <c r="I38" s="313">
        <f>'RD0301'!$D$27</f>
        <v>19</v>
      </c>
      <c r="J38" s="313">
        <f>'RD0301'!$E$27</f>
        <v>22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1">
        <f>'RD0301'!$AM$27</f>
        <v>0</v>
      </c>
      <c r="P38" s="647">
        <f>'RD0301'!$AN$27</f>
        <v>0</v>
      </c>
      <c r="Q38" s="649">
        <f>'RD0301'!$AO$27</f>
        <v>0</v>
      </c>
    </row>
    <row r="39" spans="1:17" ht="15.75" customHeight="1">
      <c r="A39" s="703"/>
      <c r="B39" s="704"/>
      <c r="C39" s="704"/>
      <c r="D39" s="704"/>
      <c r="E39" s="705"/>
      <c r="F39" s="312" t="str">
        <f>'RD0301'!$A$28</f>
        <v>D19S433</v>
      </c>
      <c r="G39" s="313">
        <f>'RD0301'!$B$28</f>
        <v>12</v>
      </c>
      <c r="H39" s="313">
        <f>'RD0301'!$C$28</f>
        <v>15.2</v>
      </c>
      <c r="I39" s="313">
        <f>'RD0301'!$D$28</f>
        <v>12</v>
      </c>
      <c r="J39" s="313">
        <f>'RD0301'!$E$28</f>
        <v>13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1">
        <f>'RD0301'!$AM$28</f>
        <v>0</v>
      </c>
      <c r="P39" s="647">
        <f>'RD0301'!$AN$28</f>
        <v>0</v>
      </c>
      <c r="Q39" s="649">
        <f>'RD0301'!$AO$28</f>
        <v>0</v>
      </c>
    </row>
    <row r="40" spans="1:17" ht="15.75" customHeight="1">
      <c r="A40" s="706"/>
      <c r="B40" s="707"/>
      <c r="C40" s="707"/>
      <c r="D40" s="707"/>
      <c r="E40" s="708"/>
      <c r="F40" s="312" t="str">
        <f>'RD0301'!$A$29</f>
        <v>FGA</v>
      </c>
      <c r="G40" s="313">
        <f>'RD0301'!$B$29</f>
        <v>24</v>
      </c>
      <c r="H40" s="313">
        <f>'RD0301'!$C$29</f>
        <v>25</v>
      </c>
      <c r="I40" s="313">
        <f>'RD0301'!$D$29</f>
        <v>21</v>
      </c>
      <c r="J40" s="313">
        <f>'RD0301'!$E$29</f>
        <v>24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1">
        <f>'RD0301'!$AM$29</f>
        <v>0</v>
      </c>
      <c r="P40" s="647">
        <f>'RD0301'!$AN$29</f>
        <v>0</v>
      </c>
      <c r="Q40" s="649">
        <f>'RD0301'!$AO$29</f>
        <v>0</v>
      </c>
    </row>
    <row r="41" spans="1:17" ht="15.75" customHeight="1" thickBot="1">
      <c r="A41" s="706" t="s">
        <v>296</v>
      </c>
      <c r="B41" s="707"/>
      <c r="C41" s="707"/>
      <c r="D41" s="707"/>
      <c r="E41" s="708"/>
      <c r="F41" s="314" t="str">
        <f>'RD0301'!$A$30</f>
        <v>D22S1045</v>
      </c>
      <c r="G41" s="315">
        <f>'RD0301'!$B$30</f>
        <v>15</v>
      </c>
      <c r="H41" s="315">
        <f>'RD0301'!$C$30</f>
        <v>16</v>
      </c>
      <c r="I41" s="315">
        <f>'RD0301'!$D$30</f>
        <v>16</v>
      </c>
      <c r="J41" s="315">
        <f>'RD0301'!$E$30</f>
        <v>16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2">
        <f>'RD0301'!$AM$30</f>
        <v>0</v>
      </c>
      <c r="P41" s="648">
        <f>'RD0301'!$AN$30</f>
        <v>0</v>
      </c>
      <c r="Q41" s="650">
        <f>'RD0301'!$AO$30</f>
        <v>0</v>
      </c>
    </row>
    <row r="42" spans="1:17" ht="15.75" customHeight="1" thickTop="1">
      <c r="A42" s="706"/>
      <c r="B42" s="707"/>
      <c r="C42" s="707"/>
      <c r="D42" s="707"/>
      <c r="E42" s="708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 t="str">
        <f>'RD0301'!$H$43</f>
        <v>NIHIL</v>
      </c>
      <c r="N42" s="729"/>
      <c r="O42" s="729"/>
      <c r="P42" s="729"/>
      <c r="Q42" s="730"/>
    </row>
    <row r="43" spans="1:17" ht="15.75" customHeight="1">
      <c r="A43" s="706" t="s">
        <v>297</v>
      </c>
      <c r="B43" s="707"/>
      <c r="C43" s="707"/>
      <c r="D43" s="707"/>
      <c r="E43" s="708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 t="str">
        <f>'RD0301'!$H$44</f>
        <v>NIHIL</v>
      </c>
      <c r="N43" s="732"/>
      <c r="O43" s="732"/>
      <c r="P43" s="732"/>
      <c r="Q43" s="733"/>
    </row>
    <row r="44" spans="1:17" ht="15.75" customHeight="1">
      <c r="A44" s="706"/>
      <c r="B44" s="707"/>
      <c r="C44" s="707"/>
      <c r="D44" s="707"/>
      <c r="E44" s="708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 t="str">
        <f>'RD0301'!$H$45</f>
        <v>EXCLUSÃO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str">
        <f>'RD0301'!$H$46</f>
        <v>EXCLUSÃO</v>
      </c>
      <c r="K45" s="737"/>
      <c r="L45" s="737"/>
      <c r="M45" s="737"/>
      <c r="N45" s="737"/>
      <c r="O45" s="737"/>
      <c r="P45" s="737"/>
      <c r="Q45" s="738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322"/>
      <c r="P63" s="322"/>
      <c r="Q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XY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XY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5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16</v>
      </c>
      <c r="C9" s="292">
        <f>'IMPORTAÇÃO GENOTIPER'!AA5</f>
        <v>17</v>
      </c>
      <c r="D9" s="292">
        <f>'IMPORTAÇÃO GENOTIPER'!AI5</f>
        <v>16</v>
      </c>
      <c r="E9" s="292">
        <f>'IMPORTAÇÃO GENOTIPER'!AQ5</f>
        <v>16</v>
      </c>
      <c r="F9" s="292">
        <f>'IMPORTAÇÃO GENOTIPER'!AY5</f>
        <v>14</v>
      </c>
      <c r="G9" s="292">
        <f>'IMPORTAÇÃO GENOTIPER'!BG5</f>
        <v>16</v>
      </c>
      <c r="H9" s="293">
        <f t="shared" ref="H9:H42" si="0">(IF(CODE(B9)=(60),($BF9-1),(IF(CODE(B9)=(62),($BG9+1),B9))))</f>
        <v>16</v>
      </c>
      <c r="I9" s="293">
        <f t="shared" ref="I9:I42" si="1">(IF(CODE(C9)=(60),($BF9-1),(IF(CODE(C9)=(62),($BG9+1),C9))))</f>
        <v>17</v>
      </c>
      <c r="J9" s="293">
        <f t="shared" ref="J9:J42" si="2">(IF(CODE(D9)=(60),($BF9-1),(IF(CODE(D9)=(62),($BG9+1),D9))))</f>
        <v>16</v>
      </c>
      <c r="K9" s="293">
        <f t="shared" ref="K9:K42" si="3">(IF(CODE(E9)=(60),($BF9-1),(IF(CODE(E9)=(62),($BG9+1),E9))))</f>
        <v>16</v>
      </c>
      <c r="L9" s="293">
        <f t="shared" ref="L9:L42" si="4">(IF(CODE(F9)=(60),($BF9-1),(IF(CODE(F9)=(62),($BG9+1),F9))))</f>
        <v>14</v>
      </c>
      <c r="M9" s="293">
        <f t="shared" ref="M9:M42" si="5">(IF(CODE(G9)=(60),($BF9-1),(IF(CODE(G9)=(62),($BG9+1),G9))))</f>
        <v>16</v>
      </c>
      <c r="N9" s="91">
        <f t="shared" ref="N9:N23" si="6">IF((H9&gt;I9),I9,H9)</f>
        <v>16</v>
      </c>
      <c r="O9" s="91">
        <f t="shared" ref="O9:O23" si="7">IF((I9&gt;H9),I9,H9)</f>
        <v>17</v>
      </c>
      <c r="P9" s="91">
        <f t="shared" ref="P9:P23" si="8">IF((J9&gt;K9),K9,J9)</f>
        <v>16</v>
      </c>
      <c r="Q9" s="91">
        <f t="shared" ref="Q9:Q23" si="9">IF((K9&gt;J9),K9,J9)</f>
        <v>16</v>
      </c>
      <c r="R9" s="91">
        <f t="shared" ref="R9:R23" si="10">IF((L9&gt;M9),M9,L9)</f>
        <v>14</v>
      </c>
      <c r="S9" s="91">
        <f t="shared" ref="S9:S23" si="11">IF((M9&gt;L9),M9,L9)</f>
        <v>16</v>
      </c>
      <c r="T9" s="92">
        <f t="shared" ref="T9:T23" si="12">IF((P9=N9),P9,(IF((P9=O9),P9,0)))</f>
        <v>16</v>
      </c>
      <c r="U9" s="92">
        <f t="shared" ref="U9:U23" si="13">IF((Q9=N9),Q9,(IF((Q9=O9),Q9,0)))</f>
        <v>16</v>
      </c>
      <c r="V9" s="93">
        <f>(IF((OR((P9="&gt;18"),(Q9="&gt;18"))),2,(IF(((T9+U9)=(P9+Q9)),0,1))))</f>
        <v>0</v>
      </c>
      <c r="W9" s="94">
        <f>IF(OR(($T9=$U9),($U9=0)),$T9,(IF(AND(($T9=0),($U9&lt;&gt;0)),$U9,$AJ$7)))</f>
        <v>16</v>
      </c>
      <c r="X9" s="116">
        <f t="shared" ref="X9:X42" si="14"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23" si="15">(IF(OR((X9=R9),(X9=S9)),X9,0))</f>
        <v>16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0.27030799999999999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1.8497417760480637</v>
      </c>
      <c r="AI9" s="100">
        <f t="shared" ref="AI9:AI23" si="18">(IF((AH9=0),0,(AH9/(AH9+1))))</f>
        <v>0.64909101294547111</v>
      </c>
      <c r="AJ9" s="101"/>
      <c r="AK9" s="102">
        <f>IF(AG9=0,0,(1-AG9)^2)</f>
        <v>0.53245041486400002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0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1.8497417760480637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16</v>
      </c>
      <c r="BK9" s="54">
        <f t="shared" ref="BK9:BK42" si="26">(IF((OR(($W9=($BF9-1)),($W9=($BG9+1)))),(CONCATENATE((BI9),(BJ9))),$W9))</f>
        <v>16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16</v>
      </c>
      <c r="BN9" s="57">
        <f t="shared" ref="BN9:BN42" si="29">(IF((OR(($Z9=($BF9-1)),($Z9=($BG9+1)))),(CONCATENATE((BL9),(BM9))),$Z9))</f>
        <v>16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16</v>
      </c>
      <c r="C10" s="292">
        <f>'IMPORTAÇÃO GENOTIPER'!AA6</f>
        <v>17.3</v>
      </c>
      <c r="D10" s="292">
        <f>'IMPORTAÇÃO GENOTIPER'!AI6</f>
        <v>16</v>
      </c>
      <c r="E10" s="292">
        <f>'IMPORTAÇÃO GENOTIPER'!AQ6</f>
        <v>17.3</v>
      </c>
      <c r="F10" s="292">
        <f>'IMPORTAÇÃO GENOTIPER'!AY6</f>
        <v>15</v>
      </c>
      <c r="G10" s="292">
        <f>'IMPORTAÇÃO GENOTIPER'!BG6</f>
        <v>17.3</v>
      </c>
      <c r="H10" s="293">
        <f t="shared" si="0"/>
        <v>16</v>
      </c>
      <c r="I10" s="293">
        <f t="shared" si="1"/>
        <v>17.3</v>
      </c>
      <c r="J10" s="293">
        <f t="shared" si="2"/>
        <v>16</v>
      </c>
      <c r="K10" s="293">
        <f t="shared" si="3"/>
        <v>17.3</v>
      </c>
      <c r="L10" s="293">
        <f t="shared" si="4"/>
        <v>15</v>
      </c>
      <c r="M10" s="293">
        <f t="shared" si="5"/>
        <v>17.3</v>
      </c>
      <c r="N10" s="91">
        <f t="shared" si="6"/>
        <v>16</v>
      </c>
      <c r="O10" s="91">
        <f t="shared" si="7"/>
        <v>17.3</v>
      </c>
      <c r="P10" s="91">
        <f t="shared" si="8"/>
        <v>16</v>
      </c>
      <c r="Q10" s="91">
        <f t="shared" si="9"/>
        <v>17.3</v>
      </c>
      <c r="R10" s="91">
        <f t="shared" si="10"/>
        <v>15</v>
      </c>
      <c r="S10" s="91">
        <f t="shared" si="11"/>
        <v>17.3</v>
      </c>
      <c r="T10" s="92">
        <f t="shared" si="12"/>
        <v>16</v>
      </c>
      <c r="U10" s="92">
        <f t="shared" si="13"/>
        <v>17.3</v>
      </c>
      <c r="V10" s="93">
        <f>(IF((OR((P10="&gt;36"),(Q10="&gt;36"))),2,(IF(((T10+U10)=(P10+Q10)),0,1))))</f>
        <v>0</v>
      </c>
      <c r="W10" s="94" t="str">
        <f t="shared" ref="W10:W23" si="33">IF(OR((T10=U10),(U10=0)),T10,(IF(AND((T10=0),(U10&lt;&gt;0)),U10,$AJ$7)))</f>
        <v>NÃO DEF</v>
      </c>
      <c r="X10" s="116">
        <f t="shared" si="14"/>
        <v>16</v>
      </c>
      <c r="Y10" s="92">
        <f>(IF((AND((T10=0),(U10=0))),E10,(IF((W10&lt;&gt;$AJ$7),0,Q10))))</f>
        <v>17.3</v>
      </c>
      <c r="Z10" s="95">
        <f t="shared" si="15"/>
        <v>0</v>
      </c>
      <c r="AA10" s="96">
        <f t="shared" si="16"/>
        <v>17.3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0.1376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0.27039999999999997</v>
      </c>
      <c r="AH10" s="99">
        <f t="shared" si="17"/>
        <v>1.8491124260355032</v>
      </c>
      <c r="AI10" s="100">
        <f t="shared" si="18"/>
        <v>0.64901349948078924</v>
      </c>
      <c r="AJ10" s="101"/>
      <c r="AK10" s="102">
        <f t="shared" ref="AK10:AK30" si="35">IF(AG10=0,0,(1-AG10)^2)</f>
        <v>0.53231616000000004</v>
      </c>
      <c r="AL10" s="101"/>
      <c r="AM10" s="103" t="str">
        <f t="shared" si="19"/>
        <v>1 / 2F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0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1.8491124260355032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 t="str">
        <f t="shared" si="25"/>
        <v>NÃO DEF</v>
      </c>
      <c r="BK10" s="54" t="str">
        <f t="shared" si="26"/>
        <v>NÃO DEF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17.3</v>
      </c>
      <c r="BQ10" s="37">
        <f t="shared" si="32"/>
        <v>17.3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11</v>
      </c>
      <c r="C11" s="292">
        <f>'IMPORTAÇÃO GENOTIPER'!AA7</f>
        <v>11.3</v>
      </c>
      <c r="D11" s="292">
        <f>'IMPORTAÇÃO GENOTIPER'!AI7</f>
        <v>11.3</v>
      </c>
      <c r="E11" s="292">
        <f>'IMPORTAÇÃO GENOTIPER'!AQ7</f>
        <v>11.3</v>
      </c>
      <c r="F11" s="292">
        <f>'IMPORTAÇÃO GENOTIPER'!AY7</f>
        <v>11.3</v>
      </c>
      <c r="G11" s="292">
        <f>'IMPORTAÇÃO GENOTIPER'!BG7</f>
        <v>15</v>
      </c>
      <c r="H11" s="293">
        <f t="shared" si="0"/>
        <v>11</v>
      </c>
      <c r="I11" s="293">
        <f t="shared" si="1"/>
        <v>11.3</v>
      </c>
      <c r="J11" s="293">
        <f t="shared" si="2"/>
        <v>11.3</v>
      </c>
      <c r="K11" s="293">
        <f t="shared" si="3"/>
        <v>11.3</v>
      </c>
      <c r="L11" s="293">
        <f t="shared" si="4"/>
        <v>11.3</v>
      </c>
      <c r="M11" s="293">
        <f t="shared" si="5"/>
        <v>15</v>
      </c>
      <c r="N11" s="91">
        <f t="shared" si="6"/>
        <v>11</v>
      </c>
      <c r="O11" s="91">
        <f t="shared" si="7"/>
        <v>11.3</v>
      </c>
      <c r="P11" s="91">
        <f t="shared" si="8"/>
        <v>11.3</v>
      </c>
      <c r="Q11" s="91">
        <f t="shared" si="9"/>
        <v>11.3</v>
      </c>
      <c r="R11" s="91">
        <f t="shared" si="10"/>
        <v>11.3</v>
      </c>
      <c r="S11" s="91">
        <f t="shared" si="11"/>
        <v>15</v>
      </c>
      <c r="T11" s="92">
        <f t="shared" si="12"/>
        <v>11.3</v>
      </c>
      <c r="U11" s="92">
        <f t="shared" si="13"/>
        <v>11.3</v>
      </c>
      <c r="V11" s="93">
        <f>(IF((OR((P11="&gt;22"),(Q11="&gt;22"))),2,(IF(((T11+U11)=(P11+Q11)),0,1))))</f>
        <v>0</v>
      </c>
      <c r="W11" s="94">
        <f t="shared" si="33"/>
        <v>11.3</v>
      </c>
      <c r="X11" s="116">
        <f t="shared" si="14"/>
        <v>11.3</v>
      </c>
      <c r="Y11" s="92">
        <f>(ROUND( (IF((AND((T11=0),(U11=0))),E11,(IF((W11&lt;&gt;$AJ$7),0,Q11)))),1))</f>
        <v>0</v>
      </c>
      <c r="Z11" s="95">
        <f t="shared" si="15"/>
        <v>11.3</v>
      </c>
      <c r="AA11" s="96">
        <f t="shared" si="16"/>
        <v>0</v>
      </c>
      <c r="AB11" s="97">
        <f>IF(X11=0,0,VLOOKUP(X11,FREQUENCIAS!$1:$1048576,(IF(($A11=FREQUENCIAS!$D$1),4,"ERRO")),FREQUENCIAS!$1:$1048576))</f>
        <v>4.5499999999999999E-2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0.05</v>
      </c>
      <c r="AH11" s="99">
        <f t="shared" si="17"/>
        <v>10</v>
      </c>
      <c r="AI11" s="100">
        <f t="shared" si="18"/>
        <v>0.90909090909090906</v>
      </c>
      <c r="AJ11" s="101"/>
      <c r="AK11" s="102">
        <f t="shared" si="35"/>
        <v>0.90249999999999997</v>
      </c>
      <c r="AL11" s="101"/>
      <c r="AM11" s="103" t="str">
        <f t="shared" si="19"/>
        <v>1 / 2F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0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10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24"/>
        <v/>
      </c>
      <c r="BJ11" s="54">
        <f t="shared" si="25"/>
        <v>11.3</v>
      </c>
      <c r="BK11" s="54">
        <f t="shared" si="26"/>
        <v>11.3</v>
      </c>
      <c r="BL11" s="57" t="str">
        <f t="shared" si="27"/>
        <v/>
      </c>
      <c r="BM11" s="57">
        <f t="shared" si="28"/>
        <v>11.3</v>
      </c>
      <c r="BN11" s="57">
        <f t="shared" si="29"/>
        <v>11.3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14</v>
      </c>
      <c r="D12" s="296">
        <f>'IMPORTAÇÃO GENOTIPER'!AI8</f>
        <v>14</v>
      </c>
      <c r="E12" s="296">
        <f>'IMPORTAÇÃO GENOTIPER'!AQ8</f>
        <v>14</v>
      </c>
      <c r="F12" s="296">
        <f>'IMPORTAÇÃO GENOTIPER'!AY8</f>
        <v>13</v>
      </c>
      <c r="G12" s="296">
        <f>'IMPORTAÇÃO GENOTIPER'!BG8</f>
        <v>14</v>
      </c>
      <c r="H12" s="297">
        <f t="shared" si="0"/>
        <v>14</v>
      </c>
      <c r="I12" s="297">
        <f t="shared" si="1"/>
        <v>14</v>
      </c>
      <c r="J12" s="297">
        <f t="shared" si="2"/>
        <v>14</v>
      </c>
      <c r="K12" s="297">
        <f t="shared" si="3"/>
        <v>14</v>
      </c>
      <c r="L12" s="297">
        <f t="shared" si="4"/>
        <v>13</v>
      </c>
      <c r="M12" s="297">
        <f t="shared" si="5"/>
        <v>14</v>
      </c>
      <c r="N12" s="113">
        <f t="shared" si="6"/>
        <v>14</v>
      </c>
      <c r="O12" s="113">
        <f t="shared" si="7"/>
        <v>14</v>
      </c>
      <c r="P12" s="113">
        <f t="shared" si="8"/>
        <v>14</v>
      </c>
      <c r="Q12" s="113">
        <f t="shared" si="9"/>
        <v>14</v>
      </c>
      <c r="R12" s="113">
        <f t="shared" si="10"/>
        <v>13</v>
      </c>
      <c r="S12" s="113">
        <f t="shared" si="11"/>
        <v>14</v>
      </c>
      <c r="T12" s="114">
        <f t="shared" si="12"/>
        <v>14</v>
      </c>
      <c r="U12" s="114">
        <f t="shared" si="13"/>
        <v>14</v>
      </c>
      <c r="V12" s="115">
        <f>(IF((OR((P12="&gt;21"),(Q12="&gt;21"))),2,(IF(((T12+U12)=(P12+Q12)),0,1))))</f>
        <v>0</v>
      </c>
      <c r="W12" s="114">
        <f t="shared" si="33"/>
        <v>14</v>
      </c>
      <c r="X12" s="116">
        <f t="shared" si="14"/>
        <v>14</v>
      </c>
      <c r="Y12" s="114">
        <f xml:space="preserve"> (IF((AND((T12=0),(U12=0))),E12,(IF((W12&lt;&gt;$AJ$7),0,Q12))))</f>
        <v>0</v>
      </c>
      <c r="Z12" s="117">
        <f t="shared" si="15"/>
        <v>14</v>
      </c>
      <c r="AA12" s="118">
        <f t="shared" si="16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0.30480000000000002</v>
      </c>
      <c r="AH12" s="99">
        <f t="shared" si="17"/>
        <v>1.6404199475065615</v>
      </c>
      <c r="AI12" s="122">
        <f t="shared" si="18"/>
        <v>0.62127236580516887</v>
      </c>
      <c r="AJ12" s="123" t="s">
        <v>140</v>
      </c>
      <c r="AK12" s="102">
        <f t="shared" si="35"/>
        <v>0.48330304000000007</v>
      </c>
      <c r="AL12" s="123"/>
      <c r="AM12" s="103" t="str">
        <f t="shared" si="19"/>
        <v>1 / 2F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0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1.6404199475065615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24"/>
        <v/>
      </c>
      <c r="BJ12" s="114">
        <f t="shared" si="25"/>
        <v>15</v>
      </c>
      <c r="BK12" s="114">
        <f t="shared" si="26"/>
        <v>14</v>
      </c>
      <c r="BL12" s="114" t="str">
        <f t="shared" si="27"/>
        <v/>
      </c>
      <c r="BM12" s="114">
        <f t="shared" si="28"/>
        <v>14</v>
      </c>
      <c r="BN12" s="114">
        <f t="shared" si="29"/>
        <v>14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11</v>
      </c>
      <c r="D13" s="292">
        <f>'IMPORTAÇÃO GENOTIPER'!AI9</f>
        <v>11</v>
      </c>
      <c r="E13" s="292">
        <f>'IMPORTAÇÃO GENOTIPER'!AQ9</f>
        <v>12</v>
      </c>
      <c r="F13" s="292">
        <f>'IMPORTAÇÃO GENOTIPER'!AY9</f>
        <v>12</v>
      </c>
      <c r="G13" s="292">
        <f>'IMPORTAÇÃO GENOTIPER'!BG9</f>
        <v>12</v>
      </c>
      <c r="H13" s="293">
        <f t="shared" si="0"/>
        <v>11</v>
      </c>
      <c r="I13" s="293">
        <f t="shared" si="1"/>
        <v>11</v>
      </c>
      <c r="J13" s="293">
        <f t="shared" si="2"/>
        <v>11</v>
      </c>
      <c r="K13" s="293">
        <f t="shared" si="3"/>
        <v>12</v>
      </c>
      <c r="L13" s="293">
        <f t="shared" si="4"/>
        <v>12</v>
      </c>
      <c r="M13" s="293">
        <f t="shared" si="5"/>
        <v>12</v>
      </c>
      <c r="N13" s="91">
        <f t="shared" si="6"/>
        <v>11</v>
      </c>
      <c r="O13" s="91">
        <f t="shared" si="7"/>
        <v>11</v>
      </c>
      <c r="P13" s="91">
        <f t="shared" si="8"/>
        <v>11</v>
      </c>
      <c r="Q13" s="91">
        <f t="shared" si="9"/>
        <v>12</v>
      </c>
      <c r="R13" s="91">
        <f t="shared" si="10"/>
        <v>12</v>
      </c>
      <c r="S13" s="91">
        <f t="shared" si="11"/>
        <v>12</v>
      </c>
      <c r="T13" s="92">
        <f t="shared" si="12"/>
        <v>11</v>
      </c>
      <c r="U13" s="92">
        <f t="shared" si="13"/>
        <v>0</v>
      </c>
      <c r="V13" s="93">
        <f>(IF((OR((P13="&gt;21"),(Q13="&gt;21"))),2,(IF(((T13+U13)=(P13+Q13)),0,1))))</f>
        <v>1</v>
      </c>
      <c r="W13" s="94">
        <f t="shared" si="33"/>
        <v>11</v>
      </c>
      <c r="X13" s="116">
        <f t="shared" si="14"/>
        <v>12</v>
      </c>
      <c r="Y13" s="92">
        <f t="shared" ref="Y13:Y23" si="38">(IF((AND((T13=0),(U13=0))),E13,(IF((W13&lt;&gt;$AJ$7),0,Q13))))</f>
        <v>0</v>
      </c>
      <c r="Z13" s="95">
        <f t="shared" si="15"/>
        <v>12</v>
      </c>
      <c r="AA13" s="96">
        <f t="shared" si="16"/>
        <v>0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0.29337999999999997</v>
      </c>
      <c r="AH13" s="99">
        <f t="shared" si="17"/>
        <v>3.408548639989093</v>
      </c>
      <c r="AI13" s="100">
        <f t="shared" si="18"/>
        <v>0.77316797847500363</v>
      </c>
      <c r="AJ13" s="101" t="s">
        <v>163</v>
      </c>
      <c r="AK13" s="102">
        <f t="shared" si="35"/>
        <v>0.49931182440000005</v>
      </c>
      <c r="AL13" s="101"/>
      <c r="AM13" s="103" t="str">
        <f t="shared" si="19"/>
        <v>1 / F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0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3.408548639989093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>&lt;</v>
      </c>
      <c r="BJ13" s="54">
        <f t="shared" si="25"/>
        <v>12</v>
      </c>
      <c r="BK13" s="54" t="str">
        <f t="shared" si="26"/>
        <v>&lt;12</v>
      </c>
      <c r="BL13" s="57" t="str">
        <f t="shared" si="27"/>
        <v/>
      </c>
      <c r="BM13" s="57">
        <f t="shared" si="28"/>
        <v>12</v>
      </c>
      <c r="BN13" s="57">
        <f t="shared" si="29"/>
        <v>12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13</v>
      </c>
      <c r="C14" s="292">
        <f>'IMPORTAÇÃO GENOTIPER'!AA10</f>
        <v>16</v>
      </c>
      <c r="D14" s="292">
        <f>'IMPORTAÇÃO GENOTIPER'!AI10</f>
        <v>11</v>
      </c>
      <c r="E14" s="292">
        <f>'IMPORTAÇÃO GENOTIPER'!AQ10</f>
        <v>16</v>
      </c>
      <c r="F14" s="292">
        <f>'IMPORTAÇÃO GENOTIPER'!AY10</f>
        <v>11</v>
      </c>
      <c r="G14" s="292">
        <f>'IMPORTAÇÃO GENOTIPER'!BG10</f>
        <v>11</v>
      </c>
      <c r="H14" s="293">
        <f t="shared" si="0"/>
        <v>13</v>
      </c>
      <c r="I14" s="293">
        <f t="shared" si="1"/>
        <v>16</v>
      </c>
      <c r="J14" s="293">
        <f t="shared" si="2"/>
        <v>11</v>
      </c>
      <c r="K14" s="293">
        <f t="shared" si="3"/>
        <v>16</v>
      </c>
      <c r="L14" s="293">
        <f t="shared" si="4"/>
        <v>11</v>
      </c>
      <c r="M14" s="293">
        <f t="shared" si="5"/>
        <v>11</v>
      </c>
      <c r="N14" s="91">
        <f t="shared" si="6"/>
        <v>13</v>
      </c>
      <c r="O14" s="91">
        <f t="shared" si="7"/>
        <v>16</v>
      </c>
      <c r="P14" s="91">
        <f t="shared" si="8"/>
        <v>11</v>
      </c>
      <c r="Q14" s="91">
        <f t="shared" si="9"/>
        <v>16</v>
      </c>
      <c r="R14" s="91">
        <f t="shared" si="10"/>
        <v>11</v>
      </c>
      <c r="S14" s="91">
        <f t="shared" si="11"/>
        <v>11</v>
      </c>
      <c r="T14" s="92">
        <f t="shared" si="12"/>
        <v>0</v>
      </c>
      <c r="U14" s="92">
        <f t="shared" si="13"/>
        <v>16</v>
      </c>
      <c r="V14" s="93">
        <f>(IF((OR((P14="&gt;20"),(Q14="&gt;20"))),2,(IF(((T14+U14)=(P14+Q14)),0,1))))</f>
        <v>1</v>
      </c>
      <c r="W14" s="94">
        <f t="shared" si="33"/>
        <v>16</v>
      </c>
      <c r="X14" s="116">
        <f t="shared" si="14"/>
        <v>11</v>
      </c>
      <c r="Y14" s="92">
        <f t="shared" si="38"/>
        <v>0</v>
      </c>
      <c r="Z14" s="95">
        <f t="shared" si="15"/>
        <v>11</v>
      </c>
      <c r="AA14" s="96">
        <f t="shared" si="16"/>
        <v>0</v>
      </c>
      <c r="AB14" s="97">
        <f>IF(X14=0,0,VLOOKUP(X14,FREQUENCIAS!$1:$1048576,(IF(($A14=FREQUENCIAS!$G$1),7,"ERRO")),FREQUENCIAS!$1:$1048576))</f>
        <v>1.10308E-2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0.05</v>
      </c>
      <c r="AH14" s="99">
        <f t="shared" si="17"/>
        <v>20</v>
      </c>
      <c r="AI14" s="100">
        <f t="shared" si="18"/>
        <v>0.95238095238095233</v>
      </c>
      <c r="AJ14" s="101"/>
      <c r="AK14" s="102">
        <f t="shared" si="35"/>
        <v>0.90249999999999997</v>
      </c>
      <c r="AL14" s="101"/>
      <c r="AM14" s="103" t="str">
        <f t="shared" si="19"/>
        <v>1 / F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0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20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16</v>
      </c>
      <c r="BK14" s="54">
        <f t="shared" si="26"/>
        <v>16</v>
      </c>
      <c r="BL14" s="57" t="str">
        <f t="shared" si="27"/>
        <v/>
      </c>
      <c r="BM14" s="57">
        <f t="shared" si="28"/>
        <v>11</v>
      </c>
      <c r="BN14" s="57">
        <f t="shared" si="29"/>
        <v>11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10</v>
      </c>
      <c r="C15" s="292">
        <f>'IMPORTAÇÃO GENOTIPER'!AA11</f>
        <v>11</v>
      </c>
      <c r="D15" s="292">
        <f>'IMPORTAÇÃO GENOTIPER'!AI11</f>
        <v>11</v>
      </c>
      <c r="E15" s="292">
        <f>'IMPORTAÇÃO GENOTIPER'!AQ11</f>
        <v>12</v>
      </c>
      <c r="F15" s="292">
        <f>'IMPORTAÇÃO GENOTIPER'!AY11</f>
        <v>11</v>
      </c>
      <c r="G15" s="292">
        <f>'IMPORTAÇÃO GENOTIPER'!BG11</f>
        <v>12</v>
      </c>
      <c r="H15" s="293">
        <f t="shared" si="0"/>
        <v>10</v>
      </c>
      <c r="I15" s="293">
        <f t="shared" si="1"/>
        <v>11</v>
      </c>
      <c r="J15" s="293">
        <f t="shared" si="2"/>
        <v>11</v>
      </c>
      <c r="K15" s="293">
        <f t="shared" si="3"/>
        <v>12</v>
      </c>
      <c r="L15" s="293">
        <f t="shared" si="4"/>
        <v>11</v>
      </c>
      <c r="M15" s="293">
        <f t="shared" si="5"/>
        <v>12</v>
      </c>
      <c r="N15" s="91">
        <f t="shared" si="6"/>
        <v>10</v>
      </c>
      <c r="O15" s="91">
        <f t="shared" si="7"/>
        <v>11</v>
      </c>
      <c r="P15" s="91">
        <f t="shared" si="8"/>
        <v>11</v>
      </c>
      <c r="Q15" s="91">
        <f t="shared" si="9"/>
        <v>12</v>
      </c>
      <c r="R15" s="91">
        <f t="shared" si="10"/>
        <v>11</v>
      </c>
      <c r="S15" s="91">
        <f t="shared" si="11"/>
        <v>12</v>
      </c>
      <c r="T15" s="92">
        <f t="shared" si="12"/>
        <v>11</v>
      </c>
      <c r="U15" s="92">
        <f t="shared" si="13"/>
        <v>0</v>
      </c>
      <c r="V15" s="93">
        <f>(IF((OR((P15="&gt;23"),(Q15="&gt;23"))),2,(IF(((T15+U15)=(P15+Q15)),0,1))))</f>
        <v>1</v>
      </c>
      <c r="W15" s="94">
        <f t="shared" si="33"/>
        <v>11</v>
      </c>
      <c r="X15" s="116">
        <f t="shared" si="14"/>
        <v>12</v>
      </c>
      <c r="Y15" s="92">
        <f t="shared" si="38"/>
        <v>0</v>
      </c>
      <c r="Z15" s="95">
        <f t="shared" si="15"/>
        <v>12</v>
      </c>
      <c r="AA15" s="96">
        <f t="shared" si="16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0.25604300000000002</v>
      </c>
      <c r="AH15" s="99">
        <f t="shared" si="17"/>
        <v>1.952796991130396</v>
      </c>
      <c r="AI15" s="100">
        <f t="shared" si="18"/>
        <v>0.66133804558735421</v>
      </c>
      <c r="AJ15" s="101"/>
      <c r="AK15" s="102">
        <f t="shared" si="35"/>
        <v>0.55347201784900002</v>
      </c>
      <c r="AL15" s="101"/>
      <c r="AM15" s="103" t="str">
        <f t="shared" si="19"/>
        <v>1 / 2F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0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1.952796991130396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24"/>
        <v/>
      </c>
      <c r="BJ15" s="54">
        <f t="shared" si="25"/>
        <v>11</v>
      </c>
      <c r="BK15" s="54">
        <f t="shared" si="26"/>
        <v>11</v>
      </c>
      <c r="BL15" s="57" t="str">
        <f t="shared" si="27"/>
        <v/>
      </c>
      <c r="BM15" s="57">
        <f t="shared" si="28"/>
        <v>12</v>
      </c>
      <c r="BN15" s="57">
        <f t="shared" si="29"/>
        <v>12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12</v>
      </c>
      <c r="C16" s="292">
        <f>'IMPORTAÇÃO GENOTIPER'!AA12</f>
        <v>14</v>
      </c>
      <c r="D16" s="292">
        <f>'IMPORTAÇÃO GENOTIPER'!AI12</f>
        <v>10</v>
      </c>
      <c r="E16" s="292">
        <f>'IMPORTAÇÃO GENOTIPER'!AQ12</f>
        <v>12</v>
      </c>
      <c r="F16" s="292">
        <f>'IMPORTAÇÃO GENOTIPER'!AY12</f>
        <v>10</v>
      </c>
      <c r="G16" s="292">
        <f>'IMPORTAÇÃO GENOTIPER'!BG12</f>
        <v>18</v>
      </c>
      <c r="H16" s="293">
        <f t="shared" si="0"/>
        <v>12</v>
      </c>
      <c r="I16" s="293">
        <f t="shared" si="1"/>
        <v>14</v>
      </c>
      <c r="J16" s="293">
        <f t="shared" si="2"/>
        <v>10</v>
      </c>
      <c r="K16" s="293">
        <f t="shared" si="3"/>
        <v>12</v>
      </c>
      <c r="L16" s="293">
        <f t="shared" si="4"/>
        <v>10</v>
      </c>
      <c r="M16" s="293">
        <f t="shared" si="5"/>
        <v>18</v>
      </c>
      <c r="N16" s="91">
        <f t="shared" si="6"/>
        <v>12</v>
      </c>
      <c r="O16" s="91">
        <f t="shared" si="7"/>
        <v>14</v>
      </c>
      <c r="P16" s="91">
        <f t="shared" si="8"/>
        <v>10</v>
      </c>
      <c r="Q16" s="91">
        <f t="shared" si="9"/>
        <v>12</v>
      </c>
      <c r="R16" s="91">
        <f t="shared" si="10"/>
        <v>10</v>
      </c>
      <c r="S16" s="91">
        <f t="shared" si="11"/>
        <v>18</v>
      </c>
      <c r="T16" s="92">
        <f t="shared" si="12"/>
        <v>0</v>
      </c>
      <c r="U16" s="92">
        <f t="shared" si="13"/>
        <v>12</v>
      </c>
      <c r="V16" s="93">
        <f>(IF((OR((P16="&gt;22"),(Q16="&gt;22"))),2,(IF(((T16+U16)=(P16+Q16)),0,1))))</f>
        <v>1</v>
      </c>
      <c r="W16" s="94">
        <f t="shared" si="33"/>
        <v>12</v>
      </c>
      <c r="X16" s="116">
        <f t="shared" si="14"/>
        <v>10</v>
      </c>
      <c r="Y16" s="92">
        <f t="shared" si="38"/>
        <v>0</v>
      </c>
      <c r="Z16" s="95">
        <f t="shared" si="15"/>
        <v>10</v>
      </c>
      <c r="AA16" s="96">
        <f t="shared" si="16"/>
        <v>0</v>
      </c>
      <c r="AB16" s="97">
        <f>IF(X16=0,0,VLOOKUP(X16,FREQUENCIAS!$1:$1048576,(IF(($A16=FREQUENCIAS!$I$1),9,"ERRO")),FREQUENCIAS!$1:$1048576))</f>
        <v>9.8840000000000004E-3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0.05</v>
      </c>
      <c r="AH16" s="99">
        <f t="shared" si="17"/>
        <v>10</v>
      </c>
      <c r="AI16" s="100">
        <f t="shared" si="18"/>
        <v>0.90909090909090906</v>
      </c>
      <c r="AJ16" s="101"/>
      <c r="AK16" s="102">
        <f t="shared" si="35"/>
        <v>0.90249999999999997</v>
      </c>
      <c r="AL16" s="101"/>
      <c r="AM16" s="103" t="str">
        <f t="shared" si="19"/>
        <v>1 / 2F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0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10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12</v>
      </c>
      <c r="BK16" s="54">
        <f t="shared" si="26"/>
        <v>12</v>
      </c>
      <c r="BL16" s="57" t="str">
        <f t="shared" si="27"/>
        <v/>
      </c>
      <c r="BM16" s="57">
        <f t="shared" si="28"/>
        <v>10</v>
      </c>
      <c r="BN16" s="57">
        <f t="shared" si="29"/>
        <v>10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17</v>
      </c>
      <c r="C17" s="292">
        <f>'IMPORTAÇÃO GENOTIPER'!AA13</f>
        <v>17</v>
      </c>
      <c r="D17" s="292">
        <f>'IMPORTAÇÃO GENOTIPER'!AI13</f>
        <v>17</v>
      </c>
      <c r="E17" s="292">
        <f>'IMPORTAÇÃO GENOTIPER'!AQ13</f>
        <v>20</v>
      </c>
      <c r="F17" s="292">
        <f>'IMPORTAÇÃO GENOTIPER'!AY13</f>
        <v>20</v>
      </c>
      <c r="G17" s="292">
        <f>'IMPORTAÇÃO GENOTIPER'!BG13</f>
        <v>25</v>
      </c>
      <c r="H17" s="293">
        <f t="shared" si="0"/>
        <v>17</v>
      </c>
      <c r="I17" s="293">
        <f t="shared" si="1"/>
        <v>17</v>
      </c>
      <c r="J17" s="293">
        <f t="shared" si="2"/>
        <v>17</v>
      </c>
      <c r="K17" s="293">
        <f t="shared" si="3"/>
        <v>20</v>
      </c>
      <c r="L17" s="293">
        <f t="shared" si="4"/>
        <v>20</v>
      </c>
      <c r="M17" s="293">
        <f t="shared" si="5"/>
        <v>25</v>
      </c>
      <c r="N17" s="91">
        <f t="shared" si="6"/>
        <v>17</v>
      </c>
      <c r="O17" s="91">
        <f t="shared" si="7"/>
        <v>17</v>
      </c>
      <c r="P17" s="91">
        <f t="shared" si="8"/>
        <v>17</v>
      </c>
      <c r="Q17" s="91">
        <f t="shared" si="9"/>
        <v>20</v>
      </c>
      <c r="R17" s="91">
        <f t="shared" si="10"/>
        <v>20</v>
      </c>
      <c r="S17" s="91">
        <f t="shared" si="11"/>
        <v>25</v>
      </c>
      <c r="T17" s="92">
        <f t="shared" si="12"/>
        <v>17</v>
      </c>
      <c r="U17" s="92">
        <f t="shared" si="13"/>
        <v>0</v>
      </c>
      <c r="V17" s="93">
        <f>(IF((OR((P17="&gt;28"),(Q17="&gt;28"))),2,(IF(((T17+U17)=(P17+Q17)),0,1))))</f>
        <v>1</v>
      </c>
      <c r="W17" s="94">
        <f t="shared" si="33"/>
        <v>17</v>
      </c>
      <c r="X17" s="116">
        <f t="shared" si="14"/>
        <v>20</v>
      </c>
      <c r="Y17" s="92">
        <f t="shared" si="38"/>
        <v>0</v>
      </c>
      <c r="Z17" s="95">
        <f t="shared" si="15"/>
        <v>20</v>
      </c>
      <c r="AA17" s="96">
        <f t="shared" si="16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0.13669999999999999</v>
      </c>
      <c r="AH17" s="99">
        <f t="shared" si="17"/>
        <v>3.6576444769568401</v>
      </c>
      <c r="AI17" s="100">
        <f t="shared" si="18"/>
        <v>0.78529919899481715</v>
      </c>
      <c r="AJ17" s="101" t="s">
        <v>173</v>
      </c>
      <c r="AK17" s="102">
        <f t="shared" si="35"/>
        <v>0.74528688999999992</v>
      </c>
      <c r="AL17" s="101"/>
      <c r="AM17" s="103" t="str">
        <f t="shared" si="19"/>
        <v>1 / 2F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0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3.6576444769568401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24"/>
        <v/>
      </c>
      <c r="BJ17" s="54">
        <f t="shared" si="25"/>
        <v>17</v>
      </c>
      <c r="BK17" s="54">
        <f t="shared" si="26"/>
        <v>17</v>
      </c>
      <c r="BL17" s="57" t="str">
        <f t="shared" si="27"/>
        <v/>
      </c>
      <c r="BM17" s="57">
        <f t="shared" si="28"/>
        <v>20</v>
      </c>
      <c r="BN17" s="57">
        <f t="shared" si="29"/>
        <v>20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11</v>
      </c>
      <c r="D18" s="292">
        <f>'IMPORTAÇÃO GENOTIPER'!AI14</f>
        <v>10</v>
      </c>
      <c r="E18" s="292">
        <f>'IMPORTAÇÃO GENOTIPER'!AQ14</f>
        <v>12</v>
      </c>
      <c r="F18" s="292">
        <f>'IMPORTAÇÃO GENOTIPER'!AY14</f>
        <v>11</v>
      </c>
      <c r="G18" s="292">
        <f>'IMPORTAÇÃO GENOTIPER'!BG14</f>
        <v>12</v>
      </c>
      <c r="H18" s="293">
        <f t="shared" si="0"/>
        <v>10</v>
      </c>
      <c r="I18" s="293">
        <f t="shared" si="1"/>
        <v>11</v>
      </c>
      <c r="J18" s="293">
        <f t="shared" si="2"/>
        <v>10</v>
      </c>
      <c r="K18" s="293">
        <f t="shared" si="3"/>
        <v>12</v>
      </c>
      <c r="L18" s="293">
        <f t="shared" si="4"/>
        <v>11</v>
      </c>
      <c r="M18" s="293">
        <f t="shared" si="5"/>
        <v>12</v>
      </c>
      <c r="N18" s="91">
        <f t="shared" si="6"/>
        <v>10</v>
      </c>
      <c r="O18" s="91">
        <f t="shared" si="7"/>
        <v>11</v>
      </c>
      <c r="P18" s="91">
        <f t="shared" si="8"/>
        <v>10</v>
      </c>
      <c r="Q18" s="91">
        <f t="shared" si="9"/>
        <v>12</v>
      </c>
      <c r="R18" s="91">
        <f t="shared" si="10"/>
        <v>11</v>
      </c>
      <c r="S18" s="91">
        <f t="shared" si="11"/>
        <v>12</v>
      </c>
      <c r="T18" s="92">
        <f t="shared" si="12"/>
        <v>10</v>
      </c>
      <c r="U18" s="92">
        <f t="shared" si="13"/>
        <v>0</v>
      </c>
      <c r="V18" s="93">
        <f>(IF((OR((P18="&gt;17,2"),(Q18="&gt;17,2"))),2,(IF(((T18+U18)=(P18+Q18)),0,1))))</f>
        <v>1</v>
      </c>
      <c r="W18" s="94">
        <f t="shared" si="33"/>
        <v>10</v>
      </c>
      <c r="X18" s="116">
        <f t="shared" si="14"/>
        <v>12</v>
      </c>
      <c r="Y18" s="92">
        <f t="shared" si="38"/>
        <v>0</v>
      </c>
      <c r="Z18" s="95">
        <f t="shared" si="15"/>
        <v>12</v>
      </c>
      <c r="AA18" s="96">
        <f t="shared" si="16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0.30245100000000003</v>
      </c>
      <c r="AH18" s="99">
        <f t="shared" si="17"/>
        <v>1.6531603466346614</v>
      </c>
      <c r="AI18" s="100">
        <f t="shared" si="18"/>
        <v>0.62309100493363456</v>
      </c>
      <c r="AJ18" s="101"/>
      <c r="AK18" s="102">
        <f t="shared" si="35"/>
        <v>0.48657460740099995</v>
      </c>
      <c r="AL18" s="101"/>
      <c r="AM18" s="103" t="str">
        <f t="shared" si="19"/>
        <v>1 / 2F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0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1.6531603466346614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24"/>
        <v/>
      </c>
      <c r="BJ18" s="54">
        <f t="shared" si="25"/>
        <v>10</v>
      </c>
      <c r="BK18" s="54">
        <f t="shared" si="26"/>
        <v>10</v>
      </c>
      <c r="BL18" s="57" t="str">
        <f t="shared" si="27"/>
        <v/>
      </c>
      <c r="BM18" s="57">
        <f t="shared" si="28"/>
        <v>12</v>
      </c>
      <c r="BN18" s="57">
        <f t="shared" si="29"/>
        <v>12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10</v>
      </c>
      <c r="C19" s="292">
        <f>'IMPORTAÇÃO GENOTIPER'!AA15</f>
        <v>11</v>
      </c>
      <c r="D19" s="292">
        <f>'IMPORTAÇÃO GENOTIPER'!AI15</f>
        <v>10</v>
      </c>
      <c r="E19" s="292">
        <f>'IMPORTAÇÃO GENOTIPER'!AQ15</f>
        <v>12</v>
      </c>
      <c r="F19" s="292">
        <f>'IMPORTAÇÃO GENOTIPER'!AY15</f>
        <v>12</v>
      </c>
      <c r="G19" s="292">
        <f>'IMPORTAÇÃO GENOTIPER'!BG15</f>
        <v>12</v>
      </c>
      <c r="H19" s="293">
        <f t="shared" si="0"/>
        <v>10</v>
      </c>
      <c r="I19" s="293">
        <f t="shared" si="1"/>
        <v>11</v>
      </c>
      <c r="J19" s="293">
        <f t="shared" si="2"/>
        <v>10</v>
      </c>
      <c r="K19" s="293">
        <f t="shared" si="3"/>
        <v>12</v>
      </c>
      <c r="L19" s="293">
        <f t="shared" si="4"/>
        <v>12</v>
      </c>
      <c r="M19" s="293">
        <f t="shared" si="5"/>
        <v>12</v>
      </c>
      <c r="N19" s="91">
        <f t="shared" si="6"/>
        <v>10</v>
      </c>
      <c r="O19" s="91">
        <f t="shared" si="7"/>
        <v>11</v>
      </c>
      <c r="P19" s="91">
        <f t="shared" si="8"/>
        <v>10</v>
      </c>
      <c r="Q19" s="91">
        <f t="shared" si="9"/>
        <v>12</v>
      </c>
      <c r="R19" s="91">
        <f t="shared" si="10"/>
        <v>12</v>
      </c>
      <c r="S19" s="91">
        <f t="shared" si="11"/>
        <v>12</v>
      </c>
      <c r="T19" s="92">
        <f t="shared" si="12"/>
        <v>10</v>
      </c>
      <c r="U19" s="92">
        <f t="shared" si="13"/>
        <v>0</v>
      </c>
      <c r="V19" s="93">
        <f>(IF((OR((P19="&gt;21"),(Q19="&gt;21"))),2,(IF(((T19+U19)=(P19+Q19)),0,1))))</f>
        <v>1</v>
      </c>
      <c r="W19" s="94">
        <f t="shared" si="33"/>
        <v>10</v>
      </c>
      <c r="X19" s="116">
        <f t="shared" si="14"/>
        <v>12</v>
      </c>
      <c r="Y19" s="92">
        <f t="shared" si="38"/>
        <v>0</v>
      </c>
      <c r="Z19" s="95">
        <f t="shared" si="15"/>
        <v>12</v>
      </c>
      <c r="AA19" s="96">
        <f t="shared" si="16"/>
        <v>0</v>
      </c>
      <c r="AB19" s="97">
        <f>IF(X19=0,0,VLOOKUP(X19,FREQUENCIAS!$1:$1048576,(IF(($A19=FREQUENCIAS!$L$1),12,"ERRO")),FREQUENCIAS!$1:$1048576))</f>
        <v>0.16545399999999999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0.16545399999999999</v>
      </c>
      <c r="AH19" s="99">
        <f t="shared" si="17"/>
        <v>6.0439759691515471</v>
      </c>
      <c r="AI19" s="100">
        <f t="shared" si="18"/>
        <v>0.85803472294916827</v>
      </c>
      <c r="AJ19" s="101" t="s">
        <v>164</v>
      </c>
      <c r="AK19" s="102">
        <f t="shared" si="35"/>
        <v>0.69646702611599998</v>
      </c>
      <c r="AL19" s="101"/>
      <c r="AM19" s="103" t="str">
        <f t="shared" si="19"/>
        <v>1 / F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0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6.0439759691515471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>&lt;</v>
      </c>
      <c r="BJ19" s="54">
        <f t="shared" si="25"/>
        <v>11</v>
      </c>
      <c r="BK19" s="54" t="str">
        <f t="shared" si="26"/>
        <v>&lt;11</v>
      </c>
      <c r="BL19" s="57" t="str">
        <f t="shared" si="27"/>
        <v/>
      </c>
      <c r="BM19" s="57">
        <f t="shared" si="28"/>
        <v>12</v>
      </c>
      <c r="BN19" s="57">
        <f t="shared" si="29"/>
        <v>12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6</v>
      </c>
      <c r="C20" s="292">
        <f>'IMPORTAÇÃO GENOTIPER'!AA16</f>
        <v>7</v>
      </c>
      <c r="D20" s="292">
        <f>'IMPORTAÇÃO GENOTIPER'!AI16</f>
        <v>6</v>
      </c>
      <c r="E20" s="292">
        <f>'IMPORTAÇÃO GENOTIPER'!AQ16</f>
        <v>6</v>
      </c>
      <c r="F20" s="292">
        <f>'IMPORTAÇÃO GENOTIPER'!AY16</f>
        <v>6</v>
      </c>
      <c r="G20" s="292">
        <f>'IMPORTAÇÃO GENOTIPER'!BG16</f>
        <v>9.3000000000000007</v>
      </c>
      <c r="H20" s="293">
        <f t="shared" si="0"/>
        <v>6</v>
      </c>
      <c r="I20" s="293">
        <f t="shared" si="1"/>
        <v>7</v>
      </c>
      <c r="J20" s="293">
        <f t="shared" si="2"/>
        <v>6</v>
      </c>
      <c r="K20" s="293">
        <f t="shared" si="3"/>
        <v>6</v>
      </c>
      <c r="L20" s="293">
        <f t="shared" si="4"/>
        <v>6</v>
      </c>
      <c r="M20" s="293">
        <f t="shared" si="5"/>
        <v>9.3000000000000007</v>
      </c>
      <c r="N20" s="91">
        <f t="shared" si="6"/>
        <v>6</v>
      </c>
      <c r="O20" s="91">
        <f t="shared" si="7"/>
        <v>7</v>
      </c>
      <c r="P20" s="91">
        <f t="shared" si="8"/>
        <v>6</v>
      </c>
      <c r="Q20" s="91">
        <f t="shared" si="9"/>
        <v>6</v>
      </c>
      <c r="R20" s="91">
        <f t="shared" si="10"/>
        <v>6</v>
      </c>
      <c r="S20" s="91">
        <f t="shared" si="11"/>
        <v>9.3000000000000007</v>
      </c>
      <c r="T20" s="92">
        <f t="shared" si="12"/>
        <v>6</v>
      </c>
      <c r="U20" s="92">
        <f t="shared" si="13"/>
        <v>6</v>
      </c>
      <c r="V20" s="93">
        <f>(IF((OR((P20="&gt;20"),(Q20="&gt;20"))),2,(IF(((T20+U20)=(P20+Q20)),0,1))))</f>
        <v>0</v>
      </c>
      <c r="W20" s="94">
        <f t="shared" si="33"/>
        <v>6</v>
      </c>
      <c r="X20" s="116">
        <f t="shared" si="14"/>
        <v>6</v>
      </c>
      <c r="Y20" s="92">
        <f t="shared" si="38"/>
        <v>0</v>
      </c>
      <c r="Z20" s="95">
        <f t="shared" si="15"/>
        <v>6</v>
      </c>
      <c r="AA20" s="96">
        <f t="shared" si="16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0.21123800000000001</v>
      </c>
      <c r="AH20" s="99">
        <f t="shared" si="17"/>
        <v>2.3669983620371333</v>
      </c>
      <c r="AI20" s="100">
        <f t="shared" si="18"/>
        <v>0.70299955851627727</v>
      </c>
      <c r="AJ20" s="101"/>
      <c r="AK20" s="102">
        <f t="shared" si="35"/>
        <v>0.62214549264399999</v>
      </c>
      <c r="AL20" s="101"/>
      <c r="AM20" s="103" t="str">
        <f t="shared" si="19"/>
        <v>1 / 2F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0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2.3669983620371333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24"/>
        <v/>
      </c>
      <c r="BJ20" s="54">
        <f t="shared" si="25"/>
        <v>6</v>
      </c>
      <c r="BK20" s="54">
        <f t="shared" si="26"/>
        <v>6</v>
      </c>
      <c r="BL20" s="57" t="str">
        <f t="shared" si="27"/>
        <v/>
      </c>
      <c r="BM20" s="57">
        <f t="shared" si="28"/>
        <v>6</v>
      </c>
      <c r="BN20" s="57">
        <f t="shared" si="29"/>
        <v>6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17</v>
      </c>
      <c r="C21" s="292">
        <f>'IMPORTAÇÃO GENOTIPER'!AA17</f>
        <v>18</v>
      </c>
      <c r="D21" s="292">
        <f>'IMPORTAÇÃO GENOTIPER'!AI17</f>
        <v>17</v>
      </c>
      <c r="E21" s="292">
        <f>'IMPORTAÇÃO GENOTIPER'!AQ17</f>
        <v>17</v>
      </c>
      <c r="F21" s="292">
        <f>'IMPORTAÇÃO GENOTIPER'!AY17</f>
        <v>14</v>
      </c>
      <c r="G21" s="292">
        <f>'IMPORTAÇÃO GENOTIPER'!BG17</f>
        <v>17</v>
      </c>
      <c r="H21" s="293">
        <f t="shared" si="0"/>
        <v>17</v>
      </c>
      <c r="I21" s="293">
        <f t="shared" si="1"/>
        <v>18</v>
      </c>
      <c r="J21" s="293">
        <f t="shared" si="2"/>
        <v>17</v>
      </c>
      <c r="K21" s="293">
        <f t="shared" si="3"/>
        <v>17</v>
      </c>
      <c r="L21" s="293">
        <f t="shared" si="4"/>
        <v>14</v>
      </c>
      <c r="M21" s="293">
        <f t="shared" si="5"/>
        <v>17</v>
      </c>
      <c r="N21" s="91">
        <f t="shared" si="6"/>
        <v>17</v>
      </c>
      <c r="O21" s="91">
        <f t="shared" si="7"/>
        <v>18</v>
      </c>
      <c r="P21" s="91">
        <f t="shared" si="8"/>
        <v>17</v>
      </c>
      <c r="Q21" s="91">
        <f t="shared" si="9"/>
        <v>17</v>
      </c>
      <c r="R21" s="91">
        <f t="shared" si="10"/>
        <v>14</v>
      </c>
      <c r="S21" s="91">
        <f t="shared" si="11"/>
        <v>17</v>
      </c>
      <c r="T21" s="92">
        <f t="shared" si="12"/>
        <v>17</v>
      </c>
      <c r="U21" s="92">
        <f t="shared" si="13"/>
        <v>17</v>
      </c>
      <c r="V21" s="93">
        <f>(IF((OR((P21="&gt;24"),(Q21="&gt;24"))),2,(IF(((T21+U21)=(P21+Q21)),0,1))))</f>
        <v>0</v>
      </c>
      <c r="W21" s="94">
        <f t="shared" si="33"/>
        <v>17</v>
      </c>
      <c r="X21" s="116">
        <f t="shared" si="14"/>
        <v>17</v>
      </c>
      <c r="Y21" s="92">
        <f t="shared" si="38"/>
        <v>0</v>
      </c>
      <c r="Z21" s="95">
        <f t="shared" si="15"/>
        <v>17</v>
      </c>
      <c r="AA21" s="96">
        <f t="shared" si="16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0.25484400000000001</v>
      </c>
      <c r="AH21" s="99">
        <f t="shared" si="17"/>
        <v>1.9619845866490873</v>
      </c>
      <c r="AI21" s="100">
        <f t="shared" si="18"/>
        <v>0.66238852001208193</v>
      </c>
      <c r="AJ21" s="101"/>
      <c r="AK21" s="102">
        <f t="shared" si="35"/>
        <v>0.55525746433599987</v>
      </c>
      <c r="AL21" s="101"/>
      <c r="AM21" s="103" t="str">
        <f t="shared" si="19"/>
        <v>1 / 2F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0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1.9619845866490873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24"/>
        <v/>
      </c>
      <c r="BJ21" s="54">
        <f t="shared" si="25"/>
        <v>17</v>
      </c>
      <c r="BK21" s="54">
        <f t="shared" si="26"/>
        <v>17</v>
      </c>
      <c r="BL21" s="57" t="str">
        <f t="shared" si="27"/>
        <v/>
      </c>
      <c r="BM21" s="57">
        <f t="shared" si="28"/>
        <v>17</v>
      </c>
      <c r="BN21" s="57">
        <f t="shared" si="29"/>
        <v>17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28</v>
      </c>
      <c r="C22" s="292">
        <f>'IMPORTAÇÃO GENOTIPER'!AA18</f>
        <v>29</v>
      </c>
      <c r="D22" s="292">
        <f>'IMPORTAÇÃO GENOTIPER'!AI18</f>
        <v>29</v>
      </c>
      <c r="E22" s="292">
        <f>'IMPORTAÇÃO GENOTIPER'!AQ18</f>
        <v>32.200000000000003</v>
      </c>
      <c r="F22" s="292">
        <f>'IMPORTAÇÃO GENOTIPER'!AY18</f>
        <v>29</v>
      </c>
      <c r="G22" s="292">
        <f>'IMPORTAÇÃO GENOTIPER'!BG18</f>
        <v>32.200000000000003</v>
      </c>
      <c r="H22" s="293">
        <f t="shared" si="0"/>
        <v>28</v>
      </c>
      <c r="I22" s="293">
        <f t="shared" si="1"/>
        <v>29</v>
      </c>
      <c r="J22" s="293">
        <f t="shared" si="2"/>
        <v>29</v>
      </c>
      <c r="K22" s="293">
        <f t="shared" si="3"/>
        <v>32.200000000000003</v>
      </c>
      <c r="L22" s="293">
        <f t="shared" si="4"/>
        <v>29</v>
      </c>
      <c r="M22" s="293">
        <f t="shared" si="5"/>
        <v>32.200000000000003</v>
      </c>
      <c r="N22" s="91">
        <f t="shared" si="6"/>
        <v>28</v>
      </c>
      <c r="O22" s="91">
        <f t="shared" si="7"/>
        <v>29</v>
      </c>
      <c r="P22" s="91">
        <f t="shared" si="8"/>
        <v>29</v>
      </c>
      <c r="Q22" s="91">
        <f t="shared" si="9"/>
        <v>32.200000000000003</v>
      </c>
      <c r="R22" s="91">
        <f t="shared" si="10"/>
        <v>29</v>
      </c>
      <c r="S22" s="91">
        <f t="shared" si="11"/>
        <v>32.200000000000003</v>
      </c>
      <c r="T22" s="92">
        <f t="shared" si="12"/>
        <v>29</v>
      </c>
      <c r="U22" s="92">
        <f t="shared" si="13"/>
        <v>0</v>
      </c>
      <c r="V22" s="93">
        <f>(IF((OR((P22="&gt;22"),(Q22="&gt;22"))),2,(IF(((T22+U22)=(P22+Q22)),0,1))))</f>
        <v>1</v>
      </c>
      <c r="W22" s="94">
        <f t="shared" si="33"/>
        <v>29</v>
      </c>
      <c r="X22" s="116">
        <f t="shared" si="14"/>
        <v>32.200000000000003</v>
      </c>
      <c r="Y22" s="92">
        <f t="shared" si="38"/>
        <v>0</v>
      </c>
      <c r="Z22" s="95">
        <f t="shared" si="15"/>
        <v>32.200000000000003</v>
      </c>
      <c r="AA22" s="96">
        <f t="shared" si="16"/>
        <v>0</v>
      </c>
      <c r="AB22" s="97">
        <f>IF(X22=0,0,VLOOKUP(X22,FREQUENCIAS!$1:$1048576,(IF(($A22=FREQUENCIAS!$O$1),15,"ERRO")),FREQUENCIAS!$1:$1048576))</f>
        <v>7.5126999999999999E-2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7.5126999999999999E-2</v>
      </c>
      <c r="AH22" s="99">
        <f t="shared" si="17"/>
        <v>6.6553968613148404</v>
      </c>
      <c r="AI22" s="100">
        <f t="shared" si="18"/>
        <v>0.86937319931076096</v>
      </c>
      <c r="AJ22" s="101"/>
      <c r="AK22" s="102">
        <f t="shared" si="35"/>
        <v>0.85539006612900015</v>
      </c>
      <c r="AL22" s="101"/>
      <c r="AM22" s="103" t="str">
        <f t="shared" si="19"/>
        <v>1 / 2F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0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6.6553968613148404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29</v>
      </c>
      <c r="BK22" s="54">
        <f t="shared" si="26"/>
        <v>29</v>
      </c>
      <c r="BL22" s="57" t="str">
        <f t="shared" si="27"/>
        <v/>
      </c>
      <c r="BM22" s="57">
        <f t="shared" si="28"/>
        <v>32.200000000000003</v>
      </c>
      <c r="BN22" s="57">
        <f t="shared" si="29"/>
        <v>32.200000000000003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11</v>
      </c>
      <c r="D23" s="292">
        <f>'IMPORTAÇÃO GENOTIPER'!AI19</f>
        <v>11</v>
      </c>
      <c r="E23" s="292">
        <f>'IMPORTAÇÃO GENOTIPER'!AQ19</f>
        <v>11</v>
      </c>
      <c r="F23" s="292">
        <f>'IMPORTAÇÃO GENOTIPER'!AY19</f>
        <v>9</v>
      </c>
      <c r="G23" s="292">
        <f>'IMPORTAÇÃO GENOTIPER'!BG19</f>
        <v>11</v>
      </c>
      <c r="H23" s="293">
        <f t="shared" si="0"/>
        <v>11</v>
      </c>
      <c r="I23" s="293">
        <f t="shared" si="1"/>
        <v>11</v>
      </c>
      <c r="J23" s="293">
        <f t="shared" si="2"/>
        <v>11</v>
      </c>
      <c r="K23" s="293">
        <f t="shared" si="3"/>
        <v>11</v>
      </c>
      <c r="L23" s="293">
        <f t="shared" si="4"/>
        <v>9</v>
      </c>
      <c r="M23" s="293">
        <f t="shared" si="5"/>
        <v>11</v>
      </c>
      <c r="N23" s="91">
        <f t="shared" si="6"/>
        <v>11</v>
      </c>
      <c r="O23" s="91">
        <f t="shared" si="7"/>
        <v>11</v>
      </c>
      <c r="P23" s="91">
        <f t="shared" si="8"/>
        <v>11</v>
      </c>
      <c r="Q23" s="91">
        <f t="shared" si="9"/>
        <v>11</v>
      </c>
      <c r="R23" s="91">
        <f t="shared" si="10"/>
        <v>9</v>
      </c>
      <c r="S23" s="91">
        <f t="shared" si="11"/>
        <v>11</v>
      </c>
      <c r="T23" s="92">
        <f t="shared" si="12"/>
        <v>11</v>
      </c>
      <c r="U23" s="92">
        <f t="shared" si="13"/>
        <v>11</v>
      </c>
      <c r="V23" s="93">
        <f>(IF((OR((P23="&gt;32"),(Q23="&gt;32"))),2,(IF(((T23+U23)=(P23+Q23)),0,1))))</f>
        <v>0</v>
      </c>
      <c r="W23" s="94">
        <f t="shared" si="33"/>
        <v>11</v>
      </c>
      <c r="X23" s="116">
        <f t="shared" si="14"/>
        <v>11</v>
      </c>
      <c r="Y23" s="92">
        <f t="shared" si="38"/>
        <v>0</v>
      </c>
      <c r="Z23" s="95">
        <f t="shared" si="15"/>
        <v>11</v>
      </c>
      <c r="AA23" s="96">
        <f t="shared" si="16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0.23635999999999999</v>
      </c>
      <c r="AH23" s="99">
        <f t="shared" si="17"/>
        <v>2.1154171602640042</v>
      </c>
      <c r="AI23" s="100">
        <f t="shared" si="18"/>
        <v>0.6790156988429572</v>
      </c>
      <c r="AJ23" s="101" t="s">
        <v>173</v>
      </c>
      <c r="AK23" s="102">
        <f t="shared" si="35"/>
        <v>0.58314604959999994</v>
      </c>
      <c r="AL23" s="101"/>
      <c r="AM23" s="103" t="str">
        <f t="shared" si="19"/>
        <v>1 / 2F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0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2.1154171602640042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11</v>
      </c>
      <c r="BK23" s="25">
        <f t="shared" si="26"/>
        <v>11</v>
      </c>
      <c r="BL23" s="61" t="str">
        <f t="shared" si="27"/>
        <v/>
      </c>
      <c r="BM23" s="61">
        <f t="shared" si="28"/>
        <v>11</v>
      </c>
      <c r="BN23" s="61">
        <f t="shared" si="29"/>
        <v>11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11</v>
      </c>
      <c r="F24" s="292">
        <f>'IMPORTAÇÃO GENOTIPER'!AY20</f>
        <v>11</v>
      </c>
      <c r="G24" s="292">
        <f>'IMPORTAÇÃO GENOTIPER'!BG20</f>
        <v>11</v>
      </c>
      <c r="H24" s="293">
        <f t="shared" si="0"/>
        <v>11</v>
      </c>
      <c r="I24" s="293">
        <f t="shared" si="1"/>
        <v>12</v>
      </c>
      <c r="J24" s="293">
        <f t="shared" si="2"/>
        <v>11</v>
      </c>
      <c r="K24" s="293">
        <f t="shared" si="3"/>
        <v>11</v>
      </c>
      <c r="L24" s="293">
        <f t="shared" si="4"/>
        <v>11</v>
      </c>
      <c r="M24" s="293">
        <f t="shared" si="5"/>
        <v>11</v>
      </c>
      <c r="N24" s="91">
        <f t="shared" ref="N24:N30" si="40">IF((H24&gt;I24),I24,H24)</f>
        <v>11</v>
      </c>
      <c r="O24" s="91">
        <f t="shared" ref="O24:O30" si="41">IF((I24&gt;H24),I24,H24)</f>
        <v>12</v>
      </c>
      <c r="P24" s="91">
        <f t="shared" ref="P24:P30" si="42">IF((J24&gt;K24),K24,J24)</f>
        <v>11</v>
      </c>
      <c r="Q24" s="91">
        <f t="shared" ref="Q24:Q30" si="43">IF((K24&gt;J24),K24,J24)</f>
        <v>11</v>
      </c>
      <c r="R24" s="91">
        <f t="shared" ref="R24:R30" si="44">IF((L24&gt;M24),M24,L24)</f>
        <v>11</v>
      </c>
      <c r="S24" s="91">
        <f t="shared" ref="S24:S30" si="45">IF((M24&gt;L24),M24,L24)</f>
        <v>11</v>
      </c>
      <c r="T24" s="92">
        <f t="shared" ref="T24:T30" si="46">IF((P24=N24),P24,(IF((P24=O24),P24,0)))</f>
        <v>11</v>
      </c>
      <c r="U24" s="92">
        <f t="shared" ref="U24:U30" si="47">IF((Q24=N24),Q24,(IF((Q24=O24),Q24,0)))</f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14"/>
        <v>11</v>
      </c>
      <c r="Y24" s="92">
        <f>(IF((AND(($T24=0),($U24=0))),$E24,(IF(($W24&lt;&gt;$AJ$7),0,$Q24))))</f>
        <v>0</v>
      </c>
      <c r="Z24" s="95">
        <f t="shared" ref="Z24:Z30" si="48">(IF(OR((X24=R24),(X24=S24)),X24,0))</f>
        <v>11</v>
      </c>
      <c r="AA24" s="96">
        <f t="shared" si="16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0.32906299999999999</v>
      </c>
      <c r="AH24" s="99">
        <f t="shared" si="17"/>
        <v>3.0389317547095844</v>
      </c>
      <c r="AI24" s="100">
        <f t="shared" ref="AI24:AI30" si="49">(IF((AH24=0),0,(AH24/(AH24+1))))</f>
        <v>0.75240978042425377</v>
      </c>
      <c r="AJ24" s="101"/>
      <c r="AK24" s="102">
        <f t="shared" si="35"/>
        <v>0.450156457969</v>
      </c>
      <c r="AL24" s="101"/>
      <c r="AM24" s="103" t="str">
        <f t="shared" si="19"/>
        <v>1 / F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0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3.0389317547095844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24"/>
        <v/>
      </c>
      <c r="BJ24" s="54">
        <f t="shared" si="25"/>
        <v>11</v>
      </c>
      <c r="BK24" s="54">
        <f t="shared" si="26"/>
        <v>11</v>
      </c>
      <c r="BL24" s="57" t="str">
        <f t="shared" si="27"/>
        <v/>
      </c>
      <c r="BM24" s="57">
        <f t="shared" si="28"/>
        <v>11</v>
      </c>
      <c r="BN24" s="57">
        <f t="shared" si="29"/>
        <v>11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11</v>
      </c>
      <c r="D25" s="292">
        <f>'IMPORTAÇÃO GENOTIPER'!AI21</f>
        <v>8</v>
      </c>
      <c r="E25" s="292">
        <f>'IMPORTAÇÃO GENOTIPER'!AQ21</f>
        <v>12</v>
      </c>
      <c r="F25" s="292">
        <f>'IMPORTAÇÃO GENOTIPER'!AY21</f>
        <v>9</v>
      </c>
      <c r="G25" s="292">
        <f>'IMPORTAÇÃO GENOTIPER'!BG21</f>
        <v>12</v>
      </c>
      <c r="H25" s="293">
        <f t="shared" si="0"/>
        <v>8</v>
      </c>
      <c r="I25" s="293">
        <f t="shared" si="1"/>
        <v>11</v>
      </c>
      <c r="J25" s="293">
        <f t="shared" si="2"/>
        <v>8</v>
      </c>
      <c r="K25" s="293">
        <f t="shared" si="3"/>
        <v>12</v>
      </c>
      <c r="L25" s="293">
        <f t="shared" si="4"/>
        <v>9</v>
      </c>
      <c r="M25" s="293">
        <f t="shared" si="5"/>
        <v>12</v>
      </c>
      <c r="N25" s="91">
        <f t="shared" si="40"/>
        <v>8</v>
      </c>
      <c r="O25" s="91">
        <f t="shared" si="41"/>
        <v>11</v>
      </c>
      <c r="P25" s="91">
        <f t="shared" si="42"/>
        <v>8</v>
      </c>
      <c r="Q25" s="91">
        <f t="shared" si="43"/>
        <v>12</v>
      </c>
      <c r="R25" s="91">
        <f t="shared" si="44"/>
        <v>9</v>
      </c>
      <c r="S25" s="91">
        <f t="shared" si="45"/>
        <v>12</v>
      </c>
      <c r="T25" s="92">
        <f t="shared" si="46"/>
        <v>8</v>
      </c>
      <c r="U25" s="92">
        <f t="shared" si="47"/>
        <v>0</v>
      </c>
      <c r="V25" s="93">
        <f>(IF((OR((P25="&gt;36"),(Q25="&gt;36"))),2,(IF(((T25+U25)=(P25+Q25)),0,1))))</f>
        <v>1</v>
      </c>
      <c r="W25" s="94">
        <f t="shared" ref="W25:W42" si="50">IF(OR((T25=U25),(U25=0)),T25,(IF(AND((T25=0),(U25&lt;&gt;0)),U25,$AJ$7)))</f>
        <v>8</v>
      </c>
      <c r="X25" s="116">
        <f t="shared" si="14"/>
        <v>12</v>
      </c>
      <c r="Y25" s="92">
        <f>(IF((AND((T25=0),(U25=0))),E25,(IF((W25&lt;&gt;$AJ$7),0,Q25))))</f>
        <v>0</v>
      </c>
      <c r="Z25" s="95">
        <f t="shared" si="48"/>
        <v>12</v>
      </c>
      <c r="AA25" s="96">
        <f t="shared" si="16"/>
        <v>0</v>
      </c>
      <c r="AB25" s="97">
        <f>IF(X25=0,0,VLOOKUP(X25,FREQUENCIAS!$1:$1048576,(IF(($A25=FREQUENCIAS!$R$1),18,"ERRO")),FREQUENCIAS!$1:$1048576))</f>
        <v>4.8122999999999999E-2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0.05</v>
      </c>
      <c r="AH25" s="99">
        <f t="shared" si="17"/>
        <v>10</v>
      </c>
      <c r="AI25" s="100">
        <f t="shared" si="49"/>
        <v>0.90909090909090906</v>
      </c>
      <c r="AJ25" s="101"/>
      <c r="AK25" s="102">
        <f t="shared" si="35"/>
        <v>0.90249999999999997</v>
      </c>
      <c r="AL25" s="101"/>
      <c r="AM25" s="103" t="str">
        <f t="shared" si="19"/>
        <v>1 / 2F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0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10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8</v>
      </c>
      <c r="BK25" s="54">
        <f t="shared" si="26"/>
        <v>8</v>
      </c>
      <c r="BL25" s="57" t="str">
        <f t="shared" si="27"/>
        <v/>
      </c>
      <c r="BM25" s="63">
        <f t="shared" si="28"/>
        <v>12</v>
      </c>
      <c r="BN25" s="57">
        <f t="shared" si="29"/>
        <v>12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14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14</v>
      </c>
      <c r="F26" s="292">
        <f>'IMPORTAÇÃO GENOTIPER'!AY22</f>
        <v>13</v>
      </c>
      <c r="G26" s="292">
        <f>'IMPORTAÇÃO GENOTIPER'!BG22</f>
        <v>13</v>
      </c>
      <c r="H26" s="293">
        <f t="shared" si="0"/>
        <v>14</v>
      </c>
      <c r="I26" s="293">
        <f t="shared" si="1"/>
        <v>15</v>
      </c>
      <c r="J26" s="293">
        <f t="shared" si="2"/>
        <v>13</v>
      </c>
      <c r="K26" s="293">
        <f t="shared" si="3"/>
        <v>14</v>
      </c>
      <c r="L26" s="293">
        <f t="shared" si="4"/>
        <v>13</v>
      </c>
      <c r="M26" s="293">
        <f t="shared" si="5"/>
        <v>13</v>
      </c>
      <c r="N26" s="91">
        <f t="shared" si="40"/>
        <v>14</v>
      </c>
      <c r="O26" s="91">
        <f t="shared" si="41"/>
        <v>15</v>
      </c>
      <c r="P26" s="91">
        <f t="shared" si="42"/>
        <v>13</v>
      </c>
      <c r="Q26" s="91">
        <f t="shared" si="43"/>
        <v>14</v>
      </c>
      <c r="R26" s="91">
        <f t="shared" si="44"/>
        <v>13</v>
      </c>
      <c r="S26" s="91">
        <f t="shared" si="45"/>
        <v>13</v>
      </c>
      <c r="T26" s="92">
        <f t="shared" si="46"/>
        <v>0</v>
      </c>
      <c r="U26" s="92">
        <f t="shared" si="47"/>
        <v>14</v>
      </c>
      <c r="V26" s="93">
        <f>(IF((OR((P26="&gt;21"),(Q26="&gt;21"))),2,(IF(((T26+U26)=(P26+Q26)),0,1))))</f>
        <v>1</v>
      </c>
      <c r="W26" s="92">
        <f t="shared" si="50"/>
        <v>14</v>
      </c>
      <c r="X26" s="116">
        <f t="shared" si="14"/>
        <v>13</v>
      </c>
      <c r="Y26" s="92">
        <f xml:space="preserve"> (IF((AND((T26=0),(U26=0))),E26,(IF((W26&lt;&gt;$AJ$7),0,Q26))))</f>
        <v>0</v>
      </c>
      <c r="Z26" s="95">
        <f t="shared" si="48"/>
        <v>13</v>
      </c>
      <c r="AA26" s="96">
        <f t="shared" si="16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0.27866200000000002</v>
      </c>
      <c r="AH26" s="99">
        <f t="shared" si="17"/>
        <v>3.5885768421959217</v>
      </c>
      <c r="AI26" s="100">
        <f t="shared" si="49"/>
        <v>0.78206750493875632</v>
      </c>
      <c r="AJ26" s="101" t="s">
        <v>140</v>
      </c>
      <c r="AK26" s="102">
        <f t="shared" si="35"/>
        <v>0.52032851024400006</v>
      </c>
      <c r="AL26" s="101"/>
      <c r="AM26" s="103" t="str">
        <f t="shared" si="19"/>
        <v>1 / F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0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3.5885768421959217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24"/>
        <v/>
      </c>
      <c r="BJ26" s="54">
        <f t="shared" si="25"/>
        <v>15</v>
      </c>
      <c r="BK26" s="54">
        <f t="shared" si="26"/>
        <v>14</v>
      </c>
      <c r="BL26" s="57" t="str">
        <f t="shared" si="27"/>
        <v/>
      </c>
      <c r="BM26" s="57">
        <f t="shared" si="28"/>
        <v>13</v>
      </c>
      <c r="BN26" s="57">
        <f t="shared" si="29"/>
        <v>13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22</v>
      </c>
      <c r="C27" s="292">
        <f>'IMPORTAÇÃO GENOTIPER'!AA23</f>
        <v>24</v>
      </c>
      <c r="D27" s="292">
        <f>'IMPORTAÇÃO GENOTIPER'!AI23</f>
        <v>19</v>
      </c>
      <c r="E27" s="292">
        <f>'IMPORTAÇÃO GENOTIPER'!AQ23</f>
        <v>22</v>
      </c>
      <c r="F27" s="292">
        <f>'IMPORTAÇÃO GENOTIPER'!AY23</f>
        <v>17.3</v>
      </c>
      <c r="G27" s="292">
        <f>'IMPORTAÇÃO GENOTIPER'!BG23</f>
        <v>19</v>
      </c>
      <c r="H27" s="293">
        <f t="shared" si="0"/>
        <v>22</v>
      </c>
      <c r="I27" s="293">
        <f t="shared" si="1"/>
        <v>24</v>
      </c>
      <c r="J27" s="293">
        <f t="shared" si="2"/>
        <v>19</v>
      </c>
      <c r="K27" s="293">
        <f t="shared" si="3"/>
        <v>22</v>
      </c>
      <c r="L27" s="293">
        <f t="shared" si="4"/>
        <v>17.3</v>
      </c>
      <c r="M27" s="293">
        <f t="shared" si="5"/>
        <v>19</v>
      </c>
      <c r="N27" s="91">
        <f t="shared" si="40"/>
        <v>22</v>
      </c>
      <c r="O27" s="91">
        <f t="shared" si="41"/>
        <v>24</v>
      </c>
      <c r="P27" s="91">
        <f t="shared" si="42"/>
        <v>19</v>
      </c>
      <c r="Q27" s="91">
        <f t="shared" si="43"/>
        <v>22</v>
      </c>
      <c r="R27" s="91">
        <f t="shared" si="44"/>
        <v>17.3</v>
      </c>
      <c r="S27" s="91">
        <f t="shared" si="45"/>
        <v>19</v>
      </c>
      <c r="T27" s="92">
        <f t="shared" si="46"/>
        <v>0</v>
      </c>
      <c r="U27" s="92">
        <f t="shared" si="47"/>
        <v>22</v>
      </c>
      <c r="V27" s="93">
        <f>(IF((OR((P27="&gt;21"),(Q27="&gt;21"))),2,(IF(((T27+U27)=(P27+Q27)),0,1))))</f>
        <v>1</v>
      </c>
      <c r="W27" s="94">
        <f t="shared" si="50"/>
        <v>22</v>
      </c>
      <c r="X27" s="116">
        <f t="shared" si="14"/>
        <v>19</v>
      </c>
      <c r="Y27" s="92">
        <f t="shared" ref="Y27:Y42" si="52">(IF((AND((T27=0),(U27=0))),E27,(IF((W27&lt;&gt;$AJ$7),0,Q27))))</f>
        <v>0</v>
      </c>
      <c r="Z27" s="95">
        <f t="shared" si="48"/>
        <v>19</v>
      </c>
      <c r="AA27" s="96">
        <f t="shared" si="16"/>
        <v>0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0.1699</v>
      </c>
      <c r="AH27" s="99">
        <f t="shared" si="17"/>
        <v>2.9429075927015891</v>
      </c>
      <c r="AI27" s="100">
        <f t="shared" si="49"/>
        <v>0.74638005672488428</v>
      </c>
      <c r="AJ27" s="101" t="s">
        <v>163</v>
      </c>
      <c r="AK27" s="102">
        <f t="shared" si="35"/>
        <v>0.68906601000000012</v>
      </c>
      <c r="AL27" s="101"/>
      <c r="AM27" s="103" t="str">
        <f t="shared" si="19"/>
        <v>1 / 2F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0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2.9429075927015891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22</v>
      </c>
      <c r="BK27" s="54">
        <f t="shared" si="26"/>
        <v>22</v>
      </c>
      <c r="BL27" s="57" t="str">
        <f t="shared" si="27"/>
        <v/>
      </c>
      <c r="BM27" s="57">
        <f t="shared" si="28"/>
        <v>19</v>
      </c>
      <c r="BN27" s="57">
        <f t="shared" si="29"/>
        <v>19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12</v>
      </c>
      <c r="C28" s="292">
        <f>'IMPORTAÇÃO GENOTIPER'!AA24</f>
        <v>15.2</v>
      </c>
      <c r="D28" s="292">
        <f>'IMPORTAÇÃO GENOTIPER'!AI24</f>
        <v>12</v>
      </c>
      <c r="E28" s="292">
        <f>'IMPORTAÇÃO GENOTIPER'!AQ24</f>
        <v>13</v>
      </c>
      <c r="F28" s="292">
        <f>'IMPORTAÇÃO GENOTIPER'!AY24</f>
        <v>12</v>
      </c>
      <c r="G28" s="292">
        <f>'IMPORTAÇÃO GENOTIPER'!BG24</f>
        <v>13</v>
      </c>
      <c r="H28" s="293">
        <f t="shared" si="0"/>
        <v>12</v>
      </c>
      <c r="I28" s="293">
        <f t="shared" si="1"/>
        <v>15.2</v>
      </c>
      <c r="J28" s="293">
        <f t="shared" si="2"/>
        <v>12</v>
      </c>
      <c r="K28" s="293">
        <f t="shared" si="3"/>
        <v>13</v>
      </c>
      <c r="L28" s="293">
        <f t="shared" si="4"/>
        <v>12</v>
      </c>
      <c r="M28" s="293">
        <f t="shared" si="5"/>
        <v>13</v>
      </c>
      <c r="N28" s="91">
        <f t="shared" si="40"/>
        <v>12</v>
      </c>
      <c r="O28" s="91">
        <f t="shared" si="41"/>
        <v>15.2</v>
      </c>
      <c r="P28" s="91">
        <f t="shared" si="42"/>
        <v>12</v>
      </c>
      <c r="Q28" s="91">
        <f t="shared" si="43"/>
        <v>13</v>
      </c>
      <c r="R28" s="91">
        <f t="shared" si="44"/>
        <v>12</v>
      </c>
      <c r="S28" s="91">
        <f t="shared" si="45"/>
        <v>13</v>
      </c>
      <c r="T28" s="92">
        <f t="shared" si="46"/>
        <v>12</v>
      </c>
      <c r="U28" s="92">
        <f t="shared" si="47"/>
        <v>0</v>
      </c>
      <c r="V28" s="93">
        <f>(IF((OR((P28="&gt;20"),(Q28="&gt;20"))),2,(IF(((T28+U28)=(P28+Q28)),0,1))))</f>
        <v>1</v>
      </c>
      <c r="W28" s="94">
        <f t="shared" si="50"/>
        <v>12</v>
      </c>
      <c r="X28" s="116">
        <f t="shared" si="14"/>
        <v>13</v>
      </c>
      <c r="Y28" s="92">
        <f t="shared" si="52"/>
        <v>0</v>
      </c>
      <c r="Z28" s="95">
        <f t="shared" si="48"/>
        <v>13</v>
      </c>
      <c r="AA28" s="96">
        <f t="shared" si="16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0.2369</v>
      </c>
      <c r="AH28" s="99">
        <f t="shared" si="17"/>
        <v>2.1105951878429718</v>
      </c>
      <c r="AI28" s="100">
        <f t="shared" si="49"/>
        <v>0.67851811643370874</v>
      </c>
      <c r="AJ28" s="101"/>
      <c r="AK28" s="102">
        <f t="shared" si="35"/>
        <v>0.58232161000000005</v>
      </c>
      <c r="AL28" s="101"/>
      <c r="AM28" s="103" t="str">
        <f t="shared" si="19"/>
        <v>1 / 2F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0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2.1105951878429718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12</v>
      </c>
      <c r="BK28" s="54">
        <f t="shared" si="26"/>
        <v>12</v>
      </c>
      <c r="BL28" s="57" t="str">
        <f t="shared" si="27"/>
        <v/>
      </c>
      <c r="BM28" s="57">
        <f t="shared" si="28"/>
        <v>13</v>
      </c>
      <c r="BN28" s="57">
        <f t="shared" si="29"/>
        <v>13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24</v>
      </c>
      <c r="F29" s="292">
        <f>'IMPORTAÇÃO GENOTIPER'!AY25</f>
        <v>21</v>
      </c>
      <c r="G29" s="292">
        <f>'IMPORTAÇÃO GENOTIPER'!BG25</f>
        <v>21</v>
      </c>
      <c r="H29" s="293">
        <f t="shared" si="0"/>
        <v>24</v>
      </c>
      <c r="I29" s="293">
        <f t="shared" si="1"/>
        <v>25</v>
      </c>
      <c r="J29" s="293">
        <f t="shared" si="2"/>
        <v>21</v>
      </c>
      <c r="K29" s="293">
        <f t="shared" si="3"/>
        <v>24</v>
      </c>
      <c r="L29" s="293">
        <f t="shared" si="4"/>
        <v>21</v>
      </c>
      <c r="M29" s="293">
        <f t="shared" si="5"/>
        <v>21</v>
      </c>
      <c r="N29" s="91">
        <f t="shared" si="40"/>
        <v>24</v>
      </c>
      <c r="O29" s="91">
        <f t="shared" si="41"/>
        <v>25</v>
      </c>
      <c r="P29" s="91">
        <f t="shared" si="42"/>
        <v>21</v>
      </c>
      <c r="Q29" s="91">
        <f t="shared" si="43"/>
        <v>24</v>
      </c>
      <c r="R29" s="91">
        <f t="shared" si="44"/>
        <v>21</v>
      </c>
      <c r="S29" s="91">
        <f t="shared" si="45"/>
        <v>21</v>
      </c>
      <c r="T29" s="92">
        <f t="shared" si="46"/>
        <v>0</v>
      </c>
      <c r="U29" s="92">
        <f t="shared" si="47"/>
        <v>24</v>
      </c>
      <c r="V29" s="93">
        <f>(IF((OR((P29="&gt;23"),(Q29="&gt;23"))),2,(IF(((T29+U29)=(P29+Q29)),0,1))))</f>
        <v>1</v>
      </c>
      <c r="W29" s="94">
        <f t="shared" si="50"/>
        <v>24</v>
      </c>
      <c r="X29" s="116">
        <f t="shared" si="14"/>
        <v>21</v>
      </c>
      <c r="Y29" s="92">
        <f t="shared" si="52"/>
        <v>0</v>
      </c>
      <c r="Z29" s="95">
        <f t="shared" si="48"/>
        <v>21</v>
      </c>
      <c r="AA29" s="96">
        <f t="shared" si="16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0.15107999999999999</v>
      </c>
      <c r="AH29" s="99">
        <f t="shared" si="17"/>
        <v>6.6190097961344989</v>
      </c>
      <c r="AI29" s="100">
        <f t="shared" si="49"/>
        <v>0.86874934843798868</v>
      </c>
      <c r="AJ29" s="101"/>
      <c r="AK29" s="102">
        <f t="shared" si="35"/>
        <v>0.7206651664</v>
      </c>
      <c r="AL29" s="101"/>
      <c r="AM29" s="103" t="str">
        <f t="shared" si="19"/>
        <v>1 / F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0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6.6190097961344989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24</v>
      </c>
      <c r="BK29" s="54">
        <f t="shared" si="26"/>
        <v>24</v>
      </c>
      <c r="BL29" s="57" t="str">
        <f t="shared" si="27"/>
        <v/>
      </c>
      <c r="BM29" s="57">
        <f t="shared" si="28"/>
        <v>21</v>
      </c>
      <c r="BN29" s="57">
        <f t="shared" si="29"/>
        <v>21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16</v>
      </c>
      <c r="D30" s="292">
        <f>'IMPORTAÇÃO GENOTIPER'!AI26</f>
        <v>16</v>
      </c>
      <c r="E30" s="292">
        <f>'IMPORTAÇÃO GENOTIPER'!AQ26</f>
        <v>16</v>
      </c>
      <c r="F30" s="292">
        <f>'IMPORTAÇÃO GENOTIPER'!AY26</f>
        <v>14</v>
      </c>
      <c r="G30" s="292">
        <f>'IMPORTAÇÃO GENOTIPER'!BG26</f>
        <v>16</v>
      </c>
      <c r="H30" s="293">
        <f t="shared" si="0"/>
        <v>15</v>
      </c>
      <c r="I30" s="293">
        <f t="shared" si="1"/>
        <v>16</v>
      </c>
      <c r="J30" s="293">
        <f t="shared" si="2"/>
        <v>16</v>
      </c>
      <c r="K30" s="293">
        <f t="shared" si="3"/>
        <v>16</v>
      </c>
      <c r="L30" s="293">
        <f t="shared" si="4"/>
        <v>14</v>
      </c>
      <c r="M30" s="293">
        <f t="shared" si="5"/>
        <v>16</v>
      </c>
      <c r="N30" s="91">
        <f t="shared" si="40"/>
        <v>15</v>
      </c>
      <c r="O30" s="91">
        <f t="shared" si="41"/>
        <v>16</v>
      </c>
      <c r="P30" s="91">
        <f t="shared" si="42"/>
        <v>16</v>
      </c>
      <c r="Q30" s="91">
        <f t="shared" si="43"/>
        <v>16</v>
      </c>
      <c r="R30" s="91">
        <f t="shared" si="44"/>
        <v>14</v>
      </c>
      <c r="S30" s="91">
        <f t="shared" si="45"/>
        <v>16</v>
      </c>
      <c r="T30" s="92">
        <f t="shared" si="46"/>
        <v>16</v>
      </c>
      <c r="U30" s="92">
        <f t="shared" si="47"/>
        <v>16</v>
      </c>
      <c r="V30" s="93">
        <f>(IF((OR((P30="&gt;22"),(Q30="&gt;22"))),2,(IF(((T30+U30)=(P30+Q30)),0,1))))</f>
        <v>0</v>
      </c>
      <c r="W30" s="94">
        <f t="shared" si="50"/>
        <v>16</v>
      </c>
      <c r="X30" s="116">
        <f t="shared" si="14"/>
        <v>16</v>
      </c>
      <c r="Y30" s="92">
        <f t="shared" si="52"/>
        <v>0</v>
      </c>
      <c r="Z30" s="95">
        <f t="shared" si="48"/>
        <v>16</v>
      </c>
      <c r="AA30" s="96">
        <f t="shared" si="16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0.32869999999999999</v>
      </c>
      <c r="AH30" s="99">
        <f t="shared" si="17"/>
        <v>1.5211439002129601</v>
      </c>
      <c r="AI30" s="100">
        <f t="shared" si="49"/>
        <v>0.60335465186436588</v>
      </c>
      <c r="AJ30" s="101"/>
      <c r="AK30" s="102">
        <f t="shared" si="35"/>
        <v>0.45064368999999999</v>
      </c>
      <c r="AL30" s="101"/>
      <c r="AM30" s="103" t="str">
        <f t="shared" si="19"/>
        <v>1 / 2F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0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1.5211439002129601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>&gt;</v>
      </c>
      <c r="BJ30" s="54">
        <f t="shared" si="25"/>
        <v>16</v>
      </c>
      <c r="BK30" s="54" t="str">
        <f t="shared" si="26"/>
        <v>&gt;16</v>
      </c>
      <c r="BL30" s="57" t="str">
        <f t="shared" si="27"/>
        <v>&gt;</v>
      </c>
      <c r="BM30" s="57">
        <f t="shared" si="28"/>
        <v>15</v>
      </c>
      <c r="BN30" s="57" t="str">
        <f t="shared" si="29"/>
        <v>&gt;15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MUTAÇÃO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MUTAÇÃO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MUTAÇÃO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MUTAÇÃO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MUTAÇÃO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MUTAÇÃO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MUTAÇÃO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MUTAÇÃO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MUTAÇÃO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MUTAÇÃO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MUTAÇÃO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MUTAÇÃO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>
        <f>(IF((AND(($AX$48="N"),($AX$50="O"),($AX$47&lt;=2))),($BC$47),(IF(AND(((PRODUCT(AH9:AH42))&lt;&gt;0),($AX$47&lt;=2)),PRODUCT(AH9:AH42),"NIHIL"))))</f>
        <v>1217241836624.3335</v>
      </c>
      <c r="AH43" s="803"/>
      <c r="AI43" s="803"/>
      <c r="AJ43" s="22"/>
      <c r="AK43" s="804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4.8247267455724591E-12</v>
      </c>
      <c r="AL43" s="804"/>
      <c r="AM43" s="210"/>
      <c r="AN43" s="17"/>
      <c r="AX43" s="52">
        <f>SUM(AX9:AX30)</f>
        <v>0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>
        <f>(IF((AND(($AX$48="N"),($AX$50="O"),($AX$47&lt;=2))),(ROUNDDOWN(($AG43/($AG43+1)),11)),(IF(((PRODUCT(AH9:AH42))&lt;&gt;0),(ROUNDDOWN(($AG43/($AG43+1)),11)),"NIHIL"))))</f>
        <v>0.99999999999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>
        <f>AG44</f>
        <v>0.99999999999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>
        <f>(IF((AND(((OR(($AX$47=1),($AX$47=2)))),($AX$48="N"),($AX$50="O"))),"CÁLCULO COM OMISSÃO DE LOCUS",(IF(((PRODUCT(AH9:AH42))&lt;&gt;0),(ROUNDDOWN((1-$AK43),11)),"EXCLUSÃO"))))</f>
        <v>0.99999999999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VÍNCULO BIOLOGICAMENTE PROVADO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45945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45945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1254426048.4890683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16</v>
      </c>
      <c r="C12" s="645">
        <f>'IMPORTAÇÃO GENOTIPER'!AQ5</f>
        <v>16</v>
      </c>
      <c r="D12" s="645">
        <f>'IMPORTAÇÃO GENOTIPER'!AY5</f>
        <v>14</v>
      </c>
      <c r="E12" s="646">
        <f>'IMPORTAÇÃO GENOTIPER'!BG5</f>
        <v>16</v>
      </c>
      <c r="F12" s="521">
        <f t="shared" ref="F12:F45" si="0">IF((B12&gt;C12),C12,B12)</f>
        <v>16</v>
      </c>
      <c r="G12" s="521">
        <f t="shared" ref="G12:G45" si="1">IF((C12&gt;B12),C12,B12)</f>
        <v>16</v>
      </c>
      <c r="H12" s="521">
        <f t="shared" ref="H12:H45" si="2">IF((D12&gt;E12),E12,D12)</f>
        <v>14</v>
      </c>
      <c r="I12" s="521">
        <f t="shared" ref="I12:I45" si="3">IF((E12&gt;D12),E12,D12)</f>
        <v>16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16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16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0.27030799999999999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0.27030799999999999</v>
      </c>
      <c r="Y12" s="531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1.8497417760480637</v>
      </c>
      <c r="Z12" s="532">
        <f>IF(SUM(B12:E12)=0,0.5,IF((AND((P12=0),(Q12=0))),0,(Y12/(Y12+1))))</f>
        <v>0.64909101294547111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1 / 2F</v>
      </c>
      <c r="AC12" s="485">
        <f t="shared" ref="AC12:AC45" si="10">IF(AND(($F12=$G12),($G12=$H12),($H12=$I12)),(1/$X12),(1/(4*$X12)))</f>
        <v>0.92487088802403183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0.53245041486400002</v>
      </c>
      <c r="AH12" s="536">
        <f>IF(B12=0,0,VLOOKUP(B12,FREQUENCIAS!$1:$1048576,(IF(($A12=FREQUENCIAS!$B$1),2,"ERRO")),FREQUENCIAS!$1:$1048576))</f>
        <v>0.27030799999999999</v>
      </c>
      <c r="AI12" s="536"/>
      <c r="AJ12" s="536"/>
      <c r="AK12" s="537">
        <f t="shared" ref="AK12:AK45" si="13">SUM(AH12:AJ12)</f>
        <v>0.27030799999999999</v>
      </c>
      <c r="AL12" s="536">
        <f>IF(C12=0,0,VLOOKUP(C12,FREQUENCIAS!$1:$1048576,(IF(($A12=FREQUENCIAS!$B$1),2,"ERRO")),FREQUENCIAS!$1:$1048576))</f>
        <v>0.27030799999999999</v>
      </c>
      <c r="AM12" s="536"/>
      <c r="AN12" s="536"/>
      <c r="AO12" s="537">
        <f t="shared" ref="AO12:AO45" si="14">SUM(AL12:AN12)</f>
        <v>0.27030799999999999</v>
      </c>
      <c r="AV12" s="538">
        <f>IF(B12=0,0,VLOOKUP(B12,FREQUENCIAS!$1:$1048576,(IF(($A12=FREQUENCIAS!$B$1),2,"ERRO")),FREQUENCIAS!$1:$1048576))</f>
        <v>0.27030799999999999</v>
      </c>
      <c r="AW12" s="538">
        <f>IF(C12=0,0,VLOOKUP(C12,FREQUENCIAS!$1:$1048576,(IF(($A12=FREQUENCIAS!$B$1),2,"ERRO")),FREQUENCIAS!$1:$1048576))</f>
        <v>0.27030799999999999</v>
      </c>
      <c r="AX12" s="538">
        <f>IF(D12=0,0,VLOOKUP(D12,FREQUENCIAS!$1:$1048576,(IF(($A12=FREQUENCIAS!$B$1),2,"ERRO")),FREQUENCIAS!$1:$1048576))</f>
        <v>9.3156000000000003E-2</v>
      </c>
      <c r="AY12" s="538">
        <f>IF(E12=0,0,VLOOKUP(E12,FREQUENCIAS!$1:$1048576,(IF(($A12=FREQUENCIAS!$B$1),2,"ERRO")),FREQUENCIAS!$1:$1048576))</f>
        <v>0.27030799999999999</v>
      </c>
      <c r="BD12" s="485">
        <f>IF((AND((F12=H12),(G12=I12))),1,0)</f>
        <v>0</v>
      </c>
      <c r="BE12" s="485">
        <f>IF((Y12="EXCLUI"),1,0)</f>
        <v>0</v>
      </c>
      <c r="BF12" s="539">
        <f t="shared" ref="BF12:BF45" si="15">(IF((AND(($B$46&lt;=1),(Y12&lt;&gt;"EXCLUI"))),Y12,(IF((AND(($B$46&lt;=1),(Y12="EXCLUI"))),$BF$46,0))))</f>
        <v>1.8497417760480637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16</v>
      </c>
      <c r="C13" s="645">
        <f>'IMPORTAÇÃO GENOTIPER'!AQ6</f>
        <v>17.3</v>
      </c>
      <c r="D13" s="645">
        <f>'IMPORTAÇÃO GENOTIPER'!AY6</f>
        <v>15</v>
      </c>
      <c r="E13" s="646">
        <f>'IMPORTAÇÃO GENOTIPER'!BG6</f>
        <v>17.3</v>
      </c>
      <c r="F13" s="541">
        <f t="shared" si="0"/>
        <v>16</v>
      </c>
      <c r="G13" s="541">
        <f t="shared" si="1"/>
        <v>17.3</v>
      </c>
      <c r="H13" s="541">
        <f t="shared" si="2"/>
        <v>15</v>
      </c>
      <c r="I13" s="541">
        <f t="shared" si="3"/>
        <v>17.3</v>
      </c>
      <c r="J13" s="542"/>
      <c r="K13" s="542"/>
      <c r="L13" s="542"/>
      <c r="M13" s="543"/>
      <c r="N13" s="542">
        <f t="shared" si="4"/>
        <v>0</v>
      </c>
      <c r="O13" s="542">
        <f t="shared" si="5"/>
        <v>17.3</v>
      </c>
      <c r="P13" s="544">
        <f t="shared" si="6"/>
        <v>0</v>
      </c>
      <c r="Q13" s="545">
        <f t="shared" si="7"/>
        <v>17.3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0.1376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0.1376</v>
      </c>
      <c r="Y13" s="549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1.816860465116279</v>
      </c>
      <c r="Z13" s="532">
        <f t="shared" ref="Z13:Z45" si="17">IF(SUM(B13:E13)=0,0.5,IF((AND((P13=0),(Q13=0))),0,(Y13/(Y13+1))))</f>
        <v>0.6449948400412796</v>
      </c>
      <c r="AA13" s="533"/>
      <c r="AB13" s="550" t="str">
        <f t="shared" si="9"/>
        <v>1 / 4F</v>
      </c>
      <c r="AC13" s="485">
        <f t="shared" si="10"/>
        <v>1.816860465116279</v>
      </c>
      <c r="AE13" s="485" t="str">
        <f t="shared" si="11"/>
        <v>1 / 4F</v>
      </c>
      <c r="AF13" s="535">
        <f t="shared" si="12"/>
        <v>0.53231616000000004</v>
      </c>
      <c r="AH13" s="536">
        <f>IF(B13=0,0,VLOOKUP(B13,FREQUENCIAS!$1:$1048576,(IF(($A13=FREQUENCIAS!$C$1),3,"ERRO")),FREQUENCIAS!$1:$1048576))</f>
        <v>0.1328</v>
      </c>
      <c r="AI13" s="536"/>
      <c r="AJ13" s="536"/>
      <c r="AK13" s="537">
        <f t="shared" si="13"/>
        <v>0.1328</v>
      </c>
      <c r="AL13" s="536">
        <f>IF(C13=0,0,VLOOKUP(C13,FREQUENCIAS!$1:$1048576,(IF(($A13=FREQUENCIAS!$C$1),3,"ERRO")),FREQUENCIAS!$1:$1048576))</f>
        <v>0.1376</v>
      </c>
      <c r="AM13" s="536"/>
      <c r="AN13" s="536"/>
      <c r="AO13" s="537">
        <f t="shared" si="14"/>
        <v>0.1376</v>
      </c>
      <c r="AV13" s="551">
        <f>IF(B13=0,0,VLOOKUP(B13,FREQUENCIAS!$1:$1048576,(IF(($A13=FREQUENCIAS!$C$1),3,"ERRO")),FREQUENCIAS!$1:$1048576))</f>
        <v>0.1328</v>
      </c>
      <c r="AW13" s="551">
        <f>IF(C13=0,0,VLOOKUP(C13,FREQUENCIAS!$1:$1048576,(IF(($A13=FREQUENCIAS!$C$1),3,"ERRO")),FREQUENCIAS!$1:$1048576))</f>
        <v>0.1376</v>
      </c>
      <c r="AX13" s="551">
        <f>IF(D13=0,0,VLOOKUP(D13,FREQUENCIAS!$1:$1048576,(IF(($A13=FREQUENCIAS!$C$1),3,"ERRO")),FREQUENCIAS!$1:$1048576))</f>
        <v>0.15870000000000001</v>
      </c>
      <c r="AY13" s="551">
        <f>IF(E13=0,0,VLOOKUP(E13,FREQUENCIAS!$1:$1048576,(IF(($A13=FREQUENCIAS!$C$1),3,"ERRO")),FREQUENCIAS!$1:$1048576))</f>
        <v>0.1376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0</v>
      </c>
      <c r="BF13" s="539">
        <f t="shared" si="15"/>
        <v>1.816860465116279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11.3</v>
      </c>
      <c r="C14" s="645">
        <f>'IMPORTAÇÃO GENOTIPER'!AQ7</f>
        <v>11.3</v>
      </c>
      <c r="D14" s="645">
        <f>'IMPORTAÇÃO GENOTIPER'!AY7</f>
        <v>11.3</v>
      </c>
      <c r="E14" s="646">
        <f>'IMPORTAÇÃO GENOTIPER'!BG7</f>
        <v>15</v>
      </c>
      <c r="F14" s="541">
        <f t="shared" si="0"/>
        <v>11.3</v>
      </c>
      <c r="G14" s="541">
        <f t="shared" si="1"/>
        <v>11.3</v>
      </c>
      <c r="H14" s="541">
        <f t="shared" si="2"/>
        <v>11.3</v>
      </c>
      <c r="I14" s="541">
        <f t="shared" si="3"/>
        <v>15</v>
      </c>
      <c r="J14" s="542"/>
      <c r="K14" s="542"/>
      <c r="L14" s="542"/>
      <c r="M14" s="543"/>
      <c r="N14" s="542">
        <f t="shared" si="4"/>
        <v>11.3</v>
      </c>
      <c r="O14" s="542">
        <f t="shared" si="5"/>
        <v>0</v>
      </c>
      <c r="P14" s="544">
        <f t="shared" si="6"/>
        <v>11.3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4.5499999999999999E-2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0.05</v>
      </c>
      <c r="Y14" s="549">
        <f t="shared" si="16"/>
        <v>10</v>
      </c>
      <c r="Z14" s="532">
        <f t="shared" si="17"/>
        <v>0.90909090909090906</v>
      </c>
      <c r="AA14" s="533"/>
      <c r="AB14" s="550" t="str">
        <f t="shared" si="9"/>
        <v>1 / 2F</v>
      </c>
      <c r="AC14" s="485">
        <f t="shared" si="10"/>
        <v>5</v>
      </c>
      <c r="AE14" s="485" t="str">
        <f t="shared" si="11"/>
        <v>1 / 4F</v>
      </c>
      <c r="AF14" s="535">
        <f t="shared" si="12"/>
        <v>0.91107025000000008</v>
      </c>
      <c r="AH14" s="536">
        <f>IF(B14=0,0,VLOOKUP(B14,FREQUENCIAS!$1:$1048576,(IF(($A14=FREQUENCIAS!$D$1),4,"ERRO")),FREQUENCIAS!$1:$1048576))</f>
        <v>4.5499999999999999E-2</v>
      </c>
      <c r="AI14" s="536"/>
      <c r="AJ14" s="536"/>
      <c r="AK14" s="537">
        <f t="shared" si="13"/>
        <v>4.5499999999999999E-2</v>
      </c>
      <c r="AL14" s="536">
        <f>IF(C14=0,0,VLOOKUP(C14,FREQUENCIAS!$1:$1048576,(IF(($A14=FREQUENCIAS!$D$1),4,"ERRO")),FREQUENCIAS!$1:$1048576))</f>
        <v>4.5499999999999999E-2</v>
      </c>
      <c r="AM14" s="536"/>
      <c r="AN14" s="536"/>
      <c r="AO14" s="537">
        <f t="shared" si="14"/>
        <v>4.5499999999999999E-2</v>
      </c>
      <c r="AV14" s="551">
        <f>IF(B14=0,0,VLOOKUP(B14,FREQUENCIAS!$1:$1048576,(IF(($A14=FREQUENCIAS!$D$1),4,"ERRO")),FREQUENCIAS!$1:$1048576))</f>
        <v>4.5499999999999999E-2</v>
      </c>
      <c r="AW14" s="551">
        <f>IF(C14=0,0,VLOOKUP(C14,FREQUENCIAS!$1:$1048576,(IF(($A14=FREQUENCIAS!$D$1),4,"ERRO")),FREQUENCIAS!$1:$1048576))</f>
        <v>4.5499999999999999E-2</v>
      </c>
      <c r="AX14" s="551">
        <f>IF(D14=0,0,VLOOKUP(D14,FREQUENCIAS!$1:$1048576,(IF(($A14=FREQUENCIAS!$D$1),4,"ERRO")),FREQUENCIAS!$1:$1048576))</f>
        <v>4.5499999999999999E-2</v>
      </c>
      <c r="AY14" s="551">
        <f>IF(E14=0,0,VLOOKUP(E14,FREQUENCIAS!$1:$1048576,(IF(($A14=FREQUENCIAS!$D$1),4,"ERRO")),FREQUENCIAS!$1:$1048576))</f>
        <v>2.69E-2</v>
      </c>
      <c r="BD14" s="485">
        <f t="shared" si="18"/>
        <v>0</v>
      </c>
      <c r="BE14" s="485">
        <f t="shared" si="19"/>
        <v>0</v>
      </c>
      <c r="BF14" s="539">
        <f t="shared" si="15"/>
        <v>10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14</v>
      </c>
      <c r="C15" s="645">
        <f>'IMPORTAÇÃO GENOTIPER'!AQ8</f>
        <v>14</v>
      </c>
      <c r="D15" s="645">
        <f>'IMPORTAÇÃO GENOTIPER'!AY8</f>
        <v>13</v>
      </c>
      <c r="E15" s="646">
        <f>'IMPORTAÇÃO GENOTIPER'!BG8</f>
        <v>14</v>
      </c>
      <c r="F15" s="541">
        <f t="shared" si="0"/>
        <v>14</v>
      </c>
      <c r="G15" s="541">
        <f t="shared" si="1"/>
        <v>14</v>
      </c>
      <c r="H15" s="541">
        <f t="shared" si="2"/>
        <v>13</v>
      </c>
      <c r="I15" s="541">
        <f t="shared" si="3"/>
        <v>14</v>
      </c>
      <c r="J15" s="542"/>
      <c r="K15" s="542"/>
      <c r="L15" s="542"/>
      <c r="M15" s="542"/>
      <c r="N15" s="542">
        <f t="shared" si="4"/>
        <v>0</v>
      </c>
      <c r="O15" s="542">
        <f t="shared" si="5"/>
        <v>14</v>
      </c>
      <c r="P15" s="544">
        <f t="shared" si="6"/>
        <v>0</v>
      </c>
      <c r="Q15" s="545">
        <f t="shared" si="7"/>
        <v>14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0.30480000000000002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0.30480000000000002</v>
      </c>
      <c r="Y15" s="549">
        <f t="shared" si="16"/>
        <v>1.6404199475065615</v>
      </c>
      <c r="Z15" s="532">
        <f t="shared" si="17"/>
        <v>0.62127236580516887</v>
      </c>
      <c r="AA15" s="533"/>
      <c r="AB15" s="550" t="str">
        <f t="shared" si="9"/>
        <v>1 / 2F</v>
      </c>
      <c r="AC15" s="485">
        <f t="shared" si="10"/>
        <v>0.82020997375328075</v>
      </c>
      <c r="AE15" s="485" t="str">
        <f t="shared" si="11"/>
        <v>1 / 4F</v>
      </c>
      <c r="AF15" s="535">
        <f t="shared" si="12"/>
        <v>0.48330304000000007</v>
      </c>
      <c r="AH15" s="554">
        <f>IF(B15=0,0,VLOOKUP(B15,FREQUENCIAS!$1:$1048576,(IF(($A15=FREQUENCIAS!$E$1),5,"ERRO")),FREQUENCIAS!$1:$1048576))</f>
        <v>0.30480000000000002</v>
      </c>
      <c r="AI15" s="554"/>
      <c r="AJ15" s="554"/>
      <c r="AK15" s="537">
        <f t="shared" si="13"/>
        <v>0.30480000000000002</v>
      </c>
      <c r="AL15" s="554">
        <f>IF(C15=0,0,VLOOKUP(C15,FREQUENCIAS!$1:$1048576,(IF(($A15=FREQUENCIAS!$E$1),5,"ERRO")),FREQUENCIAS!$1:$1048576))</f>
        <v>0.30480000000000002</v>
      </c>
      <c r="AM15" s="554"/>
      <c r="AN15" s="554"/>
      <c r="AO15" s="537">
        <f t="shared" si="14"/>
        <v>0.30480000000000002</v>
      </c>
      <c r="AV15" s="551">
        <f>IF(B15=0,0,VLOOKUP(B15,FREQUENCIAS!$1:$1048576,(IF(($A15=FREQUENCIAS!$E$1),5,"ERRO")),FREQUENCIAS!$1:$1048576))</f>
        <v>0.30480000000000002</v>
      </c>
      <c r="AW15" s="551">
        <f>IF(C15=0,0,VLOOKUP(C15,FREQUENCIAS!$1:$1048576,(IF(($A15=FREQUENCIAS!$E$1),5,"ERRO")),FREQUENCIAS!$1:$1048576))</f>
        <v>0.30480000000000002</v>
      </c>
      <c r="AX15" s="551">
        <f>IF(D15=0,0,VLOOKUP(D15,FREQUENCIAS!$1:$1048576,(IF(($A15=FREQUENCIAS!$E$1),5,"ERRO")),FREQUENCIAS!$1:$1048576))</f>
        <v>0.27010000000000001</v>
      </c>
      <c r="AY15" s="551">
        <f>IF(E15=0,0,VLOOKUP(E15,FREQUENCIAS!$1:$1048576,(IF(($A15=FREQUENCIAS!$E$1),5,"ERRO")),FREQUENCIAS!$1:$1048576))</f>
        <v>0.30480000000000002</v>
      </c>
      <c r="BD15" s="485">
        <f t="shared" si="18"/>
        <v>0</v>
      </c>
      <c r="BE15" s="485">
        <f t="shared" si="19"/>
        <v>0</v>
      </c>
      <c r="BF15" s="539">
        <f t="shared" si="15"/>
        <v>1.6404199475065615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11</v>
      </c>
      <c r="C16" s="645">
        <f>'IMPORTAÇÃO GENOTIPER'!AQ9</f>
        <v>12</v>
      </c>
      <c r="D16" s="645">
        <f>'IMPORTAÇÃO GENOTIPER'!AY9</f>
        <v>12</v>
      </c>
      <c r="E16" s="646">
        <f>'IMPORTAÇÃO GENOTIPER'!BG9</f>
        <v>12</v>
      </c>
      <c r="F16" s="541">
        <f t="shared" si="0"/>
        <v>11</v>
      </c>
      <c r="G16" s="541">
        <f t="shared" si="1"/>
        <v>12</v>
      </c>
      <c r="H16" s="541">
        <f t="shared" si="2"/>
        <v>12</v>
      </c>
      <c r="I16" s="541">
        <f t="shared" si="3"/>
        <v>12</v>
      </c>
      <c r="J16" s="542"/>
      <c r="K16" s="542"/>
      <c r="L16" s="542"/>
      <c r="M16" s="543"/>
      <c r="N16" s="542">
        <f t="shared" si="4"/>
        <v>12</v>
      </c>
      <c r="O16" s="542">
        <f t="shared" si="5"/>
        <v>0</v>
      </c>
      <c r="P16" s="544">
        <f t="shared" si="6"/>
        <v>12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0.29337999999999997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0.29337999999999997</v>
      </c>
      <c r="Y16" s="549">
        <f t="shared" si="16"/>
        <v>1.7042743199945465</v>
      </c>
      <c r="Z16" s="532">
        <f t="shared" si="17"/>
        <v>0.63021502936802043</v>
      </c>
      <c r="AA16" s="533"/>
      <c r="AB16" s="550" t="str">
        <f t="shared" si="9"/>
        <v>1 / 2F</v>
      </c>
      <c r="AC16" s="485">
        <f t="shared" si="10"/>
        <v>0.85213715999727324</v>
      </c>
      <c r="AD16" s="485" t="s">
        <v>174</v>
      </c>
      <c r="AE16" s="485" t="str">
        <f t="shared" si="11"/>
        <v>1 / 4F</v>
      </c>
      <c r="AF16" s="535">
        <f t="shared" si="12"/>
        <v>0.45846725382441006</v>
      </c>
      <c r="AH16" s="536">
        <f>IF(B16=0,0,VLOOKUP(B16,FREQUENCIAS!$1:$1048576,(IF(($A16=FREQUENCIAS!$F$1),6,"ERRO")),FREQUENCIAS!$1:$1048576))</f>
        <v>2.95179E-2</v>
      </c>
      <c r="AI16" s="536"/>
      <c r="AJ16" s="536"/>
      <c r="AK16" s="537">
        <f t="shared" si="13"/>
        <v>2.95179E-2</v>
      </c>
      <c r="AL16" s="536">
        <f>IF(C16=0,0,VLOOKUP(C16,FREQUENCIAS!$1:$1048576,(IF(($A16=FREQUENCIAS!$F$1),6,"ERRO")),FREQUENCIAS!$1:$1048576))</f>
        <v>0.29337999999999997</v>
      </c>
      <c r="AM16" s="536"/>
      <c r="AN16" s="536"/>
      <c r="AO16" s="537">
        <f t="shared" si="14"/>
        <v>0.29337999999999997</v>
      </c>
      <c r="AV16" s="551">
        <f>IF(B16=0,0,VLOOKUP(B16,FREQUENCIAS!$1:$1048576,(IF(($A16=FREQUENCIAS!$F$1),6,"ERRO")),FREQUENCIAS!$1:$1048576))</f>
        <v>2.95179E-2</v>
      </c>
      <c r="AW16" s="551">
        <f>IF(C16=0,0,VLOOKUP(C16,FREQUENCIAS!$1:$1048576,(IF(($A16=FREQUENCIAS!$F$1),6,"ERRO")),FREQUENCIAS!$1:$1048576))</f>
        <v>0.29337999999999997</v>
      </c>
      <c r="AX16" s="551">
        <f>IF(D16=0,0,VLOOKUP(D16,FREQUENCIAS!$1:$1048576,(IF(($A16=FREQUENCIAS!$F$1),6,"ERRO")),FREQUENCIAS!$1:$1048576))</f>
        <v>0.29337999999999997</v>
      </c>
      <c r="AY16" s="551">
        <f>IF(E16=0,0,VLOOKUP(E16,FREQUENCIAS!$1:$1048576,(IF(($A16=FREQUENCIAS!$F$1),6,"ERRO")),FREQUENCIAS!$1:$1048576))</f>
        <v>0.29337999999999997</v>
      </c>
      <c r="BD16" s="485">
        <f t="shared" si="18"/>
        <v>0</v>
      </c>
      <c r="BE16" s="485">
        <f t="shared" si="19"/>
        <v>0</v>
      </c>
      <c r="BF16" s="539">
        <f t="shared" si="15"/>
        <v>1.7042743199945465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11</v>
      </c>
      <c r="C17" s="645">
        <f>'IMPORTAÇÃO GENOTIPER'!AQ10</f>
        <v>16</v>
      </c>
      <c r="D17" s="645">
        <f>'IMPORTAÇÃO GENOTIPER'!AY10</f>
        <v>11</v>
      </c>
      <c r="E17" s="646">
        <f>'IMPORTAÇÃO GENOTIPER'!BG10</f>
        <v>11</v>
      </c>
      <c r="F17" s="541">
        <f t="shared" si="0"/>
        <v>11</v>
      </c>
      <c r="G17" s="541">
        <f t="shared" si="1"/>
        <v>16</v>
      </c>
      <c r="H17" s="541">
        <f t="shared" si="2"/>
        <v>11</v>
      </c>
      <c r="I17" s="541">
        <f t="shared" si="3"/>
        <v>11</v>
      </c>
      <c r="J17" s="542"/>
      <c r="K17" s="542"/>
      <c r="L17" s="542"/>
      <c r="M17" s="543"/>
      <c r="N17" s="542">
        <f t="shared" si="4"/>
        <v>11</v>
      </c>
      <c r="O17" s="542">
        <f t="shared" si="5"/>
        <v>0</v>
      </c>
      <c r="P17" s="544">
        <f t="shared" si="6"/>
        <v>11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1.10308E-2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0.05</v>
      </c>
      <c r="Y17" s="549">
        <f t="shared" si="16"/>
        <v>10</v>
      </c>
      <c r="Z17" s="532">
        <f t="shared" si="17"/>
        <v>0.90909090909090906</v>
      </c>
      <c r="AA17" s="533"/>
      <c r="AB17" s="550" t="str">
        <f t="shared" si="9"/>
        <v>1 / 2F</v>
      </c>
      <c r="AC17" s="485">
        <f t="shared" si="10"/>
        <v>5</v>
      </c>
      <c r="AE17" s="485" t="str">
        <f t="shared" si="11"/>
        <v>1 / 4F</v>
      </c>
      <c r="AF17" s="535">
        <f t="shared" si="12"/>
        <v>0.88619668095203996</v>
      </c>
      <c r="AH17" s="536">
        <f>IF(B17=0,0,VLOOKUP(B17,FREQUENCIAS!$1:$1048576,(IF(($A17=FREQUENCIAS!$G$1),7,"ERRO")),FREQUENCIAS!$1:$1048576))</f>
        <v>1.10308E-2</v>
      </c>
      <c r="AI17" s="536"/>
      <c r="AJ17" s="536"/>
      <c r="AK17" s="537">
        <f t="shared" si="13"/>
        <v>1.10308E-2</v>
      </c>
      <c r="AL17" s="536">
        <f>IF(C17=0,0,VLOOKUP(C17,FREQUENCIAS!$1:$1048576,(IF(($A17=FREQUENCIAS!$G$1),7,"ERRO")),FREQUENCIAS!$1:$1048576))</f>
        <v>4.7588999999999999E-2</v>
      </c>
      <c r="AM17" s="536"/>
      <c r="AN17" s="536"/>
      <c r="AO17" s="537">
        <f t="shared" si="14"/>
        <v>4.7588999999999999E-2</v>
      </c>
      <c r="AV17" s="551">
        <f>IF(B17=0,0,VLOOKUP(B17,FREQUENCIAS!$1:$1048576,(IF(($A17=FREQUENCIAS!$G$1),7,"ERRO")),FREQUENCIAS!$1:$1048576))</f>
        <v>1.10308E-2</v>
      </c>
      <c r="AW17" s="551">
        <f>IF(C17=0,0,VLOOKUP(C17,FREQUENCIAS!$1:$1048576,(IF(($A17=FREQUENCIAS!$G$1),7,"ERRO")),FREQUENCIAS!$1:$1048576))</f>
        <v>4.7588999999999999E-2</v>
      </c>
      <c r="AX17" s="551">
        <f>IF(D17=0,0,VLOOKUP(D17,FREQUENCIAS!$1:$1048576,(IF(($A17=FREQUENCIAS!$G$1),7,"ERRO")),FREQUENCIAS!$1:$1048576))</f>
        <v>1.10308E-2</v>
      </c>
      <c r="AY17" s="551">
        <f>IF(E17=0,0,VLOOKUP(E17,FREQUENCIAS!$1:$1048576,(IF(($A17=FREQUENCIAS!$G$1),7,"ERRO")),FREQUENCIAS!$1:$1048576))</f>
        <v>1.10308E-2</v>
      </c>
      <c r="BD17" s="485">
        <f t="shared" si="18"/>
        <v>0</v>
      </c>
      <c r="BE17" s="485">
        <f t="shared" si="19"/>
        <v>0</v>
      </c>
      <c r="BF17" s="539">
        <f t="shared" si="15"/>
        <v>10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11</v>
      </c>
      <c r="C18" s="645">
        <f>'IMPORTAÇÃO GENOTIPER'!AQ11</f>
        <v>12</v>
      </c>
      <c r="D18" s="645">
        <f>'IMPORTAÇÃO GENOTIPER'!AY11</f>
        <v>11</v>
      </c>
      <c r="E18" s="646">
        <f>'IMPORTAÇÃO GENOTIPER'!BG11</f>
        <v>12</v>
      </c>
      <c r="F18" s="541">
        <f t="shared" si="0"/>
        <v>11</v>
      </c>
      <c r="G18" s="541">
        <f t="shared" si="1"/>
        <v>12</v>
      </c>
      <c r="H18" s="541">
        <f t="shared" si="2"/>
        <v>11</v>
      </c>
      <c r="I18" s="541">
        <f t="shared" si="3"/>
        <v>12</v>
      </c>
      <c r="J18" s="542"/>
      <c r="K18" s="542"/>
      <c r="L18" s="542"/>
      <c r="M18" s="543"/>
      <c r="N18" s="542">
        <f t="shared" si="4"/>
        <v>11</v>
      </c>
      <c r="O18" s="542">
        <f t="shared" si="5"/>
        <v>12</v>
      </c>
      <c r="P18" s="544">
        <f t="shared" si="6"/>
        <v>11</v>
      </c>
      <c r="Q18" s="545">
        <f t="shared" si="7"/>
        <v>12</v>
      </c>
      <c r="R18" s="546"/>
      <c r="S18" s="546"/>
      <c r="T18" s="527">
        <f>IF(P18=0,0,VLOOKUP(P18,FREQUENCIAS!1:1048576,(IF(($A18=FREQUENCIAS!$H$1),8,"ERRO")),FREQUENCIAS!1:1048576))</f>
        <v>0.28868100000000002</v>
      </c>
      <c r="U18" s="527">
        <f>IF(Q18=0,0,VLOOKUP(Q18,FREQUENCIAS!1:1048576,(IF(($A18=FREQUENCIAS!$H$1),8,"ERRO")),FREQUENCIAS!1:1048576))</f>
        <v>0.25604300000000002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0.54472399999999999</v>
      </c>
      <c r="Y18" s="549">
        <f t="shared" si="16"/>
        <v>1.8424063034915938</v>
      </c>
      <c r="Z18" s="532">
        <f t="shared" si="17"/>
        <v>0.64818541291172671</v>
      </c>
      <c r="AA18" s="533"/>
      <c r="AB18" s="550" t="str">
        <f t="shared" si="9"/>
        <v>F/(4pq)</v>
      </c>
      <c r="AC18" s="485">
        <f t="shared" si="10"/>
        <v>0.45894801771172189</v>
      </c>
      <c r="AE18" s="485" t="str">
        <f t="shared" si="11"/>
        <v>1 / 4F</v>
      </c>
      <c r="AF18" s="535">
        <f t="shared" si="12"/>
        <v>0.20727623617600002</v>
      </c>
      <c r="AH18" s="536">
        <f>IF(B18=0,0,VLOOKUP(B18,FREQUENCIAS!$1:$1048576,(IF(($A18=FREQUENCIAS!$H$1),8,"ERRO")),FREQUENCIAS!$1:$1048576))</f>
        <v>0.28868100000000002</v>
      </c>
      <c r="AI18" s="536"/>
      <c r="AJ18" s="536"/>
      <c r="AK18" s="537">
        <f t="shared" si="13"/>
        <v>0.28868100000000002</v>
      </c>
      <c r="AL18" s="536">
        <f>IF(C18=0,0,VLOOKUP(C18,FREQUENCIAS!$1:$1048576,(IF(($A18=FREQUENCIAS!$H$1),8,"ERRO")),FREQUENCIAS!$1:$1048576))</f>
        <v>0.25604300000000002</v>
      </c>
      <c r="AM18" s="536"/>
      <c r="AN18" s="536"/>
      <c r="AO18" s="537">
        <f t="shared" si="14"/>
        <v>0.25604300000000002</v>
      </c>
      <c r="AV18" s="551">
        <f>IF(B18=0,0,VLOOKUP(B18,FREQUENCIAS!$1:$1048576,(IF(($A18=FREQUENCIAS!$H$1),8,"ERRO")),FREQUENCIAS!$1:$1048576))</f>
        <v>0.28868100000000002</v>
      </c>
      <c r="AW18" s="551">
        <f>IF(C18=0,0,VLOOKUP(C18,FREQUENCIAS!$1:$1048576,(IF(($A18=FREQUENCIAS!$H$1),8,"ERRO")),FREQUENCIAS!$1:$1048576))</f>
        <v>0.25604300000000002</v>
      </c>
      <c r="AX18" s="551">
        <f>IF(D18=0,0,VLOOKUP(D18,FREQUENCIAS!$1:$1048576,(IF(($A18=FREQUENCIAS!$H$1),8,"ERRO")),FREQUENCIAS!$1:$1048576))</f>
        <v>0.28868100000000002</v>
      </c>
      <c r="AY18" s="551">
        <f>IF(E18=0,0,VLOOKUP(E18,FREQUENCIAS!$1:$1048576,(IF(($A18=FREQUENCIAS!$H$1),8,"ERRO")),FREQUENCIAS!$1:$1048576))</f>
        <v>0.25604300000000002</v>
      </c>
      <c r="BD18" s="485">
        <f t="shared" si="18"/>
        <v>1</v>
      </c>
      <c r="BE18" s="485">
        <f t="shared" si="19"/>
        <v>0</v>
      </c>
      <c r="BF18" s="539">
        <f t="shared" si="15"/>
        <v>1.8424063034915938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10</v>
      </c>
      <c r="C19" s="645">
        <f>'IMPORTAÇÃO GENOTIPER'!AQ12</f>
        <v>12</v>
      </c>
      <c r="D19" s="645">
        <f>'IMPORTAÇÃO GENOTIPER'!AY12</f>
        <v>10</v>
      </c>
      <c r="E19" s="646">
        <f>'IMPORTAÇÃO GENOTIPER'!BG12</f>
        <v>18</v>
      </c>
      <c r="F19" s="541">
        <f t="shared" si="0"/>
        <v>10</v>
      </c>
      <c r="G19" s="541">
        <f t="shared" si="1"/>
        <v>12</v>
      </c>
      <c r="H19" s="541">
        <f t="shared" si="2"/>
        <v>10</v>
      </c>
      <c r="I19" s="541">
        <f t="shared" si="3"/>
        <v>18</v>
      </c>
      <c r="J19" s="542"/>
      <c r="K19" s="542"/>
      <c r="L19" s="542"/>
      <c r="M19" s="543"/>
      <c r="N19" s="542">
        <f t="shared" si="4"/>
        <v>10</v>
      </c>
      <c r="O19" s="542">
        <f t="shared" si="5"/>
        <v>0</v>
      </c>
      <c r="P19" s="544">
        <f t="shared" si="6"/>
        <v>10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9.8840000000000004E-3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0.05</v>
      </c>
      <c r="Y19" s="549">
        <f t="shared" si="16"/>
        <v>5</v>
      </c>
      <c r="Z19" s="532">
        <f t="shared" si="17"/>
        <v>0.83333333333333337</v>
      </c>
      <c r="AA19" s="533"/>
      <c r="AB19" s="550" t="str">
        <f t="shared" si="9"/>
        <v>1 / 4F</v>
      </c>
      <c r="AC19" s="485">
        <f t="shared" si="10"/>
        <v>5</v>
      </c>
      <c r="AE19" s="485" t="str">
        <f t="shared" si="11"/>
        <v>1 / 4F</v>
      </c>
      <c r="AF19" s="535">
        <f t="shared" si="12"/>
        <v>0.75515752400399994</v>
      </c>
      <c r="AH19" s="536">
        <f>IF(B19=0,0,VLOOKUP(B19,FREQUENCIAS!$1:$1048576,(IF(($A19=FREQUENCIAS!$I$1),9,"ERRO")),FREQUENCIAS!$1:$1048576))</f>
        <v>9.8840000000000004E-3</v>
      </c>
      <c r="AI19" s="536"/>
      <c r="AJ19" s="536"/>
      <c r="AK19" s="537">
        <f t="shared" si="13"/>
        <v>9.8840000000000004E-3</v>
      </c>
      <c r="AL19" s="536">
        <f>IF(C19=0,0,VLOOKUP(C19,FREQUENCIAS!$1:$1048576,(IF(($A19=FREQUENCIAS!$I$1),9,"ERRO")),FREQUENCIAS!$1:$1048576))</f>
        <v>0.121118</v>
      </c>
      <c r="AM19" s="536"/>
      <c r="AN19" s="536"/>
      <c r="AO19" s="537">
        <f t="shared" si="14"/>
        <v>0.121118</v>
      </c>
      <c r="AV19" s="551">
        <f>IF(B19=0,0,VLOOKUP(B19,FREQUENCIAS!$1:$1048576,(IF(($A19=FREQUENCIAS!$I$1),9,"ERRO")),FREQUENCIAS!$1:$1048576))</f>
        <v>9.8840000000000004E-3</v>
      </c>
      <c r="AW19" s="551">
        <f>IF(C19=0,0,VLOOKUP(C19,FREQUENCIAS!$1:$1048576,(IF(($A19=FREQUENCIAS!$I$1),9,"ERRO")),FREQUENCIAS!$1:$1048576))</f>
        <v>0.121118</v>
      </c>
      <c r="AX19" s="551">
        <f>IF(D19=0,0,VLOOKUP(D19,FREQUENCIAS!$1:$1048576,(IF(($A19=FREQUENCIAS!$I$1),9,"ERRO")),FREQUENCIAS!$1:$1048576))</f>
        <v>9.8840000000000004E-3</v>
      </c>
      <c r="AY19" s="551">
        <f>IF(E19=0,0,VLOOKUP(E19,FREQUENCIAS!$1:$1048576,(IF(($A19=FREQUENCIAS!$I$1),9,"ERRO")),FREQUENCIAS!$1:$1048576))</f>
        <v>7.7560000000000004E-2</v>
      </c>
      <c r="BD19" s="485">
        <f t="shared" si="18"/>
        <v>0</v>
      </c>
      <c r="BE19" s="485">
        <f t="shared" si="19"/>
        <v>0</v>
      </c>
      <c r="BF19" s="539">
        <f t="shared" si="15"/>
        <v>5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17</v>
      </c>
      <c r="C20" s="645">
        <f>'IMPORTAÇÃO GENOTIPER'!AQ13</f>
        <v>20</v>
      </c>
      <c r="D20" s="645">
        <f>'IMPORTAÇÃO GENOTIPER'!AY13</f>
        <v>20</v>
      </c>
      <c r="E20" s="646">
        <f>'IMPORTAÇÃO GENOTIPER'!BG13</f>
        <v>25</v>
      </c>
      <c r="F20" s="541">
        <f>IF((B20&gt;C20),C20,B20)</f>
        <v>17</v>
      </c>
      <c r="G20" s="541">
        <f>IF((C20&gt;B20),C20,B20)</f>
        <v>20</v>
      </c>
      <c r="H20" s="541">
        <f t="shared" si="2"/>
        <v>20</v>
      </c>
      <c r="I20" s="541">
        <f t="shared" si="3"/>
        <v>25</v>
      </c>
      <c r="J20" s="542"/>
      <c r="K20" s="542"/>
      <c r="L20" s="542"/>
      <c r="M20" s="543"/>
      <c r="N20" s="542">
        <f t="shared" si="4"/>
        <v>20</v>
      </c>
      <c r="O20" s="542">
        <f t="shared" si="5"/>
        <v>0</v>
      </c>
      <c r="P20" s="544">
        <f t="shared" si="6"/>
        <v>20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0.13669999999999999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0.13669999999999999</v>
      </c>
      <c r="Y20" s="549">
        <f t="shared" si="16"/>
        <v>1.8288222384784201</v>
      </c>
      <c r="Z20" s="532">
        <f t="shared" si="17"/>
        <v>0.64649599172485139</v>
      </c>
      <c r="AA20" s="533"/>
      <c r="AB20" s="550" t="str">
        <f t="shared" si="9"/>
        <v>1 / 4F</v>
      </c>
      <c r="AC20" s="485">
        <f t="shared" si="10"/>
        <v>1.8288222384784201</v>
      </c>
      <c r="AD20" s="485" t="s">
        <v>339</v>
      </c>
      <c r="AE20" s="485" t="str">
        <f t="shared" si="11"/>
        <v>1 / 4F</v>
      </c>
      <c r="AF20" s="535">
        <f t="shared" si="12"/>
        <v>0.42981135999999998</v>
      </c>
      <c r="AH20" s="536">
        <f>IF(B20=0,0,VLOOKUP(B20,FREQUENCIAS!$1:$1048576,(IF(($A20=FREQUENCIAS!$J$1),10,"ERRO")),FREQUENCIAS!$1:$1048576))</f>
        <v>0.2077</v>
      </c>
      <c r="AI20" s="536"/>
      <c r="AJ20" s="536"/>
      <c r="AK20" s="537">
        <f t="shared" si="13"/>
        <v>0.2077</v>
      </c>
      <c r="AL20" s="536">
        <f>IF(C20=0,0,VLOOKUP(C20,FREQUENCIAS!$1:$1048576,(IF(($A20=FREQUENCIAS!$J$1),10,"ERRO")),FREQUENCIAS!$1:$1048576))</f>
        <v>0.13669999999999999</v>
      </c>
      <c r="AM20" s="536"/>
      <c r="AN20" s="536"/>
      <c r="AO20" s="537">
        <f t="shared" si="14"/>
        <v>0.13669999999999999</v>
      </c>
      <c r="AV20" s="551">
        <f>IF(B20=0,0,VLOOKUP(B20,FREQUENCIAS!$1:$1048576,(IF(($A20=FREQUENCIAS!$J$1),10,"ERRO")),FREQUENCIAS!$1:$1048576))</f>
        <v>0.2077</v>
      </c>
      <c r="AW20" s="551">
        <f>IF(C20=0,0,VLOOKUP(C20,FREQUENCIAS!$1:$1048576,(IF(($A20=FREQUENCIAS!$J$1),10,"ERRO")),FREQUENCIAS!$1:$1048576))</f>
        <v>0.13669999999999999</v>
      </c>
      <c r="AX20" s="551">
        <f>IF(D20=0,0,VLOOKUP(D20,FREQUENCIAS!$1:$1048576,(IF(($A20=FREQUENCIAS!$J$1),10,"ERRO")),FREQUENCIAS!$1:$1048576))</f>
        <v>0.13669999999999999</v>
      </c>
      <c r="AY20" s="551">
        <f>IF(E20=0,0,VLOOKUP(E20,FREQUENCIAS!$1:$1048576,(IF(($A20=FREQUENCIAS!$J$1),10,"ERRO")),FREQUENCIAS!$1:$1048576))</f>
        <v>5.5300000000000002E-2</v>
      </c>
      <c r="BD20" s="485">
        <f t="shared" si="18"/>
        <v>0</v>
      </c>
      <c r="BE20" s="485">
        <f t="shared" si="19"/>
        <v>0</v>
      </c>
      <c r="BF20" s="539">
        <f t="shared" si="15"/>
        <v>1.8288222384784201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10</v>
      </c>
      <c r="C21" s="645">
        <f>'IMPORTAÇÃO GENOTIPER'!AQ14</f>
        <v>12</v>
      </c>
      <c r="D21" s="645">
        <f>'IMPORTAÇÃO GENOTIPER'!AY14</f>
        <v>11</v>
      </c>
      <c r="E21" s="646">
        <f>'IMPORTAÇÃO GENOTIPER'!BG14</f>
        <v>12</v>
      </c>
      <c r="F21" s="541">
        <f t="shared" si="0"/>
        <v>10</v>
      </c>
      <c r="G21" s="541">
        <f t="shared" si="1"/>
        <v>12</v>
      </c>
      <c r="H21" s="541">
        <f t="shared" si="2"/>
        <v>11</v>
      </c>
      <c r="I21" s="541">
        <f t="shared" si="3"/>
        <v>12</v>
      </c>
      <c r="J21" s="542"/>
      <c r="K21" s="542"/>
      <c r="L21" s="542"/>
      <c r="M21" s="543"/>
      <c r="N21" s="542">
        <f t="shared" si="4"/>
        <v>0</v>
      </c>
      <c r="O21" s="542">
        <f t="shared" si="5"/>
        <v>12</v>
      </c>
      <c r="P21" s="544">
        <f t="shared" si="6"/>
        <v>0</v>
      </c>
      <c r="Q21" s="545">
        <f t="shared" si="7"/>
        <v>12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0.30245100000000003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0.30245100000000003</v>
      </c>
      <c r="Y21" s="549">
        <f t="shared" si="16"/>
        <v>0.82658017331733069</v>
      </c>
      <c r="Z21" s="532">
        <f t="shared" si="17"/>
        <v>0.45252882156064522</v>
      </c>
      <c r="AA21" s="533"/>
      <c r="AB21" s="550" t="str">
        <f t="shared" si="9"/>
        <v>1 / 4F</v>
      </c>
      <c r="AC21" s="485">
        <f t="shared" si="10"/>
        <v>0.82658017331733069</v>
      </c>
      <c r="AE21" s="485" t="str">
        <f t="shared" si="11"/>
        <v>1 / 4F</v>
      </c>
      <c r="AF21" s="535">
        <f t="shared" si="12"/>
        <v>0.18937553992900003</v>
      </c>
      <c r="AH21" s="536">
        <f>IF(B21=0,0,VLOOKUP(B21,FREQUENCIAS!$1:$1048576,(IF(($A21=FREQUENCIAS!$K$1),11,"ERRO")),FREQUENCIAS!$1:$1048576))</f>
        <v>0.262376</v>
      </c>
      <c r="AI21" s="536"/>
      <c r="AJ21" s="536"/>
      <c r="AK21" s="537">
        <f t="shared" si="13"/>
        <v>0.262376</v>
      </c>
      <c r="AL21" s="536">
        <f>IF(C21=0,0,VLOOKUP(C21,FREQUENCIAS!$1:$1048576,(IF(($A21=FREQUENCIAS!$K$1),11,"ERRO")),FREQUENCIAS!$1:$1048576))</f>
        <v>0.30245100000000003</v>
      </c>
      <c r="AM21" s="536"/>
      <c r="AN21" s="536"/>
      <c r="AO21" s="537">
        <f t="shared" si="14"/>
        <v>0.30245100000000003</v>
      </c>
      <c r="AV21" s="551">
        <f>IF(B21=0,0,VLOOKUP(B21,FREQUENCIAS!$1:$1048576,(IF(($A21=FREQUENCIAS!$K$1),11,"ERRO")),FREQUENCIAS!$1:$1048576))</f>
        <v>0.262376</v>
      </c>
      <c r="AW21" s="551">
        <f>IF(C21=0,0,VLOOKUP(C21,FREQUENCIAS!$1:$1048576,(IF(($A21=FREQUENCIAS!$K$1),11,"ERRO")),FREQUENCIAS!$1:$1048576))</f>
        <v>0.30245100000000003</v>
      </c>
      <c r="AX21" s="551">
        <f>IF(D21=0,0,VLOOKUP(D21,FREQUENCIAS!$1:$1048576,(IF(($A21=FREQUENCIAS!$K$1),11,"ERRO")),FREQUENCIAS!$1:$1048576))</f>
        <v>0.29358499999999998</v>
      </c>
      <c r="AY21" s="551">
        <f>IF(E21=0,0,VLOOKUP(E21,FREQUENCIAS!$1:$1048576,(IF(($A21=FREQUENCIAS!$K$1),11,"ERRO")),FREQUENCIAS!$1:$1048576))</f>
        <v>0.30245100000000003</v>
      </c>
      <c r="BD21" s="485">
        <f t="shared" si="18"/>
        <v>0</v>
      </c>
      <c r="BE21" s="485">
        <f t="shared" si="19"/>
        <v>0</v>
      </c>
      <c r="BF21" s="539">
        <f t="shared" si="15"/>
        <v>0.82658017331733069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10</v>
      </c>
      <c r="C22" s="645">
        <f>'IMPORTAÇÃO GENOTIPER'!AQ15</f>
        <v>12</v>
      </c>
      <c r="D22" s="645">
        <f>'IMPORTAÇÃO GENOTIPER'!AY15</f>
        <v>12</v>
      </c>
      <c r="E22" s="646">
        <f>'IMPORTAÇÃO GENOTIPER'!BG15</f>
        <v>12</v>
      </c>
      <c r="F22" s="541">
        <f t="shared" si="0"/>
        <v>10</v>
      </c>
      <c r="G22" s="541">
        <f t="shared" si="1"/>
        <v>12</v>
      </c>
      <c r="H22" s="541">
        <f t="shared" si="2"/>
        <v>12</v>
      </c>
      <c r="I22" s="541">
        <f t="shared" si="3"/>
        <v>12</v>
      </c>
      <c r="J22" s="542"/>
      <c r="K22" s="542"/>
      <c r="L22" s="542"/>
      <c r="M22" s="543"/>
      <c r="N22" s="542">
        <f t="shared" si="4"/>
        <v>12</v>
      </c>
      <c r="O22" s="542">
        <f t="shared" si="5"/>
        <v>0</v>
      </c>
      <c r="P22" s="544">
        <f t="shared" si="6"/>
        <v>12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0.16545399999999999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0.16545399999999999</v>
      </c>
      <c r="Y22" s="549">
        <f t="shared" si="16"/>
        <v>3.0219879845757736</v>
      </c>
      <c r="Z22" s="532">
        <f t="shared" si="17"/>
        <v>0.75136673609295312</v>
      </c>
      <c r="AA22" s="533"/>
      <c r="AB22" s="550" t="str">
        <f t="shared" si="9"/>
        <v>1 / 2F</v>
      </c>
      <c r="AC22" s="485">
        <f t="shared" si="10"/>
        <v>1.5109939922878868</v>
      </c>
      <c r="AD22" s="485" t="s">
        <v>340</v>
      </c>
      <c r="AE22" s="485" t="str">
        <f t="shared" si="11"/>
        <v>1 / 4F</v>
      </c>
      <c r="AF22" s="535">
        <f t="shared" si="12"/>
        <v>0.48105599072400007</v>
      </c>
      <c r="AH22" s="536">
        <f>IF(B22=0,0,VLOOKUP(B22,FREQUENCIAS!$1:$1048576,(IF(($A22=FREQUENCIAS!$L$1),12,"ERRO")),FREQUENCIAS!$1:$1048576))</f>
        <v>0.14096400000000001</v>
      </c>
      <c r="AI22" s="536"/>
      <c r="AJ22" s="536"/>
      <c r="AK22" s="537">
        <f t="shared" si="13"/>
        <v>0.14096400000000001</v>
      </c>
      <c r="AL22" s="536">
        <f>IF(C22=0,0,VLOOKUP(C22,FREQUENCIAS!$1:$1048576,(IF(($A22=FREQUENCIAS!$L$1),12,"ERRO")),FREQUENCIAS!$1:$1048576))</f>
        <v>0.16545399999999999</v>
      </c>
      <c r="AM22" s="536"/>
      <c r="AN22" s="536"/>
      <c r="AO22" s="537">
        <f t="shared" si="14"/>
        <v>0.16545399999999999</v>
      </c>
      <c r="AV22" s="551">
        <f>IF(B22=0,0,VLOOKUP(B22,FREQUENCIAS!$1:$1048576,(IF(($A22=FREQUENCIAS!$L$1),12,"ERRO")),FREQUENCIAS!$1:$1048576))</f>
        <v>0.14096400000000001</v>
      </c>
      <c r="AW22" s="551">
        <f>IF(C22=0,0,VLOOKUP(C22,FREQUENCIAS!$1:$1048576,(IF(($A22=FREQUENCIAS!$L$1),12,"ERRO")),FREQUENCIAS!$1:$1048576))</f>
        <v>0.16545399999999999</v>
      </c>
      <c r="AX22" s="551">
        <f>IF(D22=0,0,VLOOKUP(D22,FREQUENCIAS!$1:$1048576,(IF(($A22=FREQUENCIAS!$L$1),12,"ERRO")),FREQUENCIAS!$1:$1048576))</f>
        <v>0.16545399999999999</v>
      </c>
      <c r="AY22" s="551">
        <f>IF(E22=0,0,VLOOKUP(E22,FREQUENCIAS!$1:$1048576,(IF(($A22=FREQUENCIAS!$L$1),12,"ERRO")),FREQUENCIAS!$1:$1048576))</f>
        <v>0.16545399999999999</v>
      </c>
      <c r="BD22" s="485">
        <f t="shared" si="18"/>
        <v>0</v>
      </c>
      <c r="BE22" s="485">
        <f t="shared" si="19"/>
        <v>0</v>
      </c>
      <c r="BF22" s="539">
        <f t="shared" si="15"/>
        <v>3.0219879845757736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6</v>
      </c>
      <c r="C23" s="645">
        <f>'IMPORTAÇÃO GENOTIPER'!AQ16</f>
        <v>6</v>
      </c>
      <c r="D23" s="645">
        <f>'IMPORTAÇÃO GENOTIPER'!AY16</f>
        <v>6</v>
      </c>
      <c r="E23" s="646">
        <f>'IMPORTAÇÃO GENOTIPER'!BG16</f>
        <v>9.3000000000000007</v>
      </c>
      <c r="F23" s="541">
        <f t="shared" si="0"/>
        <v>6</v>
      </c>
      <c r="G23" s="541">
        <f t="shared" si="1"/>
        <v>6</v>
      </c>
      <c r="H23" s="541">
        <f t="shared" si="2"/>
        <v>6</v>
      </c>
      <c r="I23" s="541">
        <f t="shared" si="3"/>
        <v>9.3000000000000007</v>
      </c>
      <c r="J23" s="542"/>
      <c r="K23" s="542"/>
      <c r="L23" s="542"/>
      <c r="M23" s="543"/>
      <c r="N23" s="542">
        <f t="shared" si="4"/>
        <v>6</v>
      </c>
      <c r="O23" s="542">
        <f t="shared" si="5"/>
        <v>0</v>
      </c>
      <c r="P23" s="544">
        <f t="shared" si="6"/>
        <v>6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0.21123800000000001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0.21123800000000001</v>
      </c>
      <c r="Y23" s="549">
        <f t="shared" si="16"/>
        <v>2.3669983620371333</v>
      </c>
      <c r="Z23" s="532">
        <f t="shared" si="17"/>
        <v>0.70299955851627727</v>
      </c>
      <c r="AA23" s="533"/>
      <c r="AB23" s="550" t="str">
        <f t="shared" si="9"/>
        <v>1 / 2F</v>
      </c>
      <c r="AC23" s="485">
        <f t="shared" si="10"/>
        <v>1.1834991810185667</v>
      </c>
      <c r="AE23" s="485" t="str">
        <f t="shared" si="11"/>
        <v>1 / 4F</v>
      </c>
      <c r="AF23" s="535">
        <f t="shared" si="12"/>
        <v>0.62214549264399999</v>
      </c>
      <c r="AH23" s="536">
        <f>IF(B23=0,0,VLOOKUP(B23,FREQUENCIAS!$1:$1048576,(IF(($A23=FREQUENCIAS!$M$1),13,"ERRO")),FREQUENCIAS!$1:$1048576))</f>
        <v>0.21123800000000001</v>
      </c>
      <c r="AI23" s="536"/>
      <c r="AJ23" s="536"/>
      <c r="AK23" s="537">
        <f t="shared" si="13"/>
        <v>0.21123800000000001</v>
      </c>
      <c r="AL23" s="536">
        <f>IF(C23=0,0,VLOOKUP(C23,FREQUENCIAS!$1:$1048576,(IF(($A23=FREQUENCIAS!$M$1),13,"ERRO")),FREQUENCIAS!$1:$1048576))</f>
        <v>0.21123800000000001</v>
      </c>
      <c r="AM23" s="536"/>
      <c r="AN23" s="536"/>
      <c r="AO23" s="537">
        <f t="shared" si="14"/>
        <v>0.21123800000000001</v>
      </c>
      <c r="AV23" s="551">
        <f>IF(B23=0,0,VLOOKUP(B23,FREQUENCIAS!$1:$1048576,(IF(($A23=FREQUENCIAS!$M$1),13,"ERRO")),FREQUENCIAS!$1:$1048576))</f>
        <v>0.21123800000000001</v>
      </c>
      <c r="AW23" s="551">
        <f>IF(C23=0,0,VLOOKUP(C23,FREQUENCIAS!$1:$1048576,(IF(($A23=FREQUENCIAS!$M$1),13,"ERRO")),FREQUENCIAS!$1:$1048576))</f>
        <v>0.21123800000000001</v>
      </c>
      <c r="AX23" s="551">
        <f>IF(D23=0,0,VLOOKUP(D23,FREQUENCIAS!$1:$1048576,(IF(($A23=FREQUENCIAS!$M$1),13,"ERRO")),FREQUENCIAS!$1:$1048576))</f>
        <v>0.21123800000000001</v>
      </c>
      <c r="AY23" s="551">
        <f>IF(E23=0,0,VLOOKUP(E23,FREQUENCIAS!$1:$1048576,(IF(($A23=FREQUENCIAS!$M$1),13,"ERRO")),FREQUENCIAS!$1:$1048576))</f>
        <v>0.226159</v>
      </c>
      <c r="BD23" s="485">
        <f t="shared" si="18"/>
        <v>0</v>
      </c>
      <c r="BE23" s="485">
        <f t="shared" si="19"/>
        <v>0</v>
      </c>
      <c r="BF23" s="539">
        <f t="shared" si="15"/>
        <v>2.3669983620371333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17</v>
      </c>
      <c r="C24" s="645">
        <f>'IMPORTAÇÃO GENOTIPER'!AQ17</f>
        <v>17</v>
      </c>
      <c r="D24" s="645">
        <f>'IMPORTAÇÃO GENOTIPER'!AY17</f>
        <v>14</v>
      </c>
      <c r="E24" s="646">
        <f>'IMPORTAÇÃO GENOTIPER'!BG17</f>
        <v>17</v>
      </c>
      <c r="F24" s="541">
        <f t="shared" si="0"/>
        <v>17</v>
      </c>
      <c r="G24" s="541">
        <f t="shared" si="1"/>
        <v>17</v>
      </c>
      <c r="H24" s="541">
        <f t="shared" si="2"/>
        <v>14</v>
      </c>
      <c r="I24" s="541">
        <f t="shared" si="3"/>
        <v>17</v>
      </c>
      <c r="J24" s="542"/>
      <c r="K24" s="542"/>
      <c r="L24" s="542"/>
      <c r="M24" s="543"/>
      <c r="N24" s="542">
        <f t="shared" si="4"/>
        <v>0</v>
      </c>
      <c r="O24" s="542">
        <f t="shared" si="5"/>
        <v>17</v>
      </c>
      <c r="P24" s="544">
        <f t="shared" si="6"/>
        <v>0</v>
      </c>
      <c r="Q24" s="545">
        <f t="shared" si="7"/>
        <v>17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0.25484400000000001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0.25484400000000001</v>
      </c>
      <c r="Y24" s="549">
        <f t="shared" si="16"/>
        <v>1.9619845866490873</v>
      </c>
      <c r="Z24" s="532">
        <f t="shared" si="17"/>
        <v>0.66238852001208193</v>
      </c>
      <c r="AA24" s="533"/>
      <c r="AB24" s="550" t="str">
        <f t="shared" si="9"/>
        <v>1 / 2F</v>
      </c>
      <c r="AC24" s="485">
        <f t="shared" si="10"/>
        <v>0.98099229332454363</v>
      </c>
      <c r="AE24" s="485" t="str">
        <f t="shared" si="11"/>
        <v>1 / 4F</v>
      </c>
      <c r="AF24" s="535">
        <f t="shared" si="12"/>
        <v>0.55525746433599987</v>
      </c>
      <c r="AH24" s="536">
        <f>IF(B24=0,0,VLOOKUP(B24,FREQUENCIAS!$1:$1048576,(IF(($A24=FREQUENCIAS!$N$1),14,"ERRO")),FREQUENCIAS!$1:$1048576))</f>
        <v>0.25484400000000001</v>
      </c>
      <c r="AI24" s="536"/>
      <c r="AJ24" s="536"/>
      <c r="AK24" s="537">
        <f t="shared" si="13"/>
        <v>0.25484400000000001</v>
      </c>
      <c r="AL24" s="536">
        <f>IF(C24=0,0,VLOOKUP(C24,FREQUENCIAS!$1:$1048576,(IF(($A24=FREQUENCIAS!$N$1),14,"ERRO")),FREQUENCIAS!$1:$1048576))</f>
        <v>0.25484400000000001</v>
      </c>
      <c r="AM24" s="536"/>
      <c r="AN24" s="536"/>
      <c r="AO24" s="537">
        <f t="shared" si="14"/>
        <v>0.25484400000000001</v>
      </c>
      <c r="AV24" s="551">
        <f>IF(B24=0,0,VLOOKUP(B24,FREQUENCIAS!$1:$1048576,(IF(($A24=FREQUENCIAS!$N$1),14,"ERRO")),FREQUENCIAS!$1:$1048576))</f>
        <v>0.25484400000000001</v>
      </c>
      <c r="AW24" s="551">
        <f>IF(C24=0,0,VLOOKUP(C24,FREQUENCIAS!$1:$1048576,(IF(($A24=FREQUENCIAS!$N$1),14,"ERRO")),FREQUENCIAS!$1:$1048576))</f>
        <v>0.25484400000000001</v>
      </c>
      <c r="AX24" s="551">
        <f>IF(D24=0,0,VLOOKUP(D24,FREQUENCIAS!$1:$1048576,(IF(($A24=FREQUENCIAS!$N$1),14,"ERRO")),FREQUENCIAS!$1:$1048576))</f>
        <v>8.4447999999999995E-2</v>
      </c>
      <c r="AY24" s="551">
        <f>IF(E24=0,0,VLOOKUP(E24,FREQUENCIAS!$1:$1048576,(IF(($A24=FREQUENCIAS!$N$1),14,"ERRO")),FREQUENCIAS!$1:$1048576))</f>
        <v>0.25484400000000001</v>
      </c>
      <c r="BD24" s="485">
        <f t="shared" si="18"/>
        <v>0</v>
      </c>
      <c r="BE24" s="485">
        <f t="shared" si="19"/>
        <v>0</v>
      </c>
      <c r="BF24" s="539">
        <f t="shared" si="15"/>
        <v>1.9619845866490873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29</v>
      </c>
      <c r="C25" s="645">
        <f>'IMPORTAÇÃO GENOTIPER'!AQ18</f>
        <v>32.200000000000003</v>
      </c>
      <c r="D25" s="645">
        <f>'IMPORTAÇÃO GENOTIPER'!AY18</f>
        <v>29</v>
      </c>
      <c r="E25" s="646">
        <f>'IMPORTAÇÃO GENOTIPER'!BG18</f>
        <v>32.200000000000003</v>
      </c>
      <c r="F25" s="541">
        <f t="shared" si="0"/>
        <v>29</v>
      </c>
      <c r="G25" s="541">
        <f t="shared" si="1"/>
        <v>32.200000000000003</v>
      </c>
      <c r="H25" s="541">
        <f t="shared" si="2"/>
        <v>29</v>
      </c>
      <c r="I25" s="541">
        <f t="shared" si="3"/>
        <v>32.200000000000003</v>
      </c>
      <c r="J25" s="542"/>
      <c r="K25" s="542"/>
      <c r="L25" s="542"/>
      <c r="M25" s="543"/>
      <c r="N25" s="542">
        <f t="shared" si="4"/>
        <v>29</v>
      </c>
      <c r="O25" s="542">
        <f t="shared" si="5"/>
        <v>32.200000000000003</v>
      </c>
      <c r="P25" s="544">
        <f t="shared" si="6"/>
        <v>29</v>
      </c>
      <c r="Q25" s="545">
        <f t="shared" si="7"/>
        <v>32.200000000000003</v>
      </c>
      <c r="R25" s="546"/>
      <c r="S25" s="546"/>
      <c r="T25" s="527">
        <f>IF(P25=0,0,VLOOKUP(P25,FREQUENCIAS!1:1048576,(IF(($A25=FREQUENCIAS!$O$1),15,"ERRO")),FREQUENCIAS!1:1048576))</f>
        <v>0.20807800000000001</v>
      </c>
      <c r="U25" s="527">
        <f>IF(Q25=0,0,VLOOKUP(Q25,FREQUENCIAS!1:1048576,(IF(($A25=FREQUENCIAS!$O$1),15,"ERRO")),FREQUENCIAS!1:1048576))</f>
        <v>7.5126999999999999E-2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0.28320500000000004</v>
      </c>
      <c r="Y25" s="549">
        <f t="shared" si="16"/>
        <v>4.5291709553837247</v>
      </c>
      <c r="Z25" s="532">
        <f t="shared" si="17"/>
        <v>0.8191410596508496</v>
      </c>
      <c r="AA25" s="533"/>
      <c r="AB25" s="550" t="str">
        <f t="shared" si="9"/>
        <v>F/(4pq)</v>
      </c>
      <c r="AC25" s="485">
        <f t="shared" si="10"/>
        <v>0.88275277625748116</v>
      </c>
      <c r="AE25" s="485" t="str">
        <f t="shared" si="11"/>
        <v>1 / 4F</v>
      </c>
      <c r="AF25" s="535">
        <f t="shared" si="12"/>
        <v>0.51379507202499997</v>
      </c>
      <c r="AH25" s="536">
        <f>IF(B25=0,0,VLOOKUP(B25,FREQUENCIAS!$1:$1048576,(IF(($A25=FREQUENCIAS!$O$1),15,"ERRO")),FREQUENCIAS!$1:$1048576))</f>
        <v>0.20807800000000001</v>
      </c>
      <c r="AI25" s="536"/>
      <c r="AJ25" s="536"/>
      <c r="AK25" s="537">
        <f t="shared" si="13"/>
        <v>0.20807800000000001</v>
      </c>
      <c r="AL25" s="536">
        <f>IF(C25=0,0,VLOOKUP(C25,FREQUENCIAS!$1:$1048576,(IF(($A25=FREQUENCIAS!$O$1),15,"ERRO")),FREQUENCIAS!$1:$1048576))</f>
        <v>7.5126999999999999E-2</v>
      </c>
      <c r="AM25" s="536"/>
      <c r="AN25" s="536"/>
      <c r="AO25" s="537">
        <f t="shared" si="14"/>
        <v>7.5126999999999999E-2</v>
      </c>
      <c r="AV25" s="551">
        <f>IF(B25=0,0,VLOOKUP(B25,FREQUENCIAS!$1:$1048576,(IF(($A25=FREQUENCIAS!$O$1),15,"ERRO")),FREQUENCIAS!$1:$1048576))</f>
        <v>0.20807800000000001</v>
      </c>
      <c r="AW25" s="551">
        <f>IF(C25=0,0,VLOOKUP(C25,FREQUENCIAS!$1:$1048576,(IF(($A25=FREQUENCIAS!$O$1),15,"ERRO")),FREQUENCIAS!$1:$1048576))</f>
        <v>7.5126999999999999E-2</v>
      </c>
      <c r="AX25" s="551">
        <f>IF(D25=0,0,VLOOKUP(D25,FREQUENCIAS!$1:$1048576,(IF(($A25=FREQUENCIAS!$O$1),15,"ERRO")),FREQUENCIAS!$1:$1048576))</f>
        <v>0.20807800000000001</v>
      </c>
      <c r="AY25" s="551">
        <f>IF(E25=0,0,VLOOKUP(E25,FREQUENCIAS!$1:$1048576,(IF(($A25=FREQUENCIAS!$O$1),15,"ERRO")),FREQUENCIAS!$1:$1048576))</f>
        <v>7.5126999999999999E-2</v>
      </c>
      <c r="BD25" s="485">
        <f t="shared" si="18"/>
        <v>1</v>
      </c>
      <c r="BE25" s="485">
        <f t="shared" si="19"/>
        <v>0</v>
      </c>
      <c r="BF25" s="539">
        <f t="shared" si="15"/>
        <v>4.5291709553837247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11</v>
      </c>
      <c r="C26" s="645">
        <f>'IMPORTAÇÃO GENOTIPER'!AQ19</f>
        <v>11</v>
      </c>
      <c r="D26" s="645">
        <f>'IMPORTAÇÃO GENOTIPER'!AY19</f>
        <v>9</v>
      </c>
      <c r="E26" s="646">
        <f>'IMPORTAÇÃO GENOTIPER'!BG19</f>
        <v>11</v>
      </c>
      <c r="F26" s="541">
        <f t="shared" si="0"/>
        <v>11</v>
      </c>
      <c r="G26" s="541">
        <f t="shared" si="1"/>
        <v>11</v>
      </c>
      <c r="H26" s="541">
        <f t="shared" si="2"/>
        <v>9</v>
      </c>
      <c r="I26" s="541">
        <f t="shared" si="3"/>
        <v>11</v>
      </c>
      <c r="J26" s="542"/>
      <c r="K26" s="542"/>
      <c r="L26" s="542"/>
      <c r="M26" s="543"/>
      <c r="N26" s="542">
        <f t="shared" si="4"/>
        <v>0</v>
      </c>
      <c r="O26" s="542">
        <f t="shared" si="5"/>
        <v>11</v>
      </c>
      <c r="P26" s="544">
        <f t="shared" si="6"/>
        <v>0</v>
      </c>
      <c r="Q26" s="545">
        <f t="shared" si="7"/>
        <v>11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0.23635999999999999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0.23635999999999999</v>
      </c>
      <c r="Y26" s="549">
        <f t="shared" si="16"/>
        <v>2.1154171602640042</v>
      </c>
      <c r="Z26" s="532">
        <f t="shared" si="17"/>
        <v>0.6790156988429572</v>
      </c>
      <c r="AA26" s="555"/>
      <c r="AB26" s="550" t="str">
        <f t="shared" si="9"/>
        <v>1 / 2F</v>
      </c>
      <c r="AC26" s="485">
        <f t="shared" si="10"/>
        <v>1.0577085801320021</v>
      </c>
      <c r="AD26" s="485" t="s">
        <v>339</v>
      </c>
      <c r="AE26" s="485" t="str">
        <f t="shared" si="11"/>
        <v>1 / 4F</v>
      </c>
      <c r="AF26" s="535">
        <f t="shared" si="12"/>
        <v>0.58314604959999994</v>
      </c>
      <c r="AH26" s="536">
        <f>IF(B26=0,0,VLOOKUP(B26,FREQUENCIAS!$1:$1048576,(IF(($A26=FREQUENCIAS!$P$1),16,"ERRO")),FREQUENCIAS!$1:$1048576))</f>
        <v>0.23635999999999999</v>
      </c>
      <c r="AI26" s="536"/>
      <c r="AJ26" s="536"/>
      <c r="AK26" s="537">
        <f t="shared" si="13"/>
        <v>0.23635999999999999</v>
      </c>
      <c r="AL26" s="536">
        <f>IF(C26=0,0,VLOOKUP(C26,FREQUENCIAS!$1:$1048576,(IF(($A26=FREQUENCIAS!$P$1),16,"ERRO")),FREQUENCIAS!$1:$1048576))</f>
        <v>0.23635999999999999</v>
      </c>
      <c r="AM26" s="536"/>
      <c r="AN26" s="536"/>
      <c r="AO26" s="537">
        <f t="shared" si="14"/>
        <v>0.23635999999999999</v>
      </c>
      <c r="AV26" s="551">
        <f>IF(B26=0,0,VLOOKUP(B26,FREQUENCIAS!$1:$1048576,(IF(($A26=FREQUENCIAS!$P$1),16,"ERRO")),FREQUENCIAS!$1:$1048576))</f>
        <v>0.23635999999999999</v>
      </c>
      <c r="AW26" s="551">
        <f>IF(C26=0,0,VLOOKUP(C26,FREQUENCIAS!$1:$1048576,(IF(($A26=FREQUENCIAS!$P$1),16,"ERRO")),FREQUENCIAS!$1:$1048576))</f>
        <v>0.23635999999999999</v>
      </c>
      <c r="AX26" s="551">
        <f>IF(D26=0,0,VLOOKUP(D26,FREQUENCIAS!$1:$1048576,(IF(($A26=FREQUENCIAS!$P$1),16,"ERRO")),FREQUENCIAS!$1:$1048576))</f>
        <v>0.12053</v>
      </c>
      <c r="AY26" s="551">
        <f>IF(E26=0,0,VLOOKUP(E26,FREQUENCIAS!$1:$1048576,(IF(($A26=FREQUENCIAS!$P$1),16,"ERRO")),FREQUENCIAS!$1:$1048576))</f>
        <v>0.23635999999999999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0</v>
      </c>
      <c r="BE26" s="485">
        <f t="shared" si="19"/>
        <v>0</v>
      </c>
      <c r="BF26" s="539">
        <f t="shared" si="15"/>
        <v>2.1154171602640042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11</v>
      </c>
      <c r="C27" s="645">
        <f>'IMPORTAÇÃO GENOTIPER'!AQ20</f>
        <v>11</v>
      </c>
      <c r="D27" s="645">
        <f>'IMPORTAÇÃO GENOTIPER'!AY20</f>
        <v>11</v>
      </c>
      <c r="E27" s="646">
        <f>'IMPORTAÇÃO GENOTIPER'!BG20</f>
        <v>11</v>
      </c>
      <c r="F27" s="541">
        <f t="shared" si="0"/>
        <v>11</v>
      </c>
      <c r="G27" s="541">
        <f t="shared" si="1"/>
        <v>11</v>
      </c>
      <c r="H27" s="541">
        <f t="shared" si="2"/>
        <v>11</v>
      </c>
      <c r="I27" s="541">
        <f t="shared" si="3"/>
        <v>11</v>
      </c>
      <c r="J27" s="542"/>
      <c r="K27" s="542"/>
      <c r="L27" s="542"/>
      <c r="M27" s="543"/>
      <c r="N27" s="542">
        <f t="shared" si="4"/>
        <v>11</v>
      </c>
      <c r="O27" s="542">
        <f t="shared" si="5"/>
        <v>0</v>
      </c>
      <c r="P27" s="544">
        <f t="shared" si="6"/>
        <v>11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0.32906299999999999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0.32906299999999999</v>
      </c>
      <c r="Y27" s="549">
        <f t="shared" si="16"/>
        <v>3.0389317547095844</v>
      </c>
      <c r="Z27" s="532">
        <f t="shared" si="17"/>
        <v>0.75240978042425377</v>
      </c>
      <c r="AA27" s="556"/>
      <c r="AB27" s="550" t="str">
        <f t="shared" si="9"/>
        <v>1 / F</v>
      </c>
      <c r="AC27" s="485">
        <f t="shared" si="10"/>
        <v>3.0389317547095844</v>
      </c>
      <c r="AD27" s="485" t="s">
        <v>339</v>
      </c>
      <c r="AE27" s="485" t="str">
        <f t="shared" si="11"/>
        <v>1 / F</v>
      </c>
      <c r="AF27" s="535">
        <f t="shared" si="12"/>
        <v>0.450156457969</v>
      </c>
      <c r="AH27" s="536">
        <f>IF(B27=0,0,VLOOKUP(B27,FREQUENCIAS!$1:$1048576,(IF(($A27=FREQUENCIAS!$Q$1),17,"ERRO")),FREQUENCIAS!$1:$1048576))</f>
        <v>0.32906299999999999</v>
      </c>
      <c r="AI27" s="536"/>
      <c r="AJ27" s="536"/>
      <c r="AK27" s="537">
        <f t="shared" si="13"/>
        <v>0.32906299999999999</v>
      </c>
      <c r="AL27" s="536">
        <f>IF(C27=0,0,VLOOKUP(C27,FREQUENCIAS!$1:$1048576,(IF(($A27=FREQUENCIAS!$Q$1),17,"ERRO")),FREQUENCIAS!$1:$1048576))</f>
        <v>0.32906299999999999</v>
      </c>
      <c r="AM27" s="536"/>
      <c r="AN27" s="536"/>
      <c r="AO27" s="537">
        <f t="shared" si="14"/>
        <v>0.32906299999999999</v>
      </c>
      <c r="AV27" s="551">
        <f>IF(B27=0,0,VLOOKUP(B27,FREQUENCIAS!$1:$1048576,(IF(($A27=FREQUENCIAS!$Q$1),17,"ERRO")),FREQUENCIAS!$1:$1048576))</f>
        <v>0.32906299999999999</v>
      </c>
      <c r="AW27" s="551">
        <f>IF(C27=0,0,VLOOKUP(C27,FREQUENCIAS!$1:$1048576,(IF(($A27=FREQUENCIAS!$Q$1),17,"ERRO")),FREQUENCIAS!$1:$1048576))</f>
        <v>0.32906299999999999</v>
      </c>
      <c r="AX27" s="551">
        <f>IF(D27=0,0,VLOOKUP(D27,FREQUENCIAS!$1:$1048576,(IF(($A27=FREQUENCIAS!$Q$1),17,"ERRO")),FREQUENCIAS!$1:$1048576))</f>
        <v>0.32906299999999999</v>
      </c>
      <c r="AY27" s="551">
        <f>IF(E27=0,0,VLOOKUP(E27,FREQUENCIAS!$1:$1048576,(IF(($A27=FREQUENCIAS!$Q$1),17,"ERRO")),FREQUENCIAS!$1:$1048576))</f>
        <v>0.32906299999999999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1</v>
      </c>
      <c r="BE27" s="485">
        <f t="shared" si="19"/>
        <v>0</v>
      </c>
      <c r="BF27" s="539">
        <f t="shared" si="15"/>
        <v>3.0389317547095844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12</v>
      </c>
      <c r="D28" s="645">
        <f>'IMPORTAÇÃO GENOTIPER'!AY21</f>
        <v>9</v>
      </c>
      <c r="E28" s="646">
        <f>'IMPORTAÇÃO GENOTIPER'!BG21</f>
        <v>12</v>
      </c>
      <c r="F28" s="541">
        <f t="shared" si="0"/>
        <v>8</v>
      </c>
      <c r="G28" s="541">
        <f t="shared" si="1"/>
        <v>12</v>
      </c>
      <c r="H28" s="541">
        <f t="shared" si="2"/>
        <v>9</v>
      </c>
      <c r="I28" s="541">
        <f t="shared" si="3"/>
        <v>12</v>
      </c>
      <c r="J28" s="542"/>
      <c r="K28" s="542"/>
      <c r="L28" s="542"/>
      <c r="M28" s="543"/>
      <c r="N28" s="542">
        <f t="shared" si="4"/>
        <v>0</v>
      </c>
      <c r="O28" s="542">
        <f t="shared" si="5"/>
        <v>12</v>
      </c>
      <c r="P28" s="544">
        <f t="shared" si="6"/>
        <v>0</v>
      </c>
      <c r="Q28" s="545">
        <f t="shared" si="7"/>
        <v>12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4.8122999999999999E-2</v>
      </c>
      <c r="V28" s="547"/>
      <c r="W28" s="529" t="str">
        <f t="shared" si="8"/>
        <v>OK</v>
      </c>
      <c r="X28" s="548">
        <f t="shared" si="20"/>
        <v>0.05</v>
      </c>
      <c r="Y28" s="549">
        <f t="shared" si="16"/>
        <v>5</v>
      </c>
      <c r="Z28" s="532">
        <f t="shared" si="17"/>
        <v>0.83333333333333337</v>
      </c>
      <c r="AA28" s="556"/>
      <c r="AB28" s="550" t="str">
        <f t="shared" si="9"/>
        <v>1 / 4F</v>
      </c>
      <c r="AC28" s="485">
        <f t="shared" si="10"/>
        <v>5</v>
      </c>
      <c r="AD28" s="485" t="s">
        <v>339</v>
      </c>
      <c r="AE28" s="485" t="str">
        <f t="shared" si="11"/>
        <v>1 / 4F</v>
      </c>
      <c r="AF28" s="535">
        <f t="shared" si="12"/>
        <v>0.24603088022499997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4.8122999999999999E-2</v>
      </c>
      <c r="AM28" s="536"/>
      <c r="AN28" s="536"/>
      <c r="AO28" s="537">
        <f t="shared" si="14"/>
        <v>4.8122999999999999E-2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4.8122999999999999E-2</v>
      </c>
      <c r="AX28" s="551">
        <f>IF(D28=0,0,VLOOKUP(D28,FREQUENCIAS!$1:$1048576,(IF(($A28=FREQUENCIAS!$R$1),18,"ERRO")),FREQUENCIAS!$1:$1048576))</f>
        <v>0.12411700000000001</v>
      </c>
      <c r="AY28" s="551">
        <f>IF(E28=0,0,VLOOKUP(E28,FREQUENCIAS!$1:$1048576,(IF(($A28=FREQUENCIAS!$R$1),18,"ERRO")),FREQUENCIAS!$1:$1048576))</f>
        <v>4.8122999999999999E-2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0</v>
      </c>
      <c r="BF28" s="539">
        <f t="shared" si="15"/>
        <v>5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13</v>
      </c>
      <c r="C29" s="645">
        <f>'IMPORTAÇÃO GENOTIPER'!AQ22</f>
        <v>14</v>
      </c>
      <c r="D29" s="645">
        <f>'IMPORTAÇÃO GENOTIPER'!AY22</f>
        <v>13</v>
      </c>
      <c r="E29" s="646">
        <f>'IMPORTAÇÃO GENOTIPER'!BG22</f>
        <v>13</v>
      </c>
      <c r="F29" s="541">
        <f t="shared" si="0"/>
        <v>13</v>
      </c>
      <c r="G29" s="541">
        <f t="shared" si="1"/>
        <v>14</v>
      </c>
      <c r="H29" s="541">
        <f t="shared" si="2"/>
        <v>13</v>
      </c>
      <c r="I29" s="541">
        <f t="shared" si="3"/>
        <v>13</v>
      </c>
      <c r="J29" s="542"/>
      <c r="K29" s="542"/>
      <c r="L29" s="542"/>
      <c r="M29" s="543"/>
      <c r="N29" s="542">
        <f t="shared" si="4"/>
        <v>13</v>
      </c>
      <c r="O29" s="542">
        <f t="shared" si="5"/>
        <v>0</v>
      </c>
      <c r="P29" s="544">
        <f t="shared" si="6"/>
        <v>13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0.27866200000000002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0.27866200000000002</v>
      </c>
      <c r="Y29" s="549">
        <f t="shared" si="16"/>
        <v>1.7942884210979608</v>
      </c>
      <c r="Z29" s="532">
        <f t="shared" si="17"/>
        <v>0.64212713603591798</v>
      </c>
      <c r="AA29" s="556"/>
      <c r="AB29" s="550" t="str">
        <f t="shared" si="9"/>
        <v>1 / 2F</v>
      </c>
      <c r="AC29" s="485">
        <f t="shared" si="10"/>
        <v>0.89714421054898041</v>
      </c>
      <c r="AD29" s="485" t="s">
        <v>339</v>
      </c>
      <c r="AE29" s="485" t="str">
        <f t="shared" si="11"/>
        <v>1 / 4F</v>
      </c>
      <c r="AF29" s="535">
        <f t="shared" si="12"/>
        <v>0.22134013902399999</v>
      </c>
      <c r="AH29" s="536">
        <f>IF(B29=0,0,VLOOKUP(B29,FREQUENCIAS!$1:$1048576,(IF(($A29=FREQUENCIAS!$S$1),19,"ERRO")),FREQUENCIAS!$1:$1048576))</f>
        <v>0.27866200000000002</v>
      </c>
      <c r="AI29" s="536"/>
      <c r="AJ29" s="536"/>
      <c r="AK29" s="537">
        <f t="shared" si="13"/>
        <v>0.27866200000000002</v>
      </c>
      <c r="AL29" s="536">
        <f>IF(C29=0,0,VLOOKUP(C29,FREQUENCIAS!$1:$1048576,(IF(($A29=FREQUENCIAS!$S$1),19,"ERRO")),FREQUENCIAS!$1:$1048576))</f>
        <v>0.25086999999999998</v>
      </c>
      <c r="AM29" s="536"/>
      <c r="AN29" s="536"/>
      <c r="AO29" s="537">
        <f t="shared" si="14"/>
        <v>0.25086999999999998</v>
      </c>
      <c r="AV29" s="551">
        <f>IF(B29=0,0,VLOOKUP(B29,FREQUENCIAS!$1:$1048576,(IF(($A29=FREQUENCIAS!$S$1),19,"ERRO")),FREQUENCIAS!$1:$1048576))</f>
        <v>0.27866200000000002</v>
      </c>
      <c r="AW29" s="551">
        <f>IF(C29=0,0,VLOOKUP(C29,FREQUENCIAS!$1:$1048576,(IF(($A29=FREQUENCIAS!$S$1),19,"ERRO")),FREQUENCIAS!$1:$1048576))</f>
        <v>0.25086999999999998</v>
      </c>
      <c r="AX29" s="551">
        <f>IF(D29=0,0,VLOOKUP(D29,FREQUENCIAS!$1:$1048576,(IF(($A29=FREQUENCIAS!$S$1),19,"ERRO")),FREQUENCIAS!$1:$1048576))</f>
        <v>0.27866200000000002</v>
      </c>
      <c r="AY29" s="551">
        <f>IF(E29=0,0,VLOOKUP(E29,FREQUENCIAS!$1:$1048576,(IF(($A29=FREQUENCIAS!$S$1),19,"ERRO")),FREQUENCIAS!$1:$1048576))</f>
        <v>0.27866200000000002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0</v>
      </c>
      <c r="BE29" s="485">
        <f t="shared" si="19"/>
        <v>0</v>
      </c>
      <c r="BF29" s="539">
        <f t="shared" si="15"/>
        <v>1.7942884210979608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19</v>
      </c>
      <c r="C30" s="645">
        <f>'IMPORTAÇÃO GENOTIPER'!AQ23</f>
        <v>22</v>
      </c>
      <c r="D30" s="645">
        <f>'IMPORTAÇÃO GENOTIPER'!AY23</f>
        <v>17.3</v>
      </c>
      <c r="E30" s="646">
        <f>'IMPORTAÇÃO GENOTIPER'!BG23</f>
        <v>19</v>
      </c>
      <c r="F30" s="541">
        <f t="shared" si="0"/>
        <v>19</v>
      </c>
      <c r="G30" s="541">
        <f t="shared" si="1"/>
        <v>22</v>
      </c>
      <c r="H30" s="541">
        <f t="shared" si="2"/>
        <v>17.3</v>
      </c>
      <c r="I30" s="541">
        <f t="shared" si="3"/>
        <v>19</v>
      </c>
      <c r="J30" s="542"/>
      <c r="K30" s="542"/>
      <c r="L30" s="542"/>
      <c r="M30" s="543"/>
      <c r="N30" s="542">
        <f t="shared" si="4"/>
        <v>0</v>
      </c>
      <c r="O30" s="542">
        <f t="shared" si="5"/>
        <v>19</v>
      </c>
      <c r="P30" s="544">
        <f t="shared" si="6"/>
        <v>0</v>
      </c>
      <c r="Q30" s="545">
        <f t="shared" si="7"/>
        <v>19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0.1699</v>
      </c>
      <c r="V30" s="547"/>
      <c r="W30" s="529" t="str">
        <f t="shared" si="8"/>
        <v>OK</v>
      </c>
      <c r="X30" s="548">
        <f t="shared" si="20"/>
        <v>0.1699</v>
      </c>
      <c r="Y30" s="549">
        <f t="shared" si="16"/>
        <v>1.4714537963507945</v>
      </c>
      <c r="Z30" s="532">
        <f t="shared" si="17"/>
        <v>0.5953798523457966</v>
      </c>
      <c r="AA30" s="556"/>
      <c r="AB30" s="550" t="str">
        <f t="shared" si="9"/>
        <v>1 / 4F</v>
      </c>
      <c r="AC30" s="485">
        <f t="shared" si="10"/>
        <v>1.4714537963507945</v>
      </c>
      <c r="AD30" s="485" t="s">
        <v>339</v>
      </c>
      <c r="AE30" s="485" t="str">
        <f t="shared" si="11"/>
        <v>1 / 4F</v>
      </c>
      <c r="AF30" s="535">
        <f t="shared" si="12"/>
        <v>0.58844240999999997</v>
      </c>
      <c r="AH30" s="536">
        <f>IF(B30=0,0,VLOOKUP(B30,FREQUENCIAS!$1:$1048576,(IF(($A30=FREQUENCIAS!$T$1),20,"ERRO")),FREQUENCIAS!$1:$1048576))</f>
        <v>0.1699</v>
      </c>
      <c r="AI30" s="536"/>
      <c r="AJ30" s="536"/>
      <c r="AK30" s="537">
        <f t="shared" si="13"/>
        <v>0.1699</v>
      </c>
      <c r="AL30" s="536">
        <f>IF(C30=0,0,VLOOKUP(C30,FREQUENCIAS!$1:$1048576,(IF(($A30=FREQUENCIAS!$T$1),20,"ERRO")),FREQUENCIAS!$1:$1048576))</f>
        <v>6.3E-2</v>
      </c>
      <c r="AM30" s="536"/>
      <c r="AN30" s="536"/>
      <c r="AO30" s="537">
        <f t="shared" si="14"/>
        <v>6.3E-2</v>
      </c>
      <c r="AV30" s="551">
        <f>IF(B30=0,0,VLOOKUP(B30,FREQUENCIAS!$1:$1048576,(IF(($A30=FREQUENCIAS!$T$1),20,"ERRO")),FREQUENCIAS!$1:$1048576))</f>
        <v>0.1699</v>
      </c>
      <c r="AW30" s="551">
        <f>IF(C30=0,0,VLOOKUP(C30,FREQUENCIAS!$1:$1048576,(IF(($A30=FREQUENCIAS!$T$1),20,"ERRO")),FREQUENCIAS!$1:$1048576))</f>
        <v>6.3E-2</v>
      </c>
      <c r="AX30" s="551">
        <f>IF(D30=0,0,VLOOKUP(D30,FREQUENCIAS!$1:$1048576,(IF(($A30=FREQUENCIAS!$T$1),20,"ERRO")),FREQUENCIAS!$1:$1048576))</f>
        <v>1.9199999999999998E-2</v>
      </c>
      <c r="AY30" s="551">
        <f>IF(E30=0,0,VLOOKUP(E30,FREQUENCIAS!$1:$1048576,(IF(($A30=FREQUENCIAS!$T$1),20,"ERRO")),FREQUENCIAS!$1:$1048576))</f>
        <v>0.1699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0</v>
      </c>
      <c r="BF30" s="539">
        <f t="shared" si="15"/>
        <v>1.4714537963507945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12</v>
      </c>
      <c r="C31" s="645">
        <f>'IMPORTAÇÃO GENOTIPER'!AQ24</f>
        <v>13</v>
      </c>
      <c r="D31" s="645">
        <f>'IMPORTAÇÃO GENOTIPER'!AY24</f>
        <v>12</v>
      </c>
      <c r="E31" s="646">
        <f>'IMPORTAÇÃO GENOTIPER'!BG24</f>
        <v>13</v>
      </c>
      <c r="F31" s="541">
        <f t="shared" si="0"/>
        <v>12</v>
      </c>
      <c r="G31" s="541">
        <f t="shared" si="1"/>
        <v>13</v>
      </c>
      <c r="H31" s="541">
        <f t="shared" si="2"/>
        <v>12</v>
      </c>
      <c r="I31" s="541">
        <f t="shared" si="3"/>
        <v>13</v>
      </c>
      <c r="J31" s="542"/>
      <c r="K31" s="542"/>
      <c r="L31" s="542"/>
      <c r="M31" s="543"/>
      <c r="N31" s="542">
        <f t="shared" si="4"/>
        <v>12</v>
      </c>
      <c r="O31" s="542">
        <f t="shared" si="5"/>
        <v>13</v>
      </c>
      <c r="P31" s="544">
        <f t="shared" si="6"/>
        <v>12</v>
      </c>
      <c r="Q31" s="545">
        <f t="shared" si="7"/>
        <v>13</v>
      </c>
      <c r="R31" s="546"/>
      <c r="S31" s="546"/>
      <c r="T31" s="527">
        <f>IF(P31=0,0,VLOOKUP(P31,FREQUENCIAS!1:1048576,(IF(($A31=FREQUENCIAS!$U$1),21,"ERRO")),FREQUENCIAS!1:1048576))</f>
        <v>0.10100000000000001</v>
      </c>
      <c r="U31" s="527">
        <f>IF(Q31=0,0,VLOOKUP(Q31,FREQUENCIAS!1:1048576,(IF(($A31=FREQUENCIAS!$U$1),21,"ERRO")),FREQUENCIAS!1:1048576))</f>
        <v>0.2369</v>
      </c>
      <c r="V31" s="547"/>
      <c r="W31" s="529" t="str">
        <f t="shared" si="8"/>
        <v>OK</v>
      </c>
      <c r="X31" s="548">
        <f t="shared" si="20"/>
        <v>0.33789999999999998</v>
      </c>
      <c r="Y31" s="549">
        <f t="shared" si="16"/>
        <v>3.5305451186739609</v>
      </c>
      <c r="Z31" s="532">
        <f t="shared" si="17"/>
        <v>0.77927600899984217</v>
      </c>
      <c r="AA31" s="556"/>
      <c r="AB31" s="550" t="str">
        <f t="shared" si="9"/>
        <v>F/(4pq)</v>
      </c>
      <c r="AC31" s="485">
        <f t="shared" si="10"/>
        <v>0.73986386504883106</v>
      </c>
      <c r="AD31" s="485" t="s">
        <v>339</v>
      </c>
      <c r="AE31" s="485" t="str">
        <f t="shared" si="11"/>
        <v>1 / 4F</v>
      </c>
      <c r="AF31" s="535">
        <f t="shared" si="12"/>
        <v>0.43837641000000005</v>
      </c>
      <c r="AH31" s="536">
        <f>IF(B31=0,0,VLOOKUP(B31,FREQUENCIAS!$1:$1048576,(IF(($A31=FREQUENCIAS!$U$1),21,"ERRO")),FREQUENCIAS!$1:$1048576))</f>
        <v>0.10100000000000001</v>
      </c>
      <c r="AI31" s="536"/>
      <c r="AJ31" s="536"/>
      <c r="AK31" s="537">
        <f t="shared" si="13"/>
        <v>0.10100000000000001</v>
      </c>
      <c r="AL31" s="536">
        <f>IF(C31=0,0,VLOOKUP(C31,FREQUENCIAS!$1:$1048576,(IF(($A31=FREQUENCIAS!$U$1),21,"ERRO")),FREQUENCIAS!$1:$1048576))</f>
        <v>0.2369</v>
      </c>
      <c r="AM31" s="536"/>
      <c r="AN31" s="536"/>
      <c r="AO31" s="537">
        <f t="shared" si="14"/>
        <v>0.2369</v>
      </c>
      <c r="AV31" s="551">
        <f>IF(B31=0,0,VLOOKUP(B31,FREQUENCIAS!$1:$1048576,(IF(($A31=FREQUENCIAS!$U$1),21,"ERRO")),FREQUENCIAS!$1:$1048576))</f>
        <v>0.10100000000000001</v>
      </c>
      <c r="AW31" s="551">
        <f>IF(C31=0,0,VLOOKUP(C31,FREQUENCIAS!$1:$1048576,(IF(($A31=FREQUENCIAS!$U$1),21,"ERRO")),FREQUENCIAS!$1:$1048576))</f>
        <v>0.2369</v>
      </c>
      <c r="AX31" s="551">
        <f>IF(D31=0,0,VLOOKUP(D31,FREQUENCIAS!$1:$1048576,(IF(($A31=FREQUENCIAS!$U$1),21,"ERRO")),FREQUENCIAS!$1:$1048576))</f>
        <v>0.10100000000000001</v>
      </c>
      <c r="AY31" s="551">
        <f>IF(E31=0,0,VLOOKUP(E31,FREQUENCIAS!$1:$1048576,(IF(($A31=FREQUENCIAS!$U$1),21,"ERRO")),FREQUENCIAS!$1:$1048576))</f>
        <v>0.2369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1</v>
      </c>
      <c r="BE31" s="485">
        <f t="shared" si="19"/>
        <v>0</v>
      </c>
      <c r="BF31" s="539">
        <f t="shared" si="15"/>
        <v>3.5305451186739609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21</v>
      </c>
      <c r="C32" s="645">
        <f>'IMPORTAÇÃO GENOTIPER'!AQ25</f>
        <v>24</v>
      </c>
      <c r="D32" s="645">
        <f>'IMPORTAÇÃO GENOTIPER'!AY25</f>
        <v>21</v>
      </c>
      <c r="E32" s="646">
        <f>'IMPORTAÇÃO GENOTIPER'!BG25</f>
        <v>21</v>
      </c>
      <c r="F32" s="541">
        <f t="shared" si="0"/>
        <v>21</v>
      </c>
      <c r="G32" s="541">
        <f t="shared" si="1"/>
        <v>24</v>
      </c>
      <c r="H32" s="541">
        <f t="shared" si="2"/>
        <v>21</v>
      </c>
      <c r="I32" s="541">
        <f t="shared" si="3"/>
        <v>21</v>
      </c>
      <c r="J32" s="542"/>
      <c r="K32" s="542"/>
      <c r="L32" s="542"/>
      <c r="M32" s="543"/>
      <c r="N32" s="542">
        <f t="shared" si="4"/>
        <v>21</v>
      </c>
      <c r="O32" s="542">
        <f t="shared" si="5"/>
        <v>0</v>
      </c>
      <c r="P32" s="544">
        <f t="shared" si="6"/>
        <v>21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0.15107999999999999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0.15107999999999999</v>
      </c>
      <c r="Y32" s="549">
        <f t="shared" si="16"/>
        <v>3.3095048980672495</v>
      </c>
      <c r="Z32" s="532">
        <f t="shared" si="17"/>
        <v>0.76795478282238738</v>
      </c>
      <c r="AA32" s="556"/>
      <c r="AB32" s="550" t="str">
        <f t="shared" si="9"/>
        <v>1 / 2F</v>
      </c>
      <c r="AC32" s="485">
        <f t="shared" si="10"/>
        <v>1.6547524490336247</v>
      </c>
      <c r="AD32" s="485" t="s">
        <v>339</v>
      </c>
      <c r="AE32" s="485" t="str">
        <f t="shared" si="11"/>
        <v>1 / 4F</v>
      </c>
      <c r="AF32" s="535">
        <f t="shared" si="12"/>
        <v>0.48718724814400005</v>
      </c>
      <c r="AH32" s="536">
        <f>IF(B32=0,0,VLOOKUP(B32,FREQUENCIAS!$1:$1048576,(IF(($A32=FREQUENCIAS!$V$1),22,"ERRO")),FREQUENCIAS!$1:$1048576))</f>
        <v>0.15107999999999999</v>
      </c>
      <c r="AI32" s="536"/>
      <c r="AJ32" s="536"/>
      <c r="AK32" s="537">
        <f t="shared" si="13"/>
        <v>0.15107999999999999</v>
      </c>
      <c r="AL32" s="536">
        <f>IF(C32=0,0,VLOOKUP(C32,FREQUENCIAS!$1:$1048576,(IF(($A32=FREQUENCIAS!$V$1),22,"ERRO")),FREQUENCIAS!$1:$1048576))</f>
        <v>0.15093200000000001</v>
      </c>
      <c r="AM32" s="536"/>
      <c r="AN32" s="536"/>
      <c r="AO32" s="537">
        <f t="shared" si="14"/>
        <v>0.15093200000000001</v>
      </c>
      <c r="AV32" s="551">
        <f>IF(B32=0,0,VLOOKUP(B32,FREQUENCIAS!$1:$1048576,(IF(($A32=FREQUENCIAS!$V$1),22,"ERRO")),FREQUENCIAS!$1:$1048576))</f>
        <v>0.15107999999999999</v>
      </c>
      <c r="AW32" s="551">
        <f>IF(C32=0,0,VLOOKUP(C32,FREQUENCIAS!$1:$1048576,(IF(($A32=FREQUENCIAS!$V$1),22,"ERRO")),FREQUENCIAS!$1:$1048576))</f>
        <v>0.15093200000000001</v>
      </c>
      <c r="AX32" s="551">
        <f>IF(D32=0,0,VLOOKUP(D32,FREQUENCIAS!$1:$1048576,(IF(($A32=FREQUENCIAS!$V$1),22,"ERRO")),FREQUENCIAS!$1:$1048576))</f>
        <v>0.15107999999999999</v>
      </c>
      <c r="AY32" s="551">
        <f>IF(E32=0,0,VLOOKUP(E32,FREQUENCIAS!$1:$1048576,(IF(($A32=FREQUENCIAS!$V$1),22,"ERRO")),FREQUENCIAS!$1:$1048576))</f>
        <v>0.15107999999999999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0</v>
      </c>
      <c r="BF32" s="539">
        <f t="shared" si="15"/>
        <v>3.3095048980672495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16</v>
      </c>
      <c r="C33" s="645">
        <f>'IMPORTAÇÃO GENOTIPER'!AQ26</f>
        <v>16</v>
      </c>
      <c r="D33" s="645">
        <f>'IMPORTAÇÃO GENOTIPER'!AY26</f>
        <v>14</v>
      </c>
      <c r="E33" s="646">
        <f>'IMPORTAÇÃO GENOTIPER'!BG26</f>
        <v>16</v>
      </c>
      <c r="F33" s="541">
        <f t="shared" si="0"/>
        <v>16</v>
      </c>
      <c r="G33" s="541">
        <f t="shared" si="1"/>
        <v>16</v>
      </c>
      <c r="H33" s="541">
        <f t="shared" si="2"/>
        <v>14</v>
      </c>
      <c r="I33" s="541">
        <f t="shared" si="3"/>
        <v>16</v>
      </c>
      <c r="J33" s="542"/>
      <c r="K33" s="542"/>
      <c r="L33" s="542"/>
      <c r="M33" s="543"/>
      <c r="N33" s="542">
        <f t="shared" si="4"/>
        <v>0</v>
      </c>
      <c r="O33" s="542">
        <f t="shared" si="5"/>
        <v>16</v>
      </c>
      <c r="P33" s="544">
        <f t="shared" si="6"/>
        <v>0</v>
      </c>
      <c r="Q33" s="545">
        <f t="shared" si="7"/>
        <v>16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0.32869999999999999</v>
      </c>
      <c r="V33" s="547"/>
      <c r="W33" s="529" t="str">
        <f t="shared" si="8"/>
        <v>OK</v>
      </c>
      <c r="X33" s="548">
        <f t="shared" si="20"/>
        <v>0.32869999999999999</v>
      </c>
      <c r="Y33" s="549">
        <f t="shared" si="16"/>
        <v>1.5211439002129601</v>
      </c>
      <c r="Z33" s="532">
        <f t="shared" si="17"/>
        <v>0.60335465186436588</v>
      </c>
      <c r="AA33" s="556"/>
      <c r="AB33" s="550" t="str">
        <f t="shared" si="9"/>
        <v>1 / 2F</v>
      </c>
      <c r="AC33" s="485">
        <f t="shared" si="10"/>
        <v>0.76057195010648004</v>
      </c>
      <c r="AD33" s="485" t="s">
        <v>339</v>
      </c>
      <c r="AE33" s="485" t="str">
        <f t="shared" si="11"/>
        <v>1 / 4F</v>
      </c>
      <c r="AF33" s="535">
        <f t="shared" si="12"/>
        <v>0.45064368999999999</v>
      </c>
      <c r="AH33" s="536">
        <f>IF(B33=0,0,VLOOKUP(B33,FREQUENCIAS!$1:$1048576,(IF(($A33=FREQUENCIAS!$W$1),23,"ERRO")),FREQUENCIAS!$1:$1048576))</f>
        <v>0.32869999999999999</v>
      </c>
      <c r="AI33" s="536"/>
      <c r="AJ33" s="536"/>
      <c r="AK33" s="537">
        <f t="shared" si="13"/>
        <v>0.32869999999999999</v>
      </c>
      <c r="AL33" s="536">
        <f>IF(C33=0,0,VLOOKUP(C33,FREQUENCIAS!$1:$1048576,(IF(($A33=FREQUENCIAS!$W$1),23,"ERRO")),FREQUENCIAS!$1:$1048576))</f>
        <v>0.32869999999999999</v>
      </c>
      <c r="AM33" s="536"/>
      <c r="AN33" s="536"/>
      <c r="AO33" s="537">
        <f t="shared" si="14"/>
        <v>0.32869999999999999</v>
      </c>
      <c r="AV33" s="551">
        <f>IF(B33=0,0,VLOOKUP(B33,FREQUENCIAS!$1:$1048576,(IF(($A33=FREQUENCIAS!$W$1),23,"ERRO")),FREQUENCIAS!$1:$1048576))</f>
        <v>0.32869999999999999</v>
      </c>
      <c r="AW33" s="551">
        <f>IF(C33=0,0,VLOOKUP(C33,FREQUENCIAS!$1:$1048576,(IF(($A33=FREQUENCIAS!$W$1),23,"ERRO")),FREQUENCIAS!$1:$1048576))</f>
        <v>0.32869999999999999</v>
      </c>
      <c r="AX33" s="551">
        <f>IF(D33=0,0,VLOOKUP(D33,FREQUENCIAS!$1:$1048576,(IF(($A33=FREQUENCIAS!$W$1),23,"ERRO")),FREQUENCIAS!$1:$1048576))</f>
        <v>4.8500000000000001E-2</v>
      </c>
      <c r="AY33" s="551">
        <f>IF(E33=0,0,VLOOKUP(E33,FREQUENCIAS!$1:$1048576,(IF(($A33=FREQUENCIAS!$W$1),23,"ERRO")),FREQUENCIAS!$1:$1048576))</f>
        <v>0.32869999999999999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0</v>
      </c>
      <c r="BE33" s="485">
        <f t="shared" si="19"/>
        <v>0</v>
      </c>
      <c r="BF33" s="539">
        <f t="shared" si="15"/>
        <v>1.5211439002129601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>
        <f>(IF((AND(($BE$46=1),($Z$52="SIM"))),($BF$11),(IF((PRODUCT(Z12:Z45)&lt;&gt;0),PRODUCT(Y12:Y45),"NIHIL"))))</f>
        <v>1254426048.4890683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2.0638398561548162E-8</v>
      </c>
      <c r="AG46" s="852"/>
      <c r="BD46" s="485">
        <f>SUM(BD12:BD33)</f>
        <v>4</v>
      </c>
      <c r="BE46" s="485">
        <f>SUM(BE12:BE45)</f>
        <v>0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>
        <f>(IF(AND((Y46&lt;&gt;"NIHIL"),(Y46&lt;&gt;0)),(ROUNDDOWN((Y46/(Y46+1)),11)),"EXCLUSÃO"))</f>
        <v>0.99999999920000004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>
        <f>(IF(AND((Y46&lt;&gt;"NIHIL"),(Y46&lt;&gt;0)),(ROUNDDOWN((1-$AF46),11)),"EXCLUSÃO"))</f>
        <v>0.99999997935999996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VÍNCULO BIOLOGICAMENTE PROVADO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16</v>
      </c>
      <c r="C9" s="292">
        <f>'IMPORTAÇÃO GENOTIPER'!AA5</f>
        <v>17</v>
      </c>
      <c r="D9" s="292">
        <f>'IMPORTAÇÃO GENOTIPER'!AI5</f>
        <v>16</v>
      </c>
      <c r="E9" s="292">
        <f>'IMPORTAÇÃO GENOTIPER'!AQ5</f>
        <v>16</v>
      </c>
      <c r="F9" s="432">
        <f>'IMPORTAÇÃO GENOTIPER'!BO5</f>
        <v>0</v>
      </c>
      <c r="G9" s="432">
        <f>'IMPORTAÇÃO GENOTIPER'!BW5</f>
        <v>0</v>
      </c>
      <c r="H9" s="432">
        <f>'IMPORTAÇÃO GENOTIPER'!CE5</f>
        <v>0</v>
      </c>
      <c r="I9" s="432">
        <f>'IMPORTAÇÃO GENOTIPER'!CM5</f>
        <v>0</v>
      </c>
      <c r="J9" s="433">
        <f>(IF(CODE(D9)=(60),($BL9-1),(IF(CODE(D9)=(62),($BM9+1),B9))))</f>
        <v>16</v>
      </c>
      <c r="K9" s="433">
        <f>(IF(CODE(E9)=(60),($BL9-1),(IF(CODE(E9)=(62),($BM9+1),C9))))</f>
        <v>17</v>
      </c>
      <c r="L9" s="433">
        <f>(IF(CODE(F9)=(60),($BL9-1),(IF(CODE(F9)=(62),($BM9+1),D9))))</f>
        <v>16</v>
      </c>
      <c r="M9" s="433">
        <f>(IF(CODE(G9)=(60),($BH9-1),(IF(CODE(G9)=(62),($BI9+1),E9))))</f>
        <v>16</v>
      </c>
      <c r="N9" s="433">
        <f>(IF(CODE(H9)=(60),($BL9-1),(IF(CODE(H9)=(62),($BM9+1),F9))))</f>
        <v>0</v>
      </c>
      <c r="O9" s="433">
        <f>(IF(CODE(I9)=(60),($BL9-1),(IF(CODE(I9)=(62),($BM9+1),G9))))</f>
        <v>0</v>
      </c>
      <c r="P9" s="433">
        <f>(IF(CODE(J9)=(60),($BL9-1),(IF(CODE(J9)=(62),($BM9+1),H9))))</f>
        <v>0</v>
      </c>
      <c r="Q9" s="433">
        <f>(IF(CODE(K9)=(60),($BL9-1),(IF(CODE(K9)=(62),($BM9+1),I9))))</f>
        <v>0</v>
      </c>
      <c r="R9" s="434">
        <f t="shared" ref="R9:T24" si="0">IF((J9&gt;K9),K9,J9)</f>
        <v>16</v>
      </c>
      <c r="S9" s="434">
        <f t="shared" ref="S9:S42" si="1">IF((K9&gt;J9),K9,J9)</f>
        <v>17</v>
      </c>
      <c r="T9" s="434">
        <f t="shared" si="0"/>
        <v>16</v>
      </c>
      <c r="U9" s="434">
        <f t="shared" ref="U9:U42" si="2">IF((M9&gt;L9),M9,L9)</f>
        <v>16</v>
      </c>
      <c r="V9" s="434">
        <f t="shared" ref="V9:V42" si="3">IF((N9&gt;O9),O9,N9)</f>
        <v>0</v>
      </c>
      <c r="W9" s="434">
        <f t="shared" ref="W9:W42" si="4">IF((O9&gt;N9),O9,N9)</f>
        <v>0</v>
      </c>
      <c r="X9" s="434">
        <f>IF((P9&gt;Q9),Q9,P9)</f>
        <v>0</v>
      </c>
      <c r="Y9" s="434">
        <f>IF((Q9&gt;P9),Q9,P9)</f>
        <v>0</v>
      </c>
      <c r="Z9" s="435">
        <f t="shared" ref="Z9:Z42" si="5">IF((T9=R9),T9,(IF((T9=S9),T9,0)))</f>
        <v>16</v>
      </c>
      <c r="AA9" s="435">
        <f t="shared" ref="AA9:AA42" si="6">IF((U9=R9),U9,(IF((U9=S9),U9,0)))</f>
        <v>16</v>
      </c>
      <c r="AB9" s="436">
        <f>(IF((OR((T9="&gt;18"),(U9="&gt;18"))),2,(IF(((Z9+AA9)=(T9+U9)),0,1))))</f>
        <v>0</v>
      </c>
      <c r="AC9" s="437">
        <f>IF(OR(($Z9=$AA9),($AA9=0)),$Z9,(IF(AND(($Z9=0),($AA9&lt;&gt;0)),$AA9,"NÃO DEF")))</f>
        <v>16</v>
      </c>
      <c r="AD9" s="438">
        <f>(IF((AC9&lt;&gt;"NÃO DEF"),(T9+U9-AC9),T9))</f>
        <v>16</v>
      </c>
      <c r="AE9" s="438">
        <f>(IF((AC9&lt;&gt;"NÃO DEF"),0,U9))</f>
        <v>0</v>
      </c>
      <c r="AF9" s="439">
        <f>(IF(OR((AD9=V9),(AD9=W9),(AD9=X9),(AD9=Y9)),AD9,0))</f>
        <v>0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0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0</v>
      </c>
      <c r="AO9" s="122">
        <f t="shared" ref="AO9:AO42" si="8">(IF((A9="ERRO-FT"),"ERRO",(IF((AN9=0),0,(AN9/(AN9+1))))))</f>
        <v>0</v>
      </c>
      <c r="AP9" s="328"/>
      <c r="AQ9" s="443">
        <f t="shared" ref="AQ9:AQ41" si="9">(IF((AND((BD9=1),($BD$43=1),($AS$43="MUT"))),0,((1-AM9)^2)))</f>
        <v>1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EXCLUI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4">
        <f>IF(($AM9=0),1,0)</f>
        <v>1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0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16</v>
      </c>
      <c r="BQ9" s="445">
        <f t="shared" ref="BQ9:BQ42" si="14">(IF((OR(($AC9=($BL9-1)),($AC9=($BM9+1)))),(CONCATENATE((BO9),(BP9))),$AC9))</f>
        <v>16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0</v>
      </c>
      <c r="BT9" s="446">
        <f t="shared" ref="BT9:BT42" si="17">(IF((OR(($AF9=($BL9-1)),($AF9=($BM9+1)))),(CONCATENATE((BR9),(BS9))),$AF9))</f>
        <v>0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16</v>
      </c>
      <c r="C10" s="292">
        <f>'IMPORTAÇÃO GENOTIPER'!AA6</f>
        <v>17.3</v>
      </c>
      <c r="D10" s="292">
        <f>'IMPORTAÇÃO GENOTIPER'!AI6</f>
        <v>16</v>
      </c>
      <c r="E10" s="292">
        <f>'IMPORTAÇÃO GENOTIPER'!AQ6</f>
        <v>17.3</v>
      </c>
      <c r="F10" s="432">
        <f>'IMPORTAÇÃO GENOTIPER'!BO6</f>
        <v>0</v>
      </c>
      <c r="G10" s="432">
        <f>'IMPORTAÇÃO GENOTIPER'!BW6</f>
        <v>0</v>
      </c>
      <c r="H10" s="432">
        <f>'IMPORTAÇÃO GENOTIPER'!CE6</f>
        <v>0</v>
      </c>
      <c r="I10" s="432">
        <f>'IMPORTAÇÃO GENOTIPER'!CM6</f>
        <v>0</v>
      </c>
      <c r="J10" s="433">
        <f t="shared" ref="J10:L25" si="29">(IF(CODE(D10)=(60),($BL10-1),(IF(CODE(D10)=(62),($BM10+1),B10))))</f>
        <v>16</v>
      </c>
      <c r="K10" s="433">
        <f t="shared" si="29"/>
        <v>17.3</v>
      </c>
      <c r="L10" s="433">
        <f t="shared" si="29"/>
        <v>16</v>
      </c>
      <c r="M10" s="433">
        <f t="shared" ref="M10:M42" si="30">(IF(CODE(G10)=(60),($BH10-1),(IF(CODE(G10)=(62),($BI10+1),E10))))</f>
        <v>17.3</v>
      </c>
      <c r="N10" s="433">
        <f t="shared" ref="N10:Q25" si="31">(IF(CODE(H10)=(60),($BL10-1),(IF(CODE(H10)=(62),($BM10+1),F10))))</f>
        <v>0</v>
      </c>
      <c r="O10" s="433">
        <f t="shared" si="31"/>
        <v>0</v>
      </c>
      <c r="P10" s="433">
        <f t="shared" si="31"/>
        <v>0</v>
      </c>
      <c r="Q10" s="433">
        <f t="shared" si="31"/>
        <v>0</v>
      </c>
      <c r="R10" s="434">
        <f t="shared" si="0"/>
        <v>16</v>
      </c>
      <c r="S10" s="434">
        <f t="shared" si="1"/>
        <v>17.3</v>
      </c>
      <c r="T10" s="434">
        <f t="shared" si="0"/>
        <v>16</v>
      </c>
      <c r="U10" s="434">
        <f t="shared" si="2"/>
        <v>17.3</v>
      </c>
      <c r="V10" s="434">
        <f t="shared" si="3"/>
        <v>0</v>
      </c>
      <c r="W10" s="434">
        <f t="shared" si="4"/>
        <v>0</v>
      </c>
      <c r="X10" s="434">
        <f t="shared" ref="X10:X42" si="32">IF((P10&gt;Q10),Q10,P10)</f>
        <v>0</v>
      </c>
      <c r="Y10" s="434">
        <f t="shared" ref="Y10:Y42" si="33">IF((Q10&gt;P10),Q10,P10)</f>
        <v>0</v>
      </c>
      <c r="Z10" s="435">
        <f t="shared" si="5"/>
        <v>16</v>
      </c>
      <c r="AA10" s="435">
        <f t="shared" si="6"/>
        <v>17.3</v>
      </c>
      <c r="AB10" s="436">
        <f>(IF((OR((T10="&gt;36"),(U10="&gt;36"))),2,(IF(((Z10+AA10)=(T10+U10)),0,1))))</f>
        <v>0</v>
      </c>
      <c r="AC10" s="437" t="str">
        <f t="shared" ref="AC10:AC42" si="34">IF(OR((Z10=AA10),(AA10=0)),Z10,(IF(AND((Z10=0),(AA10&lt;&gt;0)),AA10,$AP$7)))</f>
        <v>NÃO DEF</v>
      </c>
      <c r="AD10" s="438">
        <f t="shared" ref="AD10:AD42" si="35">(IF((AC10&lt;&gt;"NÃO DEF"),(T10+U10-AC10),T10))</f>
        <v>16</v>
      </c>
      <c r="AE10" s="438">
        <f t="shared" ref="AE10:AE42" si="36">(IF((AC10&lt;&gt;"NÃO DEF"),0,U10))</f>
        <v>17.3</v>
      </c>
      <c r="AF10" s="439">
        <f t="shared" ref="AF10:AF42" si="37">(IF(OR((AD10=V10),(AD10=W10),(AD10=X10),(AD10=Y10)),AD10,0))</f>
        <v>0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0</v>
      </c>
      <c r="AN10" s="121">
        <f t="shared" si="7"/>
        <v>0</v>
      </c>
      <c r="AO10" s="122">
        <f t="shared" si="8"/>
        <v>0</v>
      </c>
      <c r="AP10" s="328"/>
      <c r="AQ10" s="443">
        <f t="shared" si="9"/>
        <v>1</v>
      </c>
      <c r="AR10" s="328"/>
      <c r="AS10" s="125" t="str">
        <f t="shared" si="10"/>
        <v>EXCLUI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4">
        <f t="shared" ref="BD10:BD42" si="41">IF(($AM10=0),1,0)</f>
        <v>1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0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 t="str">
        <f t="shared" si="13"/>
        <v>NÃO DEF</v>
      </c>
      <c r="BQ10" s="445" t="str">
        <f t="shared" si="14"/>
        <v>NÃO DEF</v>
      </c>
      <c r="BR10" s="446" t="str">
        <f t="shared" si="15"/>
        <v/>
      </c>
      <c r="BS10" s="449">
        <f t="shared" si="16"/>
        <v>0</v>
      </c>
      <c r="BT10" s="446">
        <f t="shared" si="17"/>
        <v>0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11</v>
      </c>
      <c r="C11" s="292">
        <f>'IMPORTAÇÃO GENOTIPER'!AA7</f>
        <v>11.3</v>
      </c>
      <c r="D11" s="292">
        <f>'IMPORTAÇÃO GENOTIPER'!AI7</f>
        <v>11.3</v>
      </c>
      <c r="E11" s="292">
        <f>'IMPORTAÇÃO GENOTIPER'!AQ7</f>
        <v>11.3</v>
      </c>
      <c r="F11" s="432">
        <f>'IMPORTAÇÃO GENOTIPER'!BO7</f>
        <v>0</v>
      </c>
      <c r="G11" s="432">
        <f>'IMPORTAÇÃO GENOTIPER'!BW7</f>
        <v>0</v>
      </c>
      <c r="H11" s="432">
        <f>'IMPORTAÇÃO GENOTIPER'!CE7</f>
        <v>0</v>
      </c>
      <c r="I11" s="432">
        <f>'IMPORTAÇÃO GENOTIPER'!CM7</f>
        <v>0</v>
      </c>
      <c r="J11" s="433">
        <f t="shared" si="29"/>
        <v>11</v>
      </c>
      <c r="K11" s="433">
        <f t="shared" si="29"/>
        <v>11.3</v>
      </c>
      <c r="L11" s="433">
        <f t="shared" si="29"/>
        <v>11.3</v>
      </c>
      <c r="M11" s="433">
        <f t="shared" si="30"/>
        <v>11.3</v>
      </c>
      <c r="N11" s="433">
        <f t="shared" si="31"/>
        <v>0</v>
      </c>
      <c r="O11" s="433">
        <f t="shared" si="31"/>
        <v>0</v>
      </c>
      <c r="P11" s="433">
        <f t="shared" si="31"/>
        <v>0</v>
      </c>
      <c r="Q11" s="433">
        <f t="shared" si="31"/>
        <v>0</v>
      </c>
      <c r="R11" s="434">
        <f t="shared" si="0"/>
        <v>11</v>
      </c>
      <c r="S11" s="434">
        <f t="shared" si="1"/>
        <v>11.3</v>
      </c>
      <c r="T11" s="434">
        <f t="shared" si="0"/>
        <v>11.3</v>
      </c>
      <c r="U11" s="434">
        <f t="shared" si="2"/>
        <v>11.3</v>
      </c>
      <c r="V11" s="434">
        <f t="shared" si="3"/>
        <v>0</v>
      </c>
      <c r="W11" s="434">
        <f t="shared" si="4"/>
        <v>0</v>
      </c>
      <c r="X11" s="434">
        <f t="shared" si="32"/>
        <v>0</v>
      </c>
      <c r="Y11" s="434">
        <f t="shared" si="33"/>
        <v>0</v>
      </c>
      <c r="Z11" s="435">
        <f t="shared" si="5"/>
        <v>11.3</v>
      </c>
      <c r="AA11" s="435">
        <f t="shared" si="6"/>
        <v>11.3</v>
      </c>
      <c r="AB11" s="436">
        <f>(IF((OR((T11="&gt;22"),(U11="&gt;22"))),2,(IF(((Z11+AA11)=(T11+U11)),0,1))))</f>
        <v>0</v>
      </c>
      <c r="AC11" s="437">
        <f t="shared" si="34"/>
        <v>11.3</v>
      </c>
      <c r="AD11" s="438">
        <f t="shared" si="35"/>
        <v>11.3</v>
      </c>
      <c r="AE11" s="438">
        <f t="shared" si="36"/>
        <v>0</v>
      </c>
      <c r="AF11" s="439">
        <f t="shared" si="37"/>
        <v>0</v>
      </c>
      <c r="AG11" s="440">
        <f t="shared" si="38"/>
        <v>0</v>
      </c>
      <c r="AH11" s="441">
        <f>IF(AF11=0,0,VLOOKUP(AF11,FREQUENCIAS!$1:$1048576,(IF(($A11=FREQUENCIAS!$D$1),4,"ERRO")),FREQUENCIAS!$1:$1048576))</f>
        <v>0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0</v>
      </c>
      <c r="AN11" s="121">
        <f t="shared" si="7"/>
        <v>0</v>
      </c>
      <c r="AO11" s="122">
        <f t="shared" si="8"/>
        <v>0</v>
      </c>
      <c r="AP11" s="328"/>
      <c r="AQ11" s="443">
        <f t="shared" si="9"/>
        <v>1</v>
      </c>
      <c r="AR11" s="328"/>
      <c r="AS11" s="125" t="str">
        <f t="shared" si="10"/>
        <v>EXCLUI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1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0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5" t="str">
        <f t="shared" si="12"/>
        <v/>
      </c>
      <c r="BP11" s="445">
        <f t="shared" si="13"/>
        <v>11.3</v>
      </c>
      <c r="BQ11" s="445">
        <f t="shared" si="14"/>
        <v>11.3</v>
      </c>
      <c r="BR11" s="446" t="str">
        <f t="shared" si="15"/>
        <v/>
      </c>
      <c r="BS11" s="446">
        <f t="shared" si="16"/>
        <v>0</v>
      </c>
      <c r="BT11" s="446">
        <f t="shared" si="17"/>
        <v>0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14</v>
      </c>
      <c r="D12" s="296">
        <f>'IMPORTAÇÃO GENOTIPER'!AI8</f>
        <v>14</v>
      </c>
      <c r="E12" s="296">
        <f>'IMPORTAÇÃO GENOTIPER'!AQ8</f>
        <v>14</v>
      </c>
      <c r="F12" s="432">
        <f>'IMPORTAÇÃO GENOTIPER'!BO8</f>
        <v>0</v>
      </c>
      <c r="G12" s="432">
        <f>'IMPORTAÇÃO GENOTIPER'!BW8</f>
        <v>0</v>
      </c>
      <c r="H12" s="432">
        <f>'IMPORTAÇÃO GENOTIPER'!CE8</f>
        <v>0</v>
      </c>
      <c r="I12" s="432">
        <f>'IMPORTAÇÃO GENOTIPER'!CM8</f>
        <v>0</v>
      </c>
      <c r="J12" s="433">
        <f t="shared" si="29"/>
        <v>14</v>
      </c>
      <c r="K12" s="433">
        <f t="shared" si="29"/>
        <v>14</v>
      </c>
      <c r="L12" s="433">
        <f t="shared" si="29"/>
        <v>14</v>
      </c>
      <c r="M12" s="433">
        <f t="shared" si="30"/>
        <v>14</v>
      </c>
      <c r="N12" s="433">
        <f t="shared" si="31"/>
        <v>0</v>
      </c>
      <c r="O12" s="433">
        <f t="shared" si="31"/>
        <v>0</v>
      </c>
      <c r="P12" s="433">
        <f t="shared" si="31"/>
        <v>0</v>
      </c>
      <c r="Q12" s="433">
        <f t="shared" si="31"/>
        <v>0</v>
      </c>
      <c r="R12" s="434">
        <f t="shared" si="0"/>
        <v>14</v>
      </c>
      <c r="S12" s="434">
        <f t="shared" si="1"/>
        <v>14</v>
      </c>
      <c r="T12" s="434">
        <f t="shared" si="0"/>
        <v>14</v>
      </c>
      <c r="U12" s="434">
        <f t="shared" si="2"/>
        <v>14</v>
      </c>
      <c r="V12" s="434">
        <f t="shared" si="3"/>
        <v>0</v>
      </c>
      <c r="W12" s="434">
        <f t="shared" si="4"/>
        <v>0</v>
      </c>
      <c r="X12" s="434">
        <f t="shared" si="32"/>
        <v>0</v>
      </c>
      <c r="Y12" s="434">
        <f t="shared" si="33"/>
        <v>0</v>
      </c>
      <c r="Z12" s="435">
        <f t="shared" si="5"/>
        <v>14</v>
      </c>
      <c r="AA12" s="435">
        <f t="shared" si="6"/>
        <v>14</v>
      </c>
      <c r="AB12" s="436">
        <f>(IF((OR((T12="&gt;21"),(U12="&gt;21"))),2,(IF(((Z12+AA12)=(T12+U12)),0,1))))</f>
        <v>0</v>
      </c>
      <c r="AC12" s="435">
        <f t="shared" si="34"/>
        <v>14</v>
      </c>
      <c r="AD12" s="438">
        <f t="shared" si="35"/>
        <v>14</v>
      </c>
      <c r="AE12" s="438">
        <f t="shared" si="36"/>
        <v>0</v>
      </c>
      <c r="AF12" s="439">
        <f t="shared" si="37"/>
        <v>0</v>
      </c>
      <c r="AG12" s="440">
        <f t="shared" si="38"/>
        <v>0</v>
      </c>
      <c r="AH12" s="451">
        <f>IF(AF12=0,0,VLOOKUP(AF12,FREQUENCIAS!$1:$1048576,(IF(($A12=FREQUENCIAS!$E$1),5,"ERRO")),FREQUENCIAS!$1:$1048576))</f>
        <v>0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0</v>
      </c>
      <c r="AN12" s="121">
        <f t="shared" si="7"/>
        <v>0</v>
      </c>
      <c r="AO12" s="122">
        <f t="shared" si="8"/>
        <v>0</v>
      </c>
      <c r="AP12" s="328" t="s">
        <v>140</v>
      </c>
      <c r="AQ12" s="443">
        <f t="shared" si="9"/>
        <v>1</v>
      </c>
      <c r="AR12" s="328"/>
      <c r="AS12" s="125" t="str">
        <f t="shared" si="10"/>
        <v>EXCLUI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1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0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15</v>
      </c>
      <c r="BQ12" s="445">
        <f t="shared" si="14"/>
        <v>14</v>
      </c>
      <c r="BR12" s="446" t="str">
        <f t="shared" si="15"/>
        <v/>
      </c>
      <c r="BS12" s="446">
        <f t="shared" si="16"/>
        <v>0</v>
      </c>
      <c r="BT12" s="446">
        <f t="shared" si="17"/>
        <v>0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11</v>
      </c>
      <c r="D13" s="292">
        <f>'IMPORTAÇÃO GENOTIPER'!AI9</f>
        <v>11</v>
      </c>
      <c r="E13" s="292">
        <f>'IMPORTAÇÃO GENOTIPER'!AQ9</f>
        <v>12</v>
      </c>
      <c r="F13" s="432">
        <f>'IMPORTAÇÃO GENOTIPER'!BO9</f>
        <v>0</v>
      </c>
      <c r="G13" s="432">
        <f>'IMPORTAÇÃO GENOTIPER'!BW9</f>
        <v>0</v>
      </c>
      <c r="H13" s="432">
        <f>'IMPORTAÇÃO GENOTIPER'!CE9</f>
        <v>0</v>
      </c>
      <c r="I13" s="432">
        <f>'IMPORTAÇÃO GENOTIPER'!CM9</f>
        <v>0</v>
      </c>
      <c r="J13" s="433">
        <f t="shared" si="29"/>
        <v>11</v>
      </c>
      <c r="K13" s="433">
        <f t="shared" si="29"/>
        <v>11</v>
      </c>
      <c r="L13" s="433">
        <f t="shared" si="29"/>
        <v>11</v>
      </c>
      <c r="M13" s="433">
        <f t="shared" si="30"/>
        <v>12</v>
      </c>
      <c r="N13" s="433">
        <f t="shared" si="31"/>
        <v>0</v>
      </c>
      <c r="O13" s="433">
        <f t="shared" si="31"/>
        <v>0</v>
      </c>
      <c r="P13" s="433">
        <f t="shared" si="31"/>
        <v>0</v>
      </c>
      <c r="Q13" s="433">
        <f t="shared" si="31"/>
        <v>0</v>
      </c>
      <c r="R13" s="434">
        <f t="shared" si="0"/>
        <v>11</v>
      </c>
      <c r="S13" s="434">
        <f t="shared" si="1"/>
        <v>11</v>
      </c>
      <c r="T13" s="434">
        <f t="shared" si="0"/>
        <v>11</v>
      </c>
      <c r="U13" s="434">
        <f t="shared" si="2"/>
        <v>12</v>
      </c>
      <c r="V13" s="434">
        <f t="shared" si="3"/>
        <v>0</v>
      </c>
      <c r="W13" s="434">
        <f t="shared" si="4"/>
        <v>0</v>
      </c>
      <c r="X13" s="434">
        <f t="shared" si="32"/>
        <v>0</v>
      </c>
      <c r="Y13" s="434">
        <f t="shared" si="33"/>
        <v>0</v>
      </c>
      <c r="Z13" s="435">
        <f t="shared" si="5"/>
        <v>11</v>
      </c>
      <c r="AA13" s="435">
        <f t="shared" si="6"/>
        <v>0</v>
      </c>
      <c r="AB13" s="436">
        <f>(IF((OR((T13="&gt;21"),(U13="&gt;21"))),2,(IF(((Z13+AA13)=(T13+U13)),0,1))))</f>
        <v>1</v>
      </c>
      <c r="AC13" s="437">
        <f t="shared" si="34"/>
        <v>11</v>
      </c>
      <c r="AD13" s="438">
        <f t="shared" si="35"/>
        <v>12</v>
      </c>
      <c r="AE13" s="438">
        <f t="shared" si="36"/>
        <v>0</v>
      </c>
      <c r="AF13" s="439">
        <f t="shared" si="37"/>
        <v>0</v>
      </c>
      <c r="AG13" s="440">
        <f t="shared" si="38"/>
        <v>0</v>
      </c>
      <c r="AH13" s="441">
        <f>IF(AF13=0,0,VLOOKUP(AF13,FREQUENCIAS!$1:$1048576,(IF(($A13=FREQUENCIAS!$F$1),6,"ERRO")),FREQUENCIAS!$1:$1048576))</f>
        <v>0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0</v>
      </c>
      <c r="AN13" s="121">
        <f t="shared" si="7"/>
        <v>0</v>
      </c>
      <c r="AO13" s="122">
        <f t="shared" si="8"/>
        <v>0</v>
      </c>
      <c r="AP13" s="328" t="s">
        <v>163</v>
      </c>
      <c r="AQ13" s="443">
        <f t="shared" si="9"/>
        <v>1</v>
      </c>
      <c r="AR13" s="328"/>
      <c r="AS13" s="125" t="str">
        <f t="shared" si="10"/>
        <v>EXCLUI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1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0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>&lt;</v>
      </c>
      <c r="BP13" s="445">
        <f t="shared" si="13"/>
        <v>12</v>
      </c>
      <c r="BQ13" s="445" t="str">
        <f t="shared" si="14"/>
        <v>&lt;12</v>
      </c>
      <c r="BR13" s="446" t="str">
        <f t="shared" si="15"/>
        <v/>
      </c>
      <c r="BS13" s="446">
        <f t="shared" si="16"/>
        <v>0</v>
      </c>
      <c r="BT13" s="446">
        <f t="shared" si="17"/>
        <v>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13</v>
      </c>
      <c r="C14" s="292">
        <f>'IMPORTAÇÃO GENOTIPER'!AA10</f>
        <v>16</v>
      </c>
      <c r="D14" s="292">
        <f>'IMPORTAÇÃO GENOTIPER'!AI10</f>
        <v>11</v>
      </c>
      <c r="E14" s="292">
        <f>'IMPORTAÇÃO GENOTIPER'!AQ10</f>
        <v>16</v>
      </c>
      <c r="F14" s="432">
        <f>'IMPORTAÇÃO GENOTIPER'!BO10</f>
        <v>0</v>
      </c>
      <c r="G14" s="432">
        <f>'IMPORTAÇÃO GENOTIPER'!BW10</f>
        <v>0</v>
      </c>
      <c r="H14" s="432">
        <f>'IMPORTAÇÃO GENOTIPER'!CE10</f>
        <v>0</v>
      </c>
      <c r="I14" s="432">
        <f>'IMPORTAÇÃO GENOTIPER'!CM10</f>
        <v>0</v>
      </c>
      <c r="J14" s="433">
        <f t="shared" si="29"/>
        <v>13</v>
      </c>
      <c r="K14" s="433">
        <f t="shared" si="29"/>
        <v>16</v>
      </c>
      <c r="L14" s="433">
        <f t="shared" si="29"/>
        <v>11</v>
      </c>
      <c r="M14" s="433">
        <f t="shared" si="30"/>
        <v>16</v>
      </c>
      <c r="N14" s="433">
        <f t="shared" si="31"/>
        <v>0</v>
      </c>
      <c r="O14" s="433">
        <f t="shared" si="31"/>
        <v>0</v>
      </c>
      <c r="P14" s="433">
        <f t="shared" si="31"/>
        <v>0</v>
      </c>
      <c r="Q14" s="433">
        <f t="shared" si="31"/>
        <v>0</v>
      </c>
      <c r="R14" s="434">
        <f t="shared" si="0"/>
        <v>13</v>
      </c>
      <c r="S14" s="434">
        <f t="shared" si="1"/>
        <v>16</v>
      </c>
      <c r="T14" s="434">
        <f t="shared" si="0"/>
        <v>11</v>
      </c>
      <c r="U14" s="434">
        <f t="shared" si="2"/>
        <v>16</v>
      </c>
      <c r="V14" s="434">
        <f t="shared" si="3"/>
        <v>0</v>
      </c>
      <c r="W14" s="434">
        <f t="shared" si="4"/>
        <v>0</v>
      </c>
      <c r="X14" s="434">
        <f t="shared" si="32"/>
        <v>0</v>
      </c>
      <c r="Y14" s="434">
        <f t="shared" si="33"/>
        <v>0</v>
      </c>
      <c r="Z14" s="435">
        <f t="shared" si="5"/>
        <v>0</v>
      </c>
      <c r="AA14" s="435">
        <f t="shared" si="6"/>
        <v>16</v>
      </c>
      <c r="AB14" s="436">
        <f>(IF((OR((T14="&gt;20"),(U14="&gt;20"))),2,(IF(((Z14+AA14)=(T14+U14)),0,1))))</f>
        <v>1</v>
      </c>
      <c r="AC14" s="437">
        <f t="shared" si="34"/>
        <v>16</v>
      </c>
      <c r="AD14" s="438">
        <f t="shared" si="35"/>
        <v>11</v>
      </c>
      <c r="AE14" s="438">
        <f t="shared" si="36"/>
        <v>0</v>
      </c>
      <c r="AF14" s="439">
        <f t="shared" si="37"/>
        <v>0</v>
      </c>
      <c r="AG14" s="440">
        <f t="shared" si="38"/>
        <v>0</v>
      </c>
      <c r="AH14" s="441">
        <f>IF(AF14=0,0,VLOOKUP(AF14,FREQUENCIAS!$1:$1048576,(IF(($A14=FREQUENCIAS!$G$1),7,"ERRO")),FREQUENCIAS!$1:$1048576))</f>
        <v>0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0</v>
      </c>
      <c r="AN14" s="121">
        <f t="shared" si="7"/>
        <v>0</v>
      </c>
      <c r="AO14" s="122">
        <f t="shared" si="8"/>
        <v>0</v>
      </c>
      <c r="AP14" s="328"/>
      <c r="AQ14" s="443">
        <f t="shared" si="9"/>
        <v>1</v>
      </c>
      <c r="AR14" s="328"/>
      <c r="AS14" s="125" t="str">
        <f t="shared" si="10"/>
        <v>EXCLUI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1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0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16</v>
      </c>
      <c r="BQ14" s="445">
        <f t="shared" si="14"/>
        <v>16</v>
      </c>
      <c r="BR14" s="446" t="str">
        <f t="shared" si="15"/>
        <v/>
      </c>
      <c r="BS14" s="446">
        <f t="shared" si="16"/>
        <v>0</v>
      </c>
      <c r="BT14" s="446">
        <f t="shared" si="17"/>
        <v>0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10</v>
      </c>
      <c r="C15" s="292">
        <f>'IMPORTAÇÃO GENOTIPER'!AA11</f>
        <v>11</v>
      </c>
      <c r="D15" s="292">
        <f>'IMPORTAÇÃO GENOTIPER'!AI11</f>
        <v>11</v>
      </c>
      <c r="E15" s="292">
        <f>'IMPORTAÇÃO GENOTIPER'!AQ11</f>
        <v>12</v>
      </c>
      <c r="F15" s="432">
        <f>'IMPORTAÇÃO GENOTIPER'!BO11</f>
        <v>0</v>
      </c>
      <c r="G15" s="432">
        <f>'IMPORTAÇÃO GENOTIPER'!BW11</f>
        <v>0</v>
      </c>
      <c r="H15" s="432">
        <f>'IMPORTAÇÃO GENOTIPER'!CE11</f>
        <v>0</v>
      </c>
      <c r="I15" s="432">
        <f>'IMPORTAÇÃO GENOTIPER'!CM11</f>
        <v>0</v>
      </c>
      <c r="J15" s="433">
        <f t="shared" si="29"/>
        <v>10</v>
      </c>
      <c r="K15" s="433">
        <f t="shared" si="29"/>
        <v>11</v>
      </c>
      <c r="L15" s="433">
        <f t="shared" si="29"/>
        <v>11</v>
      </c>
      <c r="M15" s="433">
        <f t="shared" si="30"/>
        <v>12</v>
      </c>
      <c r="N15" s="433">
        <f t="shared" si="31"/>
        <v>0</v>
      </c>
      <c r="O15" s="433">
        <f t="shared" si="31"/>
        <v>0</v>
      </c>
      <c r="P15" s="433">
        <f t="shared" si="31"/>
        <v>0</v>
      </c>
      <c r="Q15" s="433">
        <f t="shared" si="31"/>
        <v>0</v>
      </c>
      <c r="R15" s="434">
        <f t="shared" si="0"/>
        <v>10</v>
      </c>
      <c r="S15" s="434">
        <f t="shared" si="1"/>
        <v>11</v>
      </c>
      <c r="T15" s="434">
        <f t="shared" si="0"/>
        <v>11</v>
      </c>
      <c r="U15" s="434">
        <f t="shared" si="2"/>
        <v>12</v>
      </c>
      <c r="V15" s="434">
        <f t="shared" si="3"/>
        <v>0</v>
      </c>
      <c r="W15" s="434">
        <f t="shared" si="4"/>
        <v>0</v>
      </c>
      <c r="X15" s="434">
        <f t="shared" si="32"/>
        <v>0</v>
      </c>
      <c r="Y15" s="434">
        <f t="shared" si="33"/>
        <v>0</v>
      </c>
      <c r="Z15" s="435">
        <f t="shared" si="5"/>
        <v>11</v>
      </c>
      <c r="AA15" s="435">
        <f t="shared" si="6"/>
        <v>0</v>
      </c>
      <c r="AB15" s="436">
        <f>(IF((OR((T15="&gt;23"),(U15="&gt;23"))),2,(IF(((Z15+AA15)=(T15+U15)),0,1))))</f>
        <v>1</v>
      </c>
      <c r="AC15" s="437">
        <f t="shared" si="34"/>
        <v>11</v>
      </c>
      <c r="AD15" s="438">
        <f t="shared" si="35"/>
        <v>12</v>
      </c>
      <c r="AE15" s="438">
        <f t="shared" si="36"/>
        <v>0</v>
      </c>
      <c r="AF15" s="439">
        <f t="shared" si="37"/>
        <v>0</v>
      </c>
      <c r="AG15" s="440">
        <f t="shared" si="38"/>
        <v>0</v>
      </c>
      <c r="AH15" s="441">
        <f>IF(AF15=0,0,VLOOKUP(AF15,FREQUENCIAS!$1:$1048576,(IF(($A15=FREQUENCIAS!$H$1),8,"ERRO")),FREQUENCIAS!$1:$1048576))</f>
        <v>0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0</v>
      </c>
      <c r="AN15" s="121">
        <f t="shared" si="7"/>
        <v>0</v>
      </c>
      <c r="AO15" s="122">
        <f t="shared" si="8"/>
        <v>0</v>
      </c>
      <c r="AP15" s="328"/>
      <c r="AQ15" s="443">
        <f t="shared" si="9"/>
        <v>1</v>
      </c>
      <c r="AR15" s="328"/>
      <c r="AS15" s="125" t="str">
        <f t="shared" si="10"/>
        <v>EXCLUI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1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0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5" t="str">
        <f t="shared" si="12"/>
        <v/>
      </c>
      <c r="BP15" s="445">
        <f t="shared" si="13"/>
        <v>11</v>
      </c>
      <c r="BQ15" s="445">
        <f t="shared" si="14"/>
        <v>11</v>
      </c>
      <c r="BR15" s="446" t="str">
        <f t="shared" si="15"/>
        <v/>
      </c>
      <c r="BS15" s="446">
        <f t="shared" si="16"/>
        <v>0</v>
      </c>
      <c r="BT15" s="446">
        <f t="shared" si="17"/>
        <v>0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12</v>
      </c>
      <c r="C16" s="292">
        <f>'IMPORTAÇÃO GENOTIPER'!AA12</f>
        <v>14</v>
      </c>
      <c r="D16" s="292">
        <f>'IMPORTAÇÃO GENOTIPER'!AI12</f>
        <v>10</v>
      </c>
      <c r="E16" s="292">
        <f>'IMPORTAÇÃO GENOTIPER'!AQ12</f>
        <v>12</v>
      </c>
      <c r="F16" s="432">
        <f>'IMPORTAÇÃO GENOTIPER'!BO12</f>
        <v>0</v>
      </c>
      <c r="G16" s="432">
        <f>'IMPORTAÇÃO GENOTIPER'!BW12</f>
        <v>0</v>
      </c>
      <c r="H16" s="432">
        <f>'IMPORTAÇÃO GENOTIPER'!CE12</f>
        <v>0</v>
      </c>
      <c r="I16" s="432">
        <f>'IMPORTAÇÃO GENOTIPER'!CM12</f>
        <v>0</v>
      </c>
      <c r="J16" s="433">
        <f t="shared" si="29"/>
        <v>12</v>
      </c>
      <c r="K16" s="433">
        <f t="shared" si="29"/>
        <v>14</v>
      </c>
      <c r="L16" s="433">
        <f t="shared" si="29"/>
        <v>10</v>
      </c>
      <c r="M16" s="433">
        <f t="shared" si="30"/>
        <v>12</v>
      </c>
      <c r="N16" s="433">
        <f t="shared" si="31"/>
        <v>0</v>
      </c>
      <c r="O16" s="433">
        <f t="shared" si="31"/>
        <v>0</v>
      </c>
      <c r="P16" s="433">
        <f t="shared" si="31"/>
        <v>0</v>
      </c>
      <c r="Q16" s="433">
        <f t="shared" si="31"/>
        <v>0</v>
      </c>
      <c r="R16" s="434">
        <f t="shared" si="0"/>
        <v>12</v>
      </c>
      <c r="S16" s="434">
        <f t="shared" si="1"/>
        <v>14</v>
      </c>
      <c r="T16" s="434">
        <f t="shared" si="0"/>
        <v>10</v>
      </c>
      <c r="U16" s="434">
        <f t="shared" si="2"/>
        <v>12</v>
      </c>
      <c r="V16" s="434">
        <f t="shared" si="3"/>
        <v>0</v>
      </c>
      <c r="W16" s="434">
        <f t="shared" si="4"/>
        <v>0</v>
      </c>
      <c r="X16" s="434">
        <f t="shared" si="32"/>
        <v>0</v>
      </c>
      <c r="Y16" s="434">
        <f t="shared" si="33"/>
        <v>0</v>
      </c>
      <c r="Z16" s="435">
        <f t="shared" si="5"/>
        <v>0</v>
      </c>
      <c r="AA16" s="435">
        <f t="shared" si="6"/>
        <v>12</v>
      </c>
      <c r="AB16" s="436">
        <f>(IF((OR((T16="&gt;22"),(U16="&gt;22"))),2,(IF(((Z16+AA16)=(T16+U16)),0,1))))</f>
        <v>1</v>
      </c>
      <c r="AC16" s="437">
        <f t="shared" si="34"/>
        <v>12</v>
      </c>
      <c r="AD16" s="438">
        <f t="shared" si="35"/>
        <v>10</v>
      </c>
      <c r="AE16" s="438">
        <f t="shared" si="36"/>
        <v>0</v>
      </c>
      <c r="AF16" s="439">
        <f t="shared" si="37"/>
        <v>0</v>
      </c>
      <c r="AG16" s="440">
        <f t="shared" si="38"/>
        <v>0</v>
      </c>
      <c r="AH16" s="441">
        <f>IF(AF16=0,0,VLOOKUP(AF16,FREQUENCIAS!$1:$1048576,(IF(($A16=FREQUENCIAS!$I$1),9,"ERRO")),FREQUENCIAS!$1:$1048576))</f>
        <v>0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0</v>
      </c>
      <c r="AN16" s="121">
        <f t="shared" si="7"/>
        <v>0</v>
      </c>
      <c r="AO16" s="122">
        <f t="shared" si="8"/>
        <v>0</v>
      </c>
      <c r="AP16" s="328"/>
      <c r="AQ16" s="443">
        <f t="shared" si="9"/>
        <v>1</v>
      </c>
      <c r="AR16" s="328"/>
      <c r="AS16" s="125" t="str">
        <f t="shared" si="10"/>
        <v>EXCLUI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4">
        <f t="shared" si="41"/>
        <v>1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0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12</v>
      </c>
      <c r="BQ16" s="445">
        <f t="shared" si="14"/>
        <v>12</v>
      </c>
      <c r="BR16" s="446" t="str">
        <f t="shared" si="15"/>
        <v/>
      </c>
      <c r="BS16" s="446">
        <f t="shared" si="16"/>
        <v>0</v>
      </c>
      <c r="BT16" s="446">
        <f t="shared" si="17"/>
        <v>0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17</v>
      </c>
      <c r="C17" s="292">
        <f>'IMPORTAÇÃO GENOTIPER'!AA13</f>
        <v>17</v>
      </c>
      <c r="D17" s="292">
        <f>'IMPORTAÇÃO GENOTIPER'!AI13</f>
        <v>17</v>
      </c>
      <c r="E17" s="292">
        <f>'IMPORTAÇÃO GENOTIPER'!AQ13</f>
        <v>20</v>
      </c>
      <c r="F17" s="432">
        <f>'IMPORTAÇÃO GENOTIPER'!BO13</f>
        <v>0</v>
      </c>
      <c r="G17" s="432">
        <f>'IMPORTAÇÃO GENOTIPER'!BW13</f>
        <v>0</v>
      </c>
      <c r="H17" s="432">
        <f>'IMPORTAÇÃO GENOTIPER'!CE13</f>
        <v>0</v>
      </c>
      <c r="I17" s="432">
        <f>'IMPORTAÇÃO GENOTIPER'!CM13</f>
        <v>0</v>
      </c>
      <c r="J17" s="433">
        <f t="shared" si="29"/>
        <v>17</v>
      </c>
      <c r="K17" s="433">
        <f t="shared" si="29"/>
        <v>17</v>
      </c>
      <c r="L17" s="433">
        <f t="shared" si="29"/>
        <v>17</v>
      </c>
      <c r="M17" s="433">
        <f t="shared" si="30"/>
        <v>20</v>
      </c>
      <c r="N17" s="433">
        <f t="shared" si="31"/>
        <v>0</v>
      </c>
      <c r="O17" s="433">
        <f t="shared" si="31"/>
        <v>0</v>
      </c>
      <c r="P17" s="433">
        <f t="shared" si="31"/>
        <v>0</v>
      </c>
      <c r="Q17" s="433">
        <f t="shared" si="31"/>
        <v>0</v>
      </c>
      <c r="R17" s="434">
        <f t="shared" si="0"/>
        <v>17</v>
      </c>
      <c r="S17" s="434">
        <f t="shared" si="1"/>
        <v>17</v>
      </c>
      <c r="T17" s="434">
        <f t="shared" si="0"/>
        <v>17</v>
      </c>
      <c r="U17" s="434">
        <f t="shared" si="2"/>
        <v>20</v>
      </c>
      <c r="V17" s="434">
        <f t="shared" si="3"/>
        <v>0</v>
      </c>
      <c r="W17" s="434">
        <f t="shared" si="4"/>
        <v>0</v>
      </c>
      <c r="X17" s="434">
        <f t="shared" si="32"/>
        <v>0</v>
      </c>
      <c r="Y17" s="434">
        <f t="shared" si="33"/>
        <v>0</v>
      </c>
      <c r="Z17" s="435">
        <f t="shared" si="5"/>
        <v>17</v>
      </c>
      <c r="AA17" s="435">
        <f t="shared" si="6"/>
        <v>0</v>
      </c>
      <c r="AB17" s="436">
        <f>(IF((OR((T17="&gt;28"),(U17="&gt;28"))),2,(IF(((Z17+AA17)=(T17+U17)),0,1))))</f>
        <v>1</v>
      </c>
      <c r="AC17" s="437">
        <f t="shared" si="34"/>
        <v>17</v>
      </c>
      <c r="AD17" s="438">
        <f t="shared" si="35"/>
        <v>20</v>
      </c>
      <c r="AE17" s="438">
        <f t="shared" si="36"/>
        <v>0</v>
      </c>
      <c r="AF17" s="439">
        <f t="shared" si="37"/>
        <v>0</v>
      </c>
      <c r="AG17" s="440">
        <f t="shared" si="38"/>
        <v>0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0</v>
      </c>
      <c r="AN17" s="121">
        <f t="shared" si="7"/>
        <v>0</v>
      </c>
      <c r="AO17" s="122">
        <f t="shared" si="8"/>
        <v>0</v>
      </c>
      <c r="AP17" s="328" t="s">
        <v>173</v>
      </c>
      <c r="AQ17" s="443">
        <f t="shared" si="9"/>
        <v>1</v>
      </c>
      <c r="AR17" s="328"/>
      <c r="AS17" s="125" t="str">
        <f t="shared" si="10"/>
        <v>EXCLUI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4">
        <f t="shared" si="41"/>
        <v>1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0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5" t="str">
        <f t="shared" si="12"/>
        <v/>
      </c>
      <c r="BP17" s="445">
        <f t="shared" si="13"/>
        <v>17</v>
      </c>
      <c r="BQ17" s="445">
        <f t="shared" si="14"/>
        <v>17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11</v>
      </c>
      <c r="D18" s="292">
        <f>'IMPORTAÇÃO GENOTIPER'!AI14</f>
        <v>10</v>
      </c>
      <c r="E18" s="292">
        <f>'IMPORTAÇÃO GENOTIPER'!AQ14</f>
        <v>12</v>
      </c>
      <c r="F18" s="432">
        <f>'IMPORTAÇÃO GENOTIPER'!BO14</f>
        <v>0</v>
      </c>
      <c r="G18" s="432">
        <f>'IMPORTAÇÃO GENOTIPER'!BW14</f>
        <v>0</v>
      </c>
      <c r="H18" s="432">
        <f>'IMPORTAÇÃO GENOTIPER'!CE14</f>
        <v>0</v>
      </c>
      <c r="I18" s="432">
        <f>'IMPORTAÇÃO GENOTIPER'!CM14</f>
        <v>0</v>
      </c>
      <c r="J18" s="433">
        <f t="shared" si="29"/>
        <v>10</v>
      </c>
      <c r="K18" s="433">
        <f t="shared" si="29"/>
        <v>11</v>
      </c>
      <c r="L18" s="433">
        <f t="shared" si="29"/>
        <v>10</v>
      </c>
      <c r="M18" s="433">
        <f t="shared" si="30"/>
        <v>12</v>
      </c>
      <c r="N18" s="433">
        <f t="shared" si="31"/>
        <v>0</v>
      </c>
      <c r="O18" s="433">
        <f t="shared" si="31"/>
        <v>0</v>
      </c>
      <c r="P18" s="433">
        <f t="shared" si="31"/>
        <v>0</v>
      </c>
      <c r="Q18" s="433">
        <f t="shared" si="31"/>
        <v>0</v>
      </c>
      <c r="R18" s="434">
        <f t="shared" si="0"/>
        <v>10</v>
      </c>
      <c r="S18" s="434">
        <f t="shared" si="1"/>
        <v>11</v>
      </c>
      <c r="T18" s="434">
        <f t="shared" si="0"/>
        <v>10</v>
      </c>
      <c r="U18" s="434">
        <f t="shared" si="2"/>
        <v>12</v>
      </c>
      <c r="V18" s="434">
        <f t="shared" si="3"/>
        <v>0</v>
      </c>
      <c r="W18" s="434">
        <f t="shared" si="4"/>
        <v>0</v>
      </c>
      <c r="X18" s="434">
        <f t="shared" si="32"/>
        <v>0</v>
      </c>
      <c r="Y18" s="434">
        <f t="shared" si="33"/>
        <v>0</v>
      </c>
      <c r="Z18" s="435">
        <f t="shared" si="5"/>
        <v>10</v>
      </c>
      <c r="AA18" s="435">
        <f t="shared" si="6"/>
        <v>0</v>
      </c>
      <c r="AB18" s="436">
        <f>(IF((OR((T18="&gt;17,2"),(U18="&gt;17,2"))),2,(IF(((Z18+AA18)=(T18+U18)),0,1))))</f>
        <v>1</v>
      </c>
      <c r="AC18" s="437">
        <f t="shared" si="34"/>
        <v>10</v>
      </c>
      <c r="AD18" s="438">
        <f t="shared" si="35"/>
        <v>12</v>
      </c>
      <c r="AE18" s="438">
        <f t="shared" si="36"/>
        <v>0</v>
      </c>
      <c r="AF18" s="439">
        <f t="shared" si="37"/>
        <v>0</v>
      </c>
      <c r="AG18" s="440">
        <f t="shared" si="38"/>
        <v>0</v>
      </c>
      <c r="AH18" s="441">
        <f>IF(AF18=0,0,VLOOKUP(AF18,FREQUENCIAS!$1:$1048576,(IF(($A18=FREQUENCIAS!$K$1),11,"ERRO")),FREQUENCIAS!$1:$1048576))</f>
        <v>0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0</v>
      </c>
      <c r="AN18" s="121">
        <f t="shared" si="7"/>
        <v>0</v>
      </c>
      <c r="AO18" s="122">
        <f t="shared" si="8"/>
        <v>0</v>
      </c>
      <c r="AP18" s="328"/>
      <c r="AQ18" s="443">
        <f t="shared" si="9"/>
        <v>1</v>
      </c>
      <c r="AR18" s="328"/>
      <c r="AS18" s="125" t="str">
        <f t="shared" si="10"/>
        <v>EXCLUI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4">
        <f t="shared" si="41"/>
        <v>1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0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5" t="str">
        <f t="shared" si="12"/>
        <v/>
      </c>
      <c r="BP18" s="445">
        <f t="shared" si="13"/>
        <v>10</v>
      </c>
      <c r="BQ18" s="445">
        <f t="shared" si="14"/>
        <v>10</v>
      </c>
      <c r="BR18" s="446" t="str">
        <f t="shared" si="15"/>
        <v/>
      </c>
      <c r="BS18" s="446">
        <f t="shared" si="16"/>
        <v>0</v>
      </c>
      <c r="BT18" s="446">
        <f t="shared" si="17"/>
        <v>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10</v>
      </c>
      <c r="C19" s="292">
        <f>'IMPORTAÇÃO GENOTIPER'!AA15</f>
        <v>11</v>
      </c>
      <c r="D19" s="292">
        <f>'IMPORTAÇÃO GENOTIPER'!AI15</f>
        <v>10</v>
      </c>
      <c r="E19" s="292">
        <f>'IMPORTAÇÃO GENOTIPER'!AQ15</f>
        <v>12</v>
      </c>
      <c r="F19" s="432">
        <f>'IMPORTAÇÃO GENOTIPER'!BO15</f>
        <v>0</v>
      </c>
      <c r="G19" s="432">
        <f>'IMPORTAÇÃO GENOTIPER'!BW15</f>
        <v>0</v>
      </c>
      <c r="H19" s="432">
        <f>'IMPORTAÇÃO GENOTIPER'!CE15</f>
        <v>0</v>
      </c>
      <c r="I19" s="432">
        <f>'IMPORTAÇÃO GENOTIPER'!CM15</f>
        <v>0</v>
      </c>
      <c r="J19" s="433">
        <f t="shared" si="29"/>
        <v>10</v>
      </c>
      <c r="K19" s="433">
        <f t="shared" si="29"/>
        <v>11</v>
      </c>
      <c r="L19" s="433">
        <f t="shared" si="29"/>
        <v>10</v>
      </c>
      <c r="M19" s="433">
        <f t="shared" si="30"/>
        <v>12</v>
      </c>
      <c r="N19" s="433">
        <f t="shared" si="31"/>
        <v>0</v>
      </c>
      <c r="O19" s="433">
        <f t="shared" si="31"/>
        <v>0</v>
      </c>
      <c r="P19" s="433">
        <f t="shared" si="31"/>
        <v>0</v>
      </c>
      <c r="Q19" s="433">
        <f t="shared" si="31"/>
        <v>0</v>
      </c>
      <c r="R19" s="434">
        <f t="shared" si="0"/>
        <v>10</v>
      </c>
      <c r="S19" s="434">
        <f t="shared" si="1"/>
        <v>11</v>
      </c>
      <c r="T19" s="434">
        <f t="shared" si="0"/>
        <v>10</v>
      </c>
      <c r="U19" s="434">
        <f t="shared" si="2"/>
        <v>12</v>
      </c>
      <c r="V19" s="434">
        <f t="shared" si="3"/>
        <v>0</v>
      </c>
      <c r="W19" s="434">
        <f t="shared" si="4"/>
        <v>0</v>
      </c>
      <c r="X19" s="434">
        <f t="shared" si="32"/>
        <v>0</v>
      </c>
      <c r="Y19" s="434">
        <f t="shared" si="33"/>
        <v>0</v>
      </c>
      <c r="Z19" s="435">
        <f t="shared" si="5"/>
        <v>10</v>
      </c>
      <c r="AA19" s="435">
        <f t="shared" si="6"/>
        <v>0</v>
      </c>
      <c r="AB19" s="436">
        <f>(IF((OR((T19="&gt;21"),(U19="&gt;21"))),2,(IF(((Z19+AA19)=(T19+U19)),0,1))))</f>
        <v>1</v>
      </c>
      <c r="AC19" s="437">
        <f t="shared" si="34"/>
        <v>10</v>
      </c>
      <c r="AD19" s="438">
        <f t="shared" si="35"/>
        <v>12</v>
      </c>
      <c r="AE19" s="438">
        <f t="shared" si="36"/>
        <v>0</v>
      </c>
      <c r="AF19" s="439">
        <f t="shared" si="37"/>
        <v>0</v>
      </c>
      <c r="AG19" s="440">
        <f t="shared" si="38"/>
        <v>0</v>
      </c>
      <c r="AH19" s="441">
        <f>IF(AF19=0,0,VLOOKUP(AF19,FREQUENCIAS!$1:$1048576,(IF(($A19=FREQUENCIAS!$L$1),12,"ERRO")),FREQUENCIAS!$1:$1048576))</f>
        <v>0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0</v>
      </c>
      <c r="AN19" s="121">
        <f t="shared" si="7"/>
        <v>0</v>
      </c>
      <c r="AO19" s="122">
        <f t="shared" si="8"/>
        <v>0</v>
      </c>
      <c r="AP19" s="328" t="s">
        <v>164</v>
      </c>
      <c r="AQ19" s="443">
        <f t="shared" si="9"/>
        <v>1</v>
      </c>
      <c r="AR19" s="328"/>
      <c r="AS19" s="125" t="str">
        <f t="shared" si="10"/>
        <v>EXCLUI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4">
        <f t="shared" si="41"/>
        <v>1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0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>&lt;</v>
      </c>
      <c r="BP19" s="445">
        <f t="shared" si="13"/>
        <v>11</v>
      </c>
      <c r="BQ19" s="445" t="str">
        <f t="shared" si="14"/>
        <v>&lt;11</v>
      </c>
      <c r="BR19" s="446" t="str">
        <f t="shared" si="15"/>
        <v/>
      </c>
      <c r="BS19" s="446">
        <f t="shared" si="16"/>
        <v>0</v>
      </c>
      <c r="BT19" s="446">
        <f t="shared" si="17"/>
        <v>0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6</v>
      </c>
      <c r="C20" s="292">
        <f>'IMPORTAÇÃO GENOTIPER'!AA16</f>
        <v>7</v>
      </c>
      <c r="D20" s="292">
        <f>'IMPORTAÇÃO GENOTIPER'!AI16</f>
        <v>6</v>
      </c>
      <c r="E20" s="292">
        <f>'IMPORTAÇÃO GENOTIPER'!AQ16</f>
        <v>6</v>
      </c>
      <c r="F20" s="432">
        <f>'IMPORTAÇÃO GENOTIPER'!BO16</f>
        <v>0</v>
      </c>
      <c r="G20" s="432">
        <f>'IMPORTAÇÃO GENOTIPER'!BW16</f>
        <v>0</v>
      </c>
      <c r="H20" s="432">
        <f>'IMPORTAÇÃO GENOTIPER'!CE16</f>
        <v>0</v>
      </c>
      <c r="I20" s="432">
        <f>'IMPORTAÇÃO GENOTIPER'!CM16</f>
        <v>0</v>
      </c>
      <c r="J20" s="433">
        <f t="shared" si="29"/>
        <v>6</v>
      </c>
      <c r="K20" s="433">
        <f t="shared" si="29"/>
        <v>7</v>
      </c>
      <c r="L20" s="433">
        <f t="shared" si="29"/>
        <v>6</v>
      </c>
      <c r="M20" s="433">
        <f t="shared" si="30"/>
        <v>6</v>
      </c>
      <c r="N20" s="433">
        <f t="shared" si="31"/>
        <v>0</v>
      </c>
      <c r="O20" s="433">
        <f t="shared" si="31"/>
        <v>0</v>
      </c>
      <c r="P20" s="433">
        <f t="shared" si="31"/>
        <v>0</v>
      </c>
      <c r="Q20" s="433">
        <f t="shared" si="31"/>
        <v>0</v>
      </c>
      <c r="R20" s="434">
        <f t="shared" si="0"/>
        <v>6</v>
      </c>
      <c r="S20" s="434">
        <f t="shared" si="1"/>
        <v>7</v>
      </c>
      <c r="T20" s="434">
        <f t="shared" si="0"/>
        <v>6</v>
      </c>
      <c r="U20" s="434">
        <f t="shared" si="2"/>
        <v>6</v>
      </c>
      <c r="V20" s="434">
        <f t="shared" si="3"/>
        <v>0</v>
      </c>
      <c r="W20" s="434">
        <f t="shared" si="4"/>
        <v>0</v>
      </c>
      <c r="X20" s="434">
        <f t="shared" si="32"/>
        <v>0</v>
      </c>
      <c r="Y20" s="434">
        <f t="shared" si="33"/>
        <v>0</v>
      </c>
      <c r="Z20" s="435">
        <f t="shared" si="5"/>
        <v>6</v>
      </c>
      <c r="AA20" s="435">
        <f t="shared" si="6"/>
        <v>6</v>
      </c>
      <c r="AB20" s="436">
        <f>(IF((OR((T20="&gt;20"),(U20="&gt;20"))),2,(IF(((Z20+AA20)=(T20+U20)),0,1))))</f>
        <v>0</v>
      </c>
      <c r="AC20" s="437">
        <f t="shared" si="34"/>
        <v>6</v>
      </c>
      <c r="AD20" s="438">
        <f t="shared" si="35"/>
        <v>6</v>
      </c>
      <c r="AE20" s="438">
        <f t="shared" si="36"/>
        <v>0</v>
      </c>
      <c r="AF20" s="439">
        <f t="shared" si="37"/>
        <v>0</v>
      </c>
      <c r="AG20" s="440">
        <f t="shared" si="38"/>
        <v>0</v>
      </c>
      <c r="AH20" s="441">
        <f>IF(AF20=0,0,VLOOKUP(AF20,FREQUENCIAS!$1:$1048576,(IF(($A20=FREQUENCIAS!$M$1),13,"ERRO")),FREQUENCIAS!$1:$1048576))</f>
        <v>0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0</v>
      </c>
      <c r="AN20" s="121">
        <f t="shared" si="7"/>
        <v>0</v>
      </c>
      <c r="AO20" s="122">
        <f t="shared" si="8"/>
        <v>0</v>
      </c>
      <c r="AP20" s="328"/>
      <c r="AQ20" s="443">
        <f t="shared" si="9"/>
        <v>1</v>
      </c>
      <c r="AR20" s="328"/>
      <c r="AS20" s="125" t="str">
        <f t="shared" si="10"/>
        <v>EXCLUI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4">
        <f>IF(($AM20=0),1,0)</f>
        <v>1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0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5" t="str">
        <f t="shared" si="12"/>
        <v/>
      </c>
      <c r="BP20" s="445">
        <f t="shared" si="13"/>
        <v>6</v>
      </c>
      <c r="BQ20" s="445">
        <f t="shared" si="14"/>
        <v>6</v>
      </c>
      <c r="BR20" s="446" t="str">
        <f t="shared" si="15"/>
        <v/>
      </c>
      <c r="BS20" s="446">
        <f t="shared" si="16"/>
        <v>0</v>
      </c>
      <c r="BT20" s="446">
        <f t="shared" si="17"/>
        <v>0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17</v>
      </c>
      <c r="C21" s="292">
        <f>'IMPORTAÇÃO GENOTIPER'!AA17</f>
        <v>18</v>
      </c>
      <c r="D21" s="292">
        <f>'IMPORTAÇÃO GENOTIPER'!AI17</f>
        <v>17</v>
      </c>
      <c r="E21" s="292">
        <f>'IMPORTAÇÃO GENOTIPER'!AQ17</f>
        <v>17</v>
      </c>
      <c r="F21" s="432">
        <f>'IMPORTAÇÃO GENOTIPER'!BO17</f>
        <v>0</v>
      </c>
      <c r="G21" s="432">
        <f>'IMPORTAÇÃO GENOTIPER'!BW17</f>
        <v>0</v>
      </c>
      <c r="H21" s="432">
        <f>'IMPORTAÇÃO GENOTIPER'!CE17</f>
        <v>0</v>
      </c>
      <c r="I21" s="432">
        <f>'IMPORTAÇÃO GENOTIPER'!CM17</f>
        <v>0</v>
      </c>
      <c r="J21" s="433">
        <f t="shared" si="29"/>
        <v>17</v>
      </c>
      <c r="K21" s="433">
        <f t="shared" si="29"/>
        <v>18</v>
      </c>
      <c r="L21" s="433">
        <f t="shared" si="29"/>
        <v>17</v>
      </c>
      <c r="M21" s="433">
        <f t="shared" si="30"/>
        <v>17</v>
      </c>
      <c r="N21" s="433">
        <f t="shared" si="31"/>
        <v>0</v>
      </c>
      <c r="O21" s="433">
        <f t="shared" si="31"/>
        <v>0</v>
      </c>
      <c r="P21" s="433">
        <f t="shared" si="31"/>
        <v>0</v>
      </c>
      <c r="Q21" s="433">
        <f t="shared" si="31"/>
        <v>0</v>
      </c>
      <c r="R21" s="434">
        <f t="shared" si="0"/>
        <v>17</v>
      </c>
      <c r="S21" s="434">
        <f t="shared" si="1"/>
        <v>18</v>
      </c>
      <c r="T21" s="434">
        <f t="shared" si="0"/>
        <v>17</v>
      </c>
      <c r="U21" s="434">
        <f t="shared" si="2"/>
        <v>17</v>
      </c>
      <c r="V21" s="434">
        <f t="shared" si="3"/>
        <v>0</v>
      </c>
      <c r="W21" s="434">
        <f t="shared" si="4"/>
        <v>0</v>
      </c>
      <c r="X21" s="434">
        <f t="shared" si="32"/>
        <v>0</v>
      </c>
      <c r="Y21" s="434">
        <f t="shared" si="33"/>
        <v>0</v>
      </c>
      <c r="Z21" s="435">
        <f t="shared" si="5"/>
        <v>17</v>
      </c>
      <c r="AA21" s="435">
        <f t="shared" si="6"/>
        <v>17</v>
      </c>
      <c r="AB21" s="436">
        <f>(IF((OR((T21="&gt;24"),(U21="&gt;24"))),2,(IF(((Z21+AA21)=(T21+U21)),0,1))))</f>
        <v>0</v>
      </c>
      <c r="AC21" s="437">
        <f t="shared" si="34"/>
        <v>17</v>
      </c>
      <c r="AD21" s="438">
        <f t="shared" si="35"/>
        <v>17</v>
      </c>
      <c r="AE21" s="438">
        <f t="shared" si="36"/>
        <v>0</v>
      </c>
      <c r="AF21" s="439">
        <f t="shared" si="37"/>
        <v>0</v>
      </c>
      <c r="AG21" s="440">
        <f t="shared" si="38"/>
        <v>0</v>
      </c>
      <c r="AH21" s="441">
        <f>IF(AF21=0,0,VLOOKUP(AF21,FREQUENCIAS!$1:$1048576,(IF(($A21=FREQUENCIAS!$N$1),14,"ERRO")),FREQUENCIAS!$1:$1048576))</f>
        <v>0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0</v>
      </c>
      <c r="AN21" s="121">
        <f t="shared" si="7"/>
        <v>0</v>
      </c>
      <c r="AO21" s="122">
        <f t="shared" si="8"/>
        <v>0</v>
      </c>
      <c r="AP21" s="328"/>
      <c r="AQ21" s="443">
        <f t="shared" si="9"/>
        <v>1</v>
      </c>
      <c r="AR21" s="328"/>
      <c r="AS21" s="125" t="str">
        <f t="shared" si="10"/>
        <v>EXCLUI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4">
        <f t="shared" si="41"/>
        <v>1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0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5" t="str">
        <f t="shared" si="12"/>
        <v/>
      </c>
      <c r="BP21" s="445">
        <f t="shared" si="13"/>
        <v>17</v>
      </c>
      <c r="BQ21" s="445">
        <f t="shared" si="14"/>
        <v>17</v>
      </c>
      <c r="BR21" s="446" t="str">
        <f t="shared" si="15"/>
        <v/>
      </c>
      <c r="BS21" s="446">
        <f t="shared" si="16"/>
        <v>0</v>
      </c>
      <c r="BT21" s="446">
        <f t="shared" si="17"/>
        <v>0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28</v>
      </c>
      <c r="C22" s="292">
        <f>'IMPORTAÇÃO GENOTIPER'!AA18</f>
        <v>29</v>
      </c>
      <c r="D22" s="292">
        <f>'IMPORTAÇÃO GENOTIPER'!AI18</f>
        <v>29</v>
      </c>
      <c r="E22" s="292">
        <f>'IMPORTAÇÃO GENOTIPER'!AQ18</f>
        <v>32.200000000000003</v>
      </c>
      <c r="F22" s="432">
        <f>'IMPORTAÇÃO GENOTIPER'!BO18</f>
        <v>0</v>
      </c>
      <c r="G22" s="432">
        <f>'IMPORTAÇÃO GENOTIPER'!BW18</f>
        <v>0</v>
      </c>
      <c r="H22" s="432">
        <f>'IMPORTAÇÃO GENOTIPER'!CE18</f>
        <v>0</v>
      </c>
      <c r="I22" s="432">
        <f>'IMPORTAÇÃO GENOTIPER'!CM18</f>
        <v>0</v>
      </c>
      <c r="J22" s="433">
        <f t="shared" si="29"/>
        <v>28</v>
      </c>
      <c r="K22" s="433">
        <f t="shared" si="29"/>
        <v>29</v>
      </c>
      <c r="L22" s="433">
        <f t="shared" si="29"/>
        <v>29</v>
      </c>
      <c r="M22" s="433">
        <f t="shared" si="30"/>
        <v>32.200000000000003</v>
      </c>
      <c r="N22" s="433">
        <f t="shared" si="31"/>
        <v>0</v>
      </c>
      <c r="O22" s="433">
        <f t="shared" si="31"/>
        <v>0</v>
      </c>
      <c r="P22" s="433">
        <f t="shared" si="31"/>
        <v>0</v>
      </c>
      <c r="Q22" s="433">
        <f t="shared" si="31"/>
        <v>0</v>
      </c>
      <c r="R22" s="434">
        <f t="shared" si="0"/>
        <v>28</v>
      </c>
      <c r="S22" s="434">
        <f t="shared" si="1"/>
        <v>29</v>
      </c>
      <c r="T22" s="434">
        <f t="shared" si="0"/>
        <v>29</v>
      </c>
      <c r="U22" s="434">
        <f t="shared" si="2"/>
        <v>32.200000000000003</v>
      </c>
      <c r="V22" s="434">
        <f t="shared" si="3"/>
        <v>0</v>
      </c>
      <c r="W22" s="434">
        <f t="shared" si="4"/>
        <v>0</v>
      </c>
      <c r="X22" s="434">
        <f t="shared" si="32"/>
        <v>0</v>
      </c>
      <c r="Y22" s="434">
        <f t="shared" si="33"/>
        <v>0</v>
      </c>
      <c r="Z22" s="435">
        <f t="shared" si="5"/>
        <v>29</v>
      </c>
      <c r="AA22" s="435">
        <f t="shared" si="6"/>
        <v>0</v>
      </c>
      <c r="AB22" s="436">
        <f>(IF((OR((T22="&gt;22"),(U22="&gt;22"))),2,(IF(((Z22+AA22)=(T22+U22)),0,1))))</f>
        <v>1</v>
      </c>
      <c r="AC22" s="437">
        <f t="shared" si="34"/>
        <v>29</v>
      </c>
      <c r="AD22" s="438">
        <f t="shared" si="35"/>
        <v>32.200000000000003</v>
      </c>
      <c r="AE22" s="438">
        <f t="shared" si="36"/>
        <v>0</v>
      </c>
      <c r="AF22" s="439">
        <f t="shared" si="37"/>
        <v>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0</v>
      </c>
      <c r="AN22" s="121">
        <f t="shared" si="7"/>
        <v>0</v>
      </c>
      <c r="AO22" s="122">
        <f t="shared" si="8"/>
        <v>0</v>
      </c>
      <c r="AP22" s="328"/>
      <c r="AQ22" s="443">
        <f t="shared" si="9"/>
        <v>1</v>
      </c>
      <c r="AR22" s="328"/>
      <c r="AS22" s="125" t="str">
        <f t="shared" si="10"/>
        <v>EXCLUI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4">
        <f t="shared" si="41"/>
        <v>1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0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29</v>
      </c>
      <c r="BQ22" s="445">
        <f t="shared" si="14"/>
        <v>29</v>
      </c>
      <c r="BR22" s="446" t="str">
        <f t="shared" si="15"/>
        <v/>
      </c>
      <c r="BS22" s="446">
        <f t="shared" si="16"/>
        <v>0</v>
      </c>
      <c r="BT22" s="446">
        <f t="shared" si="17"/>
        <v>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11</v>
      </c>
      <c r="D23" s="292">
        <f>'IMPORTAÇÃO GENOTIPER'!AI19</f>
        <v>11</v>
      </c>
      <c r="E23" s="292">
        <f>'IMPORTAÇÃO GENOTIPER'!AQ19</f>
        <v>11</v>
      </c>
      <c r="F23" s="432">
        <f>'IMPORTAÇÃO GENOTIPER'!BO19</f>
        <v>0</v>
      </c>
      <c r="G23" s="432">
        <f>'IMPORTAÇÃO GENOTIPER'!BW19</f>
        <v>0</v>
      </c>
      <c r="H23" s="432">
        <f>'IMPORTAÇÃO GENOTIPER'!CE19</f>
        <v>0</v>
      </c>
      <c r="I23" s="432">
        <f>'IMPORTAÇÃO GENOTIPER'!CM19</f>
        <v>0</v>
      </c>
      <c r="J23" s="433">
        <f t="shared" si="29"/>
        <v>11</v>
      </c>
      <c r="K23" s="433">
        <f t="shared" si="29"/>
        <v>11</v>
      </c>
      <c r="L23" s="433">
        <f t="shared" si="29"/>
        <v>11</v>
      </c>
      <c r="M23" s="433">
        <f t="shared" si="30"/>
        <v>11</v>
      </c>
      <c r="N23" s="433">
        <f t="shared" si="31"/>
        <v>0</v>
      </c>
      <c r="O23" s="433">
        <f t="shared" si="31"/>
        <v>0</v>
      </c>
      <c r="P23" s="433">
        <f t="shared" si="31"/>
        <v>0</v>
      </c>
      <c r="Q23" s="433">
        <f t="shared" si="31"/>
        <v>0</v>
      </c>
      <c r="R23" s="434">
        <f t="shared" si="0"/>
        <v>11</v>
      </c>
      <c r="S23" s="434">
        <f t="shared" si="1"/>
        <v>11</v>
      </c>
      <c r="T23" s="434">
        <f t="shared" si="0"/>
        <v>11</v>
      </c>
      <c r="U23" s="434">
        <f t="shared" si="2"/>
        <v>11</v>
      </c>
      <c r="V23" s="434">
        <f t="shared" si="3"/>
        <v>0</v>
      </c>
      <c r="W23" s="434">
        <f t="shared" si="4"/>
        <v>0</v>
      </c>
      <c r="X23" s="434">
        <f t="shared" si="32"/>
        <v>0</v>
      </c>
      <c r="Y23" s="434">
        <f t="shared" si="33"/>
        <v>0</v>
      </c>
      <c r="Z23" s="435">
        <f t="shared" si="5"/>
        <v>11</v>
      </c>
      <c r="AA23" s="435">
        <f t="shared" si="6"/>
        <v>11</v>
      </c>
      <c r="AB23" s="436">
        <f>(IF((OR((T23="&gt;32"),(U23="&gt;32"))),2,(IF(((Z23+AA23)=(T23+U23)),0,1))))</f>
        <v>0</v>
      </c>
      <c r="AC23" s="437">
        <f t="shared" si="34"/>
        <v>11</v>
      </c>
      <c r="AD23" s="438">
        <f t="shared" si="35"/>
        <v>11</v>
      </c>
      <c r="AE23" s="438">
        <f t="shared" si="36"/>
        <v>0</v>
      </c>
      <c r="AF23" s="439">
        <f t="shared" si="37"/>
        <v>0</v>
      </c>
      <c r="AG23" s="440">
        <f t="shared" si="38"/>
        <v>0</v>
      </c>
      <c r="AH23" s="441">
        <f>IF(AF23=0,0,VLOOKUP(AF23,FREQUENCIAS!$1:$1048576,(IF(($A23=FREQUENCIAS!$P$1),16,"ERRO")),FREQUENCIAS!$1:$1048576))</f>
        <v>0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0</v>
      </c>
      <c r="AN23" s="121">
        <f t="shared" si="7"/>
        <v>0</v>
      </c>
      <c r="AO23" s="122">
        <f t="shared" si="8"/>
        <v>0</v>
      </c>
      <c r="AP23" s="328" t="s">
        <v>173</v>
      </c>
      <c r="AQ23" s="443">
        <f t="shared" si="9"/>
        <v>1</v>
      </c>
      <c r="AR23" s="328"/>
      <c r="AS23" s="125" t="str">
        <f t="shared" si="10"/>
        <v>EXCLUI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4">
        <f t="shared" si="41"/>
        <v>1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0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11</v>
      </c>
      <c r="BQ23" s="452">
        <f t="shared" si="14"/>
        <v>11</v>
      </c>
      <c r="BR23" s="453" t="str">
        <f t="shared" si="15"/>
        <v/>
      </c>
      <c r="BS23" s="453">
        <f t="shared" si="16"/>
        <v>0</v>
      </c>
      <c r="BT23" s="453">
        <f t="shared" si="17"/>
        <v>0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11</v>
      </c>
      <c r="F24" s="432">
        <f>'IMPORTAÇÃO GENOTIPER'!BO20</f>
        <v>0</v>
      </c>
      <c r="G24" s="432">
        <f>'IMPORTAÇÃO GENOTIPER'!BW20</f>
        <v>0</v>
      </c>
      <c r="H24" s="432">
        <f>'IMPORTAÇÃO GENOTIPER'!CE20</f>
        <v>0</v>
      </c>
      <c r="I24" s="432">
        <f>'IMPORTAÇÃO GENOTIPER'!CM20</f>
        <v>0</v>
      </c>
      <c r="J24" s="433">
        <f t="shared" si="29"/>
        <v>11</v>
      </c>
      <c r="K24" s="433">
        <f t="shared" si="29"/>
        <v>12</v>
      </c>
      <c r="L24" s="433">
        <f t="shared" si="29"/>
        <v>11</v>
      </c>
      <c r="M24" s="433">
        <f t="shared" si="30"/>
        <v>11</v>
      </c>
      <c r="N24" s="433">
        <f t="shared" si="31"/>
        <v>0</v>
      </c>
      <c r="O24" s="433">
        <f t="shared" si="31"/>
        <v>0</v>
      </c>
      <c r="P24" s="433">
        <f t="shared" si="31"/>
        <v>0</v>
      </c>
      <c r="Q24" s="433">
        <f t="shared" si="31"/>
        <v>0</v>
      </c>
      <c r="R24" s="434">
        <f t="shared" si="0"/>
        <v>11</v>
      </c>
      <c r="S24" s="434">
        <f t="shared" si="1"/>
        <v>12</v>
      </c>
      <c r="T24" s="434">
        <f t="shared" si="0"/>
        <v>11</v>
      </c>
      <c r="U24" s="434">
        <f t="shared" si="2"/>
        <v>11</v>
      </c>
      <c r="V24" s="434">
        <f t="shared" si="3"/>
        <v>0</v>
      </c>
      <c r="W24" s="434">
        <f t="shared" si="4"/>
        <v>0</v>
      </c>
      <c r="X24" s="434">
        <f t="shared" si="32"/>
        <v>0</v>
      </c>
      <c r="Y24" s="434">
        <f t="shared" si="33"/>
        <v>0</v>
      </c>
      <c r="Z24" s="435">
        <f t="shared" si="5"/>
        <v>11</v>
      </c>
      <c r="AA24" s="435">
        <f t="shared" si="6"/>
        <v>11</v>
      </c>
      <c r="AB24" s="436">
        <f t="shared" ref="AB24:AB42" si="47">(IF((OR((T24="&gt;32"),(U24="&gt;32"))),2,(IF(((Z24+AA24)=(T24+U24)),0,1))))</f>
        <v>0</v>
      </c>
      <c r="AC24" s="437">
        <f t="shared" si="34"/>
        <v>11</v>
      </c>
      <c r="AD24" s="438">
        <f t="shared" si="35"/>
        <v>11</v>
      </c>
      <c r="AE24" s="438">
        <f t="shared" si="36"/>
        <v>0</v>
      </c>
      <c r="AF24" s="439">
        <f t="shared" si="37"/>
        <v>0</v>
      </c>
      <c r="AG24" s="440">
        <f t="shared" si="38"/>
        <v>0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0</v>
      </c>
      <c r="AN24" s="121">
        <f t="shared" si="7"/>
        <v>0</v>
      </c>
      <c r="AO24" s="122">
        <f t="shared" si="8"/>
        <v>0</v>
      </c>
      <c r="AP24" s="328" t="s">
        <v>173</v>
      </c>
      <c r="AQ24" s="443">
        <f t="shared" si="9"/>
        <v>1</v>
      </c>
      <c r="AR24" s="328"/>
      <c r="AS24" s="125" t="str">
        <f t="shared" si="10"/>
        <v>EXCLUI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4">
        <f t="shared" si="41"/>
        <v>1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0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11</v>
      </c>
      <c r="BQ24" s="452">
        <f t="shared" si="14"/>
        <v>11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11</v>
      </c>
      <c r="D25" s="292">
        <f>'IMPORTAÇÃO GENOTIPER'!AI21</f>
        <v>8</v>
      </c>
      <c r="E25" s="292">
        <f>'IMPORTAÇÃO GENOTIPER'!AQ21</f>
        <v>12</v>
      </c>
      <c r="F25" s="432">
        <f>'IMPORTAÇÃO GENOTIPER'!BO21</f>
        <v>0</v>
      </c>
      <c r="G25" s="432">
        <f>'IMPORTAÇÃO GENOTIPER'!BW21</f>
        <v>0</v>
      </c>
      <c r="H25" s="432">
        <f>'IMPORTAÇÃO GENOTIPER'!CE21</f>
        <v>0</v>
      </c>
      <c r="I25" s="432">
        <f>'IMPORTAÇÃO GENOTIPER'!CM21</f>
        <v>0</v>
      </c>
      <c r="J25" s="433">
        <f t="shared" si="29"/>
        <v>8</v>
      </c>
      <c r="K25" s="433">
        <f t="shared" si="29"/>
        <v>11</v>
      </c>
      <c r="L25" s="433">
        <f t="shared" si="29"/>
        <v>8</v>
      </c>
      <c r="M25" s="433">
        <f t="shared" si="30"/>
        <v>12</v>
      </c>
      <c r="N25" s="433">
        <f t="shared" si="31"/>
        <v>0</v>
      </c>
      <c r="O25" s="433">
        <f t="shared" si="31"/>
        <v>0</v>
      </c>
      <c r="P25" s="433">
        <f t="shared" si="31"/>
        <v>0</v>
      </c>
      <c r="Q25" s="433">
        <f t="shared" si="31"/>
        <v>0</v>
      </c>
      <c r="R25" s="434">
        <f t="shared" ref="R25:R42" si="50">IF((J25&gt;K25),K25,J25)</f>
        <v>8</v>
      </c>
      <c r="S25" s="434">
        <f t="shared" si="1"/>
        <v>11</v>
      </c>
      <c r="T25" s="434">
        <f t="shared" ref="T25:T42" si="51">IF((L25&gt;M25),M25,L25)</f>
        <v>8</v>
      </c>
      <c r="U25" s="434">
        <f t="shared" si="2"/>
        <v>12</v>
      </c>
      <c r="V25" s="434">
        <f t="shared" si="3"/>
        <v>0</v>
      </c>
      <c r="W25" s="434">
        <f t="shared" si="4"/>
        <v>0</v>
      </c>
      <c r="X25" s="434">
        <f t="shared" si="32"/>
        <v>0</v>
      </c>
      <c r="Y25" s="434">
        <f t="shared" si="33"/>
        <v>0</v>
      </c>
      <c r="Z25" s="435">
        <f t="shared" si="5"/>
        <v>8</v>
      </c>
      <c r="AA25" s="435">
        <f t="shared" si="6"/>
        <v>0</v>
      </c>
      <c r="AB25" s="436">
        <f t="shared" si="47"/>
        <v>1</v>
      </c>
      <c r="AC25" s="437">
        <f t="shared" si="34"/>
        <v>8</v>
      </c>
      <c r="AD25" s="438">
        <f t="shared" si="35"/>
        <v>12</v>
      </c>
      <c r="AE25" s="438">
        <f t="shared" si="36"/>
        <v>0</v>
      </c>
      <c r="AF25" s="439">
        <f t="shared" si="37"/>
        <v>0</v>
      </c>
      <c r="AG25" s="440">
        <f t="shared" si="38"/>
        <v>0</v>
      </c>
      <c r="AH25" s="441">
        <f>IF(AF25=0,0,VLOOKUP(AF25,FREQUENCIAS!$1:$1048576,(IF(($A25=FREQUENCIAS!$R$1),18,"ERRO")),FREQUENCIAS!$1:$1048576))</f>
        <v>0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0</v>
      </c>
      <c r="AN25" s="121">
        <f t="shared" si="7"/>
        <v>0</v>
      </c>
      <c r="AO25" s="122">
        <f t="shared" si="8"/>
        <v>0</v>
      </c>
      <c r="AP25" s="328" t="s">
        <v>173</v>
      </c>
      <c r="AQ25" s="443">
        <f t="shared" si="9"/>
        <v>1</v>
      </c>
      <c r="AR25" s="328"/>
      <c r="AS25" s="125" t="str">
        <f t="shared" si="10"/>
        <v>EXCLUI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4">
        <f t="shared" si="41"/>
        <v>1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0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8</v>
      </c>
      <c r="BQ25" s="452">
        <f t="shared" si="14"/>
        <v>8</v>
      </c>
      <c r="BR25" s="453" t="str">
        <f t="shared" si="15"/>
        <v/>
      </c>
      <c r="BS25" s="453">
        <f t="shared" si="16"/>
        <v>0</v>
      </c>
      <c r="BT25" s="453">
        <f t="shared" si="17"/>
        <v>0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14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14</v>
      </c>
      <c r="F26" s="432">
        <f>'IMPORTAÇÃO GENOTIPER'!BO22</f>
        <v>0</v>
      </c>
      <c r="G26" s="432">
        <f>'IMPORTAÇÃO GENOTIPER'!BW22</f>
        <v>0</v>
      </c>
      <c r="H26" s="432">
        <f>'IMPORTAÇÃO GENOTIPER'!CE22</f>
        <v>0</v>
      </c>
      <c r="I26" s="432">
        <f>'IMPORTAÇÃO GENOTIPER'!CM22</f>
        <v>0</v>
      </c>
      <c r="J26" s="433">
        <f t="shared" ref="J26:L41" si="52">(IF(CODE(D26)=(60),($BL26-1),(IF(CODE(D26)=(62),($BM26+1),B26))))</f>
        <v>14</v>
      </c>
      <c r="K26" s="433">
        <f t="shared" si="52"/>
        <v>15</v>
      </c>
      <c r="L26" s="433">
        <f t="shared" si="52"/>
        <v>13</v>
      </c>
      <c r="M26" s="433">
        <f t="shared" si="30"/>
        <v>14</v>
      </c>
      <c r="N26" s="433">
        <f t="shared" ref="N26:Q41" si="53">(IF(CODE(H26)=(60),($BL26-1),(IF(CODE(H26)=(62),($BM26+1),F26))))</f>
        <v>0</v>
      </c>
      <c r="O26" s="433">
        <f t="shared" si="53"/>
        <v>0</v>
      </c>
      <c r="P26" s="433">
        <f t="shared" si="53"/>
        <v>0</v>
      </c>
      <c r="Q26" s="433">
        <f t="shared" si="53"/>
        <v>0</v>
      </c>
      <c r="R26" s="434">
        <f t="shared" si="50"/>
        <v>14</v>
      </c>
      <c r="S26" s="434">
        <f t="shared" si="1"/>
        <v>15</v>
      </c>
      <c r="T26" s="434">
        <f t="shared" si="51"/>
        <v>13</v>
      </c>
      <c r="U26" s="434">
        <f t="shared" si="2"/>
        <v>14</v>
      </c>
      <c r="V26" s="434">
        <f t="shared" si="3"/>
        <v>0</v>
      </c>
      <c r="W26" s="434">
        <f t="shared" si="4"/>
        <v>0</v>
      </c>
      <c r="X26" s="434">
        <f t="shared" si="32"/>
        <v>0</v>
      </c>
      <c r="Y26" s="434">
        <f t="shared" si="33"/>
        <v>0</v>
      </c>
      <c r="Z26" s="435">
        <f t="shared" si="5"/>
        <v>0</v>
      </c>
      <c r="AA26" s="435">
        <f t="shared" si="6"/>
        <v>14</v>
      </c>
      <c r="AB26" s="436">
        <f t="shared" si="47"/>
        <v>1</v>
      </c>
      <c r="AC26" s="437">
        <f t="shared" si="34"/>
        <v>14</v>
      </c>
      <c r="AD26" s="438">
        <f t="shared" si="35"/>
        <v>13</v>
      </c>
      <c r="AE26" s="438">
        <f t="shared" si="36"/>
        <v>0</v>
      </c>
      <c r="AF26" s="439">
        <f t="shared" si="37"/>
        <v>0</v>
      </c>
      <c r="AG26" s="440">
        <f t="shared" si="38"/>
        <v>0</v>
      </c>
      <c r="AH26" s="441">
        <f>IF(AF26=0,0,VLOOKUP(AF26,FREQUENCIAS!$1:$1048576,(IF(($A26=FREQUENCIAS!$S$1),19,"ERRO")),FREQUENCIAS!$1:$1048576))</f>
        <v>0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0</v>
      </c>
      <c r="AN26" s="121">
        <f t="shared" si="7"/>
        <v>0</v>
      </c>
      <c r="AO26" s="122">
        <f t="shared" si="8"/>
        <v>0</v>
      </c>
      <c r="AP26" s="328" t="s">
        <v>173</v>
      </c>
      <c r="AQ26" s="443">
        <f t="shared" si="9"/>
        <v>1</v>
      </c>
      <c r="AR26" s="328"/>
      <c r="AS26" s="125" t="str">
        <f t="shared" si="10"/>
        <v>EXCLUI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4">
        <f t="shared" si="41"/>
        <v>1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0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14</v>
      </c>
      <c r="BQ26" s="452">
        <f t="shared" si="14"/>
        <v>14</v>
      </c>
      <c r="BR26" s="453" t="str">
        <f t="shared" si="15"/>
        <v/>
      </c>
      <c r="BS26" s="453">
        <f t="shared" si="16"/>
        <v>0</v>
      </c>
      <c r="BT26" s="453">
        <f t="shared" si="17"/>
        <v>0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22</v>
      </c>
      <c r="C27" s="292">
        <f>'IMPORTAÇÃO GENOTIPER'!AA23</f>
        <v>24</v>
      </c>
      <c r="D27" s="292">
        <f>'IMPORTAÇÃO GENOTIPER'!AI23</f>
        <v>19</v>
      </c>
      <c r="E27" s="292">
        <f>'IMPORTAÇÃO GENOTIPER'!AQ23</f>
        <v>22</v>
      </c>
      <c r="F27" s="432">
        <f>'IMPORTAÇÃO GENOTIPER'!BO23</f>
        <v>0</v>
      </c>
      <c r="G27" s="432">
        <f>'IMPORTAÇÃO GENOTIPER'!BW23</f>
        <v>0</v>
      </c>
      <c r="H27" s="432">
        <f>'IMPORTAÇÃO GENOTIPER'!CE23</f>
        <v>0</v>
      </c>
      <c r="I27" s="432">
        <f>'IMPORTAÇÃO GENOTIPER'!CM23</f>
        <v>0</v>
      </c>
      <c r="J27" s="433">
        <f t="shared" si="52"/>
        <v>22</v>
      </c>
      <c r="K27" s="433">
        <f t="shared" si="52"/>
        <v>24</v>
      </c>
      <c r="L27" s="433">
        <f t="shared" si="52"/>
        <v>19</v>
      </c>
      <c r="M27" s="433">
        <f t="shared" si="30"/>
        <v>22</v>
      </c>
      <c r="N27" s="433">
        <f t="shared" si="53"/>
        <v>0</v>
      </c>
      <c r="O27" s="433">
        <f t="shared" si="53"/>
        <v>0</v>
      </c>
      <c r="P27" s="433">
        <f t="shared" si="53"/>
        <v>0</v>
      </c>
      <c r="Q27" s="433">
        <f t="shared" si="53"/>
        <v>0</v>
      </c>
      <c r="R27" s="434">
        <f t="shared" si="50"/>
        <v>22</v>
      </c>
      <c r="S27" s="434">
        <f t="shared" si="1"/>
        <v>24</v>
      </c>
      <c r="T27" s="434">
        <f t="shared" si="51"/>
        <v>19</v>
      </c>
      <c r="U27" s="434">
        <f t="shared" si="2"/>
        <v>22</v>
      </c>
      <c r="V27" s="434">
        <f t="shared" si="3"/>
        <v>0</v>
      </c>
      <c r="W27" s="434">
        <f t="shared" si="4"/>
        <v>0</v>
      </c>
      <c r="X27" s="434">
        <f t="shared" si="32"/>
        <v>0</v>
      </c>
      <c r="Y27" s="434">
        <f t="shared" si="33"/>
        <v>0</v>
      </c>
      <c r="Z27" s="435">
        <f t="shared" si="5"/>
        <v>0</v>
      </c>
      <c r="AA27" s="435">
        <f t="shared" si="6"/>
        <v>22</v>
      </c>
      <c r="AB27" s="436">
        <f t="shared" si="47"/>
        <v>1</v>
      </c>
      <c r="AC27" s="437">
        <f t="shared" si="34"/>
        <v>22</v>
      </c>
      <c r="AD27" s="438">
        <f t="shared" si="35"/>
        <v>19</v>
      </c>
      <c r="AE27" s="438">
        <f t="shared" si="36"/>
        <v>0</v>
      </c>
      <c r="AF27" s="439">
        <f t="shared" si="37"/>
        <v>0</v>
      </c>
      <c r="AG27" s="440">
        <f t="shared" si="38"/>
        <v>0</v>
      </c>
      <c r="AH27" s="441">
        <f>IF(AF27=0,0,VLOOKUP(AF27,FREQUENCIAS!$1:$1048576,(IF(($A27=FREQUENCIAS!$T$1),20,"ERRO")),FREQUENCIAS!$1:$1048576))</f>
        <v>0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0</v>
      </c>
      <c r="AN27" s="121">
        <f t="shared" si="7"/>
        <v>0</v>
      </c>
      <c r="AO27" s="122">
        <f t="shared" si="8"/>
        <v>0</v>
      </c>
      <c r="AP27" s="328" t="s">
        <v>173</v>
      </c>
      <c r="AQ27" s="443">
        <f t="shared" si="9"/>
        <v>1</v>
      </c>
      <c r="AR27" s="328"/>
      <c r="AS27" s="125" t="str">
        <f t="shared" si="10"/>
        <v>EXCLUI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4">
        <f t="shared" si="41"/>
        <v>1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0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2" t="str">
        <f t="shared" si="12"/>
        <v/>
      </c>
      <c r="BP27" s="452">
        <f t="shared" si="13"/>
        <v>22</v>
      </c>
      <c r="BQ27" s="452">
        <f t="shared" si="14"/>
        <v>22</v>
      </c>
      <c r="BR27" s="453" t="str">
        <f t="shared" si="15"/>
        <v/>
      </c>
      <c r="BS27" s="453">
        <f t="shared" si="16"/>
        <v>0</v>
      </c>
      <c r="BT27" s="453">
        <f t="shared" si="17"/>
        <v>0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12</v>
      </c>
      <c r="C28" s="292">
        <f>'IMPORTAÇÃO GENOTIPER'!AA24</f>
        <v>15.2</v>
      </c>
      <c r="D28" s="292">
        <f>'IMPORTAÇÃO GENOTIPER'!AI24</f>
        <v>12</v>
      </c>
      <c r="E28" s="292">
        <f>'IMPORTAÇÃO GENOTIPER'!AQ24</f>
        <v>13</v>
      </c>
      <c r="F28" s="432">
        <f>'IMPORTAÇÃO GENOTIPER'!BO24</f>
        <v>0</v>
      </c>
      <c r="G28" s="432">
        <f>'IMPORTAÇÃO GENOTIPER'!BW24</f>
        <v>0</v>
      </c>
      <c r="H28" s="432">
        <f>'IMPORTAÇÃO GENOTIPER'!CE24</f>
        <v>0</v>
      </c>
      <c r="I28" s="432">
        <f>'IMPORTAÇÃO GENOTIPER'!CM24</f>
        <v>0</v>
      </c>
      <c r="J28" s="433">
        <f t="shared" si="52"/>
        <v>12</v>
      </c>
      <c r="K28" s="433">
        <f t="shared" si="52"/>
        <v>15.2</v>
      </c>
      <c r="L28" s="433">
        <f t="shared" si="52"/>
        <v>12</v>
      </c>
      <c r="M28" s="433">
        <f t="shared" si="30"/>
        <v>13</v>
      </c>
      <c r="N28" s="433">
        <f t="shared" si="53"/>
        <v>0</v>
      </c>
      <c r="O28" s="433">
        <f t="shared" si="53"/>
        <v>0</v>
      </c>
      <c r="P28" s="433">
        <f t="shared" si="53"/>
        <v>0</v>
      </c>
      <c r="Q28" s="433">
        <f t="shared" si="53"/>
        <v>0</v>
      </c>
      <c r="R28" s="434">
        <f t="shared" si="50"/>
        <v>12</v>
      </c>
      <c r="S28" s="434">
        <f t="shared" si="1"/>
        <v>15.2</v>
      </c>
      <c r="T28" s="434">
        <f t="shared" si="51"/>
        <v>12</v>
      </c>
      <c r="U28" s="434">
        <f t="shared" si="2"/>
        <v>13</v>
      </c>
      <c r="V28" s="434">
        <f t="shared" si="3"/>
        <v>0</v>
      </c>
      <c r="W28" s="434">
        <f t="shared" si="4"/>
        <v>0</v>
      </c>
      <c r="X28" s="434">
        <f t="shared" si="32"/>
        <v>0</v>
      </c>
      <c r="Y28" s="434">
        <f t="shared" si="33"/>
        <v>0</v>
      </c>
      <c r="Z28" s="435">
        <f t="shared" si="5"/>
        <v>12</v>
      </c>
      <c r="AA28" s="435">
        <f t="shared" si="6"/>
        <v>0</v>
      </c>
      <c r="AB28" s="436">
        <f t="shared" si="47"/>
        <v>1</v>
      </c>
      <c r="AC28" s="437">
        <f t="shared" si="34"/>
        <v>12</v>
      </c>
      <c r="AD28" s="438">
        <f t="shared" si="35"/>
        <v>13</v>
      </c>
      <c r="AE28" s="438">
        <f t="shared" si="36"/>
        <v>0</v>
      </c>
      <c r="AF28" s="439">
        <f t="shared" si="37"/>
        <v>0</v>
      </c>
      <c r="AG28" s="440">
        <f t="shared" si="38"/>
        <v>0</v>
      </c>
      <c r="AH28" s="441">
        <f>IF(AF28=0,0,VLOOKUP(AF28,FREQUENCIAS!$1:$1048576,(IF(($A28=FREQUENCIAS!$U$1),21,"ERRO")),FREQUENCIAS!$1:$1048576))</f>
        <v>0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0</v>
      </c>
      <c r="AN28" s="121">
        <f t="shared" si="7"/>
        <v>0</v>
      </c>
      <c r="AO28" s="122">
        <f t="shared" si="8"/>
        <v>0</v>
      </c>
      <c r="AP28" s="328" t="s">
        <v>173</v>
      </c>
      <c r="AQ28" s="443">
        <f t="shared" si="9"/>
        <v>1</v>
      </c>
      <c r="AR28" s="328"/>
      <c r="AS28" s="125" t="str">
        <f t="shared" si="10"/>
        <v>EXCLUI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4">
        <f t="shared" si="41"/>
        <v>1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0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12</v>
      </c>
      <c r="BQ28" s="452">
        <f t="shared" si="14"/>
        <v>12</v>
      </c>
      <c r="BR28" s="453" t="str">
        <f t="shared" si="15"/>
        <v/>
      </c>
      <c r="BS28" s="453">
        <f t="shared" si="16"/>
        <v>0</v>
      </c>
      <c r="BT28" s="453">
        <f t="shared" si="17"/>
        <v>0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24</v>
      </c>
      <c r="F29" s="432">
        <f>'IMPORTAÇÃO GENOTIPER'!BO25</f>
        <v>0</v>
      </c>
      <c r="G29" s="432">
        <f>'IMPORTAÇÃO GENOTIPER'!BW25</f>
        <v>0</v>
      </c>
      <c r="H29" s="432">
        <f>'IMPORTAÇÃO GENOTIPER'!CE25</f>
        <v>0</v>
      </c>
      <c r="I29" s="432">
        <f>'IMPORTAÇÃO GENOTIPER'!CM25</f>
        <v>0</v>
      </c>
      <c r="J29" s="433">
        <f t="shared" si="52"/>
        <v>24</v>
      </c>
      <c r="K29" s="433">
        <f t="shared" si="52"/>
        <v>25</v>
      </c>
      <c r="L29" s="433">
        <f t="shared" si="52"/>
        <v>21</v>
      </c>
      <c r="M29" s="433">
        <f t="shared" si="30"/>
        <v>24</v>
      </c>
      <c r="N29" s="433">
        <f t="shared" si="53"/>
        <v>0</v>
      </c>
      <c r="O29" s="433">
        <f t="shared" si="53"/>
        <v>0</v>
      </c>
      <c r="P29" s="433">
        <f t="shared" si="53"/>
        <v>0</v>
      </c>
      <c r="Q29" s="433">
        <f t="shared" si="53"/>
        <v>0</v>
      </c>
      <c r="R29" s="434">
        <f t="shared" si="50"/>
        <v>24</v>
      </c>
      <c r="S29" s="434">
        <f t="shared" si="1"/>
        <v>25</v>
      </c>
      <c r="T29" s="434">
        <f t="shared" si="51"/>
        <v>21</v>
      </c>
      <c r="U29" s="434">
        <f t="shared" si="2"/>
        <v>24</v>
      </c>
      <c r="V29" s="434">
        <f t="shared" si="3"/>
        <v>0</v>
      </c>
      <c r="W29" s="434">
        <f t="shared" si="4"/>
        <v>0</v>
      </c>
      <c r="X29" s="434">
        <f t="shared" si="32"/>
        <v>0</v>
      </c>
      <c r="Y29" s="434">
        <f t="shared" si="33"/>
        <v>0</v>
      </c>
      <c r="Z29" s="435">
        <f t="shared" si="5"/>
        <v>0</v>
      </c>
      <c r="AA29" s="435">
        <f t="shared" si="6"/>
        <v>24</v>
      </c>
      <c r="AB29" s="436">
        <f t="shared" si="47"/>
        <v>1</v>
      </c>
      <c r="AC29" s="437">
        <f t="shared" si="34"/>
        <v>24</v>
      </c>
      <c r="AD29" s="438">
        <f t="shared" si="35"/>
        <v>21</v>
      </c>
      <c r="AE29" s="438">
        <f t="shared" si="36"/>
        <v>0</v>
      </c>
      <c r="AF29" s="439">
        <f t="shared" si="37"/>
        <v>0</v>
      </c>
      <c r="AG29" s="440">
        <f t="shared" si="38"/>
        <v>0</v>
      </c>
      <c r="AH29" s="441">
        <f>IF(AF29=0,0,VLOOKUP(AF29,FREQUENCIAS!$1:$1048576,(IF(($A29=FREQUENCIAS!$V$1),22,"ERRO")),FREQUENCIAS!$1:$1048576))</f>
        <v>0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0</v>
      </c>
      <c r="AN29" s="121">
        <f t="shared" si="7"/>
        <v>0</v>
      </c>
      <c r="AO29" s="122">
        <f t="shared" si="8"/>
        <v>0</v>
      </c>
      <c r="AP29" s="328" t="s">
        <v>173</v>
      </c>
      <c r="AQ29" s="443">
        <f t="shared" si="9"/>
        <v>1</v>
      </c>
      <c r="AR29" s="328"/>
      <c r="AS29" s="125" t="str">
        <f t="shared" si="10"/>
        <v>EXCLUI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4">
        <f t="shared" si="41"/>
        <v>1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0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2" t="str">
        <f t="shared" si="12"/>
        <v/>
      </c>
      <c r="BP29" s="452">
        <f t="shared" si="13"/>
        <v>24</v>
      </c>
      <c r="BQ29" s="452">
        <f t="shared" si="14"/>
        <v>24</v>
      </c>
      <c r="BR29" s="453" t="str">
        <f t="shared" si="15"/>
        <v/>
      </c>
      <c r="BS29" s="453">
        <f t="shared" si="16"/>
        <v>0</v>
      </c>
      <c r="BT29" s="453">
        <f t="shared" si="17"/>
        <v>0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16</v>
      </c>
      <c r="D30" s="292">
        <f>'IMPORTAÇÃO GENOTIPER'!AI26</f>
        <v>16</v>
      </c>
      <c r="E30" s="292">
        <f>'IMPORTAÇÃO GENOTIPER'!AQ26</f>
        <v>16</v>
      </c>
      <c r="F30" s="432">
        <f>'IMPORTAÇÃO GENOTIPER'!BO26</f>
        <v>0</v>
      </c>
      <c r="G30" s="432">
        <f>'IMPORTAÇÃO GENOTIPER'!BW26</f>
        <v>0</v>
      </c>
      <c r="H30" s="432">
        <f>'IMPORTAÇÃO GENOTIPER'!CE26</f>
        <v>0</v>
      </c>
      <c r="I30" s="432">
        <f>'IMPORTAÇÃO GENOTIPER'!CM26</f>
        <v>0</v>
      </c>
      <c r="J30" s="433">
        <f t="shared" si="52"/>
        <v>15</v>
      </c>
      <c r="K30" s="433">
        <f t="shared" si="52"/>
        <v>16</v>
      </c>
      <c r="L30" s="433">
        <f t="shared" si="52"/>
        <v>16</v>
      </c>
      <c r="M30" s="433">
        <f t="shared" si="30"/>
        <v>16</v>
      </c>
      <c r="N30" s="433">
        <f t="shared" si="53"/>
        <v>0</v>
      </c>
      <c r="O30" s="433">
        <f t="shared" si="53"/>
        <v>0</v>
      </c>
      <c r="P30" s="433">
        <f t="shared" si="53"/>
        <v>0</v>
      </c>
      <c r="Q30" s="433">
        <f t="shared" si="53"/>
        <v>0</v>
      </c>
      <c r="R30" s="434">
        <f t="shared" si="50"/>
        <v>15</v>
      </c>
      <c r="S30" s="434">
        <f t="shared" si="1"/>
        <v>16</v>
      </c>
      <c r="T30" s="434">
        <f t="shared" si="51"/>
        <v>16</v>
      </c>
      <c r="U30" s="434">
        <f t="shared" si="2"/>
        <v>16</v>
      </c>
      <c r="V30" s="434">
        <f t="shared" si="3"/>
        <v>0</v>
      </c>
      <c r="W30" s="434">
        <f t="shared" si="4"/>
        <v>0</v>
      </c>
      <c r="X30" s="434">
        <f t="shared" si="32"/>
        <v>0</v>
      </c>
      <c r="Y30" s="434">
        <f t="shared" si="33"/>
        <v>0</v>
      </c>
      <c r="Z30" s="435">
        <f t="shared" si="5"/>
        <v>16</v>
      </c>
      <c r="AA30" s="435">
        <f t="shared" si="6"/>
        <v>16</v>
      </c>
      <c r="AB30" s="436">
        <f t="shared" si="47"/>
        <v>0</v>
      </c>
      <c r="AC30" s="437">
        <f t="shared" si="34"/>
        <v>16</v>
      </c>
      <c r="AD30" s="438">
        <f t="shared" si="35"/>
        <v>16</v>
      </c>
      <c r="AE30" s="438">
        <f t="shared" si="36"/>
        <v>0</v>
      </c>
      <c r="AF30" s="439">
        <f t="shared" si="37"/>
        <v>0</v>
      </c>
      <c r="AG30" s="440">
        <f t="shared" si="38"/>
        <v>0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0</v>
      </c>
      <c r="AN30" s="121">
        <f t="shared" si="7"/>
        <v>0</v>
      </c>
      <c r="AO30" s="122">
        <f t="shared" si="8"/>
        <v>0</v>
      </c>
      <c r="AP30" s="328" t="s">
        <v>173</v>
      </c>
      <c r="AQ30" s="443">
        <f t="shared" si="9"/>
        <v>1</v>
      </c>
      <c r="AR30" s="328"/>
      <c r="AS30" s="125" t="str">
        <f t="shared" si="10"/>
        <v>EXCLUI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1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0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>&lt;</v>
      </c>
      <c r="BP30" s="452">
        <f t="shared" si="13"/>
        <v>17</v>
      </c>
      <c r="BQ30" s="452" t="str">
        <f t="shared" si="14"/>
        <v>&lt;17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EXCLUI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EXCLUI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EXCLUI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EXCLUI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EXCLUI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EXCLUI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EXCLUI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EXCLUI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EXCLUI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EXCLUI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EXCLUI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EXCLUI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NIHIL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 t="str">
        <f>(IF((PRODUCT(AO9:AO42)&lt;&gt;0),((1-AQ9)*(1-AQ10)*(1-AQ11)*(1-AQ12)*(1-AQ13)*(1-AQ14)*(1-AQ15)*(1-AQ16)*(1-AQ17)*(1-AQ18)*(1-AQ19)*(1-AQ20)*(1-AQ21)*(1-AQ22)*(1-AQ23)*(1-AQ24)*(1-AQ25)*(1-AQ26)*(1-AQ27)*(1-AQ28)*(1-AQ29)*(1-AQ42)),$AP$23))</f>
        <v>NIHIL</v>
      </c>
      <c r="AR43" s="804"/>
      <c r="AS43" s="457" t="s">
        <v>320</v>
      </c>
      <c r="AT43" s="458"/>
      <c r="AX43" s="328" t="s">
        <v>241</v>
      </c>
      <c r="BD43" s="52">
        <f>SUM(BD9:BD42)</f>
        <v>22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NIHIL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EXCLUSÃO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EXCLUSÃO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45945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16</v>
      </c>
      <c r="C9" s="196">
        <f>'PD0101'!C9</f>
        <v>17</v>
      </c>
      <c r="D9" s="195">
        <f>'PD0101'!D9</f>
        <v>16</v>
      </c>
      <c r="E9" s="196">
        <f>'PD0101'!E9</f>
        <v>16</v>
      </c>
      <c r="F9" s="195">
        <f>'PD0101'!F9</f>
        <v>14</v>
      </c>
      <c r="G9" s="196">
        <f>'PD0101'!G9</f>
        <v>16</v>
      </c>
      <c r="H9" s="167">
        <f t="shared" ref="H9:H30" si="0">IF((B9&gt;C9),C9,B9)</f>
        <v>16</v>
      </c>
      <c r="I9" s="167">
        <f t="shared" ref="I9:I30" si="1">IF((C9&gt;B9),C9,B9)</f>
        <v>17</v>
      </c>
      <c r="J9" s="167">
        <f t="shared" ref="J9:J30" si="2">IF((D9&gt;E9),E9,D9)</f>
        <v>16</v>
      </c>
      <c r="K9" s="167">
        <f t="shared" ref="K9:K30" si="3">IF((E9&gt;D9),E9,D9)</f>
        <v>16</v>
      </c>
      <c r="L9" s="167">
        <f t="shared" ref="L9:L30" si="4">IF((F9&gt;G9),G9,F9)</f>
        <v>14</v>
      </c>
      <c r="M9" s="167">
        <f t="shared" ref="M9:M30" si="5">IF((G9&gt;F9),G9,F9)</f>
        <v>16</v>
      </c>
      <c r="N9" s="168">
        <f t="shared" ref="N9:N30" si="6">IF((J9=H9),J9,(IF((J9=I9),J9,0)))</f>
        <v>16</v>
      </c>
      <c r="O9" s="168">
        <f t="shared" ref="O9:O30" si="7">IF((K9=H9),K9,(IF((K9=I9),K9,0)))</f>
        <v>16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16</v>
      </c>
      <c r="R9" s="170">
        <f t="shared" ref="R9:R30" si="10">(IF((Q9&lt;&gt;$AD$7),(J9+K9-Q9),D9))</f>
        <v>16</v>
      </c>
      <c r="S9" s="170">
        <f t="shared" ref="S9:S30" si="11">(IF((Q9&lt;&gt;$AD$7),0,K9))</f>
        <v>0</v>
      </c>
      <c r="T9" s="171">
        <f t="shared" ref="T9:T30" si="12">(IF(OR((R9=L9),(R9=M9)),R9,0))</f>
        <v>16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0.27030799999999999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1</v>
      </c>
      <c r="AB9" s="197">
        <f t="shared" ref="AB9:AB30" si="14">((IF((AND(($H9=$L9),($I9=$M9))),2,( IF((OR(($H9=$L9),($I9=$M9),($H9=$M9),($I9=$L9))),1,0)))))</f>
        <v>1</v>
      </c>
      <c r="AC9" s="197">
        <f t="shared" ref="AC9:AC30" si="15">((IF((AND(($J9=$L9),($K9=$M9))),2,( IF((OR(($J9=$L9),($K9=$M9),($J9=$M9),($K9=$L9))),1,0)))))</f>
        <v>1</v>
      </c>
      <c r="AD9" s="164"/>
      <c r="AE9" s="165">
        <f t="shared" ref="AE9:AE30" si="16">(1-AA9)^2</f>
        <v>0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>
      <c r="A10" s="166" t="s">
        <v>214</v>
      </c>
      <c r="B10" s="195">
        <f>'PD0101'!B10</f>
        <v>16</v>
      </c>
      <c r="C10" s="196">
        <f>'PD0101'!C10</f>
        <v>17.3</v>
      </c>
      <c r="D10" s="195">
        <f>'PD0101'!D10</f>
        <v>16</v>
      </c>
      <c r="E10" s="196">
        <f>'PD0101'!E10</f>
        <v>17.3</v>
      </c>
      <c r="F10" s="195">
        <f>'PD0101'!F10</f>
        <v>15</v>
      </c>
      <c r="G10" s="196">
        <f>'PD0101'!G10</f>
        <v>17.3</v>
      </c>
      <c r="H10" s="167">
        <f t="shared" si="0"/>
        <v>16</v>
      </c>
      <c r="I10" s="167">
        <f t="shared" si="1"/>
        <v>17.3</v>
      </c>
      <c r="J10" s="167">
        <f t="shared" si="2"/>
        <v>16</v>
      </c>
      <c r="K10" s="167">
        <f t="shared" si="3"/>
        <v>17.3</v>
      </c>
      <c r="L10" s="167">
        <f t="shared" si="4"/>
        <v>15</v>
      </c>
      <c r="M10" s="167">
        <f t="shared" si="5"/>
        <v>17.3</v>
      </c>
      <c r="N10" s="168">
        <f t="shared" si="6"/>
        <v>16</v>
      </c>
      <c r="O10" s="168">
        <f t="shared" si="7"/>
        <v>17.3</v>
      </c>
      <c r="P10" s="168">
        <f t="shared" si="8"/>
        <v>0</v>
      </c>
      <c r="Q10" s="169" t="str">
        <f t="shared" si="9"/>
        <v>NÃO DEF</v>
      </c>
      <c r="R10" s="170">
        <f t="shared" si="10"/>
        <v>16</v>
      </c>
      <c r="S10" s="170">
        <f t="shared" si="11"/>
        <v>17.3</v>
      </c>
      <c r="T10" s="171">
        <f t="shared" si="12"/>
        <v>0</v>
      </c>
      <c r="U10" s="172">
        <f t="shared" si="13"/>
        <v>17.3</v>
      </c>
      <c r="V10" s="173">
        <f>IF(R10=0,0,VLOOKUP(R10,FREQUENCIAS!$1:$1048576,(IF(($A10=FREQUENCIAS!$C$1),3,"ERRO")),FREQUENCIAS!$1:$1048576))</f>
        <v>0.1328</v>
      </c>
      <c r="W10" s="173">
        <f>IF(S10=0,0,VLOOKUP(S10,FREQUENCIAS!$1:$1048576,(IF(($A10=FREQUENCIAS!$C$1),3,"ERRO")),FREQUENCIAS!$1:$1048576))</f>
        <v>0.1376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1</v>
      </c>
      <c r="AC10" s="197">
        <f t="shared" si="15"/>
        <v>1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>
      <c r="A11" s="166" t="s">
        <v>215</v>
      </c>
      <c r="B11" s="195">
        <f>'PD0101'!B11</f>
        <v>11</v>
      </c>
      <c r="C11" s="196">
        <f>'PD0101'!C11</f>
        <v>11.3</v>
      </c>
      <c r="D11" s="195">
        <f>'PD0101'!D11</f>
        <v>11.3</v>
      </c>
      <c r="E11" s="196">
        <f>'PD0101'!E11</f>
        <v>11.3</v>
      </c>
      <c r="F11" s="195">
        <f>'PD0101'!F11</f>
        <v>11.3</v>
      </c>
      <c r="G11" s="196">
        <f>'PD0101'!G11</f>
        <v>15</v>
      </c>
      <c r="H11" s="167">
        <f t="shared" si="0"/>
        <v>11</v>
      </c>
      <c r="I11" s="167">
        <f t="shared" si="1"/>
        <v>11.3</v>
      </c>
      <c r="J11" s="167">
        <f t="shared" si="2"/>
        <v>11.3</v>
      </c>
      <c r="K11" s="167">
        <f t="shared" si="3"/>
        <v>11.3</v>
      </c>
      <c r="L11" s="167">
        <f t="shared" si="4"/>
        <v>11.3</v>
      </c>
      <c r="M11" s="167">
        <f t="shared" si="5"/>
        <v>15</v>
      </c>
      <c r="N11" s="168">
        <f t="shared" si="6"/>
        <v>11.3</v>
      </c>
      <c r="O11" s="168">
        <f t="shared" si="7"/>
        <v>11.3</v>
      </c>
      <c r="P11" s="168">
        <f t="shared" si="8"/>
        <v>0</v>
      </c>
      <c r="Q11" s="169">
        <f t="shared" si="9"/>
        <v>11.3</v>
      </c>
      <c r="R11" s="170">
        <f t="shared" si="10"/>
        <v>11.3</v>
      </c>
      <c r="S11" s="170">
        <f t="shared" si="11"/>
        <v>0</v>
      </c>
      <c r="T11" s="171">
        <f t="shared" si="12"/>
        <v>11.3</v>
      </c>
      <c r="U11" s="172">
        <f t="shared" si="13"/>
        <v>0</v>
      </c>
      <c r="V11" s="173">
        <f>IF(R11=0,0,VLOOKUP(R11,FREQUENCIAS!$1:$1048576,(IF(($A11=FREQUENCIAS!$D$1),4,"ERRO")),FREQUENCIAS!$1:$1048576))</f>
        <v>4.5499999999999999E-2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1</v>
      </c>
      <c r="AB11" s="197">
        <f t="shared" si="14"/>
        <v>1</v>
      </c>
      <c r="AC11" s="197">
        <f t="shared" si="15"/>
        <v>1</v>
      </c>
      <c r="AD11" s="164"/>
      <c r="AE11" s="165">
        <f t="shared" si="16"/>
        <v>0</v>
      </c>
      <c r="AF11" s="164"/>
      <c r="AG11" s="163" t="str">
        <f t="shared" si="17"/>
        <v>INCLUSÃO</v>
      </c>
    </row>
    <row r="12" spans="1:35" ht="17.25" thickTop="1" thickBot="1">
      <c r="A12" s="166" t="s">
        <v>216</v>
      </c>
      <c r="B12" s="195">
        <f>'PD0101'!B12</f>
        <v>14</v>
      </c>
      <c r="C12" s="196">
        <f>'PD0101'!C12</f>
        <v>14</v>
      </c>
      <c r="D12" s="195">
        <f>'PD0101'!D12</f>
        <v>14</v>
      </c>
      <c r="E12" s="196">
        <f>'PD0101'!E12</f>
        <v>14</v>
      </c>
      <c r="F12" s="195">
        <f>'PD0101'!F12</f>
        <v>13</v>
      </c>
      <c r="G12" s="196">
        <f>'PD0101'!G12</f>
        <v>14</v>
      </c>
      <c r="H12" s="167">
        <f t="shared" si="0"/>
        <v>14</v>
      </c>
      <c r="I12" s="167">
        <f t="shared" si="1"/>
        <v>14</v>
      </c>
      <c r="J12" s="167">
        <f t="shared" si="2"/>
        <v>14</v>
      </c>
      <c r="K12" s="167">
        <f t="shared" si="3"/>
        <v>14</v>
      </c>
      <c r="L12" s="167">
        <f t="shared" si="4"/>
        <v>13</v>
      </c>
      <c r="M12" s="167">
        <f t="shared" si="5"/>
        <v>14</v>
      </c>
      <c r="N12" s="168">
        <f t="shared" si="6"/>
        <v>14</v>
      </c>
      <c r="O12" s="168">
        <f t="shared" si="7"/>
        <v>14</v>
      </c>
      <c r="P12" s="168">
        <f t="shared" si="8"/>
        <v>0</v>
      </c>
      <c r="Q12" s="168">
        <f t="shared" si="9"/>
        <v>14</v>
      </c>
      <c r="R12" s="170">
        <f t="shared" si="10"/>
        <v>14</v>
      </c>
      <c r="S12" s="170">
        <f t="shared" si="11"/>
        <v>0</v>
      </c>
      <c r="T12" s="171">
        <f t="shared" si="12"/>
        <v>14</v>
      </c>
      <c r="U12" s="172">
        <f t="shared" si="13"/>
        <v>0</v>
      </c>
      <c r="V12" s="173">
        <f>IF(R12=0,0,VLOOKUP(R12,FREQUENCIAS!$1:$1048576,(IF(($A12=FREQUENCIAS!$E$1),5,"ERRO")),FREQUENCIAS!$1:$1048576))</f>
        <v>0.30480000000000002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1</v>
      </c>
      <c r="AC12" s="197">
        <f t="shared" si="15"/>
        <v>1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7.25" thickTop="1" thickBot="1">
      <c r="A13" s="166" t="s">
        <v>157</v>
      </c>
      <c r="B13" s="195">
        <f>'PD0101'!B13</f>
        <v>11</v>
      </c>
      <c r="C13" s="196">
        <f>'PD0101'!C13</f>
        <v>11</v>
      </c>
      <c r="D13" s="195">
        <f>'PD0101'!D13</f>
        <v>11</v>
      </c>
      <c r="E13" s="196">
        <f>'PD0101'!E13</f>
        <v>12</v>
      </c>
      <c r="F13" s="195">
        <f>'PD0101'!F13</f>
        <v>12</v>
      </c>
      <c r="G13" s="196">
        <f>'PD0101'!G13</f>
        <v>12</v>
      </c>
      <c r="H13" s="167">
        <f t="shared" si="0"/>
        <v>11</v>
      </c>
      <c r="I13" s="167">
        <f t="shared" si="1"/>
        <v>11</v>
      </c>
      <c r="J13" s="167">
        <f t="shared" si="2"/>
        <v>11</v>
      </c>
      <c r="K13" s="167">
        <f t="shared" si="3"/>
        <v>12</v>
      </c>
      <c r="L13" s="167">
        <f t="shared" si="4"/>
        <v>12</v>
      </c>
      <c r="M13" s="167">
        <f t="shared" si="5"/>
        <v>12</v>
      </c>
      <c r="N13" s="168">
        <f t="shared" si="6"/>
        <v>11</v>
      </c>
      <c r="O13" s="168">
        <f t="shared" si="7"/>
        <v>0</v>
      </c>
      <c r="P13" s="168">
        <f t="shared" si="8"/>
        <v>1</v>
      </c>
      <c r="Q13" s="169">
        <f t="shared" si="9"/>
        <v>11</v>
      </c>
      <c r="R13" s="170">
        <f t="shared" si="10"/>
        <v>12</v>
      </c>
      <c r="S13" s="170">
        <f t="shared" si="11"/>
        <v>0</v>
      </c>
      <c r="T13" s="171">
        <f t="shared" si="12"/>
        <v>12</v>
      </c>
      <c r="U13" s="172">
        <f t="shared" si="13"/>
        <v>0</v>
      </c>
      <c r="V13" s="173">
        <f>IF(R13=0,0,VLOOKUP(R13,FREQUENCIAS!$1:$1048576,(IF(($A13=FREQUENCIAS!$F$1),6,"ERRO")),FREQUENCIAS!$1:$1048576))</f>
        <v>0.29337999999999997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0</v>
      </c>
      <c r="AC13" s="197">
        <f t="shared" si="15"/>
        <v>1</v>
      </c>
      <c r="AD13" s="164" t="s">
        <v>116</v>
      </c>
      <c r="AE13" s="165">
        <f t="shared" si="16"/>
        <v>0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13</v>
      </c>
      <c r="C14" s="162">
        <f>'PD0101'!C14</f>
        <v>16</v>
      </c>
      <c r="D14" s="161">
        <f>'PD0101'!D14</f>
        <v>11</v>
      </c>
      <c r="E14" s="162">
        <f>'PD0101'!E14</f>
        <v>16</v>
      </c>
      <c r="F14" s="161">
        <f>'PD0101'!F14</f>
        <v>11</v>
      </c>
      <c r="G14" s="162">
        <f>'PD0101'!G14</f>
        <v>11</v>
      </c>
      <c r="H14" s="167">
        <f t="shared" si="0"/>
        <v>13</v>
      </c>
      <c r="I14" s="167">
        <f t="shared" si="1"/>
        <v>16</v>
      </c>
      <c r="J14" s="167">
        <f t="shared" si="2"/>
        <v>11</v>
      </c>
      <c r="K14" s="167">
        <f t="shared" si="3"/>
        <v>16</v>
      </c>
      <c r="L14" s="167">
        <f t="shared" si="4"/>
        <v>11</v>
      </c>
      <c r="M14" s="167">
        <f t="shared" si="5"/>
        <v>11</v>
      </c>
      <c r="N14" s="168">
        <f t="shared" si="6"/>
        <v>0</v>
      </c>
      <c r="O14" s="168">
        <f t="shared" si="7"/>
        <v>16</v>
      </c>
      <c r="P14" s="168">
        <f t="shared" si="8"/>
        <v>1</v>
      </c>
      <c r="Q14" s="169">
        <f t="shared" si="9"/>
        <v>16</v>
      </c>
      <c r="R14" s="170">
        <f t="shared" si="10"/>
        <v>11</v>
      </c>
      <c r="S14" s="170">
        <f t="shared" si="11"/>
        <v>0</v>
      </c>
      <c r="T14" s="171">
        <f t="shared" si="12"/>
        <v>11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1</v>
      </c>
      <c r="AD14" s="164"/>
      <c r="AE14" s="165">
        <f t="shared" si="16"/>
        <v>0</v>
      </c>
      <c r="AF14" s="164"/>
      <c r="AG14" s="163" t="str">
        <f t="shared" si="17"/>
        <v>INCLUSÃO</v>
      </c>
    </row>
    <row r="15" spans="1:35" ht="17.25" thickTop="1" thickBot="1">
      <c r="A15" s="166" t="s">
        <v>159</v>
      </c>
      <c r="B15" s="195">
        <f>'PD0101'!B15</f>
        <v>10</v>
      </c>
      <c r="C15" s="196">
        <f>'PD0101'!C15</f>
        <v>11</v>
      </c>
      <c r="D15" s="195">
        <f>'PD0101'!D15</f>
        <v>11</v>
      </c>
      <c r="E15" s="196">
        <f>'PD0101'!E15</f>
        <v>12</v>
      </c>
      <c r="F15" s="195">
        <f>'PD0101'!F15</f>
        <v>11</v>
      </c>
      <c r="G15" s="196">
        <f>'PD0101'!G15</f>
        <v>12</v>
      </c>
      <c r="H15" s="167">
        <f t="shared" si="0"/>
        <v>10</v>
      </c>
      <c r="I15" s="167">
        <f t="shared" si="1"/>
        <v>11</v>
      </c>
      <c r="J15" s="167">
        <f t="shared" si="2"/>
        <v>11</v>
      </c>
      <c r="K15" s="167">
        <f t="shared" si="3"/>
        <v>12</v>
      </c>
      <c r="L15" s="167">
        <f t="shared" si="4"/>
        <v>11</v>
      </c>
      <c r="M15" s="167">
        <f t="shared" si="5"/>
        <v>12</v>
      </c>
      <c r="N15" s="168">
        <f t="shared" si="6"/>
        <v>11</v>
      </c>
      <c r="O15" s="168">
        <f t="shared" si="7"/>
        <v>0</v>
      </c>
      <c r="P15" s="168">
        <f t="shared" si="8"/>
        <v>1</v>
      </c>
      <c r="Q15" s="169">
        <f t="shared" si="9"/>
        <v>11</v>
      </c>
      <c r="R15" s="170">
        <f t="shared" si="10"/>
        <v>12</v>
      </c>
      <c r="S15" s="170">
        <f t="shared" si="11"/>
        <v>0</v>
      </c>
      <c r="T15" s="171">
        <f t="shared" si="12"/>
        <v>12</v>
      </c>
      <c r="U15" s="172">
        <f t="shared" si="13"/>
        <v>0</v>
      </c>
      <c r="V15" s="173">
        <f>IF(R15=0,0,VLOOKUP(R15,FREQUENCIAS!$1:$1048576,(IF(($A15=FREQUENCIAS!$H$1),8,"ERRO")),FREQUENCIAS!$1:$1048576))</f>
        <v>0.25604300000000002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1</v>
      </c>
      <c r="AB15" s="197">
        <f t="shared" si="14"/>
        <v>1</v>
      </c>
      <c r="AC15" s="197">
        <f t="shared" si="15"/>
        <v>2</v>
      </c>
      <c r="AD15" s="164"/>
      <c r="AE15" s="165">
        <f t="shared" si="16"/>
        <v>0</v>
      </c>
      <c r="AF15" s="164"/>
      <c r="AG15" s="163" t="str">
        <f t="shared" si="17"/>
        <v>INCLUSÃO</v>
      </c>
    </row>
    <row r="16" spans="1:35" ht="17.25" thickTop="1" thickBot="1">
      <c r="A16" s="166" t="s">
        <v>155</v>
      </c>
      <c r="B16" s="195">
        <f>'PD0101'!B16</f>
        <v>12</v>
      </c>
      <c r="C16" s="196">
        <f>'PD0101'!C16</f>
        <v>14</v>
      </c>
      <c r="D16" s="195">
        <f>'PD0101'!D16</f>
        <v>10</v>
      </c>
      <c r="E16" s="196">
        <f>'PD0101'!E16</f>
        <v>12</v>
      </c>
      <c r="F16" s="195">
        <f>'PD0101'!F16</f>
        <v>10</v>
      </c>
      <c r="G16" s="196">
        <f>'PD0101'!G16</f>
        <v>18</v>
      </c>
      <c r="H16" s="167">
        <f t="shared" si="0"/>
        <v>12</v>
      </c>
      <c r="I16" s="167">
        <f t="shared" si="1"/>
        <v>14</v>
      </c>
      <c r="J16" s="167">
        <f t="shared" si="2"/>
        <v>10</v>
      </c>
      <c r="K16" s="167">
        <f t="shared" si="3"/>
        <v>12</v>
      </c>
      <c r="L16" s="167">
        <f t="shared" si="4"/>
        <v>10</v>
      </c>
      <c r="M16" s="167">
        <f t="shared" si="5"/>
        <v>18</v>
      </c>
      <c r="N16" s="168">
        <f t="shared" si="6"/>
        <v>0</v>
      </c>
      <c r="O16" s="168">
        <f t="shared" si="7"/>
        <v>12</v>
      </c>
      <c r="P16" s="168">
        <f t="shared" si="8"/>
        <v>1</v>
      </c>
      <c r="Q16" s="169">
        <f t="shared" si="9"/>
        <v>12</v>
      </c>
      <c r="R16" s="170">
        <f t="shared" si="10"/>
        <v>10</v>
      </c>
      <c r="S16" s="170">
        <f t="shared" si="11"/>
        <v>0</v>
      </c>
      <c r="T16" s="171">
        <f t="shared" si="12"/>
        <v>10</v>
      </c>
      <c r="U16" s="172">
        <f t="shared" si="13"/>
        <v>0</v>
      </c>
      <c r="V16" s="173">
        <f>IF(R16=0,0,VLOOKUP(R16,FREQUENCIAS!$1:$1048576,(IF(($A16=FREQUENCIAS!$I$1),9,"ERRO")),FREQUENCIAS!$1:$1048576))</f>
        <v>9.8840000000000004E-3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0</v>
      </c>
      <c r="AC16" s="197">
        <f t="shared" si="15"/>
        <v>1</v>
      </c>
      <c r="AD16" s="164"/>
      <c r="AE16" s="165">
        <f t="shared" si="16"/>
        <v>0</v>
      </c>
      <c r="AF16" s="164"/>
      <c r="AG16" s="163" t="str">
        <f t="shared" si="17"/>
        <v>INCLUSÃO</v>
      </c>
    </row>
    <row r="17" spans="1:35" ht="17.25" thickTop="1" thickBot="1">
      <c r="A17" s="166" t="s">
        <v>51</v>
      </c>
      <c r="B17" s="195">
        <f>'PD0101'!B17</f>
        <v>17</v>
      </c>
      <c r="C17" s="196">
        <f>'PD0101'!C17</f>
        <v>17</v>
      </c>
      <c r="D17" s="195">
        <f>'PD0101'!D17</f>
        <v>17</v>
      </c>
      <c r="E17" s="196">
        <f>'PD0101'!E17</f>
        <v>20</v>
      </c>
      <c r="F17" s="195">
        <f>'PD0101'!F17</f>
        <v>20</v>
      </c>
      <c r="G17" s="196">
        <f>'PD0101'!G17</f>
        <v>25</v>
      </c>
      <c r="H17" s="167">
        <f t="shared" si="0"/>
        <v>17</v>
      </c>
      <c r="I17" s="167">
        <f t="shared" si="1"/>
        <v>17</v>
      </c>
      <c r="J17" s="167">
        <f t="shared" si="2"/>
        <v>17</v>
      </c>
      <c r="K17" s="167">
        <f t="shared" si="3"/>
        <v>20</v>
      </c>
      <c r="L17" s="167">
        <f t="shared" si="4"/>
        <v>20</v>
      </c>
      <c r="M17" s="167">
        <f t="shared" si="5"/>
        <v>25</v>
      </c>
      <c r="N17" s="168">
        <f t="shared" si="6"/>
        <v>17</v>
      </c>
      <c r="O17" s="168">
        <f t="shared" si="7"/>
        <v>0</v>
      </c>
      <c r="P17" s="168">
        <f t="shared" si="8"/>
        <v>1</v>
      </c>
      <c r="Q17" s="169">
        <f t="shared" si="9"/>
        <v>17</v>
      </c>
      <c r="R17" s="170">
        <f t="shared" si="10"/>
        <v>20</v>
      </c>
      <c r="S17" s="170">
        <f t="shared" si="11"/>
        <v>0</v>
      </c>
      <c r="T17" s="171">
        <f t="shared" si="12"/>
        <v>20</v>
      </c>
      <c r="U17" s="172">
        <f t="shared" si="13"/>
        <v>0</v>
      </c>
      <c r="V17" s="173">
        <f>IF(R17=0,0,VLOOKUP(R17,FREQUENCIAS!$1:$1048576,(IF(($A17=FREQUENCIAS!$J$1),10,"ERRO")),FREQUENCIAS!$1:$1048576))</f>
        <v>0.13669999999999999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0</v>
      </c>
      <c r="AC17" s="197">
        <f t="shared" si="15"/>
        <v>1</v>
      </c>
      <c r="AD17" s="164" t="s">
        <v>173</v>
      </c>
      <c r="AE17" s="165">
        <f t="shared" si="16"/>
        <v>0</v>
      </c>
      <c r="AF17" s="164"/>
      <c r="AG17" s="163" t="str">
        <f t="shared" si="17"/>
        <v>INCLUSÃO</v>
      </c>
    </row>
    <row r="18" spans="1:35" ht="17.25" thickTop="1" thickBot="1">
      <c r="A18" s="166" t="s">
        <v>132</v>
      </c>
      <c r="B18" s="195">
        <f>'PD0101'!B18</f>
        <v>10</v>
      </c>
      <c r="C18" s="196">
        <f>'PD0101'!C18</f>
        <v>11</v>
      </c>
      <c r="D18" s="195">
        <f>'PD0101'!D18</f>
        <v>10</v>
      </c>
      <c r="E18" s="196">
        <f>'PD0101'!E18</f>
        <v>12</v>
      </c>
      <c r="F18" s="195">
        <f>'PD0101'!F18</f>
        <v>11</v>
      </c>
      <c r="G18" s="196">
        <f>'PD0101'!G18</f>
        <v>12</v>
      </c>
      <c r="H18" s="167">
        <f t="shared" si="0"/>
        <v>10</v>
      </c>
      <c r="I18" s="167">
        <f t="shared" si="1"/>
        <v>11</v>
      </c>
      <c r="J18" s="167">
        <f t="shared" si="2"/>
        <v>10</v>
      </c>
      <c r="K18" s="167">
        <f t="shared" si="3"/>
        <v>12</v>
      </c>
      <c r="L18" s="167">
        <f t="shared" si="4"/>
        <v>11</v>
      </c>
      <c r="M18" s="167">
        <f t="shared" si="5"/>
        <v>12</v>
      </c>
      <c r="N18" s="168">
        <f t="shared" si="6"/>
        <v>10</v>
      </c>
      <c r="O18" s="168">
        <f t="shared" si="7"/>
        <v>0</v>
      </c>
      <c r="P18" s="168">
        <f t="shared" si="8"/>
        <v>1</v>
      </c>
      <c r="Q18" s="169">
        <f t="shared" si="9"/>
        <v>10</v>
      </c>
      <c r="R18" s="170">
        <f t="shared" si="10"/>
        <v>12</v>
      </c>
      <c r="S18" s="170">
        <f t="shared" si="11"/>
        <v>0</v>
      </c>
      <c r="T18" s="171">
        <f t="shared" si="12"/>
        <v>12</v>
      </c>
      <c r="U18" s="172">
        <f t="shared" si="13"/>
        <v>0</v>
      </c>
      <c r="V18" s="173">
        <f>IF(R18=0,0,VLOOKUP(R18,FREQUENCIAS!$1:$1048576,(IF(($A18=FREQUENCIAS!$K$1),11,"ERRO")),FREQUENCIAS!$1:$1048576))</f>
        <v>0.30245100000000003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1</v>
      </c>
      <c r="AB18" s="197">
        <f t="shared" si="14"/>
        <v>1</v>
      </c>
      <c r="AC18" s="197">
        <f t="shared" si="15"/>
        <v>1</v>
      </c>
      <c r="AD18" s="164"/>
      <c r="AE18" s="165">
        <f t="shared" si="16"/>
        <v>0</v>
      </c>
      <c r="AF18" s="164"/>
      <c r="AG18" s="163" t="str">
        <f t="shared" si="17"/>
        <v>INCLUSÃO</v>
      </c>
    </row>
    <row r="19" spans="1:35" ht="17.25" thickTop="1" thickBot="1">
      <c r="A19" s="166" t="s">
        <v>220</v>
      </c>
      <c r="B19" s="195">
        <f>'PD0101'!B19</f>
        <v>10</v>
      </c>
      <c r="C19" s="196">
        <f>'PD0101'!C19</f>
        <v>11</v>
      </c>
      <c r="D19" s="195">
        <f>'PD0101'!D19</f>
        <v>10</v>
      </c>
      <c r="E19" s="196">
        <f>'PD0101'!E19</f>
        <v>12</v>
      </c>
      <c r="F19" s="195">
        <f>'PD0101'!F19</f>
        <v>12</v>
      </c>
      <c r="G19" s="196">
        <f>'PD0101'!G19</f>
        <v>12</v>
      </c>
      <c r="H19" s="167">
        <f t="shared" si="0"/>
        <v>10</v>
      </c>
      <c r="I19" s="167">
        <f t="shared" si="1"/>
        <v>11</v>
      </c>
      <c r="J19" s="167">
        <f t="shared" si="2"/>
        <v>10</v>
      </c>
      <c r="K19" s="167">
        <f t="shared" si="3"/>
        <v>12</v>
      </c>
      <c r="L19" s="167">
        <f t="shared" si="4"/>
        <v>12</v>
      </c>
      <c r="M19" s="167">
        <f t="shared" si="5"/>
        <v>12</v>
      </c>
      <c r="N19" s="168">
        <f t="shared" si="6"/>
        <v>10</v>
      </c>
      <c r="O19" s="168">
        <f t="shared" si="7"/>
        <v>0</v>
      </c>
      <c r="P19" s="168">
        <f t="shared" si="8"/>
        <v>1</v>
      </c>
      <c r="Q19" s="169">
        <f t="shared" si="9"/>
        <v>10</v>
      </c>
      <c r="R19" s="170">
        <f t="shared" si="10"/>
        <v>12</v>
      </c>
      <c r="S19" s="170">
        <f t="shared" si="11"/>
        <v>0</v>
      </c>
      <c r="T19" s="171">
        <f t="shared" si="12"/>
        <v>12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0</v>
      </c>
      <c r="AC19" s="197">
        <f t="shared" si="15"/>
        <v>1</v>
      </c>
      <c r="AD19" s="164" t="s">
        <v>59</v>
      </c>
      <c r="AE19" s="165">
        <f t="shared" si="16"/>
        <v>0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6</v>
      </c>
      <c r="C20" s="196">
        <f>'PD0101'!C20</f>
        <v>7</v>
      </c>
      <c r="D20" s="195">
        <f>'PD0101'!D20</f>
        <v>6</v>
      </c>
      <c r="E20" s="196">
        <f>'PD0101'!E20</f>
        <v>6</v>
      </c>
      <c r="F20" s="195">
        <f>'PD0101'!F20</f>
        <v>6</v>
      </c>
      <c r="G20" s="196">
        <f>'PD0101'!G20</f>
        <v>9.3000000000000007</v>
      </c>
      <c r="H20" s="167">
        <f t="shared" si="0"/>
        <v>6</v>
      </c>
      <c r="I20" s="167">
        <f t="shared" si="1"/>
        <v>7</v>
      </c>
      <c r="J20" s="167">
        <f t="shared" si="2"/>
        <v>6</v>
      </c>
      <c r="K20" s="167">
        <f t="shared" si="3"/>
        <v>6</v>
      </c>
      <c r="L20" s="167">
        <f t="shared" si="4"/>
        <v>6</v>
      </c>
      <c r="M20" s="167">
        <f t="shared" si="5"/>
        <v>9.3000000000000007</v>
      </c>
      <c r="N20" s="168">
        <f t="shared" si="6"/>
        <v>6</v>
      </c>
      <c r="O20" s="168">
        <f t="shared" si="7"/>
        <v>6</v>
      </c>
      <c r="P20" s="168">
        <f t="shared" si="8"/>
        <v>0</v>
      </c>
      <c r="Q20" s="169">
        <f t="shared" si="9"/>
        <v>6</v>
      </c>
      <c r="R20" s="170">
        <f t="shared" si="10"/>
        <v>6</v>
      </c>
      <c r="S20" s="170">
        <f t="shared" si="11"/>
        <v>0</v>
      </c>
      <c r="T20" s="171">
        <f t="shared" si="12"/>
        <v>6</v>
      </c>
      <c r="U20" s="172">
        <f t="shared" si="13"/>
        <v>0</v>
      </c>
      <c r="V20" s="173">
        <f>IF(R20=0,0,VLOOKUP(R20,FREQUENCIAS!$1:$1048576,(IF(($A20=FREQUENCIAS!$M$1),13,"ERRO")),FREQUENCIAS!$1:$1048576))</f>
        <v>0.21123800000000001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1</v>
      </c>
      <c r="AB20" s="197">
        <f t="shared" si="14"/>
        <v>1</v>
      </c>
      <c r="AC20" s="197">
        <f t="shared" si="15"/>
        <v>1</v>
      </c>
      <c r="AD20" s="164"/>
      <c r="AE20" s="165">
        <f t="shared" si="16"/>
        <v>0</v>
      </c>
      <c r="AF20" s="164"/>
      <c r="AG20" s="163" t="str">
        <f t="shared" si="17"/>
        <v>INCLUSÃO</v>
      </c>
    </row>
    <row r="21" spans="1:35" ht="17.25" thickTop="1" thickBot="1">
      <c r="A21" s="166" t="s">
        <v>179</v>
      </c>
      <c r="B21" s="195">
        <f>'PD0101'!B21</f>
        <v>17</v>
      </c>
      <c r="C21" s="196">
        <f>'PD0101'!C21</f>
        <v>18</v>
      </c>
      <c r="D21" s="195">
        <f>'PD0101'!D21</f>
        <v>17</v>
      </c>
      <c r="E21" s="196">
        <f>'PD0101'!E21</f>
        <v>17</v>
      </c>
      <c r="F21" s="195">
        <f>'PD0101'!F21</f>
        <v>14</v>
      </c>
      <c r="G21" s="196">
        <f>'PD0101'!G21</f>
        <v>17</v>
      </c>
      <c r="H21" s="167">
        <f t="shared" si="0"/>
        <v>17</v>
      </c>
      <c r="I21" s="167">
        <f t="shared" si="1"/>
        <v>18</v>
      </c>
      <c r="J21" s="167">
        <f t="shared" si="2"/>
        <v>17</v>
      </c>
      <c r="K21" s="167">
        <f t="shared" si="3"/>
        <v>17</v>
      </c>
      <c r="L21" s="167">
        <f t="shared" si="4"/>
        <v>14</v>
      </c>
      <c r="M21" s="167">
        <f t="shared" si="5"/>
        <v>17</v>
      </c>
      <c r="N21" s="168">
        <f t="shared" si="6"/>
        <v>17</v>
      </c>
      <c r="O21" s="168">
        <f t="shared" si="7"/>
        <v>17</v>
      </c>
      <c r="P21" s="168">
        <f t="shared" si="8"/>
        <v>0</v>
      </c>
      <c r="Q21" s="169">
        <f t="shared" si="9"/>
        <v>17</v>
      </c>
      <c r="R21" s="170">
        <f t="shared" si="10"/>
        <v>17</v>
      </c>
      <c r="S21" s="170">
        <f t="shared" si="11"/>
        <v>0</v>
      </c>
      <c r="T21" s="171">
        <f t="shared" si="12"/>
        <v>17</v>
      </c>
      <c r="U21" s="172">
        <f t="shared" si="13"/>
        <v>0</v>
      </c>
      <c r="V21" s="173">
        <f>IF(R21=0,0,VLOOKUP(R21,FREQUENCIAS!$1:$1048576,(IF(($A21=FREQUENCIAS!$N$1),14,"ERRO")),FREQUENCIAS!$1:$1048576))</f>
        <v>0.25484400000000001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1</v>
      </c>
      <c r="AC21" s="197">
        <f t="shared" si="15"/>
        <v>1</v>
      </c>
      <c r="AD21" s="164"/>
      <c r="AE21" s="165">
        <f t="shared" si="16"/>
        <v>0</v>
      </c>
      <c r="AF21" s="164"/>
      <c r="AG21" s="163" t="str">
        <f t="shared" si="17"/>
        <v>INCLUSÃO</v>
      </c>
    </row>
    <row r="22" spans="1:35" ht="17.25" thickTop="1" thickBot="1">
      <c r="A22" s="166" t="s">
        <v>154</v>
      </c>
      <c r="B22" s="195">
        <f>'PD0101'!B22</f>
        <v>28</v>
      </c>
      <c r="C22" s="196">
        <f>'PD0101'!C22</f>
        <v>29</v>
      </c>
      <c r="D22" s="195">
        <f>'PD0101'!D22</f>
        <v>29</v>
      </c>
      <c r="E22" s="196">
        <f>'PD0101'!E22</f>
        <v>32.200000000000003</v>
      </c>
      <c r="F22" s="195">
        <f>'PD0101'!F22</f>
        <v>29</v>
      </c>
      <c r="G22" s="196">
        <f>'PD0101'!G22</f>
        <v>32.200000000000003</v>
      </c>
      <c r="H22" s="167">
        <f t="shared" si="0"/>
        <v>28</v>
      </c>
      <c r="I22" s="167">
        <f t="shared" si="1"/>
        <v>29</v>
      </c>
      <c r="J22" s="167">
        <f t="shared" si="2"/>
        <v>29</v>
      </c>
      <c r="K22" s="167">
        <f t="shared" si="3"/>
        <v>32.200000000000003</v>
      </c>
      <c r="L22" s="167">
        <f t="shared" si="4"/>
        <v>29</v>
      </c>
      <c r="M22" s="167">
        <f t="shared" si="5"/>
        <v>32.200000000000003</v>
      </c>
      <c r="N22" s="168">
        <f t="shared" si="6"/>
        <v>29</v>
      </c>
      <c r="O22" s="168">
        <f t="shared" si="7"/>
        <v>0</v>
      </c>
      <c r="P22" s="168">
        <f t="shared" si="8"/>
        <v>1</v>
      </c>
      <c r="Q22" s="169">
        <f t="shared" si="9"/>
        <v>29</v>
      </c>
      <c r="R22" s="170">
        <f t="shared" si="10"/>
        <v>32.200000000000003</v>
      </c>
      <c r="S22" s="170">
        <f t="shared" si="11"/>
        <v>0</v>
      </c>
      <c r="T22" s="171">
        <f t="shared" si="12"/>
        <v>32.200000000000003</v>
      </c>
      <c r="U22" s="172">
        <f t="shared" si="13"/>
        <v>0</v>
      </c>
      <c r="V22" s="173">
        <f>IF(R22=0,0,VLOOKUP(R22,FREQUENCIAS!$1:$1048576,(IF(($A22=FREQUENCIAS!$O$1),15,"ERRO")),FREQUENCIAS!$1:$1048576))</f>
        <v>7.5126999999999999E-2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1</v>
      </c>
      <c r="AC22" s="197">
        <f t="shared" si="15"/>
        <v>2</v>
      </c>
      <c r="AD22" s="164"/>
      <c r="AE22" s="165">
        <f t="shared" si="16"/>
        <v>0</v>
      </c>
      <c r="AF22" s="164"/>
      <c r="AG22" s="163" t="str">
        <f t="shared" si="17"/>
        <v>INCLUSÃO</v>
      </c>
    </row>
    <row r="23" spans="1:35" ht="17.25" thickTop="1" thickBot="1">
      <c r="A23" s="166" t="s">
        <v>158</v>
      </c>
      <c r="B23" s="195">
        <f>'PD0101'!B23</f>
        <v>11</v>
      </c>
      <c r="C23" s="196">
        <f>'PD0101'!C23</f>
        <v>11</v>
      </c>
      <c r="D23" s="195">
        <f>'PD0101'!D23</f>
        <v>11</v>
      </c>
      <c r="E23" s="196">
        <f>'PD0101'!E23</f>
        <v>11</v>
      </c>
      <c r="F23" s="195">
        <f>'PD0101'!F23</f>
        <v>9</v>
      </c>
      <c r="G23" s="196">
        <f>'PD0101'!G23</f>
        <v>11</v>
      </c>
      <c r="H23" s="167">
        <f t="shared" si="0"/>
        <v>11</v>
      </c>
      <c r="I23" s="167">
        <f t="shared" si="1"/>
        <v>11</v>
      </c>
      <c r="J23" s="167">
        <f t="shared" si="2"/>
        <v>11</v>
      </c>
      <c r="K23" s="167">
        <f t="shared" si="3"/>
        <v>11</v>
      </c>
      <c r="L23" s="167">
        <f t="shared" si="4"/>
        <v>9</v>
      </c>
      <c r="M23" s="167">
        <f t="shared" si="5"/>
        <v>11</v>
      </c>
      <c r="N23" s="168">
        <f t="shared" si="6"/>
        <v>11</v>
      </c>
      <c r="O23" s="168">
        <f t="shared" si="7"/>
        <v>11</v>
      </c>
      <c r="P23" s="168">
        <f t="shared" si="8"/>
        <v>0</v>
      </c>
      <c r="Q23" s="169">
        <f t="shared" si="9"/>
        <v>11</v>
      </c>
      <c r="R23" s="170">
        <f t="shared" si="10"/>
        <v>11</v>
      </c>
      <c r="S23" s="170">
        <f t="shared" si="11"/>
        <v>0</v>
      </c>
      <c r="T23" s="171">
        <f t="shared" si="12"/>
        <v>11</v>
      </c>
      <c r="U23" s="172">
        <f t="shared" si="13"/>
        <v>0</v>
      </c>
      <c r="V23" s="173">
        <f>IF(R23=0,0,VLOOKUP(R23,FREQUENCIAS!$1:$1048576,(IF(($A23=FREQUENCIAS!$P$1),16,"ERRO")),FREQUENCIAS!$1:$1048576))</f>
        <v>0.23635999999999999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1</v>
      </c>
      <c r="AC23" s="197">
        <f t="shared" si="15"/>
        <v>1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7.25" thickTop="1" thickBot="1">
      <c r="A24" s="166" t="s">
        <v>156</v>
      </c>
      <c r="B24" s="195">
        <f>'PD0101'!B24</f>
        <v>11</v>
      </c>
      <c r="C24" s="196">
        <f>'PD0101'!C24</f>
        <v>12</v>
      </c>
      <c r="D24" s="195">
        <f>'PD0101'!D24</f>
        <v>11</v>
      </c>
      <c r="E24" s="196">
        <f>'PD0101'!E24</f>
        <v>11</v>
      </c>
      <c r="F24" s="195">
        <f>'PD0101'!F24</f>
        <v>11</v>
      </c>
      <c r="G24" s="196">
        <f>'PD0101'!G24</f>
        <v>11</v>
      </c>
      <c r="H24" s="167">
        <f t="shared" si="0"/>
        <v>11</v>
      </c>
      <c r="I24" s="167">
        <f t="shared" si="1"/>
        <v>12</v>
      </c>
      <c r="J24" s="167">
        <f t="shared" si="2"/>
        <v>11</v>
      </c>
      <c r="K24" s="167">
        <f t="shared" si="3"/>
        <v>11</v>
      </c>
      <c r="L24" s="167">
        <f t="shared" si="4"/>
        <v>11</v>
      </c>
      <c r="M24" s="167">
        <f t="shared" si="5"/>
        <v>11</v>
      </c>
      <c r="N24" s="168">
        <f t="shared" si="6"/>
        <v>11</v>
      </c>
      <c r="O24" s="168">
        <f t="shared" si="7"/>
        <v>11</v>
      </c>
      <c r="P24" s="168">
        <f t="shared" si="8"/>
        <v>0</v>
      </c>
      <c r="Q24" s="169">
        <f t="shared" si="9"/>
        <v>11</v>
      </c>
      <c r="R24" s="170">
        <f t="shared" si="10"/>
        <v>11</v>
      </c>
      <c r="S24" s="170">
        <f t="shared" si="11"/>
        <v>0</v>
      </c>
      <c r="T24" s="171">
        <f t="shared" si="12"/>
        <v>11</v>
      </c>
      <c r="U24" s="172">
        <f t="shared" si="13"/>
        <v>0</v>
      </c>
      <c r="V24" s="173">
        <f>IF(R24=0,0,VLOOKUP(R24,FREQUENCIAS!$1:$1048576,(IF(($A24=FREQUENCIAS!$Q$1),17,"ERRO")),FREQUENCIAS!$1:$1048576))</f>
        <v>0.32906299999999999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1</v>
      </c>
      <c r="AB24" s="197">
        <f t="shared" si="14"/>
        <v>1</v>
      </c>
      <c r="AC24" s="197">
        <f t="shared" si="15"/>
        <v>2</v>
      </c>
      <c r="AD24" s="164" t="s">
        <v>173</v>
      </c>
      <c r="AE24" s="165">
        <f t="shared" si="16"/>
        <v>0</v>
      </c>
      <c r="AF24" s="164"/>
      <c r="AG24" s="163" t="str">
        <f t="shared" si="17"/>
        <v>INCLUSÃO</v>
      </c>
    </row>
    <row r="25" spans="1:35" ht="17.25" thickTop="1" thickBot="1">
      <c r="A25" s="166" t="s">
        <v>142</v>
      </c>
      <c r="B25" s="195">
        <f>'PD0101'!B25</f>
        <v>8</v>
      </c>
      <c r="C25" s="196">
        <f>'PD0101'!C25</f>
        <v>11</v>
      </c>
      <c r="D25" s="195">
        <f>'PD0101'!D25</f>
        <v>8</v>
      </c>
      <c r="E25" s="196">
        <f>'PD0101'!E25</f>
        <v>12</v>
      </c>
      <c r="F25" s="195">
        <f>'PD0101'!F25</f>
        <v>9</v>
      </c>
      <c r="G25" s="196">
        <f>'PD0101'!G25</f>
        <v>12</v>
      </c>
      <c r="H25" s="167">
        <f t="shared" si="0"/>
        <v>8</v>
      </c>
      <c r="I25" s="167">
        <f t="shared" si="1"/>
        <v>11</v>
      </c>
      <c r="J25" s="167">
        <f t="shared" si="2"/>
        <v>8</v>
      </c>
      <c r="K25" s="167">
        <f t="shared" si="3"/>
        <v>12</v>
      </c>
      <c r="L25" s="167">
        <f t="shared" si="4"/>
        <v>9</v>
      </c>
      <c r="M25" s="167">
        <f t="shared" si="5"/>
        <v>12</v>
      </c>
      <c r="N25" s="168">
        <f t="shared" si="6"/>
        <v>8</v>
      </c>
      <c r="O25" s="168">
        <f t="shared" si="7"/>
        <v>0</v>
      </c>
      <c r="P25" s="168">
        <f t="shared" si="8"/>
        <v>1</v>
      </c>
      <c r="Q25" s="169">
        <f t="shared" si="9"/>
        <v>8</v>
      </c>
      <c r="R25" s="170">
        <f t="shared" si="10"/>
        <v>12</v>
      </c>
      <c r="S25" s="170">
        <f t="shared" si="11"/>
        <v>0</v>
      </c>
      <c r="T25" s="171">
        <f t="shared" si="12"/>
        <v>12</v>
      </c>
      <c r="U25" s="172">
        <f t="shared" si="13"/>
        <v>0</v>
      </c>
      <c r="V25" s="173">
        <f>IF(R25=0,0,VLOOKUP(R25,FREQUENCIAS!$1:$1048576,(IF(($A25=FREQUENCIAS!$R$1),18,"ERRO")),FREQUENCIAS!$1:$1048576))</f>
        <v>4.8122999999999999E-2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0</v>
      </c>
      <c r="AC25" s="197">
        <f t="shared" si="15"/>
        <v>1</v>
      </c>
      <c r="AD25" s="164" t="s">
        <v>173</v>
      </c>
      <c r="AE25" s="165">
        <f t="shared" si="16"/>
        <v>0</v>
      </c>
      <c r="AF25" s="164"/>
      <c r="AG25" s="163" t="str">
        <f t="shared" si="17"/>
        <v>INCLUSÃO</v>
      </c>
    </row>
    <row r="26" spans="1:35" ht="17.25" thickTop="1" thickBot="1">
      <c r="A26" s="166" t="s">
        <v>153</v>
      </c>
      <c r="B26" s="195">
        <f>'PD0101'!B26</f>
        <v>14</v>
      </c>
      <c r="C26" s="196">
        <f>'PD0101'!C26</f>
        <v>15</v>
      </c>
      <c r="D26" s="195">
        <f>'PD0101'!D26</f>
        <v>13</v>
      </c>
      <c r="E26" s="196">
        <f>'PD0101'!E26</f>
        <v>14</v>
      </c>
      <c r="F26" s="195">
        <f>'PD0101'!F26</f>
        <v>13</v>
      </c>
      <c r="G26" s="196">
        <f>'PD0101'!G26</f>
        <v>13</v>
      </c>
      <c r="H26" s="167">
        <f t="shared" si="0"/>
        <v>14</v>
      </c>
      <c r="I26" s="167">
        <f t="shared" si="1"/>
        <v>15</v>
      </c>
      <c r="J26" s="167">
        <f t="shared" si="2"/>
        <v>13</v>
      </c>
      <c r="K26" s="167">
        <f t="shared" si="3"/>
        <v>14</v>
      </c>
      <c r="L26" s="167">
        <f t="shared" si="4"/>
        <v>13</v>
      </c>
      <c r="M26" s="167">
        <f t="shared" si="5"/>
        <v>13</v>
      </c>
      <c r="N26" s="168">
        <f t="shared" si="6"/>
        <v>0</v>
      </c>
      <c r="O26" s="168">
        <f t="shared" si="7"/>
        <v>14</v>
      </c>
      <c r="P26" s="168">
        <f t="shared" si="8"/>
        <v>1</v>
      </c>
      <c r="Q26" s="169">
        <f t="shared" si="9"/>
        <v>14</v>
      </c>
      <c r="R26" s="170">
        <f t="shared" si="10"/>
        <v>13</v>
      </c>
      <c r="S26" s="170">
        <f t="shared" si="11"/>
        <v>0</v>
      </c>
      <c r="T26" s="171">
        <f t="shared" si="12"/>
        <v>13</v>
      </c>
      <c r="U26" s="172">
        <f t="shared" si="13"/>
        <v>0</v>
      </c>
      <c r="V26" s="173">
        <f>IF(R26=0,0,VLOOKUP(R26,FREQUENCIAS!$1:$1048576,(IF(($A26=FREQUENCIAS!$S$1),19,"ERRO")),FREQUENCIAS!$1:$1048576))</f>
        <v>0.27866200000000002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1</v>
      </c>
      <c r="AB26" s="197">
        <f t="shared" si="14"/>
        <v>0</v>
      </c>
      <c r="AC26" s="197">
        <f t="shared" si="15"/>
        <v>1</v>
      </c>
      <c r="AD26" s="164" t="s">
        <v>173</v>
      </c>
      <c r="AE26" s="165">
        <f t="shared" si="16"/>
        <v>0</v>
      </c>
      <c r="AF26" s="164"/>
      <c r="AG26" s="163" t="str">
        <f t="shared" si="17"/>
        <v>INCLUSÃO</v>
      </c>
    </row>
    <row r="27" spans="1:35" ht="17.25" thickTop="1" thickBot="1">
      <c r="A27" s="166" t="s">
        <v>217</v>
      </c>
      <c r="B27" s="195">
        <f>'PD0101'!B27</f>
        <v>22</v>
      </c>
      <c r="C27" s="196">
        <f>'PD0101'!C27</f>
        <v>24</v>
      </c>
      <c r="D27" s="195">
        <f>'PD0101'!D27</f>
        <v>19</v>
      </c>
      <c r="E27" s="196">
        <f>'PD0101'!E27</f>
        <v>22</v>
      </c>
      <c r="F27" s="195">
        <f>'PD0101'!F27</f>
        <v>17.3</v>
      </c>
      <c r="G27" s="196">
        <f>'PD0101'!G27</f>
        <v>19</v>
      </c>
      <c r="H27" s="167">
        <f t="shared" si="0"/>
        <v>22</v>
      </c>
      <c r="I27" s="167">
        <f t="shared" si="1"/>
        <v>24</v>
      </c>
      <c r="J27" s="167">
        <f t="shared" si="2"/>
        <v>19</v>
      </c>
      <c r="K27" s="167">
        <f t="shared" si="3"/>
        <v>22</v>
      </c>
      <c r="L27" s="167">
        <f t="shared" si="4"/>
        <v>17.3</v>
      </c>
      <c r="M27" s="167">
        <f t="shared" si="5"/>
        <v>19</v>
      </c>
      <c r="N27" s="168">
        <f t="shared" si="6"/>
        <v>0</v>
      </c>
      <c r="O27" s="168">
        <f t="shared" si="7"/>
        <v>22</v>
      </c>
      <c r="P27" s="168">
        <f t="shared" si="8"/>
        <v>1</v>
      </c>
      <c r="Q27" s="169">
        <f t="shared" si="9"/>
        <v>22</v>
      </c>
      <c r="R27" s="170">
        <f t="shared" si="10"/>
        <v>19</v>
      </c>
      <c r="S27" s="170">
        <f t="shared" si="11"/>
        <v>0</v>
      </c>
      <c r="T27" s="171">
        <f t="shared" si="12"/>
        <v>19</v>
      </c>
      <c r="U27" s="172">
        <f t="shared" si="13"/>
        <v>0</v>
      </c>
      <c r="V27" s="173">
        <f>IF(R27=0,0,VLOOKUP(R27,FREQUENCIAS!$1:$1048576,(IF(($A27=FREQUENCIAS!$T$1),20,"ERRO")),FREQUENCIAS!$1:$1048576))</f>
        <v>0.1699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0</v>
      </c>
      <c r="AC27" s="197">
        <f t="shared" si="15"/>
        <v>1</v>
      </c>
      <c r="AD27" s="164" t="s">
        <v>173</v>
      </c>
      <c r="AE27" s="165">
        <f t="shared" si="16"/>
        <v>0</v>
      </c>
      <c r="AF27" s="164"/>
      <c r="AG27" s="163" t="str">
        <f t="shared" si="17"/>
        <v>INCLUSÃO</v>
      </c>
    </row>
    <row r="28" spans="1:35" ht="17.25" thickTop="1" thickBot="1">
      <c r="A28" s="166" t="s">
        <v>52</v>
      </c>
      <c r="B28" s="195">
        <f>'PD0101'!B28</f>
        <v>12</v>
      </c>
      <c r="C28" s="196">
        <f>'PD0101'!C28</f>
        <v>15.2</v>
      </c>
      <c r="D28" s="195">
        <f>'PD0101'!D28</f>
        <v>12</v>
      </c>
      <c r="E28" s="196">
        <f>'PD0101'!E28</f>
        <v>13</v>
      </c>
      <c r="F28" s="195">
        <f>'PD0101'!F28</f>
        <v>12</v>
      </c>
      <c r="G28" s="196">
        <f>'PD0101'!G28</f>
        <v>13</v>
      </c>
      <c r="H28" s="167">
        <f t="shared" si="0"/>
        <v>12</v>
      </c>
      <c r="I28" s="167">
        <f t="shared" si="1"/>
        <v>15.2</v>
      </c>
      <c r="J28" s="167">
        <f t="shared" si="2"/>
        <v>12</v>
      </c>
      <c r="K28" s="167">
        <f t="shared" si="3"/>
        <v>13</v>
      </c>
      <c r="L28" s="167">
        <f t="shared" si="4"/>
        <v>12</v>
      </c>
      <c r="M28" s="167">
        <f t="shared" si="5"/>
        <v>13</v>
      </c>
      <c r="N28" s="168">
        <f t="shared" si="6"/>
        <v>12</v>
      </c>
      <c r="O28" s="168">
        <f t="shared" si="7"/>
        <v>0</v>
      </c>
      <c r="P28" s="168">
        <f t="shared" si="8"/>
        <v>1</v>
      </c>
      <c r="Q28" s="169">
        <f t="shared" si="9"/>
        <v>12</v>
      </c>
      <c r="R28" s="170">
        <f t="shared" si="10"/>
        <v>13</v>
      </c>
      <c r="S28" s="170">
        <f t="shared" si="11"/>
        <v>0</v>
      </c>
      <c r="T28" s="171">
        <f t="shared" si="12"/>
        <v>13</v>
      </c>
      <c r="U28" s="172">
        <f t="shared" si="13"/>
        <v>0</v>
      </c>
      <c r="V28" s="173">
        <f>IF(R28=0,0,VLOOKUP(R28,FREQUENCIAS!$1:$1048576,(IF(($A28=FREQUENCIAS!$U$1),21,"ERRO")),FREQUENCIAS!$1:$1048576))</f>
        <v>0.2369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1</v>
      </c>
      <c r="AC28" s="197">
        <f t="shared" si="15"/>
        <v>2</v>
      </c>
      <c r="AD28" s="164" t="s">
        <v>173</v>
      </c>
      <c r="AE28" s="165">
        <f t="shared" si="16"/>
        <v>0</v>
      </c>
      <c r="AF28" s="164"/>
      <c r="AG28" s="163" t="str">
        <f t="shared" si="17"/>
        <v>INCLUSÃO</v>
      </c>
    </row>
    <row r="29" spans="1:35" ht="17.25" thickTop="1" thickBot="1">
      <c r="A29" s="166" t="s">
        <v>152</v>
      </c>
      <c r="B29" s="195">
        <f>'PD0101'!B29</f>
        <v>24</v>
      </c>
      <c r="C29" s="196">
        <f>'PD0101'!C29</f>
        <v>25</v>
      </c>
      <c r="D29" s="195">
        <f>'PD0101'!D29</f>
        <v>21</v>
      </c>
      <c r="E29" s="196">
        <f>'PD0101'!E29</f>
        <v>24</v>
      </c>
      <c r="F29" s="195">
        <f>'PD0101'!F29</f>
        <v>21</v>
      </c>
      <c r="G29" s="196">
        <f>'PD0101'!G29</f>
        <v>21</v>
      </c>
      <c r="H29" s="167">
        <f t="shared" si="0"/>
        <v>24</v>
      </c>
      <c r="I29" s="167">
        <f t="shared" si="1"/>
        <v>25</v>
      </c>
      <c r="J29" s="167">
        <f t="shared" si="2"/>
        <v>21</v>
      </c>
      <c r="K29" s="167">
        <f t="shared" si="3"/>
        <v>24</v>
      </c>
      <c r="L29" s="167">
        <f t="shared" si="4"/>
        <v>21</v>
      </c>
      <c r="M29" s="167">
        <f t="shared" si="5"/>
        <v>21</v>
      </c>
      <c r="N29" s="168">
        <f t="shared" si="6"/>
        <v>0</v>
      </c>
      <c r="O29" s="168">
        <f t="shared" si="7"/>
        <v>24</v>
      </c>
      <c r="P29" s="168">
        <f t="shared" si="8"/>
        <v>1</v>
      </c>
      <c r="Q29" s="169">
        <f t="shared" si="9"/>
        <v>24</v>
      </c>
      <c r="R29" s="170">
        <f t="shared" si="10"/>
        <v>21</v>
      </c>
      <c r="S29" s="170">
        <f t="shared" si="11"/>
        <v>0</v>
      </c>
      <c r="T29" s="171">
        <f t="shared" si="12"/>
        <v>21</v>
      </c>
      <c r="U29" s="172">
        <f t="shared" si="13"/>
        <v>0</v>
      </c>
      <c r="V29" s="173">
        <f>IF(R29=0,0,VLOOKUP(R29,FREQUENCIAS!$1:$1048576,(IF(($A29=FREQUENCIAS!$V$1),22,"ERRO")),FREQUENCIAS!$1:$1048576))</f>
        <v>0.15107999999999999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0</v>
      </c>
      <c r="AC29" s="197">
        <f t="shared" si="15"/>
        <v>1</v>
      </c>
      <c r="AD29" s="164" t="s">
        <v>173</v>
      </c>
      <c r="AE29" s="165">
        <f t="shared" si="16"/>
        <v>0</v>
      </c>
      <c r="AF29" s="164"/>
      <c r="AG29" s="163" t="str">
        <f t="shared" si="17"/>
        <v>INCLUSÃO</v>
      </c>
    </row>
    <row r="30" spans="1:35" ht="17.25" thickTop="1" thickBot="1">
      <c r="A30" s="166" t="s">
        <v>218</v>
      </c>
      <c r="B30" s="195">
        <f>'PD0101'!B30</f>
        <v>15</v>
      </c>
      <c r="C30" s="196">
        <f>'PD0101'!C30</f>
        <v>16</v>
      </c>
      <c r="D30" s="195">
        <f>'PD0101'!D30</f>
        <v>16</v>
      </c>
      <c r="E30" s="196">
        <f>'PD0101'!E30</f>
        <v>16</v>
      </c>
      <c r="F30" s="195">
        <f>'PD0101'!F30</f>
        <v>14</v>
      </c>
      <c r="G30" s="196">
        <f>'PD0101'!G30</f>
        <v>16</v>
      </c>
      <c r="H30" s="167">
        <f t="shared" si="0"/>
        <v>15</v>
      </c>
      <c r="I30" s="167">
        <f t="shared" si="1"/>
        <v>16</v>
      </c>
      <c r="J30" s="167">
        <f t="shared" si="2"/>
        <v>16</v>
      </c>
      <c r="K30" s="167">
        <f t="shared" si="3"/>
        <v>16</v>
      </c>
      <c r="L30" s="167">
        <f t="shared" si="4"/>
        <v>14</v>
      </c>
      <c r="M30" s="167">
        <f t="shared" si="5"/>
        <v>16</v>
      </c>
      <c r="N30" s="168">
        <f t="shared" si="6"/>
        <v>16</v>
      </c>
      <c r="O30" s="168">
        <f t="shared" si="7"/>
        <v>16</v>
      </c>
      <c r="P30" s="168">
        <f t="shared" si="8"/>
        <v>0</v>
      </c>
      <c r="Q30" s="169">
        <f t="shared" si="9"/>
        <v>16</v>
      </c>
      <c r="R30" s="170">
        <f t="shared" si="10"/>
        <v>16</v>
      </c>
      <c r="S30" s="170">
        <f t="shared" si="11"/>
        <v>0</v>
      </c>
      <c r="T30" s="171">
        <f t="shared" si="12"/>
        <v>16</v>
      </c>
      <c r="U30" s="172">
        <f t="shared" si="13"/>
        <v>0</v>
      </c>
      <c r="V30" s="173">
        <f>IF(R30=0,0,VLOOKUP(R30,FREQUENCIAS!$1:$1048576,(IF(($A30=FREQUENCIAS!$W$1),23,"ERRO")),FREQUENCIAS!$1:$1048576))</f>
        <v>0.32869999999999999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1</v>
      </c>
      <c r="AB30" s="197">
        <f t="shared" si="14"/>
        <v>1</v>
      </c>
      <c r="AC30" s="197">
        <f t="shared" si="15"/>
        <v>1</v>
      </c>
      <c r="AD30" s="164" t="s">
        <v>173</v>
      </c>
      <c r="AE30" s="165">
        <f t="shared" si="16"/>
        <v>0</v>
      </c>
      <c r="AF30" s="164"/>
      <c r="AG30" s="163" t="str">
        <f t="shared" si="17"/>
        <v>INCLUSÃO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>
        <f>(IF(((PRODUCT(AC9:AC30))&lt;&gt;0),PRODUCT(AB9:AB30),$AD$23))</f>
        <v>0</v>
      </c>
      <c r="AC31" s="895"/>
      <c r="AE31" s="896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>
        <f>(IF(((PRODUCT(AC9:AC30))&lt;&gt;0),(ROUNDDOWN((AB31/(AB31+1)),11)),$AD$23))</f>
        <v>0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>
        <f>(IF(((PRODUCT(AC9:AC30))&lt;&gt;0),(ROUNDDOWN((1-$AE31),11)),$AD$13))</f>
        <v>1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25</v>
      </c>
      <c r="AB34" s="199">
        <f>SUM(AB9:AB30)</f>
        <v>13</v>
      </c>
      <c r="AC34" s="199">
        <f>SUM(AC9:AC30)</f>
        <v>26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MATERNIDADE CONFIRMADA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14</v>
      </c>
      <c r="C9" s="259">
        <f>'PD0101'!G9</f>
        <v>16</v>
      </c>
      <c r="D9" s="259">
        <f>'PD0101'!D9</f>
        <v>16</v>
      </c>
      <c r="E9" s="259">
        <f>'PD0101'!E9</f>
        <v>16</v>
      </c>
      <c r="F9" s="259">
        <f>'PD0101'!B9</f>
        <v>16</v>
      </c>
      <c r="G9" s="259">
        <f>'PD0101'!C9</f>
        <v>17</v>
      </c>
      <c r="H9" s="90">
        <f t="shared" ref="H9:M24" si="0">(IF(CODE(B9)=(60),($BF9-1),(IF(CODE(B9)=(62),($BG9+1),B9))))</f>
        <v>14</v>
      </c>
      <c r="I9" s="90">
        <f t="shared" si="0"/>
        <v>16</v>
      </c>
      <c r="J9" s="90">
        <f t="shared" si="0"/>
        <v>16</v>
      </c>
      <c r="K9" s="90">
        <f t="shared" si="0"/>
        <v>16</v>
      </c>
      <c r="L9" s="90">
        <f t="shared" si="0"/>
        <v>16</v>
      </c>
      <c r="M9" s="90">
        <f t="shared" si="0"/>
        <v>17</v>
      </c>
      <c r="N9" s="91">
        <f t="shared" ref="N9:N30" si="1">IF((H9&gt;I9),I9,H9)</f>
        <v>14</v>
      </c>
      <c r="O9" s="91">
        <f t="shared" ref="O9:O30" si="2">IF((I9&gt;H9),I9,H9)</f>
        <v>16</v>
      </c>
      <c r="P9" s="91">
        <f t="shared" ref="P9:P30" si="3">IF((J9&gt;K9),K9,J9)</f>
        <v>16</v>
      </c>
      <c r="Q9" s="91">
        <f t="shared" ref="Q9:Q30" si="4">IF((K9&gt;J9),K9,J9)</f>
        <v>16</v>
      </c>
      <c r="R9" s="91">
        <f t="shared" ref="R9:R30" si="5">IF((L9&gt;M9),M9,L9)</f>
        <v>16</v>
      </c>
      <c r="S9" s="91">
        <f t="shared" ref="S9:S30" si="6">IF((M9&gt;L9),M9,L9)</f>
        <v>17</v>
      </c>
      <c r="T9" s="92">
        <f t="shared" ref="T9:T30" si="7">IF((P9=N9),P9,(IF((P9=O9),P9,0)))</f>
        <v>16</v>
      </c>
      <c r="U9" s="92">
        <f t="shared" ref="U9:U30" si="8">IF((Q9=N9),Q9,(IF((Q9=O9),Q9,0)))</f>
        <v>16</v>
      </c>
      <c r="V9" s="93">
        <f>(IF((OR((P9="&gt;18"),(Q9="&gt;18"))),2,(IF(((T9+U9)=(P9+Q9)),0,1))))</f>
        <v>0</v>
      </c>
      <c r="W9" s="94">
        <f>IF(OR(($T9=$U9),($U9=0)),$T9,(IF(AND(($T9=0),($U9&lt;&gt;0)),$U9,$AJ$7)))</f>
        <v>16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30" si="9">(IF(OR((X9=R9),(X9=S9)),X9,0))</f>
        <v>16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0.27030799999999999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1.8497417760480637</v>
      </c>
      <c r="AI9" s="100">
        <f t="shared" ref="AI9:AI30" si="11">(IF((AH9=0),0,(AH9/(AH9+1))))</f>
        <v>0.64909101294547111</v>
      </c>
      <c r="AJ9" s="101"/>
      <c r="AK9" s="102">
        <f t="shared" ref="AK9:AK30" si="12">(1-AG9)^2</f>
        <v>0.53245041486400002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1.8497417760480637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16</v>
      </c>
      <c r="BK9" s="54">
        <f t="shared" ref="BK9:BK30" si="19">(IF((OR(($W9=($BF9-1)),($W9=($BG9+1)))),(CONCATENATE((BI9),(BJ9))),$W9))</f>
        <v>16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16</v>
      </c>
      <c r="BN9" s="57">
        <f t="shared" ref="BN9:BN30" si="22">(IF((OR(($Z9=($BF9-1)),($Z9=($BG9+1)))),(CONCATENATE((BL9),(BM9))),$Z9))</f>
        <v>16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15</v>
      </c>
      <c r="C10" s="259">
        <f>'PD0101'!G10</f>
        <v>17.3</v>
      </c>
      <c r="D10" s="259">
        <f>'PD0101'!D10</f>
        <v>16</v>
      </c>
      <c r="E10" s="259">
        <f>'PD0101'!E10</f>
        <v>17.3</v>
      </c>
      <c r="F10" s="259">
        <f>'PD0101'!B10</f>
        <v>16</v>
      </c>
      <c r="G10" s="259">
        <f>'PD0101'!C10</f>
        <v>17.3</v>
      </c>
      <c r="H10" s="90">
        <f t="shared" si="0"/>
        <v>15</v>
      </c>
      <c r="I10" s="90">
        <f t="shared" si="0"/>
        <v>17.3</v>
      </c>
      <c r="J10" s="90">
        <f t="shared" si="0"/>
        <v>16</v>
      </c>
      <c r="K10" s="90">
        <f t="shared" si="0"/>
        <v>17.3</v>
      </c>
      <c r="L10" s="90">
        <f t="shared" si="0"/>
        <v>16</v>
      </c>
      <c r="M10" s="90">
        <f t="shared" si="0"/>
        <v>17.3</v>
      </c>
      <c r="N10" s="91">
        <f t="shared" si="1"/>
        <v>15</v>
      </c>
      <c r="O10" s="91">
        <f t="shared" si="2"/>
        <v>17.3</v>
      </c>
      <c r="P10" s="91">
        <f t="shared" si="3"/>
        <v>16</v>
      </c>
      <c r="Q10" s="91">
        <f t="shared" si="4"/>
        <v>17.3</v>
      </c>
      <c r="R10" s="91">
        <f t="shared" si="5"/>
        <v>16</v>
      </c>
      <c r="S10" s="91">
        <f t="shared" si="6"/>
        <v>17.3</v>
      </c>
      <c r="T10" s="92">
        <f t="shared" si="7"/>
        <v>0</v>
      </c>
      <c r="U10" s="92">
        <f t="shared" si="8"/>
        <v>17.3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17.3</v>
      </c>
      <c r="X10" s="116">
        <f>(ROUND( (IF((AND((T10=0),(U10=0))),D10,(IF((V10=2),S10,(IF((W10&lt;&gt;$AJ$7),(P10+Q10-W10),P10)))))),1))</f>
        <v>16</v>
      </c>
      <c r="Y10" s="92">
        <f>(IF((AND((T10=0),(U10=0))),E10,(IF((W10&lt;&gt;$AJ$7),0,Q10))))</f>
        <v>0</v>
      </c>
      <c r="Z10" s="95">
        <f t="shared" si="9"/>
        <v>16</v>
      </c>
      <c r="AA10" s="96">
        <f t="shared" si="10"/>
        <v>0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0.1328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3.7650602409638552</v>
      </c>
      <c r="AI10" s="100">
        <f t="shared" si="11"/>
        <v>0.79013906447534765</v>
      </c>
      <c r="AJ10" s="101"/>
      <c r="AK10" s="102">
        <f t="shared" si="12"/>
        <v>0.7520358399999999</v>
      </c>
      <c r="AL10" s="101"/>
      <c r="AM10" s="103" t="str">
        <f t="shared" si="13"/>
        <v>1 / 2F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3.7650602409638552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17.3</v>
      </c>
      <c r="BK10" s="54">
        <f t="shared" si="19"/>
        <v>17.3</v>
      </c>
      <c r="BL10" s="57" t="str">
        <f t="shared" si="20"/>
        <v/>
      </c>
      <c r="BM10" s="63">
        <f t="shared" si="21"/>
        <v>16</v>
      </c>
      <c r="BN10" s="57">
        <f t="shared" si="22"/>
        <v>16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11.3</v>
      </c>
      <c r="C11" s="259">
        <f>'PD0101'!G11</f>
        <v>15</v>
      </c>
      <c r="D11" s="259">
        <f>'PD0101'!D11</f>
        <v>11.3</v>
      </c>
      <c r="E11" s="259">
        <f>'PD0101'!E11</f>
        <v>11.3</v>
      </c>
      <c r="F11" s="259">
        <f>'PD0101'!B11</f>
        <v>11</v>
      </c>
      <c r="G11" s="259">
        <f>'PD0101'!C11</f>
        <v>11.3</v>
      </c>
      <c r="H11" s="90">
        <f t="shared" si="0"/>
        <v>11.3</v>
      </c>
      <c r="I11" s="90">
        <f t="shared" si="0"/>
        <v>15</v>
      </c>
      <c r="J11" s="90">
        <f t="shared" si="0"/>
        <v>11.3</v>
      </c>
      <c r="K11" s="90">
        <f t="shared" si="0"/>
        <v>11.3</v>
      </c>
      <c r="L11" s="90">
        <f t="shared" si="0"/>
        <v>11</v>
      </c>
      <c r="M11" s="90">
        <f t="shared" si="0"/>
        <v>11.3</v>
      </c>
      <c r="N11" s="91">
        <f t="shared" si="1"/>
        <v>11.3</v>
      </c>
      <c r="O11" s="91">
        <f t="shared" si="2"/>
        <v>15</v>
      </c>
      <c r="P11" s="91">
        <f t="shared" si="3"/>
        <v>11.3</v>
      </c>
      <c r="Q11" s="91">
        <f t="shared" si="4"/>
        <v>11.3</v>
      </c>
      <c r="R11" s="91">
        <f t="shared" si="5"/>
        <v>11</v>
      </c>
      <c r="S11" s="91">
        <f t="shared" si="6"/>
        <v>11.3</v>
      </c>
      <c r="T11" s="92">
        <f t="shared" si="7"/>
        <v>11.3</v>
      </c>
      <c r="U11" s="92">
        <f t="shared" si="8"/>
        <v>11.3</v>
      </c>
      <c r="V11" s="93">
        <f>(IF((OR((P11="&gt;22"),(Q11="&gt;22"))),2,(IF(((T11+U11)=(P11+Q11)),0,1))))</f>
        <v>0</v>
      </c>
      <c r="W11" s="94">
        <f t="shared" si="25"/>
        <v>11.3</v>
      </c>
      <c r="X11" s="116">
        <f>(ROUND( (IF((AND((T11=0),(U11=0))),D11,(IF((V11=2),S11,(IF((W11&lt;&gt;$AJ$7),(P11+Q11-W11),P11)))))),1))</f>
        <v>11.3</v>
      </c>
      <c r="Y11" s="92">
        <f>(ROUND( (IF((AND((T11=0),(U11=0))),E11,(IF((W11&lt;&gt;$AJ$7),0,Q11)))),1))</f>
        <v>0</v>
      </c>
      <c r="Z11" s="95">
        <f t="shared" si="9"/>
        <v>11.3</v>
      </c>
      <c r="AA11" s="96">
        <f t="shared" si="10"/>
        <v>0</v>
      </c>
      <c r="AB11" s="97">
        <f>IF(X11=0,0,VLOOKUP(X11,FREQUENCIAS!$1:$1048576,(IF(($A11=FREQUENCIAS!$D$1),4,"ERRO")),FREQUENCIAS!$1:$1048576))</f>
        <v>4.5499999999999999E-2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4.5499999999999999E-2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10.989010989010989</v>
      </c>
      <c r="AI11" s="100">
        <f t="shared" si="11"/>
        <v>0.91659028414298804</v>
      </c>
      <c r="AJ11" s="101"/>
      <c r="AK11" s="102">
        <f t="shared" si="12"/>
        <v>0.91107025000000008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10.989010989010989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11.3</v>
      </c>
      <c r="BK11" s="54">
        <f t="shared" si="19"/>
        <v>11.3</v>
      </c>
      <c r="BL11" s="57" t="str">
        <f t="shared" si="20"/>
        <v/>
      </c>
      <c r="BM11" s="57">
        <f t="shared" si="21"/>
        <v>11.3</v>
      </c>
      <c r="BN11" s="57">
        <f t="shared" si="22"/>
        <v>11.3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13</v>
      </c>
      <c r="C12" s="261">
        <f>'PD0101'!G12</f>
        <v>14</v>
      </c>
      <c r="D12" s="261">
        <f>'PD0101'!D12</f>
        <v>14</v>
      </c>
      <c r="E12" s="261">
        <f>'PD0101'!E12</f>
        <v>14</v>
      </c>
      <c r="F12" s="261">
        <f>'PD0101'!B12</f>
        <v>14</v>
      </c>
      <c r="G12" s="261">
        <f>'PD0101'!C12</f>
        <v>14</v>
      </c>
      <c r="H12" s="112">
        <f t="shared" si="0"/>
        <v>13</v>
      </c>
      <c r="I12" s="112">
        <f t="shared" si="0"/>
        <v>14</v>
      </c>
      <c r="J12" s="112">
        <f t="shared" si="0"/>
        <v>14</v>
      </c>
      <c r="K12" s="112">
        <f t="shared" si="0"/>
        <v>14</v>
      </c>
      <c r="L12" s="112">
        <f t="shared" si="0"/>
        <v>14</v>
      </c>
      <c r="M12" s="112">
        <f t="shared" si="0"/>
        <v>14</v>
      </c>
      <c r="N12" s="113">
        <f t="shared" si="1"/>
        <v>13</v>
      </c>
      <c r="O12" s="113">
        <f t="shared" si="2"/>
        <v>14</v>
      </c>
      <c r="P12" s="113">
        <f t="shared" si="3"/>
        <v>14</v>
      </c>
      <c r="Q12" s="113">
        <f t="shared" si="4"/>
        <v>14</v>
      </c>
      <c r="R12" s="113">
        <f t="shared" si="5"/>
        <v>14</v>
      </c>
      <c r="S12" s="113">
        <f t="shared" si="6"/>
        <v>14</v>
      </c>
      <c r="T12" s="114">
        <f t="shared" si="7"/>
        <v>14</v>
      </c>
      <c r="U12" s="114">
        <f t="shared" si="8"/>
        <v>14</v>
      </c>
      <c r="V12" s="115">
        <f>(IF((OR((P12="&gt;21"),(Q12="&gt;21"))),2,(IF(((T12+U12)=(P12+Q12)),0,1))))</f>
        <v>0</v>
      </c>
      <c r="W12" s="114">
        <f t="shared" si="25"/>
        <v>14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0</v>
      </c>
      <c r="Z12" s="117">
        <f t="shared" si="9"/>
        <v>14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0.30480000000000002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3.280839895013123</v>
      </c>
      <c r="AI12" s="122">
        <f t="shared" si="11"/>
        <v>0.7664009809932556</v>
      </c>
      <c r="AJ12" s="123" t="s">
        <v>140</v>
      </c>
      <c r="AK12" s="124">
        <f t="shared" si="12"/>
        <v>0.48330304000000007</v>
      </c>
      <c r="AL12" s="123"/>
      <c r="AM12" s="125" t="str">
        <f t="shared" si="13"/>
        <v>1 / 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3.280839895013123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12</v>
      </c>
      <c r="C13" s="259">
        <f>'PD0101'!G13</f>
        <v>12</v>
      </c>
      <c r="D13" s="259">
        <f>'PD0101'!D13</f>
        <v>11</v>
      </c>
      <c r="E13" s="259">
        <f>'PD0101'!E13</f>
        <v>12</v>
      </c>
      <c r="F13" s="259">
        <f>'PD0101'!B13</f>
        <v>11</v>
      </c>
      <c r="G13" s="259">
        <f>'PD0101'!C13</f>
        <v>11</v>
      </c>
      <c r="H13" s="90">
        <f t="shared" si="0"/>
        <v>12</v>
      </c>
      <c r="I13" s="90">
        <f t="shared" si="0"/>
        <v>12</v>
      </c>
      <c r="J13" s="90">
        <f t="shared" si="0"/>
        <v>11</v>
      </c>
      <c r="K13" s="90">
        <f t="shared" si="0"/>
        <v>12</v>
      </c>
      <c r="L13" s="90">
        <f t="shared" si="0"/>
        <v>11</v>
      </c>
      <c r="M13" s="90">
        <f t="shared" si="0"/>
        <v>11</v>
      </c>
      <c r="N13" s="91">
        <f t="shared" si="1"/>
        <v>12</v>
      </c>
      <c r="O13" s="91">
        <f t="shared" si="2"/>
        <v>12</v>
      </c>
      <c r="P13" s="91">
        <f t="shared" si="3"/>
        <v>11</v>
      </c>
      <c r="Q13" s="91">
        <f t="shared" si="4"/>
        <v>12</v>
      </c>
      <c r="R13" s="91">
        <f t="shared" si="5"/>
        <v>11</v>
      </c>
      <c r="S13" s="91">
        <f t="shared" si="6"/>
        <v>11</v>
      </c>
      <c r="T13" s="92">
        <f t="shared" si="7"/>
        <v>0</v>
      </c>
      <c r="U13" s="92">
        <f t="shared" si="8"/>
        <v>12</v>
      </c>
      <c r="V13" s="93">
        <f>(IF((OR((P13="&gt;21"),(Q13="&gt;21"))),2,(IF(((T13+U13)=(P13+Q13)),0,1))))</f>
        <v>1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0</v>
      </c>
      <c r="Z13" s="95">
        <f t="shared" si="9"/>
        <v>11</v>
      </c>
      <c r="AA13" s="96">
        <f t="shared" si="10"/>
        <v>0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2.95179E-2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33.877748755839676</v>
      </c>
      <c r="AI13" s="100">
        <f t="shared" si="11"/>
        <v>0.97132842469276148</v>
      </c>
      <c r="AJ13" s="101" t="s">
        <v>163</v>
      </c>
      <c r="AK13" s="262">
        <f t="shared" si="12"/>
        <v>0.94183550642041003</v>
      </c>
      <c r="AL13" s="101"/>
      <c r="AM13" s="103" t="str">
        <f t="shared" si="13"/>
        <v>1 / F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33.877748755839676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>&lt;</v>
      </c>
      <c r="BM13" s="57">
        <f t="shared" si="21"/>
        <v>12</v>
      </c>
      <c r="BN13" s="57" t="str">
        <f t="shared" si="22"/>
        <v>&lt;12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11</v>
      </c>
      <c r="C14" s="259">
        <f>'PD0101'!G14</f>
        <v>11</v>
      </c>
      <c r="D14" s="259">
        <f>'PD0101'!D14</f>
        <v>11</v>
      </c>
      <c r="E14" s="259">
        <f>'PD0101'!E14</f>
        <v>16</v>
      </c>
      <c r="F14" s="259">
        <f>'PD0101'!B14</f>
        <v>13</v>
      </c>
      <c r="G14" s="259">
        <f>'PD0101'!C14</f>
        <v>16</v>
      </c>
      <c r="H14" s="90">
        <f t="shared" si="0"/>
        <v>11</v>
      </c>
      <c r="I14" s="90">
        <f t="shared" si="0"/>
        <v>11</v>
      </c>
      <c r="J14" s="90">
        <f t="shared" si="0"/>
        <v>11</v>
      </c>
      <c r="K14" s="90">
        <f t="shared" si="0"/>
        <v>16</v>
      </c>
      <c r="L14" s="90">
        <f t="shared" si="0"/>
        <v>13</v>
      </c>
      <c r="M14" s="90">
        <f t="shared" si="0"/>
        <v>16</v>
      </c>
      <c r="N14" s="91">
        <f t="shared" si="1"/>
        <v>11</v>
      </c>
      <c r="O14" s="91">
        <f t="shared" si="2"/>
        <v>11</v>
      </c>
      <c r="P14" s="91">
        <f t="shared" si="3"/>
        <v>11</v>
      </c>
      <c r="Q14" s="91">
        <f t="shared" si="4"/>
        <v>16</v>
      </c>
      <c r="R14" s="91">
        <f t="shared" si="5"/>
        <v>13</v>
      </c>
      <c r="S14" s="91">
        <f t="shared" si="6"/>
        <v>16</v>
      </c>
      <c r="T14" s="92">
        <f t="shared" si="7"/>
        <v>11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11</v>
      </c>
      <c r="X14" s="116">
        <f t="shared" si="30"/>
        <v>16</v>
      </c>
      <c r="Y14" s="92">
        <f t="shared" si="31"/>
        <v>0</v>
      </c>
      <c r="Z14" s="95">
        <f t="shared" si="9"/>
        <v>16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11</v>
      </c>
      <c r="BK14" s="54">
        <f t="shared" si="19"/>
        <v>11</v>
      </c>
      <c r="BL14" s="57" t="str">
        <f t="shared" si="20"/>
        <v/>
      </c>
      <c r="BM14" s="57">
        <f t="shared" si="21"/>
        <v>16</v>
      </c>
      <c r="BN14" s="57">
        <f t="shared" si="22"/>
        <v>16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11</v>
      </c>
      <c r="C15" s="259">
        <f>'PD0101'!G15</f>
        <v>12</v>
      </c>
      <c r="D15" s="259">
        <f>'PD0101'!D15</f>
        <v>11</v>
      </c>
      <c r="E15" s="259">
        <f>'PD0101'!E15</f>
        <v>12</v>
      </c>
      <c r="F15" s="259">
        <f>'PD0101'!B15</f>
        <v>10</v>
      </c>
      <c r="G15" s="259">
        <f>'PD0101'!C15</f>
        <v>11</v>
      </c>
      <c r="H15" s="90">
        <f t="shared" si="0"/>
        <v>11</v>
      </c>
      <c r="I15" s="90">
        <f t="shared" si="0"/>
        <v>12</v>
      </c>
      <c r="J15" s="90">
        <f t="shared" si="0"/>
        <v>11</v>
      </c>
      <c r="K15" s="90">
        <f t="shared" si="0"/>
        <v>12</v>
      </c>
      <c r="L15" s="90">
        <f t="shared" si="0"/>
        <v>10</v>
      </c>
      <c r="M15" s="90">
        <f t="shared" si="0"/>
        <v>11</v>
      </c>
      <c r="N15" s="91">
        <f t="shared" si="1"/>
        <v>11</v>
      </c>
      <c r="O15" s="91">
        <f t="shared" si="2"/>
        <v>12</v>
      </c>
      <c r="P15" s="91">
        <f t="shared" si="3"/>
        <v>11</v>
      </c>
      <c r="Q15" s="91">
        <f t="shared" si="4"/>
        <v>12</v>
      </c>
      <c r="R15" s="91">
        <f t="shared" si="5"/>
        <v>10</v>
      </c>
      <c r="S15" s="91">
        <f t="shared" si="6"/>
        <v>11</v>
      </c>
      <c r="T15" s="92">
        <f t="shared" si="7"/>
        <v>11</v>
      </c>
      <c r="U15" s="92">
        <f t="shared" si="8"/>
        <v>12</v>
      </c>
      <c r="V15" s="93">
        <f>(IF((OR((P15="&gt;23"),(Q15="&gt;23"))),2,(IF(((T15+U15)=(P15+Q15)),0,1))))</f>
        <v>0</v>
      </c>
      <c r="W15" s="94" t="str">
        <f t="shared" si="25"/>
        <v>NÃO DEF</v>
      </c>
      <c r="X15" s="116">
        <f t="shared" si="30"/>
        <v>11</v>
      </c>
      <c r="Y15" s="92">
        <f t="shared" si="31"/>
        <v>12</v>
      </c>
      <c r="Z15" s="95">
        <f t="shared" si="9"/>
        <v>11</v>
      </c>
      <c r="AA15" s="96">
        <f t="shared" si="10"/>
        <v>0</v>
      </c>
      <c r="AB15" s="97">
        <f>IF(X15=0,0,VLOOKUP(X15,FREQUENCIAS!$1:$1048576,(IF(($A15=FREQUENCIAS!$H$1),8,"ERRO")),FREQUENCIAS!$1:$1048576))</f>
        <v>0.28868100000000002</v>
      </c>
      <c r="AC15" s="97">
        <f>IF(Y15=0,0,VLOOKUP(Y15,FREQUENCIAS!$1:$1048576,(IF(($A15=FREQUENCIAS!$H$1),8,"ERRO")),FREQUENCIAS!$1:$1048576))</f>
        <v>0.25604300000000002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0.54472399999999999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0.91789603542344378</v>
      </c>
      <c r="AI15" s="100">
        <f t="shared" si="11"/>
        <v>0.47859530364000441</v>
      </c>
      <c r="AJ15" s="101"/>
      <c r="AK15" s="102">
        <f t="shared" si="12"/>
        <v>0.20727623617600002</v>
      </c>
      <c r="AL15" s="101"/>
      <c r="AM15" s="103" t="str">
        <f t="shared" si="13"/>
        <v>1 / 2F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0.91789603542344378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 t="str">
        <f t="shared" si="18"/>
        <v>NÃO DEF</v>
      </c>
      <c r="BK15" s="54" t="str">
        <f t="shared" si="19"/>
        <v>NÃO DEF</v>
      </c>
      <c r="BL15" s="57" t="str">
        <f t="shared" si="20"/>
        <v/>
      </c>
      <c r="BM15" s="57">
        <f t="shared" si="21"/>
        <v>11</v>
      </c>
      <c r="BN15" s="57">
        <f t="shared" si="22"/>
        <v>11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10</v>
      </c>
      <c r="C16" s="259">
        <f>'PD0101'!G16</f>
        <v>18</v>
      </c>
      <c r="D16" s="259">
        <f>'PD0101'!D16</f>
        <v>10</v>
      </c>
      <c r="E16" s="259">
        <f>'PD0101'!E16</f>
        <v>12</v>
      </c>
      <c r="F16" s="259">
        <f>'PD0101'!B16</f>
        <v>12</v>
      </c>
      <c r="G16" s="259">
        <f>'PD0101'!C16</f>
        <v>14</v>
      </c>
      <c r="H16" s="90">
        <f t="shared" si="0"/>
        <v>10</v>
      </c>
      <c r="I16" s="90">
        <f t="shared" si="0"/>
        <v>18</v>
      </c>
      <c r="J16" s="90">
        <f t="shared" si="0"/>
        <v>10</v>
      </c>
      <c r="K16" s="90">
        <f t="shared" si="0"/>
        <v>12</v>
      </c>
      <c r="L16" s="90">
        <f t="shared" si="0"/>
        <v>12</v>
      </c>
      <c r="M16" s="90">
        <f t="shared" si="0"/>
        <v>14</v>
      </c>
      <c r="N16" s="91">
        <f t="shared" si="1"/>
        <v>10</v>
      </c>
      <c r="O16" s="91">
        <f t="shared" si="2"/>
        <v>18</v>
      </c>
      <c r="P16" s="91">
        <f t="shared" si="3"/>
        <v>10</v>
      </c>
      <c r="Q16" s="91">
        <f t="shared" si="4"/>
        <v>12</v>
      </c>
      <c r="R16" s="91">
        <f t="shared" si="5"/>
        <v>12</v>
      </c>
      <c r="S16" s="91">
        <f t="shared" si="6"/>
        <v>14</v>
      </c>
      <c r="T16" s="92">
        <f t="shared" si="7"/>
        <v>10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10</v>
      </c>
      <c r="X16" s="116">
        <f t="shared" si="30"/>
        <v>12</v>
      </c>
      <c r="Y16" s="92">
        <f t="shared" si="31"/>
        <v>0</v>
      </c>
      <c r="Z16" s="95">
        <f t="shared" si="9"/>
        <v>12</v>
      </c>
      <c r="AA16" s="96">
        <f t="shared" si="10"/>
        <v>0</v>
      </c>
      <c r="AB16" s="97">
        <f>IF(X16=0,0,VLOOKUP(X16,FREQUENCIAS!$1:$1048576,(IF(($A16=FREQUENCIAS!$I$1),9,"ERRO")),FREQUENCIAS!$1:$1048576))</f>
        <v>0.121118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0.121118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4.1282055516108258</v>
      </c>
      <c r="AI16" s="100">
        <f t="shared" si="11"/>
        <v>0.80500001610000027</v>
      </c>
      <c r="AJ16" s="101"/>
      <c r="AK16" s="102">
        <f t="shared" si="12"/>
        <v>0.77243356992399992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4.1282055516108258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10</v>
      </c>
      <c r="BK16" s="54">
        <f t="shared" si="19"/>
        <v>10</v>
      </c>
      <c r="BL16" s="57" t="str">
        <f t="shared" si="20"/>
        <v/>
      </c>
      <c r="BM16" s="57">
        <f t="shared" si="21"/>
        <v>12</v>
      </c>
      <c r="BN16" s="57">
        <f t="shared" si="22"/>
        <v>12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20</v>
      </c>
      <c r="C17" s="259">
        <f>'PD0101'!G17</f>
        <v>25</v>
      </c>
      <c r="D17" s="259">
        <f>'PD0101'!D17</f>
        <v>17</v>
      </c>
      <c r="E17" s="259">
        <f>'PD0101'!E17</f>
        <v>20</v>
      </c>
      <c r="F17" s="259">
        <f>'PD0101'!B17</f>
        <v>17</v>
      </c>
      <c r="G17" s="259">
        <f>'PD0101'!C17</f>
        <v>17</v>
      </c>
      <c r="H17" s="90">
        <f t="shared" si="0"/>
        <v>20</v>
      </c>
      <c r="I17" s="90">
        <f t="shared" si="0"/>
        <v>25</v>
      </c>
      <c r="J17" s="90">
        <f t="shared" si="0"/>
        <v>17</v>
      </c>
      <c r="K17" s="90">
        <f t="shared" si="0"/>
        <v>20</v>
      </c>
      <c r="L17" s="90">
        <f t="shared" si="0"/>
        <v>17</v>
      </c>
      <c r="M17" s="90">
        <f t="shared" si="0"/>
        <v>17</v>
      </c>
      <c r="N17" s="91">
        <f t="shared" si="1"/>
        <v>20</v>
      </c>
      <c r="O17" s="91">
        <f t="shared" si="2"/>
        <v>25</v>
      </c>
      <c r="P17" s="91">
        <f t="shared" si="3"/>
        <v>17</v>
      </c>
      <c r="Q17" s="91">
        <f t="shared" si="4"/>
        <v>20</v>
      </c>
      <c r="R17" s="91">
        <f t="shared" si="5"/>
        <v>17</v>
      </c>
      <c r="S17" s="91">
        <f t="shared" si="6"/>
        <v>17</v>
      </c>
      <c r="T17" s="92">
        <f t="shared" si="7"/>
        <v>0</v>
      </c>
      <c r="U17" s="92">
        <f t="shared" si="8"/>
        <v>20</v>
      </c>
      <c r="V17" s="93">
        <f>(IF((OR((P17="&gt;28"),(Q17="&gt;28"))),2,(IF(((T17+U17)=(P17+Q17)),0,1))))</f>
        <v>1</v>
      </c>
      <c r="W17" s="94">
        <f t="shared" si="25"/>
        <v>20</v>
      </c>
      <c r="X17" s="116">
        <f t="shared" si="30"/>
        <v>17</v>
      </c>
      <c r="Y17" s="92">
        <f t="shared" si="31"/>
        <v>0</v>
      </c>
      <c r="Z17" s="95">
        <f t="shared" si="9"/>
        <v>17</v>
      </c>
      <c r="AA17" s="96">
        <f t="shared" si="10"/>
        <v>0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0.2077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4.8146364949446321</v>
      </c>
      <c r="AI17" s="100">
        <f t="shared" si="11"/>
        <v>0.82802020369297014</v>
      </c>
      <c r="AJ17" s="101" t="s">
        <v>173</v>
      </c>
      <c r="AK17" s="102">
        <f t="shared" si="12"/>
        <v>0.62773929000000006</v>
      </c>
      <c r="AL17" s="101"/>
      <c r="AM17" s="103" t="str">
        <f t="shared" si="13"/>
        <v>1 / F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4.8146364949446321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20</v>
      </c>
      <c r="BK17" s="54">
        <f t="shared" si="19"/>
        <v>20</v>
      </c>
      <c r="BL17" s="57" t="str">
        <f t="shared" si="20"/>
        <v/>
      </c>
      <c r="BM17" s="57">
        <f t="shared" si="21"/>
        <v>17</v>
      </c>
      <c r="BN17" s="57">
        <f t="shared" si="22"/>
        <v>17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11</v>
      </c>
      <c r="C18" s="259">
        <f>'PD0101'!G18</f>
        <v>12</v>
      </c>
      <c r="D18" s="259">
        <f>'PD0101'!D18</f>
        <v>10</v>
      </c>
      <c r="E18" s="259">
        <f>'PD0101'!E18</f>
        <v>12</v>
      </c>
      <c r="F18" s="259">
        <f>'PD0101'!B18</f>
        <v>10</v>
      </c>
      <c r="G18" s="259">
        <f>'PD0101'!C18</f>
        <v>11</v>
      </c>
      <c r="H18" s="90">
        <f t="shared" si="0"/>
        <v>11</v>
      </c>
      <c r="I18" s="90">
        <f t="shared" si="0"/>
        <v>12</v>
      </c>
      <c r="J18" s="90">
        <f t="shared" si="0"/>
        <v>10</v>
      </c>
      <c r="K18" s="90">
        <f t="shared" si="0"/>
        <v>12</v>
      </c>
      <c r="L18" s="90">
        <f t="shared" si="0"/>
        <v>10</v>
      </c>
      <c r="M18" s="90">
        <f t="shared" si="0"/>
        <v>11</v>
      </c>
      <c r="N18" s="91">
        <f t="shared" si="1"/>
        <v>11</v>
      </c>
      <c r="O18" s="91">
        <f t="shared" si="2"/>
        <v>12</v>
      </c>
      <c r="P18" s="91">
        <f t="shared" si="3"/>
        <v>10</v>
      </c>
      <c r="Q18" s="91">
        <f t="shared" si="4"/>
        <v>12</v>
      </c>
      <c r="R18" s="91">
        <f t="shared" si="5"/>
        <v>10</v>
      </c>
      <c r="S18" s="91">
        <f t="shared" si="6"/>
        <v>11</v>
      </c>
      <c r="T18" s="92">
        <f t="shared" si="7"/>
        <v>0</v>
      </c>
      <c r="U18" s="92">
        <f t="shared" si="8"/>
        <v>12</v>
      </c>
      <c r="V18" s="93">
        <f>(IF((OR((P18="&gt;17,2"),(Q18="&gt;17,2"))),2,(IF(((T18+U18)=(P18+Q18)),0,1))))</f>
        <v>1</v>
      </c>
      <c r="W18" s="94">
        <f t="shared" si="25"/>
        <v>12</v>
      </c>
      <c r="X18" s="116">
        <f t="shared" si="30"/>
        <v>10</v>
      </c>
      <c r="Y18" s="92">
        <f t="shared" si="31"/>
        <v>0</v>
      </c>
      <c r="Z18" s="95">
        <f t="shared" si="9"/>
        <v>10</v>
      </c>
      <c r="AA18" s="96">
        <f t="shared" si="10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0.262376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1.90566210324115</v>
      </c>
      <c r="AI18" s="100">
        <f t="shared" si="11"/>
        <v>0.65584436026317716</v>
      </c>
      <c r="AJ18" s="101"/>
      <c r="AK18" s="102">
        <f t="shared" si="12"/>
        <v>0.54408916537600005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1.90566210324115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10</v>
      </c>
      <c r="BN18" s="57">
        <f t="shared" si="22"/>
        <v>10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12</v>
      </c>
      <c r="C19" s="259">
        <f>'PD0101'!G19</f>
        <v>12</v>
      </c>
      <c r="D19" s="259">
        <f>'PD0101'!D19</f>
        <v>10</v>
      </c>
      <c r="E19" s="259">
        <f>'PD0101'!E19</f>
        <v>12</v>
      </c>
      <c r="F19" s="259">
        <f>'PD0101'!B19</f>
        <v>10</v>
      </c>
      <c r="G19" s="259">
        <f>'PD0101'!C19</f>
        <v>11</v>
      </c>
      <c r="H19" s="90">
        <f t="shared" si="0"/>
        <v>12</v>
      </c>
      <c r="I19" s="90">
        <f t="shared" si="0"/>
        <v>12</v>
      </c>
      <c r="J19" s="90">
        <f t="shared" si="0"/>
        <v>10</v>
      </c>
      <c r="K19" s="90">
        <f t="shared" si="0"/>
        <v>12</v>
      </c>
      <c r="L19" s="90">
        <f t="shared" si="0"/>
        <v>10</v>
      </c>
      <c r="M19" s="90">
        <f t="shared" si="0"/>
        <v>11</v>
      </c>
      <c r="N19" s="91">
        <f t="shared" si="1"/>
        <v>12</v>
      </c>
      <c r="O19" s="91">
        <f t="shared" si="2"/>
        <v>12</v>
      </c>
      <c r="P19" s="91">
        <f t="shared" si="3"/>
        <v>10</v>
      </c>
      <c r="Q19" s="91">
        <f t="shared" si="4"/>
        <v>12</v>
      </c>
      <c r="R19" s="91">
        <f t="shared" si="5"/>
        <v>10</v>
      </c>
      <c r="S19" s="91">
        <f t="shared" si="6"/>
        <v>11</v>
      </c>
      <c r="T19" s="92">
        <f t="shared" si="7"/>
        <v>0</v>
      </c>
      <c r="U19" s="92">
        <f t="shared" si="8"/>
        <v>12</v>
      </c>
      <c r="V19" s="93">
        <f>(IF((OR((P19="&gt;21"),(Q19="&gt;21"))),2,(IF(((T19+U19)=(P19+Q19)),0,1))))</f>
        <v>1</v>
      </c>
      <c r="W19" s="94">
        <f t="shared" si="25"/>
        <v>12</v>
      </c>
      <c r="X19" s="116">
        <f t="shared" si="30"/>
        <v>10</v>
      </c>
      <c r="Y19" s="92">
        <f t="shared" si="31"/>
        <v>0</v>
      </c>
      <c r="Z19" s="95">
        <f t="shared" si="9"/>
        <v>10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12</v>
      </c>
      <c r="BK19" s="54">
        <f t="shared" si="19"/>
        <v>12</v>
      </c>
      <c r="BL19" s="57" t="str">
        <f t="shared" si="20"/>
        <v>&lt;</v>
      </c>
      <c r="BM19" s="57">
        <f t="shared" si="21"/>
        <v>11</v>
      </c>
      <c r="BN19" s="57" t="str">
        <f t="shared" si="22"/>
        <v>&lt;11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6</v>
      </c>
      <c r="C20" s="259">
        <f>'PD0101'!G20</f>
        <v>9.3000000000000007</v>
      </c>
      <c r="D20" s="259">
        <f>'PD0101'!D20</f>
        <v>6</v>
      </c>
      <c r="E20" s="259">
        <f>'PD0101'!E20</f>
        <v>6</v>
      </c>
      <c r="F20" s="259">
        <f>'PD0101'!B20</f>
        <v>6</v>
      </c>
      <c r="G20" s="259">
        <f>'PD0101'!C20</f>
        <v>7</v>
      </c>
      <c r="H20" s="90">
        <f t="shared" si="0"/>
        <v>6</v>
      </c>
      <c r="I20" s="90">
        <f t="shared" si="0"/>
        <v>9.3000000000000007</v>
      </c>
      <c r="J20" s="90">
        <f t="shared" si="0"/>
        <v>6</v>
      </c>
      <c r="K20" s="90">
        <f t="shared" si="0"/>
        <v>6</v>
      </c>
      <c r="L20" s="90">
        <f t="shared" si="0"/>
        <v>6</v>
      </c>
      <c r="M20" s="90">
        <f t="shared" si="0"/>
        <v>7</v>
      </c>
      <c r="N20" s="91">
        <f t="shared" si="1"/>
        <v>6</v>
      </c>
      <c r="O20" s="91">
        <f t="shared" si="2"/>
        <v>9.3000000000000007</v>
      </c>
      <c r="P20" s="91">
        <f t="shared" si="3"/>
        <v>6</v>
      </c>
      <c r="Q20" s="91">
        <f t="shared" si="4"/>
        <v>6</v>
      </c>
      <c r="R20" s="91">
        <f t="shared" si="5"/>
        <v>6</v>
      </c>
      <c r="S20" s="91">
        <f t="shared" si="6"/>
        <v>7</v>
      </c>
      <c r="T20" s="92">
        <f t="shared" si="7"/>
        <v>6</v>
      </c>
      <c r="U20" s="92">
        <f t="shared" si="8"/>
        <v>6</v>
      </c>
      <c r="V20" s="93">
        <f>(IF((OR((P20="&gt;20"),(Q20="&gt;20"))),2,(IF(((T20+U20)=(P20+Q20)),0,1))))</f>
        <v>0</v>
      </c>
      <c r="W20" s="94">
        <f t="shared" si="25"/>
        <v>6</v>
      </c>
      <c r="X20" s="116">
        <f t="shared" si="30"/>
        <v>6</v>
      </c>
      <c r="Y20" s="92">
        <f t="shared" si="31"/>
        <v>0</v>
      </c>
      <c r="Z20" s="95">
        <f t="shared" si="9"/>
        <v>6</v>
      </c>
      <c r="AA20" s="96">
        <f t="shared" si="10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0.21123800000000001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2.3669983620371333</v>
      </c>
      <c r="AI20" s="100">
        <f t="shared" si="11"/>
        <v>0.70299955851627727</v>
      </c>
      <c r="AJ20" s="101"/>
      <c r="AK20" s="102">
        <f t="shared" si="12"/>
        <v>0.62214549264399999</v>
      </c>
      <c r="AL20" s="101"/>
      <c r="AM20" s="103" t="str">
        <f t="shared" si="13"/>
        <v>1 / 2F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2.3669983620371333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6</v>
      </c>
      <c r="BK20" s="54">
        <f t="shared" si="19"/>
        <v>6</v>
      </c>
      <c r="BL20" s="57" t="str">
        <f t="shared" si="20"/>
        <v/>
      </c>
      <c r="BM20" s="57">
        <f t="shared" si="21"/>
        <v>6</v>
      </c>
      <c r="BN20" s="57">
        <f t="shared" si="22"/>
        <v>6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14</v>
      </c>
      <c r="C21" s="259">
        <f>'PD0101'!G21</f>
        <v>17</v>
      </c>
      <c r="D21" s="259">
        <f>'PD0101'!D21</f>
        <v>17</v>
      </c>
      <c r="E21" s="259">
        <f>'PD0101'!E21</f>
        <v>17</v>
      </c>
      <c r="F21" s="259">
        <f>'PD0101'!B21</f>
        <v>17</v>
      </c>
      <c r="G21" s="259">
        <f>'PD0101'!C21</f>
        <v>18</v>
      </c>
      <c r="H21" s="90">
        <f t="shared" si="0"/>
        <v>14</v>
      </c>
      <c r="I21" s="90">
        <f t="shared" si="0"/>
        <v>17</v>
      </c>
      <c r="J21" s="90">
        <f t="shared" si="0"/>
        <v>17</v>
      </c>
      <c r="K21" s="90">
        <f t="shared" si="0"/>
        <v>17</v>
      </c>
      <c r="L21" s="90">
        <f t="shared" si="0"/>
        <v>17</v>
      </c>
      <c r="M21" s="90">
        <f t="shared" si="0"/>
        <v>18</v>
      </c>
      <c r="N21" s="91">
        <f t="shared" si="1"/>
        <v>14</v>
      </c>
      <c r="O21" s="91">
        <f t="shared" si="2"/>
        <v>17</v>
      </c>
      <c r="P21" s="91">
        <f t="shared" si="3"/>
        <v>17</v>
      </c>
      <c r="Q21" s="91">
        <f t="shared" si="4"/>
        <v>17</v>
      </c>
      <c r="R21" s="91">
        <f t="shared" si="5"/>
        <v>17</v>
      </c>
      <c r="S21" s="91">
        <f t="shared" si="6"/>
        <v>18</v>
      </c>
      <c r="T21" s="92">
        <f t="shared" si="7"/>
        <v>17</v>
      </c>
      <c r="U21" s="92">
        <f t="shared" si="8"/>
        <v>17</v>
      </c>
      <c r="V21" s="93">
        <f>(IF((OR((P21="&gt;24"),(Q21="&gt;24"))),2,(IF(((T21+U21)=(P21+Q21)),0,1))))</f>
        <v>0</v>
      </c>
      <c r="W21" s="94">
        <f t="shared" si="25"/>
        <v>17</v>
      </c>
      <c r="X21" s="116">
        <f t="shared" si="30"/>
        <v>17</v>
      </c>
      <c r="Y21" s="92">
        <f t="shared" si="31"/>
        <v>0</v>
      </c>
      <c r="Z21" s="95">
        <f t="shared" si="9"/>
        <v>17</v>
      </c>
      <c r="AA21" s="96">
        <f t="shared" si="10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0.25484400000000001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1.9619845866490873</v>
      </c>
      <c r="AI21" s="100">
        <f t="shared" si="11"/>
        <v>0.66238852001208193</v>
      </c>
      <c r="AJ21" s="101"/>
      <c r="AK21" s="102">
        <f t="shared" si="12"/>
        <v>0.55525746433599987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1.9619845866490873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17</v>
      </c>
      <c r="BN21" s="57">
        <f t="shared" si="22"/>
        <v>17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29</v>
      </c>
      <c r="C22" s="259">
        <f>'PD0101'!G22</f>
        <v>32.200000000000003</v>
      </c>
      <c r="D22" s="259">
        <f>'PD0101'!D22</f>
        <v>29</v>
      </c>
      <c r="E22" s="259">
        <f>'PD0101'!E22</f>
        <v>32.200000000000003</v>
      </c>
      <c r="F22" s="259">
        <f>'PD0101'!B22</f>
        <v>28</v>
      </c>
      <c r="G22" s="259">
        <f>'PD0101'!C22</f>
        <v>29</v>
      </c>
      <c r="H22" s="90">
        <f t="shared" si="0"/>
        <v>29</v>
      </c>
      <c r="I22" s="90">
        <f t="shared" si="0"/>
        <v>32.200000000000003</v>
      </c>
      <c r="J22" s="90">
        <f t="shared" si="0"/>
        <v>29</v>
      </c>
      <c r="K22" s="90">
        <f t="shared" si="0"/>
        <v>32.200000000000003</v>
      </c>
      <c r="L22" s="90">
        <f t="shared" si="0"/>
        <v>28</v>
      </c>
      <c r="M22" s="90">
        <f t="shared" si="0"/>
        <v>29</v>
      </c>
      <c r="N22" s="91">
        <f t="shared" si="1"/>
        <v>29</v>
      </c>
      <c r="O22" s="91">
        <f t="shared" si="2"/>
        <v>32.200000000000003</v>
      </c>
      <c r="P22" s="91">
        <f t="shared" si="3"/>
        <v>29</v>
      </c>
      <c r="Q22" s="91">
        <f t="shared" si="4"/>
        <v>32.200000000000003</v>
      </c>
      <c r="R22" s="91">
        <f t="shared" si="5"/>
        <v>28</v>
      </c>
      <c r="S22" s="91">
        <f t="shared" si="6"/>
        <v>29</v>
      </c>
      <c r="T22" s="92">
        <f t="shared" si="7"/>
        <v>29</v>
      </c>
      <c r="U22" s="92">
        <f t="shared" si="8"/>
        <v>32.200000000000003</v>
      </c>
      <c r="V22" s="93">
        <f>(IF((OR((P22="&gt;22"),(Q22="&gt;22"))),2,(IF(((T22+U22)=(P22+Q22)),0,1))))</f>
        <v>0</v>
      </c>
      <c r="W22" s="94" t="str">
        <f t="shared" si="25"/>
        <v>NÃO DEF</v>
      </c>
      <c r="X22" s="116">
        <f t="shared" si="30"/>
        <v>29</v>
      </c>
      <c r="Y22" s="92">
        <f t="shared" si="31"/>
        <v>32.200000000000003</v>
      </c>
      <c r="Z22" s="95">
        <f t="shared" si="9"/>
        <v>29</v>
      </c>
      <c r="AA22" s="96">
        <f t="shared" si="10"/>
        <v>0</v>
      </c>
      <c r="AB22" s="97">
        <f>IF(X22=0,0,VLOOKUP(X22,FREQUENCIAS!$1:$1048576,(IF(($A22=FREQUENCIAS!$O$1),15,"ERRO")),FREQUENCIAS!$1:$1048576))</f>
        <v>0.20807800000000001</v>
      </c>
      <c r="AC22" s="97">
        <f>IF(Y22=0,0,VLOOKUP(Y22,FREQUENCIAS!$1:$1048576,(IF(($A22=FREQUENCIAS!$O$1),15,"ERRO")),FREQUENCIAS!$1:$1048576))</f>
        <v>7.5126999999999999E-2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0.28320500000000004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1.7655055525149623</v>
      </c>
      <c r="AI22" s="100">
        <f t="shared" si="11"/>
        <v>0.63840246167989223</v>
      </c>
      <c r="AJ22" s="101"/>
      <c r="AK22" s="102">
        <f t="shared" si="12"/>
        <v>0.51379507202499997</v>
      </c>
      <c r="AL22" s="101"/>
      <c r="AM22" s="103" t="str">
        <f t="shared" si="13"/>
        <v>1 / 2F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1.7655055525149623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 t="str">
        <f t="shared" si="18"/>
        <v>NÃO DEF</v>
      </c>
      <c r="BK22" s="54" t="str">
        <f t="shared" si="19"/>
        <v>NÃO DEF</v>
      </c>
      <c r="BL22" s="57" t="str">
        <f t="shared" si="20"/>
        <v/>
      </c>
      <c r="BM22" s="57">
        <f t="shared" si="21"/>
        <v>29</v>
      </c>
      <c r="BN22" s="57">
        <f t="shared" si="22"/>
        <v>29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9</v>
      </c>
      <c r="C23" s="259">
        <f>'PD0101'!G23</f>
        <v>11</v>
      </c>
      <c r="D23" s="259">
        <f>'PD0101'!D23</f>
        <v>11</v>
      </c>
      <c r="E23" s="259">
        <f>'PD0101'!E23</f>
        <v>11</v>
      </c>
      <c r="F23" s="259">
        <f>'PD0101'!B23</f>
        <v>11</v>
      </c>
      <c r="G23" s="259">
        <f>'PD0101'!C23</f>
        <v>11</v>
      </c>
      <c r="H23" s="90">
        <f t="shared" si="0"/>
        <v>9</v>
      </c>
      <c r="I23" s="90">
        <f t="shared" si="0"/>
        <v>11</v>
      </c>
      <c r="J23" s="90">
        <f t="shared" si="0"/>
        <v>11</v>
      </c>
      <c r="K23" s="90">
        <f t="shared" si="0"/>
        <v>11</v>
      </c>
      <c r="L23" s="90">
        <f t="shared" si="0"/>
        <v>11</v>
      </c>
      <c r="M23" s="90">
        <f t="shared" si="0"/>
        <v>11</v>
      </c>
      <c r="N23" s="91">
        <f t="shared" si="1"/>
        <v>9</v>
      </c>
      <c r="O23" s="91">
        <f t="shared" si="2"/>
        <v>11</v>
      </c>
      <c r="P23" s="91">
        <f t="shared" si="3"/>
        <v>11</v>
      </c>
      <c r="Q23" s="91">
        <f t="shared" si="4"/>
        <v>11</v>
      </c>
      <c r="R23" s="91">
        <f t="shared" si="5"/>
        <v>11</v>
      </c>
      <c r="S23" s="91">
        <f t="shared" si="6"/>
        <v>11</v>
      </c>
      <c r="T23" s="92">
        <f t="shared" si="7"/>
        <v>11</v>
      </c>
      <c r="U23" s="92">
        <f t="shared" si="8"/>
        <v>11</v>
      </c>
      <c r="V23" s="93">
        <f>(IF((OR((P23="&gt;32"),(Q23="&gt;32"))),2,(IF(((T23+U23)=(P23+Q23)),0,1))))</f>
        <v>0</v>
      </c>
      <c r="W23" s="94">
        <f t="shared" si="25"/>
        <v>11</v>
      </c>
      <c r="X23" s="116">
        <f t="shared" si="30"/>
        <v>11</v>
      </c>
      <c r="Y23" s="92">
        <f t="shared" si="31"/>
        <v>0</v>
      </c>
      <c r="Z23" s="95">
        <f t="shared" si="9"/>
        <v>11</v>
      </c>
      <c r="AA23" s="96">
        <f t="shared" si="10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0.23635999999999999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4.2308343205280083</v>
      </c>
      <c r="AI23" s="100">
        <f t="shared" si="11"/>
        <v>0.80882590831149503</v>
      </c>
      <c r="AJ23" s="101" t="s">
        <v>173</v>
      </c>
      <c r="AK23" s="102">
        <f t="shared" si="12"/>
        <v>0.58314604959999994</v>
      </c>
      <c r="AL23" s="101"/>
      <c r="AM23" s="103" t="str">
        <f t="shared" si="13"/>
        <v>1 / 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4.2308343205280083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11</v>
      </c>
      <c r="BN23" s="61">
        <f t="shared" si="22"/>
        <v>11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11</v>
      </c>
      <c r="C24" s="259">
        <f>'PD0101'!G24</f>
        <v>11</v>
      </c>
      <c r="D24" s="259">
        <f>'PD0101'!D24</f>
        <v>11</v>
      </c>
      <c r="E24" s="259">
        <f>'PD0101'!E24</f>
        <v>11</v>
      </c>
      <c r="F24" s="259">
        <f>'PD0101'!B24</f>
        <v>11</v>
      </c>
      <c r="G24" s="259">
        <f>'PD0101'!C24</f>
        <v>12</v>
      </c>
      <c r="H24" s="90">
        <f t="shared" si="0"/>
        <v>11</v>
      </c>
      <c r="I24" s="90">
        <f t="shared" si="0"/>
        <v>11</v>
      </c>
      <c r="J24" s="90">
        <f t="shared" si="0"/>
        <v>11</v>
      </c>
      <c r="K24" s="90">
        <f t="shared" si="0"/>
        <v>11</v>
      </c>
      <c r="L24" s="90">
        <f t="shared" si="0"/>
        <v>11</v>
      </c>
      <c r="M24" s="90">
        <f t="shared" si="0"/>
        <v>12</v>
      </c>
      <c r="N24" s="91">
        <f t="shared" si="1"/>
        <v>11</v>
      </c>
      <c r="O24" s="91">
        <f t="shared" si="2"/>
        <v>11</v>
      </c>
      <c r="P24" s="91">
        <f t="shared" si="3"/>
        <v>11</v>
      </c>
      <c r="Q24" s="91">
        <f t="shared" si="4"/>
        <v>11</v>
      </c>
      <c r="R24" s="91">
        <f t="shared" si="5"/>
        <v>11</v>
      </c>
      <c r="S24" s="91">
        <f t="shared" si="6"/>
        <v>12</v>
      </c>
      <c r="T24" s="92">
        <f t="shared" si="7"/>
        <v>11</v>
      </c>
      <c r="U24" s="92">
        <f t="shared" si="8"/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30"/>
        <v>11</v>
      </c>
      <c r="Y24" s="92">
        <f>(IF((AND(($T24=0),($U24=0))),$E24,(IF(($W24&lt;&gt;$AJ$7),0,$Q24))))</f>
        <v>0</v>
      </c>
      <c r="Z24" s="95">
        <f t="shared" si="9"/>
        <v>11</v>
      </c>
      <c r="AA24" s="96">
        <f t="shared" si="10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0.32906299999999999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1.5194658773547922</v>
      </c>
      <c r="AI24" s="100">
        <f t="shared" si="11"/>
        <v>0.60309047683951644</v>
      </c>
      <c r="AJ24" s="101"/>
      <c r="AK24" s="102">
        <f t="shared" si="12"/>
        <v>0.450156457969</v>
      </c>
      <c r="AL24" s="101"/>
      <c r="AM24" s="103" t="str">
        <f t="shared" si="13"/>
        <v>1 / 2F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1.5194658773547922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9</v>
      </c>
      <c r="C25" s="259">
        <f>'PD0101'!G25</f>
        <v>12</v>
      </c>
      <c r="D25" s="259">
        <f>'PD0101'!D25</f>
        <v>8</v>
      </c>
      <c r="E25" s="259">
        <f>'PD0101'!E25</f>
        <v>12</v>
      </c>
      <c r="F25" s="259">
        <f>'PD0101'!B25</f>
        <v>8</v>
      </c>
      <c r="G25" s="259">
        <f>'PD0101'!C25</f>
        <v>11</v>
      </c>
      <c r="H25" s="90">
        <f t="shared" ref="H25:M30" si="33">(IF(CODE(B25)=(60),($BF25-1),(IF(CODE(B25)=(62),($BG25+1),B25))))</f>
        <v>9</v>
      </c>
      <c r="I25" s="90">
        <f t="shared" si="33"/>
        <v>12</v>
      </c>
      <c r="J25" s="90">
        <f t="shared" si="33"/>
        <v>8</v>
      </c>
      <c r="K25" s="90">
        <f t="shared" si="33"/>
        <v>12</v>
      </c>
      <c r="L25" s="90">
        <f t="shared" si="33"/>
        <v>8</v>
      </c>
      <c r="M25" s="90">
        <f t="shared" si="33"/>
        <v>11</v>
      </c>
      <c r="N25" s="91">
        <f t="shared" si="1"/>
        <v>9</v>
      </c>
      <c r="O25" s="91">
        <f t="shared" si="2"/>
        <v>12</v>
      </c>
      <c r="P25" s="91">
        <f t="shared" si="3"/>
        <v>8</v>
      </c>
      <c r="Q25" s="91">
        <f t="shared" si="4"/>
        <v>12</v>
      </c>
      <c r="R25" s="91">
        <f t="shared" si="5"/>
        <v>8</v>
      </c>
      <c r="S25" s="91">
        <f t="shared" si="6"/>
        <v>11</v>
      </c>
      <c r="T25" s="92">
        <f t="shared" si="7"/>
        <v>0</v>
      </c>
      <c r="U25" s="92">
        <f t="shared" si="8"/>
        <v>12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12</v>
      </c>
      <c r="X25" s="116">
        <f t="shared" si="30"/>
        <v>8</v>
      </c>
      <c r="Y25" s="92">
        <f>(IF((AND((T25=0),(U25=0))),E25,(IF((W25&lt;&gt;$AJ$7),0,Q25))))</f>
        <v>0</v>
      </c>
      <c r="Z25" s="95">
        <f t="shared" si="9"/>
        <v>8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0.45586199999999999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1.0968231613953345</v>
      </c>
      <c r="AI25" s="100">
        <f t="shared" si="11"/>
        <v>0.52308806082886439</v>
      </c>
      <c r="AJ25" s="101"/>
      <c r="AK25" s="102">
        <f t="shared" si="12"/>
        <v>0.29608616304400004</v>
      </c>
      <c r="AL25" s="101"/>
      <c r="AM25" s="103" t="str">
        <f t="shared" si="13"/>
        <v>1 / 2F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1.0968231613953345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12</v>
      </c>
      <c r="BK25" s="54">
        <f t="shared" si="19"/>
        <v>12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13</v>
      </c>
      <c r="C26" s="259">
        <f>'PD0101'!G26</f>
        <v>13</v>
      </c>
      <c r="D26" s="259">
        <f>'PD0101'!D26</f>
        <v>13</v>
      </c>
      <c r="E26" s="259">
        <f>'PD0101'!E26</f>
        <v>14</v>
      </c>
      <c r="F26" s="259">
        <f>'PD0101'!B26</f>
        <v>14</v>
      </c>
      <c r="G26" s="259">
        <f>'PD0101'!C26</f>
        <v>15</v>
      </c>
      <c r="H26" s="90">
        <f t="shared" si="33"/>
        <v>13</v>
      </c>
      <c r="I26" s="90">
        <f t="shared" si="33"/>
        <v>13</v>
      </c>
      <c r="J26" s="90">
        <f t="shared" si="33"/>
        <v>13</v>
      </c>
      <c r="K26" s="90">
        <f t="shared" si="33"/>
        <v>14</v>
      </c>
      <c r="L26" s="90">
        <f t="shared" si="33"/>
        <v>14</v>
      </c>
      <c r="M26" s="90">
        <f t="shared" si="33"/>
        <v>15</v>
      </c>
      <c r="N26" s="91">
        <f t="shared" si="1"/>
        <v>13</v>
      </c>
      <c r="O26" s="91">
        <f t="shared" si="2"/>
        <v>13</v>
      </c>
      <c r="P26" s="91">
        <f t="shared" si="3"/>
        <v>13</v>
      </c>
      <c r="Q26" s="91">
        <f t="shared" si="4"/>
        <v>14</v>
      </c>
      <c r="R26" s="91">
        <f t="shared" si="5"/>
        <v>14</v>
      </c>
      <c r="S26" s="91">
        <f t="shared" si="6"/>
        <v>15</v>
      </c>
      <c r="T26" s="92">
        <f t="shared" si="7"/>
        <v>13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13</v>
      </c>
      <c r="X26" s="116">
        <f t="shared" si="30"/>
        <v>14</v>
      </c>
      <c r="Y26" s="92">
        <f xml:space="preserve"> (IF((AND((T26=0),(U26=0))),E26,(IF((W26&lt;&gt;$AJ$7),0,Q26))))</f>
        <v>0</v>
      </c>
      <c r="Z26" s="95">
        <f t="shared" si="9"/>
        <v>14</v>
      </c>
      <c r="AA26" s="96">
        <f t="shared" si="10"/>
        <v>0</v>
      </c>
      <c r="AB26" s="97">
        <f>IF(X26=0,0,VLOOKUP(X26,FREQUENCIAS!$1:$1048576,(IF(($A26=FREQUENCIAS!$S$1),19,"ERRO")),FREQUENCIAS!$1:$1048576))</f>
        <v>0.25086999999999998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0.25086999999999998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1.9930641368039226</v>
      </c>
      <c r="AI26" s="100">
        <f t="shared" si="11"/>
        <v>0.66589422936060849</v>
      </c>
      <c r="AJ26" s="101" t="s">
        <v>140</v>
      </c>
      <c r="AK26" s="102">
        <f t="shared" si="12"/>
        <v>0.56119575690000012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1.9930641368039226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13</v>
      </c>
      <c r="BK26" s="54">
        <f t="shared" si="19"/>
        <v>13</v>
      </c>
      <c r="BL26" s="57" t="str">
        <f t="shared" si="20"/>
        <v/>
      </c>
      <c r="BM26" s="57">
        <f t="shared" si="21"/>
        <v>14</v>
      </c>
      <c r="BN26" s="57">
        <f t="shared" si="22"/>
        <v>14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17.3</v>
      </c>
      <c r="C27" s="259">
        <f>'PD0101'!G27</f>
        <v>19</v>
      </c>
      <c r="D27" s="259">
        <f>'PD0101'!D27</f>
        <v>19</v>
      </c>
      <c r="E27" s="259">
        <f>'PD0101'!E27</f>
        <v>22</v>
      </c>
      <c r="F27" s="259">
        <f>'PD0101'!B27</f>
        <v>22</v>
      </c>
      <c r="G27" s="259">
        <f>'PD0101'!C27</f>
        <v>24</v>
      </c>
      <c r="H27" s="90">
        <f t="shared" si="33"/>
        <v>17.3</v>
      </c>
      <c r="I27" s="90">
        <f t="shared" si="33"/>
        <v>19</v>
      </c>
      <c r="J27" s="90">
        <f t="shared" si="33"/>
        <v>19</v>
      </c>
      <c r="K27" s="90">
        <f t="shared" si="33"/>
        <v>22</v>
      </c>
      <c r="L27" s="90">
        <f t="shared" si="33"/>
        <v>22</v>
      </c>
      <c r="M27" s="90">
        <f t="shared" si="33"/>
        <v>24</v>
      </c>
      <c r="N27" s="91">
        <f t="shared" si="1"/>
        <v>17.3</v>
      </c>
      <c r="O27" s="91">
        <f t="shared" si="2"/>
        <v>19</v>
      </c>
      <c r="P27" s="91">
        <f t="shared" si="3"/>
        <v>19</v>
      </c>
      <c r="Q27" s="91">
        <f t="shared" si="4"/>
        <v>22</v>
      </c>
      <c r="R27" s="91">
        <f t="shared" si="5"/>
        <v>22</v>
      </c>
      <c r="S27" s="91">
        <f t="shared" si="6"/>
        <v>24</v>
      </c>
      <c r="T27" s="92">
        <f t="shared" si="7"/>
        <v>19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19</v>
      </c>
      <c r="X27" s="116">
        <f t="shared" si="30"/>
        <v>22</v>
      </c>
      <c r="Y27" s="92">
        <f>(IF((AND((T27=0),(U27=0))),E27,(IF((W27&lt;&gt;$AJ$7),0,Q27))))</f>
        <v>0</v>
      </c>
      <c r="Z27" s="95">
        <f t="shared" si="9"/>
        <v>22</v>
      </c>
      <c r="AA27" s="96">
        <f t="shared" si="10"/>
        <v>0</v>
      </c>
      <c r="AB27" s="97">
        <f>IF(X27=0,0,VLOOKUP(X27,FREQUENCIAS!$1:$1048576,(IF(($A27=FREQUENCIAS!$T$1),20,"ERRO")),FREQUENCIAS!$1:$1048576))</f>
        <v>6.3E-2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6.3E-2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7.9365079365079367</v>
      </c>
      <c r="AI27" s="100">
        <f t="shared" si="11"/>
        <v>0.88809946714031973</v>
      </c>
      <c r="AJ27" s="101" t="s">
        <v>163</v>
      </c>
      <c r="AK27" s="262">
        <f t="shared" si="12"/>
        <v>0.87796900000000011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7.9365079365079367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19</v>
      </c>
      <c r="BK27" s="54">
        <f t="shared" si="19"/>
        <v>19</v>
      </c>
      <c r="BL27" s="57" t="str">
        <f t="shared" si="20"/>
        <v/>
      </c>
      <c r="BM27" s="57">
        <f t="shared" si="21"/>
        <v>22</v>
      </c>
      <c r="BN27" s="57">
        <f t="shared" si="22"/>
        <v>22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12</v>
      </c>
      <c r="C28" s="259">
        <f>'PD0101'!G28</f>
        <v>13</v>
      </c>
      <c r="D28" s="259">
        <f>'PD0101'!D28</f>
        <v>12</v>
      </c>
      <c r="E28" s="259">
        <f>'PD0101'!E28</f>
        <v>13</v>
      </c>
      <c r="F28" s="259">
        <f>'PD0101'!B28</f>
        <v>12</v>
      </c>
      <c r="G28" s="259">
        <f>'PD0101'!C28</f>
        <v>15.2</v>
      </c>
      <c r="H28" s="90">
        <f t="shared" si="33"/>
        <v>12</v>
      </c>
      <c r="I28" s="90">
        <f t="shared" si="33"/>
        <v>13</v>
      </c>
      <c r="J28" s="90">
        <f t="shared" si="33"/>
        <v>12</v>
      </c>
      <c r="K28" s="90">
        <f t="shared" si="33"/>
        <v>13</v>
      </c>
      <c r="L28" s="90">
        <f t="shared" si="33"/>
        <v>12</v>
      </c>
      <c r="M28" s="90">
        <f t="shared" si="33"/>
        <v>15.2</v>
      </c>
      <c r="N28" s="91">
        <f t="shared" si="1"/>
        <v>12</v>
      </c>
      <c r="O28" s="91">
        <f t="shared" si="2"/>
        <v>13</v>
      </c>
      <c r="P28" s="91">
        <f t="shared" si="3"/>
        <v>12</v>
      </c>
      <c r="Q28" s="91">
        <f t="shared" si="4"/>
        <v>13</v>
      </c>
      <c r="R28" s="91">
        <f t="shared" si="5"/>
        <v>12</v>
      </c>
      <c r="S28" s="91">
        <f t="shared" si="6"/>
        <v>15.2</v>
      </c>
      <c r="T28" s="92">
        <f t="shared" si="7"/>
        <v>12</v>
      </c>
      <c r="U28" s="92">
        <f t="shared" si="8"/>
        <v>13</v>
      </c>
      <c r="V28" s="93">
        <f>(IF((OR((P28="&gt;20"),(Q28="&gt;20"))),2,(IF(((T28+U28)=(P28+Q28)),0,1))))</f>
        <v>0</v>
      </c>
      <c r="W28" s="94" t="str">
        <f t="shared" si="34"/>
        <v>NÃO DEF</v>
      </c>
      <c r="X28" s="116">
        <f t="shared" si="30"/>
        <v>12</v>
      </c>
      <c r="Y28" s="92">
        <f>(IF((AND((T28=0),(U28=0))),E28,(IF((W28&lt;&gt;$AJ$7),0,Q28))))</f>
        <v>13</v>
      </c>
      <c r="Z28" s="95">
        <f t="shared" si="9"/>
        <v>12</v>
      </c>
      <c r="AA28" s="96">
        <f t="shared" si="10"/>
        <v>0</v>
      </c>
      <c r="AB28" s="97">
        <f>IF(X28=0,0,VLOOKUP(X28,FREQUENCIAS!$1:$1048576,(IF(($A28=FREQUENCIAS!$U$1),21,"ERRO")),FREQUENCIAS!$1:$1048576))</f>
        <v>0.10100000000000001</v>
      </c>
      <c r="AC28" s="97">
        <f>IF(Y28=0,0,VLOOKUP(Y28,FREQUENCIAS!$1:$1048576,(IF(($A28=FREQUENCIAS!$U$1),21,"ERRO")),FREQUENCIAS!$1:$1048576))</f>
        <v>0.2369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0.33789999999999998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1.4797277300976621</v>
      </c>
      <c r="AI28" s="100">
        <f t="shared" si="11"/>
        <v>0.59672992003819081</v>
      </c>
      <c r="AJ28" s="101"/>
      <c r="AK28" s="102">
        <f t="shared" si="12"/>
        <v>0.43837641000000005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1.4797277300976621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 t="str">
        <f t="shared" si="18"/>
        <v>NÃO DEF</v>
      </c>
      <c r="BK28" s="54" t="str">
        <f t="shared" si="19"/>
        <v>NÃO DEF</v>
      </c>
      <c r="BL28" s="57" t="str">
        <f t="shared" si="20"/>
        <v/>
      </c>
      <c r="BM28" s="57">
        <f t="shared" si="21"/>
        <v>12</v>
      </c>
      <c r="BN28" s="57">
        <f t="shared" si="22"/>
        <v>12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21</v>
      </c>
      <c r="C29" s="259">
        <f>'PD0101'!G29</f>
        <v>21</v>
      </c>
      <c r="D29" s="259">
        <f>'PD0101'!D29</f>
        <v>21</v>
      </c>
      <c r="E29" s="259">
        <f>'PD0101'!E29</f>
        <v>24</v>
      </c>
      <c r="F29" s="259">
        <f>'PD0101'!B29</f>
        <v>24</v>
      </c>
      <c r="G29" s="259">
        <f>'PD0101'!C29</f>
        <v>25</v>
      </c>
      <c r="H29" s="90">
        <f t="shared" si="33"/>
        <v>21</v>
      </c>
      <c r="I29" s="90">
        <f t="shared" si="33"/>
        <v>21</v>
      </c>
      <c r="J29" s="90">
        <f t="shared" si="33"/>
        <v>21</v>
      </c>
      <c r="K29" s="90">
        <f t="shared" si="33"/>
        <v>24</v>
      </c>
      <c r="L29" s="90">
        <f t="shared" si="33"/>
        <v>24</v>
      </c>
      <c r="M29" s="90">
        <f t="shared" si="33"/>
        <v>25</v>
      </c>
      <c r="N29" s="91">
        <f t="shared" si="1"/>
        <v>21</v>
      </c>
      <c r="O29" s="91">
        <f t="shared" si="2"/>
        <v>21</v>
      </c>
      <c r="P29" s="91">
        <f t="shared" si="3"/>
        <v>21</v>
      </c>
      <c r="Q29" s="91">
        <f t="shared" si="4"/>
        <v>24</v>
      </c>
      <c r="R29" s="91">
        <f t="shared" si="5"/>
        <v>24</v>
      </c>
      <c r="S29" s="91">
        <f t="shared" si="6"/>
        <v>25</v>
      </c>
      <c r="T29" s="92">
        <f t="shared" si="7"/>
        <v>21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21</v>
      </c>
      <c r="X29" s="116">
        <f t="shared" si="30"/>
        <v>24</v>
      </c>
      <c r="Y29" s="92">
        <f>(IF((AND((T29=0),(U29=0))),E29,(IF((W29&lt;&gt;$AJ$7),0,Q29))))</f>
        <v>0</v>
      </c>
      <c r="Z29" s="95">
        <f t="shared" si="9"/>
        <v>24</v>
      </c>
      <c r="AA29" s="96">
        <f t="shared" si="10"/>
        <v>0</v>
      </c>
      <c r="AB29" s="97">
        <f>IF(X29=0,0,VLOOKUP(X29,FREQUENCIAS!$1:$1048576,(IF(($A29=FREQUENCIAS!$V$1),22,"ERRO")),FREQUENCIAS!$1:$1048576))</f>
        <v>0.15093200000000001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0.15093200000000001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3.3127501126335037</v>
      </c>
      <c r="AI29" s="100">
        <f t="shared" si="11"/>
        <v>0.768129389859463</v>
      </c>
      <c r="AJ29" s="101"/>
      <c r="AK29" s="102">
        <f t="shared" si="12"/>
        <v>0.72091646862399994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3.3127501126335037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21</v>
      </c>
      <c r="BK29" s="54">
        <f t="shared" si="19"/>
        <v>21</v>
      </c>
      <c r="BL29" s="57" t="str">
        <f t="shared" si="20"/>
        <v/>
      </c>
      <c r="BM29" s="57">
        <f t="shared" si="21"/>
        <v>24</v>
      </c>
      <c r="BN29" s="57">
        <f t="shared" si="22"/>
        <v>24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14</v>
      </c>
      <c r="C30" s="259">
        <f>'PD0101'!G30</f>
        <v>16</v>
      </c>
      <c r="D30" s="259">
        <f>'PD0101'!D30</f>
        <v>16</v>
      </c>
      <c r="E30" s="259">
        <f>'PD0101'!E30</f>
        <v>16</v>
      </c>
      <c r="F30" s="259">
        <f>'PD0101'!B30</f>
        <v>15</v>
      </c>
      <c r="G30" s="259">
        <f>'PD0101'!C30</f>
        <v>16</v>
      </c>
      <c r="H30" s="90">
        <f t="shared" si="33"/>
        <v>14</v>
      </c>
      <c r="I30" s="90">
        <f t="shared" si="33"/>
        <v>16</v>
      </c>
      <c r="J30" s="90">
        <f t="shared" si="33"/>
        <v>16</v>
      </c>
      <c r="K30" s="90">
        <f t="shared" si="33"/>
        <v>16</v>
      </c>
      <c r="L30" s="90">
        <f t="shared" si="33"/>
        <v>15</v>
      </c>
      <c r="M30" s="90">
        <f t="shared" si="33"/>
        <v>16</v>
      </c>
      <c r="N30" s="91">
        <f t="shared" si="1"/>
        <v>14</v>
      </c>
      <c r="O30" s="91">
        <f t="shared" si="2"/>
        <v>16</v>
      </c>
      <c r="P30" s="91">
        <f t="shared" si="3"/>
        <v>16</v>
      </c>
      <c r="Q30" s="91">
        <f t="shared" si="4"/>
        <v>16</v>
      </c>
      <c r="R30" s="91">
        <f t="shared" si="5"/>
        <v>15</v>
      </c>
      <c r="S30" s="91">
        <f t="shared" si="6"/>
        <v>16</v>
      </c>
      <c r="T30" s="92">
        <f t="shared" si="7"/>
        <v>16</v>
      </c>
      <c r="U30" s="92">
        <f t="shared" si="8"/>
        <v>16</v>
      </c>
      <c r="V30" s="93">
        <f>(IF((OR((P30="&gt;22"),(Q30="&gt;22"))),2,(IF(((T30+U30)=(P30+Q30)),0,1))))</f>
        <v>0</v>
      </c>
      <c r="W30" s="94">
        <f t="shared" si="34"/>
        <v>16</v>
      </c>
      <c r="X30" s="116">
        <f t="shared" si="30"/>
        <v>16</v>
      </c>
      <c r="Y30" s="92">
        <f>(IF((AND((T30=0),(U30=0))),E30,(IF((W30&lt;&gt;$AJ$7),0,Q30))))</f>
        <v>0</v>
      </c>
      <c r="Z30" s="95">
        <f t="shared" si="9"/>
        <v>16</v>
      </c>
      <c r="AA30" s="96">
        <f t="shared" si="10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0.32869999999999999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1.5211439002129601</v>
      </c>
      <c r="AI30" s="100">
        <f t="shared" si="11"/>
        <v>0.60335465186436588</v>
      </c>
      <c r="AJ30" s="101"/>
      <c r="AK30" s="102">
        <f t="shared" si="12"/>
        <v>0.45064368999999999</v>
      </c>
      <c r="AL30" s="101"/>
      <c r="AM30" s="103" t="str">
        <f t="shared" si="13"/>
        <v>1 / 2F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1.5211439002129601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16</v>
      </c>
      <c r="C9" s="259">
        <f>'PD0101'!C9</f>
        <v>17</v>
      </c>
      <c r="D9" s="259">
        <f>'PD0101'!F9</f>
        <v>14</v>
      </c>
      <c r="E9" s="259">
        <f>'PD0101'!G9</f>
        <v>16</v>
      </c>
      <c r="F9" s="259">
        <f>'PD0101'!D9</f>
        <v>16</v>
      </c>
      <c r="G9" s="259">
        <f>'PD0101'!E9</f>
        <v>16</v>
      </c>
      <c r="H9" s="90">
        <f t="shared" ref="H9:M24" si="0">(IF(CODE(B9)=(60),($BF9-1),(IF(CODE(B9)=(62),($BG9+1),B9))))</f>
        <v>16</v>
      </c>
      <c r="I9" s="90">
        <f t="shared" si="0"/>
        <v>17</v>
      </c>
      <c r="J9" s="90">
        <f t="shared" si="0"/>
        <v>14</v>
      </c>
      <c r="K9" s="90">
        <f t="shared" si="0"/>
        <v>16</v>
      </c>
      <c r="L9" s="90">
        <f t="shared" si="0"/>
        <v>16</v>
      </c>
      <c r="M9" s="90">
        <f t="shared" si="0"/>
        <v>16</v>
      </c>
      <c r="N9" s="91">
        <f t="shared" ref="N9:N30" si="1">IF((H9&gt;I9),I9,H9)</f>
        <v>16</v>
      </c>
      <c r="O9" s="91">
        <f t="shared" ref="O9:O30" si="2">IF((I9&gt;H9),I9,H9)</f>
        <v>17</v>
      </c>
      <c r="P9" s="91">
        <f t="shared" ref="P9:P30" si="3">IF((J9&gt;K9),K9,J9)</f>
        <v>14</v>
      </c>
      <c r="Q9" s="91">
        <f t="shared" ref="Q9:Q30" si="4">IF((K9&gt;J9),K9,J9)</f>
        <v>16</v>
      </c>
      <c r="R9" s="91">
        <f t="shared" ref="R9:R30" si="5">IF((L9&gt;M9),M9,L9)</f>
        <v>16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16</v>
      </c>
      <c r="V9" s="93">
        <f>(IF((OR((P9="&gt;18"),(Q9="&gt;18"))),2,(IF(((T9+U9)=(P9+Q9)),0,1))))</f>
        <v>1</v>
      </c>
      <c r="W9" s="94">
        <f>IF(OR(($T9=$U9),($U9=0)),$T9,(IF(AND(($T9=0),($U9&lt;&gt;0)),$U9,$AJ$7)))</f>
        <v>16</v>
      </c>
      <c r="X9" s="116">
        <f>(ROUND( (IF((AND((T9=0),(U9=0))),D9,(IF((V9=2),S9,(IF((W9&lt;&gt;$AJ$7),(P9+Q9-W9),P9)))))),1))</f>
        <v>14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9.3156000000000003E-2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16</v>
      </c>
      <c r="BK9" s="54">
        <f t="shared" ref="BK9:BK30" si="19">(IF((OR(($W9=($BF9-1)),($W9=($BG9+1)))),(CONCATENATE((BI9),(BJ9))),$W9))</f>
        <v>16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16</v>
      </c>
      <c r="C10" s="259">
        <f>'PD0101'!C10</f>
        <v>17.3</v>
      </c>
      <c r="D10" s="259">
        <f>'PD0101'!F10</f>
        <v>15</v>
      </c>
      <c r="E10" s="259">
        <f>'PD0101'!G10</f>
        <v>17.3</v>
      </c>
      <c r="F10" s="259">
        <f>'PD0101'!D10</f>
        <v>16</v>
      </c>
      <c r="G10" s="259">
        <f>'PD0101'!E10</f>
        <v>17.3</v>
      </c>
      <c r="H10" s="90">
        <f t="shared" si="0"/>
        <v>16</v>
      </c>
      <c r="I10" s="90">
        <f t="shared" si="0"/>
        <v>17.3</v>
      </c>
      <c r="J10" s="90">
        <f t="shared" si="0"/>
        <v>15</v>
      </c>
      <c r="K10" s="90">
        <f t="shared" si="0"/>
        <v>17.3</v>
      </c>
      <c r="L10" s="90">
        <f t="shared" si="0"/>
        <v>16</v>
      </c>
      <c r="M10" s="90">
        <f t="shared" si="0"/>
        <v>17.3</v>
      </c>
      <c r="N10" s="91">
        <f t="shared" si="1"/>
        <v>16</v>
      </c>
      <c r="O10" s="91">
        <f t="shared" si="2"/>
        <v>17.3</v>
      </c>
      <c r="P10" s="91">
        <f t="shared" si="3"/>
        <v>15</v>
      </c>
      <c r="Q10" s="91">
        <f t="shared" si="4"/>
        <v>17.3</v>
      </c>
      <c r="R10" s="91">
        <f t="shared" si="5"/>
        <v>16</v>
      </c>
      <c r="S10" s="91">
        <f t="shared" si="6"/>
        <v>17.3</v>
      </c>
      <c r="T10" s="92">
        <f t="shared" si="7"/>
        <v>0</v>
      </c>
      <c r="U10" s="92">
        <f t="shared" si="8"/>
        <v>17.3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17.3</v>
      </c>
      <c r="X10" s="116">
        <f>(ROUND( (IF((AND((T10=0),(U10=0))),D10,(IF((V10=2),S10,(IF((W10&lt;&gt;$AJ$7),(P10+Q10-W10),P10)))))),1))</f>
        <v>15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0.15870000000000001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17.3</v>
      </c>
      <c r="BK10" s="54">
        <f t="shared" si="19"/>
        <v>17.3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11</v>
      </c>
      <c r="C11" s="259">
        <f>'PD0101'!C11</f>
        <v>11.3</v>
      </c>
      <c r="D11" s="259">
        <f>'PD0101'!F11</f>
        <v>11.3</v>
      </c>
      <c r="E11" s="259">
        <f>'PD0101'!G11</f>
        <v>15</v>
      </c>
      <c r="F11" s="259">
        <f>'PD0101'!D11</f>
        <v>11.3</v>
      </c>
      <c r="G11" s="259">
        <f>'PD0101'!E11</f>
        <v>11.3</v>
      </c>
      <c r="H11" s="90">
        <f t="shared" si="0"/>
        <v>11</v>
      </c>
      <c r="I11" s="90">
        <f t="shared" si="0"/>
        <v>11.3</v>
      </c>
      <c r="J11" s="90">
        <f t="shared" si="0"/>
        <v>11.3</v>
      </c>
      <c r="K11" s="90">
        <f t="shared" si="0"/>
        <v>15</v>
      </c>
      <c r="L11" s="90">
        <f t="shared" si="0"/>
        <v>11.3</v>
      </c>
      <c r="M11" s="90">
        <f t="shared" si="0"/>
        <v>11.3</v>
      </c>
      <c r="N11" s="91">
        <f t="shared" si="1"/>
        <v>11</v>
      </c>
      <c r="O11" s="91">
        <f t="shared" si="2"/>
        <v>11.3</v>
      </c>
      <c r="P11" s="91">
        <f t="shared" si="3"/>
        <v>11.3</v>
      </c>
      <c r="Q11" s="91">
        <f t="shared" si="4"/>
        <v>15</v>
      </c>
      <c r="R11" s="91">
        <f t="shared" si="5"/>
        <v>11.3</v>
      </c>
      <c r="S11" s="91">
        <f t="shared" si="6"/>
        <v>11.3</v>
      </c>
      <c r="T11" s="92">
        <f t="shared" si="7"/>
        <v>11.3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11.3</v>
      </c>
      <c r="X11" s="116">
        <f>(ROUND( (IF((AND((T11=0),(U11=0))),D11,(IF((V11=2),S11,(IF((W11&lt;&gt;$AJ$7),(P11+Q11-W11),P11)))))),1))</f>
        <v>15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2.69E-2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11.3</v>
      </c>
      <c r="BK11" s="54">
        <f t="shared" si="19"/>
        <v>11.3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14</v>
      </c>
      <c r="C12" s="261">
        <f>'PD0101'!C12</f>
        <v>14</v>
      </c>
      <c r="D12" s="261">
        <f>'PD0101'!F12</f>
        <v>13</v>
      </c>
      <c r="E12" s="261">
        <f>'PD0101'!G12</f>
        <v>14</v>
      </c>
      <c r="F12" s="261">
        <f>'PD0101'!D12</f>
        <v>14</v>
      </c>
      <c r="G12" s="261">
        <f>'PD0101'!E12</f>
        <v>14</v>
      </c>
      <c r="H12" s="112">
        <f t="shared" si="0"/>
        <v>14</v>
      </c>
      <c r="I12" s="112">
        <f t="shared" si="0"/>
        <v>14</v>
      </c>
      <c r="J12" s="112">
        <f t="shared" si="0"/>
        <v>13</v>
      </c>
      <c r="K12" s="112">
        <f t="shared" si="0"/>
        <v>14</v>
      </c>
      <c r="L12" s="112">
        <f t="shared" si="0"/>
        <v>14</v>
      </c>
      <c r="M12" s="112">
        <f t="shared" si="0"/>
        <v>14</v>
      </c>
      <c r="N12" s="113">
        <f t="shared" si="1"/>
        <v>14</v>
      </c>
      <c r="O12" s="113">
        <f t="shared" si="2"/>
        <v>14</v>
      </c>
      <c r="P12" s="113">
        <f t="shared" si="3"/>
        <v>13</v>
      </c>
      <c r="Q12" s="113">
        <f t="shared" si="4"/>
        <v>14</v>
      </c>
      <c r="R12" s="113">
        <f t="shared" si="5"/>
        <v>14</v>
      </c>
      <c r="S12" s="113">
        <f t="shared" si="6"/>
        <v>14</v>
      </c>
      <c r="T12" s="114">
        <f t="shared" si="7"/>
        <v>0</v>
      </c>
      <c r="U12" s="114">
        <f t="shared" si="8"/>
        <v>14</v>
      </c>
      <c r="V12" s="115">
        <f>(IF((OR((P12="&gt;21"),(Q12="&gt;21"))),2,(IF(((T12+U12)=(P12+Q12)),0,1))))</f>
        <v>1</v>
      </c>
      <c r="W12" s="114">
        <f t="shared" si="25"/>
        <v>14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11</v>
      </c>
      <c r="C13" s="259">
        <f>'PD0101'!C13</f>
        <v>11</v>
      </c>
      <c r="D13" s="259">
        <f>'PD0101'!F13</f>
        <v>12</v>
      </c>
      <c r="E13" s="259">
        <f>'PD0101'!G13</f>
        <v>12</v>
      </c>
      <c r="F13" s="259">
        <f>'PD0101'!D13</f>
        <v>11</v>
      </c>
      <c r="G13" s="259">
        <f>'PD0101'!E13</f>
        <v>12</v>
      </c>
      <c r="H13" s="90">
        <f t="shared" si="0"/>
        <v>11</v>
      </c>
      <c r="I13" s="90">
        <f t="shared" si="0"/>
        <v>11</v>
      </c>
      <c r="J13" s="90">
        <f t="shared" si="0"/>
        <v>12</v>
      </c>
      <c r="K13" s="90">
        <f t="shared" si="0"/>
        <v>12</v>
      </c>
      <c r="L13" s="90">
        <f t="shared" si="0"/>
        <v>11</v>
      </c>
      <c r="M13" s="90">
        <f t="shared" si="0"/>
        <v>12</v>
      </c>
      <c r="N13" s="91">
        <f t="shared" si="1"/>
        <v>11</v>
      </c>
      <c r="O13" s="91">
        <f t="shared" si="2"/>
        <v>11</v>
      </c>
      <c r="P13" s="91">
        <f t="shared" si="3"/>
        <v>12</v>
      </c>
      <c r="Q13" s="91">
        <f t="shared" si="4"/>
        <v>12</v>
      </c>
      <c r="R13" s="91">
        <f t="shared" si="5"/>
        <v>11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12</v>
      </c>
      <c r="Y13" s="92">
        <f t="shared" ref="Y13:Y23" si="31">(IF((AND((T13=0),(U13=0))),E13,(IF((W13&lt;&gt;$AJ$7),0,Q13))))</f>
        <v>12</v>
      </c>
      <c r="Z13" s="95">
        <f t="shared" si="9"/>
        <v>12</v>
      </c>
      <c r="AA13" s="96">
        <f t="shared" si="10"/>
        <v>12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0.29337999999999997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0.58675999999999995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0.85213715999727324</v>
      </c>
      <c r="AI13" s="100">
        <f t="shared" si="11"/>
        <v>0.46008318303949358</v>
      </c>
      <c r="AJ13" s="101" t="s">
        <v>163</v>
      </c>
      <c r="AK13" s="262">
        <f t="shared" si="12"/>
        <v>0.17076729760000003</v>
      </c>
      <c r="AL13" s="101"/>
      <c r="AM13" s="103" t="str">
        <f t="shared" si="13"/>
        <v>1 / 2F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0.85213715999727324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12</v>
      </c>
      <c r="BN13" s="57">
        <f t="shared" si="22"/>
        <v>12</v>
      </c>
      <c r="BO13" s="37" t="str">
        <f t="shared" si="28"/>
        <v/>
      </c>
      <c r="BP13" s="37">
        <f t="shared" si="23"/>
        <v>12</v>
      </c>
      <c r="BQ13" s="37">
        <f t="shared" si="24"/>
        <v>12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13</v>
      </c>
      <c r="C14" s="259">
        <f>'PD0101'!C14</f>
        <v>16</v>
      </c>
      <c r="D14" s="259">
        <f>'PD0101'!F14</f>
        <v>11</v>
      </c>
      <c r="E14" s="259">
        <f>'PD0101'!G14</f>
        <v>11</v>
      </c>
      <c r="F14" s="259">
        <f>'PD0101'!D14</f>
        <v>11</v>
      </c>
      <c r="G14" s="259">
        <f>'PD0101'!E14</f>
        <v>16</v>
      </c>
      <c r="H14" s="90">
        <f t="shared" si="0"/>
        <v>13</v>
      </c>
      <c r="I14" s="90">
        <f t="shared" si="0"/>
        <v>16</v>
      </c>
      <c r="J14" s="90">
        <f t="shared" si="0"/>
        <v>11</v>
      </c>
      <c r="K14" s="90">
        <f t="shared" si="0"/>
        <v>11</v>
      </c>
      <c r="L14" s="90">
        <f t="shared" si="0"/>
        <v>11</v>
      </c>
      <c r="M14" s="90">
        <f t="shared" si="0"/>
        <v>16</v>
      </c>
      <c r="N14" s="91">
        <f t="shared" si="1"/>
        <v>13</v>
      </c>
      <c r="O14" s="91">
        <f t="shared" si="2"/>
        <v>16</v>
      </c>
      <c r="P14" s="91">
        <f t="shared" si="3"/>
        <v>11</v>
      </c>
      <c r="Q14" s="91">
        <f t="shared" si="4"/>
        <v>11</v>
      </c>
      <c r="R14" s="91">
        <f t="shared" si="5"/>
        <v>11</v>
      </c>
      <c r="S14" s="91">
        <f t="shared" si="6"/>
        <v>16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11</v>
      </c>
      <c r="Y14" s="92">
        <f t="shared" si="31"/>
        <v>11</v>
      </c>
      <c r="Z14" s="95">
        <f t="shared" si="9"/>
        <v>11</v>
      </c>
      <c r="AA14" s="96">
        <f t="shared" si="10"/>
        <v>11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11</v>
      </c>
      <c r="BN14" s="57">
        <f t="shared" si="22"/>
        <v>11</v>
      </c>
      <c r="BO14" s="37" t="str">
        <f t="shared" si="28"/>
        <v/>
      </c>
      <c r="BP14" s="37">
        <f t="shared" si="23"/>
        <v>11</v>
      </c>
      <c r="BQ14" s="37">
        <f t="shared" si="24"/>
        <v>11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10</v>
      </c>
      <c r="C15" s="259">
        <f>'PD0101'!C15</f>
        <v>11</v>
      </c>
      <c r="D15" s="259">
        <f>'PD0101'!F15</f>
        <v>11</v>
      </c>
      <c r="E15" s="259">
        <f>'PD0101'!G15</f>
        <v>12</v>
      </c>
      <c r="F15" s="259">
        <f>'PD0101'!D15</f>
        <v>11</v>
      </c>
      <c r="G15" s="259">
        <f>'PD0101'!E15</f>
        <v>12</v>
      </c>
      <c r="H15" s="90">
        <f t="shared" si="0"/>
        <v>10</v>
      </c>
      <c r="I15" s="90">
        <f t="shared" si="0"/>
        <v>11</v>
      </c>
      <c r="J15" s="90">
        <f t="shared" si="0"/>
        <v>11</v>
      </c>
      <c r="K15" s="90">
        <f t="shared" si="0"/>
        <v>12</v>
      </c>
      <c r="L15" s="90">
        <f t="shared" si="0"/>
        <v>11</v>
      </c>
      <c r="M15" s="90">
        <f t="shared" si="0"/>
        <v>12</v>
      </c>
      <c r="N15" s="91">
        <f t="shared" si="1"/>
        <v>10</v>
      </c>
      <c r="O15" s="91">
        <f t="shared" si="2"/>
        <v>11</v>
      </c>
      <c r="P15" s="91">
        <f t="shared" si="3"/>
        <v>11</v>
      </c>
      <c r="Q15" s="91">
        <f t="shared" si="4"/>
        <v>12</v>
      </c>
      <c r="R15" s="91">
        <f t="shared" si="5"/>
        <v>11</v>
      </c>
      <c r="S15" s="91">
        <f t="shared" si="6"/>
        <v>12</v>
      </c>
      <c r="T15" s="92">
        <f t="shared" si="7"/>
        <v>11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11</v>
      </c>
      <c r="X15" s="116">
        <f t="shared" si="30"/>
        <v>12</v>
      </c>
      <c r="Y15" s="92">
        <f t="shared" si="31"/>
        <v>0</v>
      </c>
      <c r="Z15" s="95">
        <f t="shared" si="9"/>
        <v>12</v>
      </c>
      <c r="AA15" s="96">
        <f t="shared" si="10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0.25604300000000002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1.952796991130396</v>
      </c>
      <c r="AI15" s="100">
        <f t="shared" si="11"/>
        <v>0.66133804558735421</v>
      </c>
      <c r="AJ15" s="101"/>
      <c r="AK15" s="102">
        <f t="shared" si="12"/>
        <v>0.55347201784900002</v>
      </c>
      <c r="AL15" s="101"/>
      <c r="AM15" s="103" t="str">
        <f t="shared" si="13"/>
        <v>1 / 2F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1.952796991130396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11</v>
      </c>
      <c r="BK15" s="54">
        <f t="shared" si="19"/>
        <v>11</v>
      </c>
      <c r="BL15" s="57" t="str">
        <f t="shared" si="20"/>
        <v/>
      </c>
      <c r="BM15" s="57">
        <f t="shared" si="21"/>
        <v>12</v>
      </c>
      <c r="BN15" s="57">
        <f t="shared" si="22"/>
        <v>12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12</v>
      </c>
      <c r="C16" s="259">
        <f>'PD0101'!C16</f>
        <v>14</v>
      </c>
      <c r="D16" s="259">
        <f>'PD0101'!F16</f>
        <v>10</v>
      </c>
      <c r="E16" s="259">
        <f>'PD0101'!G16</f>
        <v>18</v>
      </c>
      <c r="F16" s="259">
        <f>'PD0101'!D16</f>
        <v>10</v>
      </c>
      <c r="G16" s="259">
        <f>'PD0101'!E16</f>
        <v>12</v>
      </c>
      <c r="H16" s="90">
        <f t="shared" si="0"/>
        <v>12</v>
      </c>
      <c r="I16" s="90">
        <f t="shared" si="0"/>
        <v>14</v>
      </c>
      <c r="J16" s="90">
        <f t="shared" si="0"/>
        <v>10</v>
      </c>
      <c r="K16" s="90">
        <f t="shared" si="0"/>
        <v>18</v>
      </c>
      <c r="L16" s="90">
        <f t="shared" si="0"/>
        <v>10</v>
      </c>
      <c r="M16" s="90">
        <f t="shared" si="0"/>
        <v>12</v>
      </c>
      <c r="N16" s="91">
        <f t="shared" si="1"/>
        <v>12</v>
      </c>
      <c r="O16" s="91">
        <f t="shared" si="2"/>
        <v>14</v>
      </c>
      <c r="P16" s="91">
        <f t="shared" si="3"/>
        <v>10</v>
      </c>
      <c r="Q16" s="91">
        <f t="shared" si="4"/>
        <v>18</v>
      </c>
      <c r="R16" s="91">
        <f t="shared" si="5"/>
        <v>10</v>
      </c>
      <c r="S16" s="91">
        <f t="shared" si="6"/>
        <v>12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10</v>
      </c>
      <c r="Y16" s="92">
        <f t="shared" si="31"/>
        <v>18</v>
      </c>
      <c r="Z16" s="95">
        <f t="shared" si="9"/>
        <v>10</v>
      </c>
      <c r="AA16" s="96">
        <f t="shared" si="10"/>
        <v>0</v>
      </c>
      <c r="AB16" s="97">
        <f>IF(X16=0,0,VLOOKUP(X16,FREQUENCIAS!$1:$1048576,(IF(($A16=FREQUENCIAS!$I$1),9,"ERRO")),FREQUENCIAS!$1:$1048576))</f>
        <v>9.8840000000000004E-3</v>
      </c>
      <c r="AC16" s="97">
        <f>IF(Y16=0,0,VLOOKUP(Y16,FREQUENCIAS!$1:$1048576,(IF(($A16=FREQUENCIAS!$I$1),9,"ERRO")),FREQUENCIAS!$1:$1048576))</f>
        <v>7.7560000000000004E-2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8.7444000000000008E-2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5.7179451992132106</v>
      </c>
      <c r="AI16" s="100">
        <f t="shared" si="11"/>
        <v>0.85114496020046171</v>
      </c>
      <c r="AJ16" s="101"/>
      <c r="AK16" s="102">
        <f t="shared" si="12"/>
        <v>0.83275845313600005</v>
      </c>
      <c r="AL16" s="101"/>
      <c r="AM16" s="103" t="str">
        <f t="shared" si="13"/>
        <v>1 / 2F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5.7179451992132106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10</v>
      </c>
      <c r="BN16" s="57">
        <f t="shared" si="22"/>
        <v>10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17</v>
      </c>
      <c r="C17" s="259">
        <f>'PD0101'!C17</f>
        <v>17</v>
      </c>
      <c r="D17" s="259">
        <f>'PD0101'!F17</f>
        <v>20</v>
      </c>
      <c r="E17" s="259">
        <f>'PD0101'!G17</f>
        <v>25</v>
      </c>
      <c r="F17" s="259">
        <f>'PD0101'!D17</f>
        <v>17</v>
      </c>
      <c r="G17" s="259">
        <f>'PD0101'!E17</f>
        <v>20</v>
      </c>
      <c r="H17" s="90">
        <f t="shared" si="0"/>
        <v>17</v>
      </c>
      <c r="I17" s="90">
        <f t="shared" si="0"/>
        <v>17</v>
      </c>
      <c r="J17" s="90">
        <f t="shared" si="0"/>
        <v>20</v>
      </c>
      <c r="K17" s="90">
        <f t="shared" si="0"/>
        <v>25</v>
      </c>
      <c r="L17" s="90">
        <f t="shared" si="0"/>
        <v>17</v>
      </c>
      <c r="M17" s="90">
        <f t="shared" si="0"/>
        <v>20</v>
      </c>
      <c r="N17" s="91">
        <f t="shared" si="1"/>
        <v>17</v>
      </c>
      <c r="O17" s="91">
        <f t="shared" si="2"/>
        <v>17</v>
      </c>
      <c r="P17" s="91">
        <f t="shared" si="3"/>
        <v>20</v>
      </c>
      <c r="Q17" s="91">
        <f t="shared" si="4"/>
        <v>25</v>
      </c>
      <c r="R17" s="91">
        <f t="shared" si="5"/>
        <v>17</v>
      </c>
      <c r="S17" s="91">
        <f t="shared" si="6"/>
        <v>20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20</v>
      </c>
      <c r="Y17" s="92">
        <f t="shared" si="31"/>
        <v>25</v>
      </c>
      <c r="Z17" s="95">
        <f t="shared" si="9"/>
        <v>20</v>
      </c>
      <c r="AA17" s="96">
        <f t="shared" si="10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5.5300000000000002E-2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0.192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2.6041666666666665</v>
      </c>
      <c r="AI17" s="100">
        <f t="shared" si="11"/>
        <v>0.7225433526011561</v>
      </c>
      <c r="AJ17" s="101" t="s">
        <v>173</v>
      </c>
      <c r="AK17" s="102">
        <f t="shared" si="12"/>
        <v>0.65286400000000011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2.6041666666666665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20</v>
      </c>
      <c r="BN17" s="57">
        <f t="shared" si="22"/>
        <v>20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10</v>
      </c>
      <c r="C18" s="259">
        <f>'PD0101'!C18</f>
        <v>11</v>
      </c>
      <c r="D18" s="259">
        <f>'PD0101'!F18</f>
        <v>11</v>
      </c>
      <c r="E18" s="259">
        <f>'PD0101'!G18</f>
        <v>12</v>
      </c>
      <c r="F18" s="259">
        <f>'PD0101'!D18</f>
        <v>10</v>
      </c>
      <c r="G18" s="259">
        <f>'PD0101'!E18</f>
        <v>12</v>
      </c>
      <c r="H18" s="90">
        <f t="shared" si="0"/>
        <v>10</v>
      </c>
      <c r="I18" s="90">
        <f t="shared" si="0"/>
        <v>11</v>
      </c>
      <c r="J18" s="90">
        <f t="shared" si="0"/>
        <v>11</v>
      </c>
      <c r="K18" s="90">
        <f t="shared" si="0"/>
        <v>12</v>
      </c>
      <c r="L18" s="90">
        <f t="shared" si="0"/>
        <v>10</v>
      </c>
      <c r="M18" s="90">
        <f t="shared" si="0"/>
        <v>12</v>
      </c>
      <c r="N18" s="91">
        <f t="shared" si="1"/>
        <v>10</v>
      </c>
      <c r="O18" s="91">
        <f t="shared" si="2"/>
        <v>11</v>
      </c>
      <c r="P18" s="91">
        <f t="shared" si="3"/>
        <v>11</v>
      </c>
      <c r="Q18" s="91">
        <f t="shared" si="4"/>
        <v>12</v>
      </c>
      <c r="R18" s="91">
        <f t="shared" si="5"/>
        <v>10</v>
      </c>
      <c r="S18" s="91">
        <f t="shared" si="6"/>
        <v>12</v>
      </c>
      <c r="T18" s="92">
        <f t="shared" si="7"/>
        <v>11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11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1.6531603466346614</v>
      </c>
      <c r="AI18" s="100">
        <f t="shared" si="11"/>
        <v>0.62309100493363456</v>
      </c>
      <c r="AJ18" s="101"/>
      <c r="AK18" s="102">
        <f t="shared" si="12"/>
        <v>0.48657460740099995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1.6531603466346614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11</v>
      </c>
      <c r="BK18" s="54">
        <f t="shared" si="19"/>
        <v>11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10</v>
      </c>
      <c r="C19" s="259">
        <f>'PD0101'!C19</f>
        <v>11</v>
      </c>
      <c r="D19" s="259">
        <f>'PD0101'!F19</f>
        <v>12</v>
      </c>
      <c r="E19" s="259">
        <f>'PD0101'!G19</f>
        <v>12</v>
      </c>
      <c r="F19" s="259">
        <f>'PD0101'!D19</f>
        <v>10</v>
      </c>
      <c r="G19" s="259">
        <f>'PD0101'!E19</f>
        <v>12</v>
      </c>
      <c r="H19" s="90">
        <f t="shared" si="0"/>
        <v>10</v>
      </c>
      <c r="I19" s="90">
        <f t="shared" si="0"/>
        <v>11</v>
      </c>
      <c r="J19" s="90">
        <f t="shared" si="0"/>
        <v>12</v>
      </c>
      <c r="K19" s="90">
        <f t="shared" si="0"/>
        <v>12</v>
      </c>
      <c r="L19" s="90">
        <f t="shared" si="0"/>
        <v>10</v>
      </c>
      <c r="M19" s="90">
        <f t="shared" si="0"/>
        <v>12</v>
      </c>
      <c r="N19" s="91">
        <f t="shared" si="1"/>
        <v>10</v>
      </c>
      <c r="O19" s="91">
        <f t="shared" si="2"/>
        <v>11</v>
      </c>
      <c r="P19" s="91">
        <f t="shared" si="3"/>
        <v>12</v>
      </c>
      <c r="Q19" s="91">
        <f t="shared" si="4"/>
        <v>12</v>
      </c>
      <c r="R19" s="91">
        <f t="shared" si="5"/>
        <v>10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12</v>
      </c>
      <c r="Y19" s="92">
        <f t="shared" si="31"/>
        <v>12</v>
      </c>
      <c r="Z19" s="95">
        <f t="shared" si="9"/>
        <v>12</v>
      </c>
      <c r="AA19" s="96">
        <f t="shared" si="10"/>
        <v>12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12</v>
      </c>
      <c r="BN19" s="57">
        <f t="shared" si="22"/>
        <v>12</v>
      </c>
      <c r="BO19" s="37" t="str">
        <f t="shared" si="28"/>
        <v/>
      </c>
      <c r="BP19" s="37">
        <f t="shared" si="23"/>
        <v>12</v>
      </c>
      <c r="BQ19" s="37">
        <f t="shared" si="24"/>
        <v>12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6</v>
      </c>
      <c r="C20" s="259">
        <f>'PD0101'!C20</f>
        <v>7</v>
      </c>
      <c r="D20" s="259">
        <f>'PD0101'!F20</f>
        <v>6</v>
      </c>
      <c r="E20" s="259">
        <f>'PD0101'!G20</f>
        <v>9.3000000000000007</v>
      </c>
      <c r="F20" s="259">
        <f>'PD0101'!D20</f>
        <v>6</v>
      </c>
      <c r="G20" s="259">
        <f>'PD0101'!E20</f>
        <v>6</v>
      </c>
      <c r="H20" s="90">
        <f t="shared" si="0"/>
        <v>6</v>
      </c>
      <c r="I20" s="90">
        <f t="shared" si="0"/>
        <v>7</v>
      </c>
      <c r="J20" s="90">
        <f t="shared" si="0"/>
        <v>6</v>
      </c>
      <c r="K20" s="90">
        <f t="shared" si="0"/>
        <v>9.3000000000000007</v>
      </c>
      <c r="L20" s="90">
        <f t="shared" si="0"/>
        <v>6</v>
      </c>
      <c r="M20" s="90">
        <f t="shared" si="0"/>
        <v>6</v>
      </c>
      <c r="N20" s="91">
        <f t="shared" si="1"/>
        <v>6</v>
      </c>
      <c r="O20" s="91">
        <f t="shared" si="2"/>
        <v>7</v>
      </c>
      <c r="P20" s="91">
        <f t="shared" si="3"/>
        <v>6</v>
      </c>
      <c r="Q20" s="91">
        <f t="shared" si="4"/>
        <v>9.3000000000000007</v>
      </c>
      <c r="R20" s="91">
        <f t="shared" si="5"/>
        <v>6</v>
      </c>
      <c r="S20" s="91">
        <f t="shared" si="6"/>
        <v>6</v>
      </c>
      <c r="T20" s="92">
        <f t="shared" si="7"/>
        <v>6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6</v>
      </c>
      <c r="X20" s="116">
        <f t="shared" si="30"/>
        <v>9.3000000000000007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0.226159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6</v>
      </c>
      <c r="BK20" s="54">
        <f t="shared" si="19"/>
        <v>6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17</v>
      </c>
      <c r="C21" s="259">
        <f>'PD0101'!C21</f>
        <v>18</v>
      </c>
      <c r="D21" s="259">
        <f>'PD0101'!F21</f>
        <v>14</v>
      </c>
      <c r="E21" s="259">
        <f>'PD0101'!G21</f>
        <v>17</v>
      </c>
      <c r="F21" s="259">
        <f>'PD0101'!D21</f>
        <v>17</v>
      </c>
      <c r="G21" s="259">
        <f>'PD0101'!E21</f>
        <v>17</v>
      </c>
      <c r="H21" s="90">
        <f t="shared" si="0"/>
        <v>17</v>
      </c>
      <c r="I21" s="90">
        <f t="shared" si="0"/>
        <v>18</v>
      </c>
      <c r="J21" s="90">
        <f t="shared" si="0"/>
        <v>14</v>
      </c>
      <c r="K21" s="90">
        <f t="shared" si="0"/>
        <v>17</v>
      </c>
      <c r="L21" s="90">
        <f t="shared" si="0"/>
        <v>17</v>
      </c>
      <c r="M21" s="90">
        <f t="shared" si="0"/>
        <v>17</v>
      </c>
      <c r="N21" s="91">
        <f t="shared" si="1"/>
        <v>17</v>
      </c>
      <c r="O21" s="91">
        <f t="shared" si="2"/>
        <v>18</v>
      </c>
      <c r="P21" s="91">
        <f t="shared" si="3"/>
        <v>14</v>
      </c>
      <c r="Q21" s="91">
        <f t="shared" si="4"/>
        <v>17</v>
      </c>
      <c r="R21" s="91">
        <f t="shared" si="5"/>
        <v>17</v>
      </c>
      <c r="S21" s="91">
        <f t="shared" si="6"/>
        <v>17</v>
      </c>
      <c r="T21" s="92">
        <f t="shared" si="7"/>
        <v>0</v>
      </c>
      <c r="U21" s="92">
        <f t="shared" si="8"/>
        <v>17</v>
      </c>
      <c r="V21" s="93">
        <f>(IF((OR((P21="&gt;24"),(Q21="&gt;24"))),2,(IF(((T21+U21)=(P21+Q21)),0,1))))</f>
        <v>1</v>
      </c>
      <c r="W21" s="94">
        <f t="shared" si="25"/>
        <v>17</v>
      </c>
      <c r="X21" s="116">
        <f t="shared" si="30"/>
        <v>14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8.4447999999999995E-2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28</v>
      </c>
      <c r="C22" s="259">
        <f>'PD0101'!C22</f>
        <v>29</v>
      </c>
      <c r="D22" s="259">
        <f>'PD0101'!F22</f>
        <v>29</v>
      </c>
      <c r="E22" s="259">
        <f>'PD0101'!G22</f>
        <v>32.200000000000003</v>
      </c>
      <c r="F22" s="259">
        <f>'PD0101'!D22</f>
        <v>29</v>
      </c>
      <c r="G22" s="259">
        <f>'PD0101'!E22</f>
        <v>32.200000000000003</v>
      </c>
      <c r="H22" s="90">
        <f t="shared" si="0"/>
        <v>28</v>
      </c>
      <c r="I22" s="90">
        <f t="shared" si="0"/>
        <v>29</v>
      </c>
      <c r="J22" s="90">
        <f t="shared" si="0"/>
        <v>29</v>
      </c>
      <c r="K22" s="90">
        <f t="shared" si="0"/>
        <v>32.200000000000003</v>
      </c>
      <c r="L22" s="90">
        <f t="shared" si="0"/>
        <v>29</v>
      </c>
      <c r="M22" s="90">
        <f t="shared" si="0"/>
        <v>32.200000000000003</v>
      </c>
      <c r="N22" s="91">
        <f t="shared" si="1"/>
        <v>28</v>
      </c>
      <c r="O22" s="91">
        <f t="shared" si="2"/>
        <v>29</v>
      </c>
      <c r="P22" s="91">
        <f t="shared" si="3"/>
        <v>29</v>
      </c>
      <c r="Q22" s="91">
        <f t="shared" si="4"/>
        <v>32.200000000000003</v>
      </c>
      <c r="R22" s="91">
        <f t="shared" si="5"/>
        <v>29</v>
      </c>
      <c r="S22" s="91">
        <f t="shared" si="6"/>
        <v>32.200000000000003</v>
      </c>
      <c r="T22" s="92">
        <f t="shared" si="7"/>
        <v>29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29</v>
      </c>
      <c r="X22" s="116">
        <f t="shared" si="30"/>
        <v>32.200000000000003</v>
      </c>
      <c r="Y22" s="92">
        <f t="shared" si="31"/>
        <v>0</v>
      </c>
      <c r="Z22" s="95">
        <f t="shared" si="9"/>
        <v>32.200000000000003</v>
      </c>
      <c r="AA22" s="96">
        <f t="shared" si="10"/>
        <v>0</v>
      </c>
      <c r="AB22" s="97">
        <f>IF(X22=0,0,VLOOKUP(X22,FREQUENCIAS!$1:$1048576,(IF(($A22=FREQUENCIAS!$O$1),15,"ERRO")),FREQUENCIAS!$1:$1048576))</f>
        <v>7.5126999999999999E-2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7.5126999999999999E-2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6.6553968613148404</v>
      </c>
      <c r="AI22" s="100">
        <f t="shared" si="11"/>
        <v>0.86937319931076096</v>
      </c>
      <c r="AJ22" s="101"/>
      <c r="AK22" s="102">
        <f t="shared" si="12"/>
        <v>0.85539006612900015</v>
      </c>
      <c r="AL22" s="101"/>
      <c r="AM22" s="103" t="str">
        <f t="shared" si="13"/>
        <v>1 / 2F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6.6553968613148404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29</v>
      </c>
      <c r="BK22" s="54">
        <f t="shared" si="19"/>
        <v>29</v>
      </c>
      <c r="BL22" s="57" t="str">
        <f t="shared" si="20"/>
        <v/>
      </c>
      <c r="BM22" s="57">
        <f t="shared" si="21"/>
        <v>32.200000000000003</v>
      </c>
      <c r="BN22" s="57">
        <f t="shared" si="22"/>
        <v>32.200000000000003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11</v>
      </c>
      <c r="C23" s="259">
        <f>'PD0101'!C23</f>
        <v>11</v>
      </c>
      <c r="D23" s="259">
        <f>'PD0101'!F23</f>
        <v>9</v>
      </c>
      <c r="E23" s="259">
        <f>'PD0101'!G23</f>
        <v>11</v>
      </c>
      <c r="F23" s="259">
        <f>'PD0101'!D23</f>
        <v>11</v>
      </c>
      <c r="G23" s="259">
        <f>'PD0101'!E23</f>
        <v>11</v>
      </c>
      <c r="H23" s="90">
        <f t="shared" si="0"/>
        <v>11</v>
      </c>
      <c r="I23" s="90">
        <f t="shared" si="0"/>
        <v>11</v>
      </c>
      <c r="J23" s="90">
        <f t="shared" si="0"/>
        <v>9</v>
      </c>
      <c r="K23" s="90">
        <f t="shared" si="0"/>
        <v>11</v>
      </c>
      <c r="L23" s="90">
        <f t="shared" si="0"/>
        <v>11</v>
      </c>
      <c r="M23" s="90">
        <f t="shared" si="0"/>
        <v>11</v>
      </c>
      <c r="N23" s="91">
        <f t="shared" si="1"/>
        <v>11</v>
      </c>
      <c r="O23" s="91">
        <f t="shared" si="2"/>
        <v>11</v>
      </c>
      <c r="P23" s="91">
        <f t="shared" si="3"/>
        <v>9</v>
      </c>
      <c r="Q23" s="91">
        <f t="shared" si="4"/>
        <v>11</v>
      </c>
      <c r="R23" s="91">
        <f t="shared" si="5"/>
        <v>11</v>
      </c>
      <c r="S23" s="91">
        <f t="shared" si="6"/>
        <v>11</v>
      </c>
      <c r="T23" s="92">
        <f t="shared" si="7"/>
        <v>0</v>
      </c>
      <c r="U23" s="92">
        <f t="shared" si="8"/>
        <v>11</v>
      </c>
      <c r="V23" s="93">
        <f>(IF((OR((P23="&gt;32"),(Q23="&gt;32"))),2,(IF(((T23+U23)=(P23+Q23)),0,1))))</f>
        <v>1</v>
      </c>
      <c r="W23" s="94">
        <f t="shared" si="25"/>
        <v>11</v>
      </c>
      <c r="X23" s="116">
        <f t="shared" si="30"/>
        <v>9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0.12053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11</v>
      </c>
      <c r="C24" s="259">
        <f>'PD0101'!C24</f>
        <v>12</v>
      </c>
      <c r="D24" s="259">
        <f>'PD0101'!F24</f>
        <v>11</v>
      </c>
      <c r="E24" s="259">
        <f>'PD0101'!G24</f>
        <v>11</v>
      </c>
      <c r="F24" s="259">
        <f>'PD0101'!D24</f>
        <v>11</v>
      </c>
      <c r="G24" s="259">
        <f>'PD0101'!E24</f>
        <v>11</v>
      </c>
      <c r="H24" s="90">
        <f t="shared" si="0"/>
        <v>11</v>
      </c>
      <c r="I24" s="90">
        <f t="shared" si="0"/>
        <v>12</v>
      </c>
      <c r="J24" s="90">
        <f t="shared" si="0"/>
        <v>11</v>
      </c>
      <c r="K24" s="90">
        <f t="shared" si="0"/>
        <v>11</v>
      </c>
      <c r="L24" s="90">
        <f t="shared" si="0"/>
        <v>11</v>
      </c>
      <c r="M24" s="90">
        <f t="shared" si="0"/>
        <v>11</v>
      </c>
      <c r="N24" s="91">
        <f t="shared" si="1"/>
        <v>11</v>
      </c>
      <c r="O24" s="91">
        <f t="shared" si="2"/>
        <v>12</v>
      </c>
      <c r="P24" s="91">
        <f t="shared" si="3"/>
        <v>11</v>
      </c>
      <c r="Q24" s="91">
        <f t="shared" si="4"/>
        <v>11</v>
      </c>
      <c r="R24" s="91">
        <f t="shared" si="5"/>
        <v>11</v>
      </c>
      <c r="S24" s="91">
        <f t="shared" si="6"/>
        <v>11</v>
      </c>
      <c r="T24" s="92">
        <f t="shared" si="7"/>
        <v>11</v>
      </c>
      <c r="U24" s="92">
        <f t="shared" si="8"/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30"/>
        <v>11</v>
      </c>
      <c r="Y24" s="92">
        <f>(IF((AND(($T24=0),($U24=0))),$E24,(IF(($W24&lt;&gt;$AJ$7),0,$Q24))))</f>
        <v>0</v>
      </c>
      <c r="Z24" s="95">
        <f t="shared" si="9"/>
        <v>11</v>
      </c>
      <c r="AA24" s="96">
        <f t="shared" si="10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0.32906299999999999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3.0389317547095844</v>
      </c>
      <c r="AI24" s="100">
        <f t="shared" si="11"/>
        <v>0.75240978042425377</v>
      </c>
      <c r="AJ24" s="101"/>
      <c r="AK24" s="102">
        <f t="shared" si="12"/>
        <v>0.450156457969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3.0389317547095844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8</v>
      </c>
      <c r="C25" s="259">
        <f>'PD0101'!C25</f>
        <v>11</v>
      </c>
      <c r="D25" s="259">
        <f>'PD0101'!F25</f>
        <v>9</v>
      </c>
      <c r="E25" s="259">
        <f>'PD0101'!G25</f>
        <v>12</v>
      </c>
      <c r="F25" s="259">
        <f>'PD0101'!D25</f>
        <v>8</v>
      </c>
      <c r="G25" s="259">
        <f>'PD0101'!E25</f>
        <v>12</v>
      </c>
      <c r="H25" s="90">
        <f t="shared" ref="H25:M30" si="33">(IF(CODE(B25)=(60),($BF25-1),(IF(CODE(B25)=(62),($BG25+1),B25))))</f>
        <v>8</v>
      </c>
      <c r="I25" s="90">
        <f t="shared" si="33"/>
        <v>11</v>
      </c>
      <c r="J25" s="90">
        <f t="shared" si="33"/>
        <v>9</v>
      </c>
      <c r="K25" s="90">
        <f t="shared" si="33"/>
        <v>12</v>
      </c>
      <c r="L25" s="90">
        <f t="shared" si="33"/>
        <v>8</v>
      </c>
      <c r="M25" s="90">
        <f t="shared" si="33"/>
        <v>12</v>
      </c>
      <c r="N25" s="91">
        <f t="shared" si="1"/>
        <v>8</v>
      </c>
      <c r="O25" s="91">
        <f t="shared" si="2"/>
        <v>11</v>
      </c>
      <c r="P25" s="91">
        <f t="shared" si="3"/>
        <v>9</v>
      </c>
      <c r="Q25" s="91">
        <f t="shared" si="4"/>
        <v>12</v>
      </c>
      <c r="R25" s="91">
        <f t="shared" si="5"/>
        <v>8</v>
      </c>
      <c r="S25" s="91">
        <f t="shared" si="6"/>
        <v>12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9</v>
      </c>
      <c r="Y25" s="92">
        <f>(IF((AND((T25=0),(U25=0))),E25,(IF((W25&lt;&gt;$AJ$7),0,Q25))))</f>
        <v>12</v>
      </c>
      <c r="Z25" s="95">
        <f t="shared" si="9"/>
        <v>0</v>
      </c>
      <c r="AA25" s="96">
        <f t="shared" si="10"/>
        <v>12</v>
      </c>
      <c r="AB25" s="97">
        <f>IF(X25=0,0,VLOOKUP(X25,FREQUENCIAS!$1:$1048576,(IF(($A25=FREQUENCIAS!$R$1),18,"ERRO")),FREQUENCIAS!$1:$1048576))</f>
        <v>0.12411700000000001</v>
      </c>
      <c r="AC25" s="97">
        <f>IF(Y25=0,0,VLOOKUP(Y25,FREQUENCIAS!$1:$1048576,(IF(($A25=FREQUENCIAS!$R$1),18,"ERRO")),FREQUENCIAS!$1:$1048576))</f>
        <v>4.8122999999999999E-2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0.17224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2.9029261495587551</v>
      </c>
      <c r="AI25" s="100">
        <f t="shared" si="11"/>
        <v>0.74378198262525286</v>
      </c>
      <c r="AJ25" s="101"/>
      <c r="AK25" s="102">
        <f t="shared" si="12"/>
        <v>0.6851866176000001</v>
      </c>
      <c r="AL25" s="101"/>
      <c r="AM25" s="103" t="str">
        <f t="shared" si="13"/>
        <v>1 / 2F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2.9029261495587551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12</v>
      </c>
      <c r="BQ25" s="37">
        <f t="shared" si="24"/>
        <v>12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14</v>
      </c>
      <c r="C26" s="259">
        <f>'PD0101'!C26</f>
        <v>15</v>
      </c>
      <c r="D26" s="259">
        <f>'PD0101'!F26</f>
        <v>13</v>
      </c>
      <c r="E26" s="259">
        <f>'PD0101'!G26</f>
        <v>13</v>
      </c>
      <c r="F26" s="259">
        <f>'PD0101'!D26</f>
        <v>13</v>
      </c>
      <c r="G26" s="259">
        <f>'PD0101'!E26</f>
        <v>14</v>
      </c>
      <c r="H26" s="90">
        <f t="shared" si="33"/>
        <v>14</v>
      </c>
      <c r="I26" s="90">
        <f t="shared" si="33"/>
        <v>15</v>
      </c>
      <c r="J26" s="90">
        <f t="shared" si="33"/>
        <v>13</v>
      </c>
      <c r="K26" s="90">
        <f t="shared" si="33"/>
        <v>13</v>
      </c>
      <c r="L26" s="90">
        <f t="shared" si="33"/>
        <v>13</v>
      </c>
      <c r="M26" s="90">
        <f t="shared" si="33"/>
        <v>14</v>
      </c>
      <c r="N26" s="91">
        <f t="shared" si="1"/>
        <v>14</v>
      </c>
      <c r="O26" s="91">
        <f t="shared" si="2"/>
        <v>15</v>
      </c>
      <c r="P26" s="91">
        <f t="shared" si="3"/>
        <v>13</v>
      </c>
      <c r="Q26" s="91">
        <f t="shared" si="4"/>
        <v>13</v>
      </c>
      <c r="R26" s="91">
        <f t="shared" si="5"/>
        <v>13</v>
      </c>
      <c r="S26" s="91">
        <f t="shared" si="6"/>
        <v>14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0</v>
      </c>
      <c r="X26" s="116">
        <f t="shared" si="30"/>
        <v>13</v>
      </c>
      <c r="Y26" s="92">
        <f xml:space="preserve"> (IF((AND((T26=0),(U26=0))),E26,(IF((W26&lt;&gt;$AJ$7),0,Q26))))</f>
        <v>13</v>
      </c>
      <c r="Z26" s="95">
        <f t="shared" si="9"/>
        <v>13</v>
      </c>
      <c r="AA26" s="96">
        <f t="shared" si="10"/>
        <v>13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0.27866200000000002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0.55732400000000004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0.89714421054898041</v>
      </c>
      <c r="AI26" s="100">
        <f t="shared" si="11"/>
        <v>0.47289194229961673</v>
      </c>
      <c r="AJ26" s="101" t="s">
        <v>140</v>
      </c>
      <c r="AK26" s="102">
        <f t="shared" si="12"/>
        <v>0.19596204097599995</v>
      </c>
      <c r="AL26" s="101"/>
      <c r="AM26" s="103" t="str">
        <f t="shared" si="13"/>
        <v>1 / 2F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0.89714421054898041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13</v>
      </c>
      <c r="BQ26" s="37">
        <f t="shared" si="24"/>
        <v>13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22</v>
      </c>
      <c r="C27" s="259">
        <f>'PD0101'!C27</f>
        <v>24</v>
      </c>
      <c r="D27" s="259">
        <f>'PD0101'!F27</f>
        <v>17.3</v>
      </c>
      <c r="E27" s="259">
        <f>'PD0101'!G27</f>
        <v>19</v>
      </c>
      <c r="F27" s="259">
        <f>'PD0101'!D27</f>
        <v>19</v>
      </c>
      <c r="G27" s="259">
        <f>'PD0101'!E27</f>
        <v>22</v>
      </c>
      <c r="H27" s="90">
        <f t="shared" si="33"/>
        <v>22</v>
      </c>
      <c r="I27" s="90">
        <f t="shared" si="33"/>
        <v>24</v>
      </c>
      <c r="J27" s="90">
        <f t="shared" si="33"/>
        <v>17.3</v>
      </c>
      <c r="K27" s="90">
        <f t="shared" si="33"/>
        <v>19</v>
      </c>
      <c r="L27" s="90">
        <f t="shared" si="33"/>
        <v>19</v>
      </c>
      <c r="M27" s="90">
        <f t="shared" si="33"/>
        <v>22</v>
      </c>
      <c r="N27" s="91">
        <f t="shared" si="1"/>
        <v>22</v>
      </c>
      <c r="O27" s="91">
        <f t="shared" si="2"/>
        <v>24</v>
      </c>
      <c r="P27" s="91">
        <f t="shared" si="3"/>
        <v>17.3</v>
      </c>
      <c r="Q27" s="91">
        <f t="shared" si="4"/>
        <v>19</v>
      </c>
      <c r="R27" s="91">
        <f t="shared" si="5"/>
        <v>19</v>
      </c>
      <c r="S27" s="91">
        <f t="shared" si="6"/>
        <v>22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17.3</v>
      </c>
      <c r="Y27" s="92">
        <f>(IF((AND((T27=0),(U27=0))),E27,(IF((W27&lt;&gt;$AJ$7),0,Q27))))</f>
        <v>19</v>
      </c>
      <c r="Z27" s="95">
        <f t="shared" si="9"/>
        <v>0</v>
      </c>
      <c r="AA27" s="96">
        <f t="shared" si="10"/>
        <v>19</v>
      </c>
      <c r="AB27" s="97">
        <f>IF(X27=0,0,VLOOKUP(X27,FREQUENCIAS!$1:$1048576,(IF(($A27=FREQUENCIAS!$T$1),20,"ERRO")),FREQUENCIAS!$1:$1048576))</f>
        <v>1.9199999999999998E-2</v>
      </c>
      <c r="AC27" s="97">
        <f>IF(Y27=0,0,VLOOKUP(Y27,FREQUENCIAS!$1:$1048576,(IF(($A27=FREQUENCIAS!$T$1),20,"ERRO")),FREQUENCIAS!$1:$1048576))</f>
        <v>0.1699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0.18909999999999999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2.6441036488630356</v>
      </c>
      <c r="AI27" s="100">
        <f t="shared" si="11"/>
        <v>0.72558409519663325</v>
      </c>
      <c r="AJ27" s="101" t="s">
        <v>163</v>
      </c>
      <c r="AK27" s="262">
        <f t="shared" si="12"/>
        <v>0.65755880999999994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2.6441036488630356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19</v>
      </c>
      <c r="BQ27" s="37">
        <f t="shared" si="24"/>
        <v>19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12</v>
      </c>
      <c r="C28" s="259">
        <f>'PD0101'!C28</f>
        <v>15.2</v>
      </c>
      <c r="D28" s="259">
        <f>'PD0101'!F28</f>
        <v>12</v>
      </c>
      <c r="E28" s="259">
        <f>'PD0101'!G28</f>
        <v>13</v>
      </c>
      <c r="F28" s="259">
        <f>'PD0101'!D28</f>
        <v>12</v>
      </c>
      <c r="G28" s="259">
        <f>'PD0101'!E28</f>
        <v>13</v>
      </c>
      <c r="H28" s="90">
        <f t="shared" si="33"/>
        <v>12</v>
      </c>
      <c r="I28" s="90">
        <f t="shared" si="33"/>
        <v>15.2</v>
      </c>
      <c r="J28" s="90">
        <f t="shared" si="33"/>
        <v>12</v>
      </c>
      <c r="K28" s="90">
        <f t="shared" si="33"/>
        <v>13</v>
      </c>
      <c r="L28" s="90">
        <f t="shared" si="33"/>
        <v>12</v>
      </c>
      <c r="M28" s="90">
        <f t="shared" si="33"/>
        <v>13</v>
      </c>
      <c r="N28" s="91">
        <f t="shared" si="1"/>
        <v>12</v>
      </c>
      <c r="O28" s="91">
        <f t="shared" si="2"/>
        <v>15.2</v>
      </c>
      <c r="P28" s="91">
        <f t="shared" si="3"/>
        <v>12</v>
      </c>
      <c r="Q28" s="91">
        <f t="shared" si="4"/>
        <v>13</v>
      </c>
      <c r="R28" s="91">
        <f t="shared" si="5"/>
        <v>12</v>
      </c>
      <c r="S28" s="91">
        <f t="shared" si="6"/>
        <v>13</v>
      </c>
      <c r="T28" s="92">
        <f t="shared" si="7"/>
        <v>12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12</v>
      </c>
      <c r="X28" s="116">
        <f t="shared" si="30"/>
        <v>13</v>
      </c>
      <c r="Y28" s="92">
        <f>(IF((AND((T28=0),(U28=0))),E28,(IF((W28&lt;&gt;$AJ$7),0,Q28))))</f>
        <v>0</v>
      </c>
      <c r="Z28" s="95">
        <f t="shared" si="9"/>
        <v>13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0.2369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2.1105951878429718</v>
      </c>
      <c r="AI28" s="100">
        <f t="shared" si="11"/>
        <v>0.67851811643370874</v>
      </c>
      <c r="AJ28" s="101"/>
      <c r="AK28" s="102">
        <f t="shared" si="12"/>
        <v>0.58232161000000005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2.1105951878429718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12</v>
      </c>
      <c r="BK28" s="54">
        <f t="shared" si="19"/>
        <v>12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24</v>
      </c>
      <c r="C29" s="259">
        <f>'PD0101'!C29</f>
        <v>25</v>
      </c>
      <c r="D29" s="259">
        <f>'PD0101'!F29</f>
        <v>21</v>
      </c>
      <c r="E29" s="259">
        <f>'PD0101'!G29</f>
        <v>21</v>
      </c>
      <c r="F29" s="259">
        <f>'PD0101'!D29</f>
        <v>21</v>
      </c>
      <c r="G29" s="259">
        <f>'PD0101'!E29</f>
        <v>24</v>
      </c>
      <c r="H29" s="90">
        <f t="shared" si="33"/>
        <v>24</v>
      </c>
      <c r="I29" s="90">
        <f t="shared" si="33"/>
        <v>25</v>
      </c>
      <c r="J29" s="90">
        <f t="shared" si="33"/>
        <v>21</v>
      </c>
      <c r="K29" s="90">
        <f t="shared" si="33"/>
        <v>21</v>
      </c>
      <c r="L29" s="90">
        <f t="shared" si="33"/>
        <v>21</v>
      </c>
      <c r="M29" s="90">
        <f t="shared" si="33"/>
        <v>24</v>
      </c>
      <c r="N29" s="91">
        <f t="shared" si="1"/>
        <v>24</v>
      </c>
      <c r="O29" s="91">
        <f t="shared" si="2"/>
        <v>25</v>
      </c>
      <c r="P29" s="91">
        <f t="shared" si="3"/>
        <v>21</v>
      </c>
      <c r="Q29" s="91">
        <f t="shared" si="4"/>
        <v>21</v>
      </c>
      <c r="R29" s="91">
        <f t="shared" si="5"/>
        <v>21</v>
      </c>
      <c r="S29" s="91">
        <f t="shared" si="6"/>
        <v>24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21</v>
      </c>
      <c r="Y29" s="92">
        <f>(IF((AND((T29=0),(U29=0))),E29,(IF((W29&lt;&gt;$AJ$7),0,Q29))))</f>
        <v>21</v>
      </c>
      <c r="Z29" s="95">
        <f t="shared" si="9"/>
        <v>21</v>
      </c>
      <c r="AA29" s="96">
        <f t="shared" si="10"/>
        <v>21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0.15107999999999999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0.30215999999999998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1.6547524490336247</v>
      </c>
      <c r="AI29" s="100">
        <f t="shared" si="11"/>
        <v>0.62331704398125065</v>
      </c>
      <c r="AJ29" s="101"/>
      <c r="AK29" s="102">
        <f t="shared" si="12"/>
        <v>0.48698066560000003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1.6547524490336247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21</v>
      </c>
      <c r="BN29" s="57">
        <f t="shared" si="22"/>
        <v>21</v>
      </c>
      <c r="BO29" s="37" t="str">
        <f t="shared" si="28"/>
        <v/>
      </c>
      <c r="BP29" s="37">
        <f t="shared" si="23"/>
        <v>21</v>
      </c>
      <c r="BQ29" s="37">
        <f t="shared" si="24"/>
        <v>21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15</v>
      </c>
      <c r="C30" s="259">
        <f>'PD0101'!C30</f>
        <v>16</v>
      </c>
      <c r="D30" s="259">
        <f>'PD0101'!F30</f>
        <v>14</v>
      </c>
      <c r="E30" s="259">
        <f>'PD0101'!G30</f>
        <v>16</v>
      </c>
      <c r="F30" s="259">
        <f>'PD0101'!D30</f>
        <v>16</v>
      </c>
      <c r="G30" s="259">
        <f>'PD0101'!E30</f>
        <v>16</v>
      </c>
      <c r="H30" s="90">
        <f t="shared" si="33"/>
        <v>15</v>
      </c>
      <c r="I30" s="90">
        <f t="shared" si="33"/>
        <v>16</v>
      </c>
      <c r="J30" s="90">
        <f t="shared" si="33"/>
        <v>14</v>
      </c>
      <c r="K30" s="90">
        <f t="shared" si="33"/>
        <v>16</v>
      </c>
      <c r="L30" s="90">
        <f t="shared" si="33"/>
        <v>16</v>
      </c>
      <c r="M30" s="90">
        <f t="shared" si="33"/>
        <v>16</v>
      </c>
      <c r="N30" s="91">
        <f t="shared" si="1"/>
        <v>15</v>
      </c>
      <c r="O30" s="91">
        <f t="shared" si="2"/>
        <v>16</v>
      </c>
      <c r="P30" s="91">
        <f t="shared" si="3"/>
        <v>14</v>
      </c>
      <c r="Q30" s="91">
        <f t="shared" si="4"/>
        <v>16</v>
      </c>
      <c r="R30" s="91">
        <f t="shared" si="5"/>
        <v>16</v>
      </c>
      <c r="S30" s="91">
        <f t="shared" si="6"/>
        <v>16</v>
      </c>
      <c r="T30" s="92">
        <f t="shared" si="7"/>
        <v>0</v>
      </c>
      <c r="U30" s="92">
        <f t="shared" si="8"/>
        <v>16</v>
      </c>
      <c r="V30" s="93">
        <f>(IF((OR((P30="&gt;22"),(Q30="&gt;22"))),2,(IF(((T30+U30)=(P30+Q30)),0,1))))</f>
        <v>1</v>
      </c>
      <c r="W30" s="94">
        <f t="shared" si="34"/>
        <v>16</v>
      </c>
      <c r="X30" s="116">
        <f t="shared" si="30"/>
        <v>14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4.8500000000000001E-2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6.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16</v>
      </c>
      <c r="C9" s="259">
        <f>'PD0101'!E9</f>
        <v>16</v>
      </c>
      <c r="D9" s="259">
        <f>'PD0101'!B9</f>
        <v>16</v>
      </c>
      <c r="E9" s="259">
        <f>'PD0101'!C9</f>
        <v>17</v>
      </c>
      <c r="F9" s="259">
        <f>'IMPORTAÇÃO GENOTIPER'!AY5</f>
        <v>14</v>
      </c>
      <c r="G9" s="259">
        <f>'IMPORTAÇÃO GENOTIPER'!BG5</f>
        <v>16</v>
      </c>
      <c r="H9" s="90">
        <f t="shared" ref="H9:M24" si="0">(IF(CODE(B9)=(60),($BF9-1),(IF(CODE(B9)=(62),($BG9+1),B9))))</f>
        <v>16</v>
      </c>
      <c r="I9" s="90">
        <f t="shared" si="0"/>
        <v>16</v>
      </c>
      <c r="J9" s="90">
        <f t="shared" si="0"/>
        <v>16</v>
      </c>
      <c r="K9" s="90">
        <f t="shared" si="0"/>
        <v>17</v>
      </c>
      <c r="L9" s="90">
        <f t="shared" si="0"/>
        <v>14</v>
      </c>
      <c r="M9" s="90">
        <f t="shared" si="0"/>
        <v>16</v>
      </c>
      <c r="N9" s="91">
        <f t="shared" ref="N9:N30" si="1">IF((H9&gt;I9),I9,H9)</f>
        <v>16</v>
      </c>
      <c r="O9" s="91">
        <f t="shared" ref="O9:O30" si="2">IF((I9&gt;H9),I9,H9)</f>
        <v>16</v>
      </c>
      <c r="P9" s="91">
        <f t="shared" ref="P9:P30" si="3">IF((J9&gt;K9),K9,J9)</f>
        <v>16</v>
      </c>
      <c r="Q9" s="91">
        <f t="shared" ref="Q9:Q30" si="4">IF((K9&gt;J9),K9,J9)</f>
        <v>17</v>
      </c>
      <c r="R9" s="91">
        <f t="shared" ref="R9:R30" si="5">IF((L9&gt;M9),M9,L9)</f>
        <v>14</v>
      </c>
      <c r="S9" s="91">
        <f t="shared" ref="S9:S30" si="6">IF((M9&gt;L9),M9,L9)</f>
        <v>16</v>
      </c>
      <c r="T9" s="92">
        <f t="shared" ref="T9:T30" si="7">IF((P9=N9),P9,(IF((P9=O9),P9,0)))</f>
        <v>16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16</v>
      </c>
      <c r="X9" s="116">
        <f>(ROUND( (IF((AND((T9=0),(U9=0))),D9,(IF((V9=2),S9,(IF((W9&lt;&gt;$AJ$7),(P9+Q9-W9),P9)))))),1))</f>
        <v>17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0.20327799999999999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16</v>
      </c>
      <c r="BK9" s="54">
        <f t="shared" ref="BK9:BK30" si="19">(IF((OR(($W9=($BF9-1)),($W9=($BG9+1)))),(CONCATENATE((BI9),(BJ9))),$W9))</f>
        <v>16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16</v>
      </c>
      <c r="C10" s="259">
        <f>'PD0101'!E10</f>
        <v>17.3</v>
      </c>
      <c r="D10" s="259">
        <f>'PD0101'!B10</f>
        <v>16</v>
      </c>
      <c r="E10" s="259">
        <f>'PD0101'!C10</f>
        <v>17.3</v>
      </c>
      <c r="F10" s="259">
        <f>'IMPORTAÇÃO GENOTIPER'!AY6</f>
        <v>15</v>
      </c>
      <c r="G10" s="259">
        <f>'IMPORTAÇÃO GENOTIPER'!BG6</f>
        <v>17.3</v>
      </c>
      <c r="H10" s="90">
        <f t="shared" si="0"/>
        <v>16</v>
      </c>
      <c r="I10" s="90">
        <f t="shared" si="0"/>
        <v>17.3</v>
      </c>
      <c r="J10" s="90">
        <f t="shared" si="0"/>
        <v>16</v>
      </c>
      <c r="K10" s="90">
        <f t="shared" si="0"/>
        <v>17.3</v>
      </c>
      <c r="L10" s="90">
        <f t="shared" si="0"/>
        <v>15</v>
      </c>
      <c r="M10" s="90">
        <f t="shared" si="0"/>
        <v>17.3</v>
      </c>
      <c r="N10" s="91">
        <f t="shared" si="1"/>
        <v>16</v>
      </c>
      <c r="O10" s="91">
        <f t="shared" si="2"/>
        <v>17.3</v>
      </c>
      <c r="P10" s="91">
        <f t="shared" si="3"/>
        <v>16</v>
      </c>
      <c r="Q10" s="91">
        <f t="shared" si="4"/>
        <v>17.3</v>
      </c>
      <c r="R10" s="91">
        <f t="shared" si="5"/>
        <v>15</v>
      </c>
      <c r="S10" s="91">
        <f t="shared" si="6"/>
        <v>17.3</v>
      </c>
      <c r="T10" s="92">
        <f t="shared" si="7"/>
        <v>16</v>
      </c>
      <c r="U10" s="92">
        <f t="shared" si="8"/>
        <v>17.3</v>
      </c>
      <c r="V10" s="93">
        <f>(IF((OR((P10="&gt;36"),(Q10="&gt;36"))),2,(IF(((T10+U10)=(P10+Q10)),0,1))))</f>
        <v>0</v>
      </c>
      <c r="W10" s="94" t="str">
        <f t="shared" ref="W10:W23" si="25">IF(OR((T10=U10),(U10=0)),T10,(IF(AND((T10=0),(U10&lt;&gt;0)),U10,$AJ$7)))</f>
        <v>NÃO DEF</v>
      </c>
      <c r="X10" s="116">
        <f>(ROUND( (IF((AND((T10=0),(U10=0))),D10,(IF((V10=2),S10,(IF((W10&lt;&gt;$AJ$7),(P10+Q10-W10),P10)))))),1))</f>
        <v>16</v>
      </c>
      <c r="Y10" s="92">
        <f>(IF((AND((T10=0),(U10=0))),E10,(IF((W10&lt;&gt;$AJ$7),0,Q10))))</f>
        <v>17.3</v>
      </c>
      <c r="Z10" s="95">
        <f t="shared" si="9"/>
        <v>0</v>
      </c>
      <c r="AA10" s="96">
        <f t="shared" si="10"/>
        <v>17.3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0.1376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0.27039999999999997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1.8491124260355032</v>
      </c>
      <c r="AI10" s="100">
        <f t="shared" si="11"/>
        <v>0.64901349948078924</v>
      </c>
      <c r="AJ10" s="101"/>
      <c r="AK10" s="102">
        <f t="shared" si="12"/>
        <v>0.53231616000000004</v>
      </c>
      <c r="AL10" s="101"/>
      <c r="AM10" s="103" t="str">
        <f t="shared" si="13"/>
        <v>1 / 2F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1.8491124260355032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 t="str">
        <f t="shared" si="18"/>
        <v>NÃO DEF</v>
      </c>
      <c r="BK10" s="54" t="str">
        <f t="shared" si="19"/>
        <v>NÃO DEF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17.3</v>
      </c>
      <c r="BQ10" s="37">
        <f t="shared" si="24"/>
        <v>17.3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11.3</v>
      </c>
      <c r="C11" s="259">
        <f>'PD0101'!E11</f>
        <v>11.3</v>
      </c>
      <c r="D11" s="259">
        <f>'PD0101'!B11</f>
        <v>11</v>
      </c>
      <c r="E11" s="259">
        <f>'PD0101'!C11</f>
        <v>11.3</v>
      </c>
      <c r="F11" s="259">
        <f>'IMPORTAÇÃO GENOTIPER'!AY7</f>
        <v>11.3</v>
      </c>
      <c r="G11" s="259">
        <f>'IMPORTAÇÃO GENOTIPER'!BG7</f>
        <v>15</v>
      </c>
      <c r="H11" s="90">
        <f t="shared" si="0"/>
        <v>11.3</v>
      </c>
      <c r="I11" s="90">
        <f t="shared" si="0"/>
        <v>11.3</v>
      </c>
      <c r="J11" s="90">
        <f t="shared" si="0"/>
        <v>11</v>
      </c>
      <c r="K11" s="90">
        <f t="shared" si="0"/>
        <v>11.3</v>
      </c>
      <c r="L11" s="90">
        <f t="shared" si="0"/>
        <v>11.3</v>
      </c>
      <c r="M11" s="90">
        <f t="shared" si="0"/>
        <v>15</v>
      </c>
      <c r="N11" s="91">
        <f t="shared" si="1"/>
        <v>11.3</v>
      </c>
      <c r="O11" s="91">
        <f t="shared" si="2"/>
        <v>11.3</v>
      </c>
      <c r="P11" s="91">
        <f t="shared" si="3"/>
        <v>11</v>
      </c>
      <c r="Q11" s="91">
        <f t="shared" si="4"/>
        <v>11.3</v>
      </c>
      <c r="R11" s="91">
        <f t="shared" si="5"/>
        <v>11.3</v>
      </c>
      <c r="S11" s="91">
        <f t="shared" si="6"/>
        <v>15</v>
      </c>
      <c r="T11" s="92">
        <f t="shared" si="7"/>
        <v>0</v>
      </c>
      <c r="U11" s="92">
        <f t="shared" si="8"/>
        <v>11.3</v>
      </c>
      <c r="V11" s="93">
        <f>(IF((OR((P11="&gt;22"),(Q11="&gt;22"))),2,(IF(((T11+U11)=(P11+Q11)),0,1))))</f>
        <v>1</v>
      </c>
      <c r="W11" s="94">
        <f t="shared" si="25"/>
        <v>11.3</v>
      </c>
      <c r="X11" s="116">
        <f>(ROUND( (IF((AND((T11=0),(U11=0))),D11,(IF((V11=2),S11,(IF((W11&lt;&gt;$AJ$7),(P11+Q11-W11),P11)))))),1))</f>
        <v>11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0.28860000000000002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11.3</v>
      </c>
      <c r="BK11" s="54">
        <f t="shared" si="19"/>
        <v>11.3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14</v>
      </c>
      <c r="C12" s="261">
        <f>'PD0101'!E12</f>
        <v>14</v>
      </c>
      <c r="D12" s="261">
        <f>'PD0101'!B12</f>
        <v>14</v>
      </c>
      <c r="E12" s="261">
        <f>'PD0101'!C12</f>
        <v>14</v>
      </c>
      <c r="F12" s="261">
        <f>'IMPORTAÇÃO GENOTIPER'!AY8</f>
        <v>13</v>
      </c>
      <c r="G12" s="261">
        <f>'IMPORTAÇÃO GENOTIPER'!BG8</f>
        <v>14</v>
      </c>
      <c r="H12" s="112">
        <f t="shared" si="0"/>
        <v>14</v>
      </c>
      <c r="I12" s="112">
        <f t="shared" si="0"/>
        <v>14</v>
      </c>
      <c r="J12" s="112">
        <f t="shared" si="0"/>
        <v>14</v>
      </c>
      <c r="K12" s="112">
        <f t="shared" si="0"/>
        <v>14</v>
      </c>
      <c r="L12" s="112">
        <f t="shared" si="0"/>
        <v>13</v>
      </c>
      <c r="M12" s="112">
        <f t="shared" si="0"/>
        <v>14</v>
      </c>
      <c r="N12" s="113">
        <f t="shared" si="1"/>
        <v>14</v>
      </c>
      <c r="O12" s="113">
        <f t="shared" si="2"/>
        <v>14</v>
      </c>
      <c r="P12" s="113">
        <f t="shared" si="3"/>
        <v>14</v>
      </c>
      <c r="Q12" s="113">
        <f t="shared" si="4"/>
        <v>14</v>
      </c>
      <c r="R12" s="113">
        <f t="shared" si="5"/>
        <v>13</v>
      </c>
      <c r="S12" s="113">
        <f t="shared" si="6"/>
        <v>14</v>
      </c>
      <c r="T12" s="114">
        <f t="shared" si="7"/>
        <v>14</v>
      </c>
      <c r="U12" s="114">
        <f t="shared" si="8"/>
        <v>14</v>
      </c>
      <c r="V12" s="115">
        <f>(IF((OR((P12="&gt;21"),(Q12="&gt;21"))),2,(IF(((T12+U12)=(P12+Q12)),0,1))))</f>
        <v>0</v>
      </c>
      <c r="W12" s="114">
        <f t="shared" si="25"/>
        <v>14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0</v>
      </c>
      <c r="Z12" s="117">
        <f t="shared" si="9"/>
        <v>14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0.30480000000000002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1.6404199475065615</v>
      </c>
      <c r="AI12" s="122">
        <f t="shared" si="11"/>
        <v>0.62127236580516887</v>
      </c>
      <c r="AJ12" s="123" t="s">
        <v>140</v>
      </c>
      <c r="AK12" s="124">
        <f t="shared" si="12"/>
        <v>0.48330304000000007</v>
      </c>
      <c r="AL12" s="123"/>
      <c r="AM12" s="125" t="str">
        <f t="shared" si="13"/>
        <v>1 / 2F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1.6404199475065615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11</v>
      </c>
      <c r="C13" s="259">
        <f>'PD0101'!E13</f>
        <v>12</v>
      </c>
      <c r="D13" s="259">
        <f>'PD0101'!B13</f>
        <v>11</v>
      </c>
      <c r="E13" s="259">
        <f>'PD0101'!C13</f>
        <v>11</v>
      </c>
      <c r="F13" s="259">
        <f>'IMPORTAÇÃO GENOTIPER'!AY9</f>
        <v>12</v>
      </c>
      <c r="G13" s="259">
        <f>'IMPORTAÇÃO GENOTIPER'!BG9</f>
        <v>12</v>
      </c>
      <c r="H13" s="90">
        <f t="shared" si="0"/>
        <v>11</v>
      </c>
      <c r="I13" s="90">
        <f t="shared" si="0"/>
        <v>12</v>
      </c>
      <c r="J13" s="90">
        <f t="shared" si="0"/>
        <v>11</v>
      </c>
      <c r="K13" s="90">
        <f t="shared" si="0"/>
        <v>11</v>
      </c>
      <c r="L13" s="90">
        <f t="shared" si="0"/>
        <v>12</v>
      </c>
      <c r="M13" s="90">
        <f t="shared" si="0"/>
        <v>12</v>
      </c>
      <c r="N13" s="91">
        <f t="shared" si="1"/>
        <v>11</v>
      </c>
      <c r="O13" s="91">
        <f t="shared" si="2"/>
        <v>12</v>
      </c>
      <c r="P13" s="91">
        <f t="shared" si="3"/>
        <v>11</v>
      </c>
      <c r="Q13" s="91">
        <f t="shared" si="4"/>
        <v>11</v>
      </c>
      <c r="R13" s="91">
        <f t="shared" si="5"/>
        <v>12</v>
      </c>
      <c r="S13" s="91">
        <f t="shared" si="6"/>
        <v>12</v>
      </c>
      <c r="T13" s="92">
        <f t="shared" si="7"/>
        <v>11</v>
      </c>
      <c r="U13" s="92">
        <f t="shared" si="8"/>
        <v>11</v>
      </c>
      <c r="V13" s="93">
        <f>(IF((OR((P13="&gt;21"),(Q13="&gt;21"))),2,(IF(((T13+U13)=(P13+Q13)),0,1))))</f>
        <v>0</v>
      </c>
      <c r="W13" s="94">
        <f t="shared" si="25"/>
        <v>11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>&lt;</v>
      </c>
      <c r="BJ13" s="54">
        <f t="shared" si="18"/>
        <v>12</v>
      </c>
      <c r="BK13" s="54" t="str">
        <f t="shared" si="19"/>
        <v>&lt;12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11</v>
      </c>
      <c r="C14" s="259">
        <f>'PD0101'!E14</f>
        <v>16</v>
      </c>
      <c r="D14" s="259">
        <f>'PD0101'!B14</f>
        <v>13</v>
      </c>
      <c r="E14" s="259">
        <f>'PD0101'!C14</f>
        <v>16</v>
      </c>
      <c r="F14" s="259">
        <f>'IMPORTAÇÃO GENOTIPER'!AY10</f>
        <v>11</v>
      </c>
      <c r="G14" s="259">
        <f>'IMPORTAÇÃO GENOTIPER'!BG10</f>
        <v>11</v>
      </c>
      <c r="H14" s="90">
        <f t="shared" si="0"/>
        <v>11</v>
      </c>
      <c r="I14" s="90">
        <f t="shared" si="0"/>
        <v>16</v>
      </c>
      <c r="J14" s="90">
        <f t="shared" si="0"/>
        <v>13</v>
      </c>
      <c r="K14" s="90">
        <f t="shared" si="0"/>
        <v>16</v>
      </c>
      <c r="L14" s="90">
        <f t="shared" si="0"/>
        <v>11</v>
      </c>
      <c r="M14" s="90">
        <f t="shared" si="0"/>
        <v>11</v>
      </c>
      <c r="N14" s="91">
        <f t="shared" si="1"/>
        <v>11</v>
      </c>
      <c r="O14" s="91">
        <f t="shared" si="2"/>
        <v>16</v>
      </c>
      <c r="P14" s="91">
        <f t="shared" si="3"/>
        <v>13</v>
      </c>
      <c r="Q14" s="91">
        <f t="shared" si="4"/>
        <v>16</v>
      </c>
      <c r="R14" s="91">
        <f t="shared" si="5"/>
        <v>11</v>
      </c>
      <c r="S14" s="91">
        <f t="shared" si="6"/>
        <v>11</v>
      </c>
      <c r="T14" s="92">
        <f t="shared" si="7"/>
        <v>0</v>
      </c>
      <c r="U14" s="92">
        <f t="shared" si="8"/>
        <v>16</v>
      </c>
      <c r="V14" s="93">
        <f>(IF((OR((P14="&gt;20"),(Q14="&gt;20"))),2,(IF(((T14+U14)=(P14+Q14)),0,1))))</f>
        <v>1</v>
      </c>
      <c r="W14" s="94">
        <f t="shared" si="25"/>
        <v>16</v>
      </c>
      <c r="X14" s="116">
        <f t="shared" si="30"/>
        <v>13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16</v>
      </c>
      <c r="BK14" s="54">
        <f t="shared" si="19"/>
        <v>16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11</v>
      </c>
      <c r="C15" s="259">
        <f>'PD0101'!E15</f>
        <v>12</v>
      </c>
      <c r="D15" s="259">
        <f>'PD0101'!B15</f>
        <v>10</v>
      </c>
      <c r="E15" s="259">
        <f>'PD0101'!C15</f>
        <v>11</v>
      </c>
      <c r="F15" s="259">
        <f>'IMPORTAÇÃO GENOTIPER'!AY11</f>
        <v>11</v>
      </c>
      <c r="G15" s="259">
        <f>'IMPORTAÇÃO GENOTIPER'!BG11</f>
        <v>12</v>
      </c>
      <c r="H15" s="90">
        <f t="shared" si="0"/>
        <v>11</v>
      </c>
      <c r="I15" s="90">
        <f t="shared" si="0"/>
        <v>12</v>
      </c>
      <c r="J15" s="90">
        <f t="shared" si="0"/>
        <v>10</v>
      </c>
      <c r="K15" s="90">
        <f t="shared" si="0"/>
        <v>11</v>
      </c>
      <c r="L15" s="90">
        <f t="shared" si="0"/>
        <v>11</v>
      </c>
      <c r="M15" s="90">
        <f t="shared" si="0"/>
        <v>12</v>
      </c>
      <c r="N15" s="91">
        <f t="shared" si="1"/>
        <v>11</v>
      </c>
      <c r="O15" s="91">
        <f t="shared" si="2"/>
        <v>12</v>
      </c>
      <c r="P15" s="91">
        <f t="shared" si="3"/>
        <v>10</v>
      </c>
      <c r="Q15" s="91">
        <f t="shared" si="4"/>
        <v>11</v>
      </c>
      <c r="R15" s="91">
        <f t="shared" si="5"/>
        <v>11</v>
      </c>
      <c r="S15" s="91">
        <f t="shared" si="6"/>
        <v>12</v>
      </c>
      <c r="T15" s="92">
        <f t="shared" si="7"/>
        <v>0</v>
      </c>
      <c r="U15" s="92">
        <f t="shared" si="8"/>
        <v>11</v>
      </c>
      <c r="V15" s="93">
        <f>(IF((OR((P15="&gt;23"),(Q15="&gt;23"))),2,(IF(((T15+U15)=(P15+Q15)),0,1))))</f>
        <v>1</v>
      </c>
      <c r="W15" s="94">
        <f t="shared" si="25"/>
        <v>11</v>
      </c>
      <c r="X15" s="116">
        <f t="shared" si="30"/>
        <v>10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8.8405999999999998E-2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11</v>
      </c>
      <c r="BK15" s="54">
        <f t="shared" si="19"/>
        <v>11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10</v>
      </c>
      <c r="C16" s="259">
        <f>'PD0101'!E16</f>
        <v>12</v>
      </c>
      <c r="D16" s="259">
        <f>'PD0101'!B16</f>
        <v>12</v>
      </c>
      <c r="E16" s="259">
        <f>'PD0101'!C16</f>
        <v>14</v>
      </c>
      <c r="F16" s="259">
        <f>'IMPORTAÇÃO GENOTIPER'!AY12</f>
        <v>10</v>
      </c>
      <c r="G16" s="259">
        <f>'IMPORTAÇÃO GENOTIPER'!BG12</f>
        <v>18</v>
      </c>
      <c r="H16" s="90">
        <f t="shared" si="0"/>
        <v>10</v>
      </c>
      <c r="I16" s="90">
        <f t="shared" si="0"/>
        <v>12</v>
      </c>
      <c r="J16" s="90">
        <f t="shared" si="0"/>
        <v>12</v>
      </c>
      <c r="K16" s="90">
        <f t="shared" si="0"/>
        <v>14</v>
      </c>
      <c r="L16" s="90">
        <f t="shared" si="0"/>
        <v>10</v>
      </c>
      <c r="M16" s="90">
        <f t="shared" si="0"/>
        <v>18</v>
      </c>
      <c r="N16" s="91">
        <f t="shared" si="1"/>
        <v>10</v>
      </c>
      <c r="O16" s="91">
        <f t="shared" si="2"/>
        <v>12</v>
      </c>
      <c r="P16" s="91">
        <f t="shared" si="3"/>
        <v>12</v>
      </c>
      <c r="Q16" s="91">
        <f t="shared" si="4"/>
        <v>14</v>
      </c>
      <c r="R16" s="91">
        <f t="shared" si="5"/>
        <v>10</v>
      </c>
      <c r="S16" s="91">
        <f t="shared" si="6"/>
        <v>18</v>
      </c>
      <c r="T16" s="92">
        <f t="shared" si="7"/>
        <v>12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12</v>
      </c>
      <c r="X16" s="116">
        <f t="shared" si="30"/>
        <v>14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12</v>
      </c>
      <c r="BK16" s="54">
        <f t="shared" si="19"/>
        <v>12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17</v>
      </c>
      <c r="C17" s="259">
        <f>'PD0101'!E17</f>
        <v>20</v>
      </c>
      <c r="D17" s="259">
        <f>'PD0101'!B17</f>
        <v>17</v>
      </c>
      <c r="E17" s="259">
        <f>'PD0101'!C17</f>
        <v>17</v>
      </c>
      <c r="F17" s="259">
        <f>'IMPORTAÇÃO GENOTIPER'!AY13</f>
        <v>20</v>
      </c>
      <c r="G17" s="259">
        <f>'IMPORTAÇÃO GENOTIPER'!BG13</f>
        <v>25</v>
      </c>
      <c r="H17" s="90">
        <f t="shared" si="0"/>
        <v>17</v>
      </c>
      <c r="I17" s="90">
        <f t="shared" si="0"/>
        <v>20</v>
      </c>
      <c r="J17" s="90">
        <f t="shared" si="0"/>
        <v>17</v>
      </c>
      <c r="K17" s="90">
        <f t="shared" si="0"/>
        <v>17</v>
      </c>
      <c r="L17" s="90">
        <f t="shared" si="0"/>
        <v>20</v>
      </c>
      <c r="M17" s="90">
        <f t="shared" si="0"/>
        <v>25</v>
      </c>
      <c r="N17" s="91">
        <f t="shared" si="1"/>
        <v>17</v>
      </c>
      <c r="O17" s="91">
        <f t="shared" si="2"/>
        <v>20</v>
      </c>
      <c r="P17" s="91">
        <f t="shared" si="3"/>
        <v>17</v>
      </c>
      <c r="Q17" s="91">
        <f t="shared" si="4"/>
        <v>17</v>
      </c>
      <c r="R17" s="91">
        <f t="shared" si="5"/>
        <v>20</v>
      </c>
      <c r="S17" s="91">
        <f t="shared" si="6"/>
        <v>25</v>
      </c>
      <c r="T17" s="92">
        <f t="shared" si="7"/>
        <v>17</v>
      </c>
      <c r="U17" s="92">
        <f t="shared" si="8"/>
        <v>17</v>
      </c>
      <c r="V17" s="93">
        <f>(IF((OR((P17="&gt;28"),(Q17="&gt;28"))),2,(IF(((T17+U17)=(P17+Q17)),0,1))))</f>
        <v>0</v>
      </c>
      <c r="W17" s="94">
        <f t="shared" si="25"/>
        <v>17</v>
      </c>
      <c r="X17" s="116">
        <f t="shared" si="30"/>
        <v>17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17</v>
      </c>
      <c r="BK17" s="54">
        <f t="shared" si="19"/>
        <v>17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10</v>
      </c>
      <c r="C18" s="259">
        <f>'PD0101'!E18</f>
        <v>12</v>
      </c>
      <c r="D18" s="259">
        <f>'PD0101'!B18</f>
        <v>10</v>
      </c>
      <c r="E18" s="259">
        <f>'PD0101'!C18</f>
        <v>11</v>
      </c>
      <c r="F18" s="259">
        <f>'IMPORTAÇÃO GENOTIPER'!AY14</f>
        <v>11</v>
      </c>
      <c r="G18" s="259">
        <f>'IMPORTAÇÃO GENOTIPER'!BG14</f>
        <v>12</v>
      </c>
      <c r="H18" s="90">
        <f t="shared" si="0"/>
        <v>10</v>
      </c>
      <c r="I18" s="90">
        <f t="shared" si="0"/>
        <v>12</v>
      </c>
      <c r="J18" s="90">
        <f t="shared" si="0"/>
        <v>10</v>
      </c>
      <c r="K18" s="90">
        <f t="shared" si="0"/>
        <v>11</v>
      </c>
      <c r="L18" s="90">
        <f t="shared" si="0"/>
        <v>11</v>
      </c>
      <c r="M18" s="90">
        <f t="shared" si="0"/>
        <v>12</v>
      </c>
      <c r="N18" s="91">
        <f t="shared" si="1"/>
        <v>10</v>
      </c>
      <c r="O18" s="91">
        <f t="shared" si="2"/>
        <v>12</v>
      </c>
      <c r="P18" s="91">
        <f t="shared" si="3"/>
        <v>10</v>
      </c>
      <c r="Q18" s="91">
        <f t="shared" si="4"/>
        <v>11</v>
      </c>
      <c r="R18" s="91">
        <f t="shared" si="5"/>
        <v>11</v>
      </c>
      <c r="S18" s="91">
        <f t="shared" si="6"/>
        <v>12</v>
      </c>
      <c r="T18" s="92">
        <f t="shared" si="7"/>
        <v>10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10</v>
      </c>
      <c r="X18" s="116">
        <f t="shared" si="30"/>
        <v>11</v>
      </c>
      <c r="Y18" s="92">
        <f t="shared" si="31"/>
        <v>0</v>
      </c>
      <c r="Z18" s="95">
        <f t="shared" si="9"/>
        <v>11</v>
      </c>
      <c r="AA18" s="96">
        <f t="shared" si="10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0.29358499999999998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1.7030842856412964</v>
      </c>
      <c r="AI18" s="100">
        <f t="shared" si="11"/>
        <v>0.63005223132997723</v>
      </c>
      <c r="AJ18" s="101"/>
      <c r="AK18" s="102">
        <f t="shared" si="12"/>
        <v>0.49902215222500002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1.7030842856412964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10</v>
      </c>
      <c r="BK18" s="54">
        <f t="shared" si="19"/>
        <v>10</v>
      </c>
      <c r="BL18" s="57" t="str">
        <f t="shared" si="20"/>
        <v/>
      </c>
      <c r="BM18" s="57">
        <f t="shared" si="21"/>
        <v>11</v>
      </c>
      <c r="BN18" s="57">
        <f t="shared" si="22"/>
        <v>11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10</v>
      </c>
      <c r="C19" s="259">
        <f>'PD0101'!E19</f>
        <v>12</v>
      </c>
      <c r="D19" s="259">
        <f>'PD0101'!B19</f>
        <v>10</v>
      </c>
      <c r="E19" s="259">
        <f>'PD0101'!C19</f>
        <v>11</v>
      </c>
      <c r="F19" s="259">
        <f>'IMPORTAÇÃO GENOTIPER'!AY15</f>
        <v>12</v>
      </c>
      <c r="G19" s="259">
        <f>'IMPORTAÇÃO GENOTIPER'!BG15</f>
        <v>12</v>
      </c>
      <c r="H19" s="90">
        <f t="shared" si="0"/>
        <v>10</v>
      </c>
      <c r="I19" s="90">
        <f t="shared" si="0"/>
        <v>12</v>
      </c>
      <c r="J19" s="90">
        <f t="shared" si="0"/>
        <v>10</v>
      </c>
      <c r="K19" s="90">
        <f t="shared" si="0"/>
        <v>11</v>
      </c>
      <c r="L19" s="90">
        <f t="shared" si="0"/>
        <v>12</v>
      </c>
      <c r="M19" s="90">
        <f t="shared" si="0"/>
        <v>12</v>
      </c>
      <c r="N19" s="91">
        <f t="shared" si="1"/>
        <v>10</v>
      </c>
      <c r="O19" s="91">
        <f t="shared" si="2"/>
        <v>12</v>
      </c>
      <c r="P19" s="91">
        <f t="shared" si="3"/>
        <v>10</v>
      </c>
      <c r="Q19" s="91">
        <f t="shared" si="4"/>
        <v>11</v>
      </c>
      <c r="R19" s="91">
        <f t="shared" si="5"/>
        <v>12</v>
      </c>
      <c r="S19" s="91">
        <f t="shared" si="6"/>
        <v>12</v>
      </c>
      <c r="T19" s="92">
        <f t="shared" si="7"/>
        <v>10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10</v>
      </c>
      <c r="X19" s="116">
        <f t="shared" si="30"/>
        <v>11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>&lt;</v>
      </c>
      <c r="BJ19" s="54">
        <f t="shared" si="18"/>
        <v>11</v>
      </c>
      <c r="BK19" s="54" t="str">
        <f t="shared" si="19"/>
        <v>&lt;11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6</v>
      </c>
      <c r="C20" s="259">
        <f>'PD0101'!E20</f>
        <v>6</v>
      </c>
      <c r="D20" s="259">
        <f>'PD0101'!B20</f>
        <v>6</v>
      </c>
      <c r="E20" s="259">
        <f>'PD0101'!C20</f>
        <v>7</v>
      </c>
      <c r="F20" s="259">
        <f>'IMPORTAÇÃO GENOTIPER'!AY16</f>
        <v>6</v>
      </c>
      <c r="G20" s="259">
        <f>'IMPORTAÇÃO GENOTIPER'!BG16</f>
        <v>9.3000000000000007</v>
      </c>
      <c r="H20" s="90">
        <f t="shared" si="0"/>
        <v>6</v>
      </c>
      <c r="I20" s="90">
        <f t="shared" si="0"/>
        <v>6</v>
      </c>
      <c r="J20" s="90">
        <f t="shared" si="0"/>
        <v>6</v>
      </c>
      <c r="K20" s="90">
        <f t="shared" si="0"/>
        <v>7</v>
      </c>
      <c r="L20" s="90">
        <f t="shared" si="0"/>
        <v>6</v>
      </c>
      <c r="M20" s="90">
        <f t="shared" si="0"/>
        <v>9.3000000000000007</v>
      </c>
      <c r="N20" s="91">
        <f t="shared" si="1"/>
        <v>6</v>
      </c>
      <c r="O20" s="91">
        <f t="shared" si="2"/>
        <v>6</v>
      </c>
      <c r="P20" s="91">
        <f t="shared" si="3"/>
        <v>6</v>
      </c>
      <c r="Q20" s="91">
        <f t="shared" si="4"/>
        <v>7</v>
      </c>
      <c r="R20" s="91">
        <f t="shared" si="5"/>
        <v>6</v>
      </c>
      <c r="S20" s="91">
        <f t="shared" si="6"/>
        <v>9.3000000000000007</v>
      </c>
      <c r="T20" s="92">
        <f t="shared" si="7"/>
        <v>6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6</v>
      </c>
      <c r="X20" s="116">
        <f t="shared" si="30"/>
        <v>7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6</v>
      </c>
      <c r="BK20" s="54">
        <f t="shared" si="19"/>
        <v>6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17</v>
      </c>
      <c r="C21" s="259">
        <f>'PD0101'!E21</f>
        <v>17</v>
      </c>
      <c r="D21" s="259">
        <f>'PD0101'!B21</f>
        <v>17</v>
      </c>
      <c r="E21" s="259">
        <f>'PD0101'!C21</f>
        <v>18</v>
      </c>
      <c r="F21" s="259">
        <f>'IMPORTAÇÃO GENOTIPER'!AY17</f>
        <v>14</v>
      </c>
      <c r="G21" s="259">
        <f>'IMPORTAÇÃO GENOTIPER'!BG17</f>
        <v>17</v>
      </c>
      <c r="H21" s="90">
        <f t="shared" si="0"/>
        <v>17</v>
      </c>
      <c r="I21" s="90">
        <f t="shared" si="0"/>
        <v>17</v>
      </c>
      <c r="J21" s="90">
        <f t="shared" si="0"/>
        <v>17</v>
      </c>
      <c r="K21" s="90">
        <f t="shared" si="0"/>
        <v>18</v>
      </c>
      <c r="L21" s="90">
        <f t="shared" si="0"/>
        <v>14</v>
      </c>
      <c r="M21" s="90">
        <f t="shared" si="0"/>
        <v>17</v>
      </c>
      <c r="N21" s="91">
        <f t="shared" si="1"/>
        <v>17</v>
      </c>
      <c r="O21" s="91">
        <f t="shared" si="2"/>
        <v>17</v>
      </c>
      <c r="P21" s="91">
        <f t="shared" si="3"/>
        <v>17</v>
      </c>
      <c r="Q21" s="91">
        <f t="shared" si="4"/>
        <v>18</v>
      </c>
      <c r="R21" s="91">
        <f t="shared" si="5"/>
        <v>14</v>
      </c>
      <c r="S21" s="91">
        <f t="shared" si="6"/>
        <v>17</v>
      </c>
      <c r="T21" s="92">
        <f t="shared" si="7"/>
        <v>17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17</v>
      </c>
      <c r="X21" s="116">
        <f t="shared" si="30"/>
        <v>18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0.170153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29</v>
      </c>
      <c r="C22" s="259">
        <f>'PD0101'!E22</f>
        <v>32.200000000000003</v>
      </c>
      <c r="D22" s="259">
        <f>'PD0101'!B22</f>
        <v>28</v>
      </c>
      <c r="E22" s="259">
        <f>'PD0101'!C22</f>
        <v>29</v>
      </c>
      <c r="F22" s="259">
        <f>'IMPORTAÇÃO GENOTIPER'!AY18</f>
        <v>29</v>
      </c>
      <c r="G22" s="259">
        <f>'IMPORTAÇÃO GENOTIPER'!BG18</f>
        <v>32.200000000000003</v>
      </c>
      <c r="H22" s="90">
        <f t="shared" si="0"/>
        <v>29</v>
      </c>
      <c r="I22" s="90">
        <f t="shared" si="0"/>
        <v>32.200000000000003</v>
      </c>
      <c r="J22" s="90">
        <f t="shared" si="0"/>
        <v>28</v>
      </c>
      <c r="K22" s="90">
        <f t="shared" si="0"/>
        <v>29</v>
      </c>
      <c r="L22" s="90">
        <f t="shared" si="0"/>
        <v>29</v>
      </c>
      <c r="M22" s="90">
        <f t="shared" si="0"/>
        <v>32.200000000000003</v>
      </c>
      <c r="N22" s="91">
        <f t="shared" si="1"/>
        <v>29</v>
      </c>
      <c r="O22" s="91">
        <f t="shared" si="2"/>
        <v>32.200000000000003</v>
      </c>
      <c r="P22" s="91">
        <f t="shared" si="3"/>
        <v>28</v>
      </c>
      <c r="Q22" s="91">
        <f t="shared" si="4"/>
        <v>29</v>
      </c>
      <c r="R22" s="91">
        <f t="shared" si="5"/>
        <v>29</v>
      </c>
      <c r="S22" s="91">
        <f t="shared" si="6"/>
        <v>32.200000000000003</v>
      </c>
      <c r="T22" s="92">
        <f t="shared" si="7"/>
        <v>0</v>
      </c>
      <c r="U22" s="92">
        <f t="shared" si="8"/>
        <v>29</v>
      </c>
      <c r="V22" s="93">
        <f>(IF((OR((P22="&gt;22"),(Q22="&gt;22"))),2,(IF(((T22+U22)=(P22+Q22)),0,1))))</f>
        <v>1</v>
      </c>
      <c r="W22" s="94">
        <f t="shared" si="25"/>
        <v>29</v>
      </c>
      <c r="X22" s="116">
        <f t="shared" si="30"/>
        <v>28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0.15936700000000001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29</v>
      </c>
      <c r="BK22" s="54">
        <f t="shared" si="19"/>
        <v>29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11</v>
      </c>
      <c r="C23" s="259">
        <f>'PD0101'!E23</f>
        <v>11</v>
      </c>
      <c r="D23" s="259">
        <f>'PD0101'!B23</f>
        <v>11</v>
      </c>
      <c r="E23" s="259">
        <f>'PD0101'!C23</f>
        <v>11</v>
      </c>
      <c r="F23" s="259">
        <f>'IMPORTAÇÃO GENOTIPER'!AY19</f>
        <v>9</v>
      </c>
      <c r="G23" s="259">
        <f>'IMPORTAÇÃO GENOTIPER'!BG19</f>
        <v>11</v>
      </c>
      <c r="H23" s="90">
        <f t="shared" si="0"/>
        <v>11</v>
      </c>
      <c r="I23" s="90">
        <f t="shared" si="0"/>
        <v>11</v>
      </c>
      <c r="J23" s="90">
        <f t="shared" si="0"/>
        <v>11</v>
      </c>
      <c r="K23" s="90">
        <f t="shared" si="0"/>
        <v>11</v>
      </c>
      <c r="L23" s="90">
        <f t="shared" si="0"/>
        <v>9</v>
      </c>
      <c r="M23" s="90">
        <f t="shared" si="0"/>
        <v>11</v>
      </c>
      <c r="N23" s="91">
        <f t="shared" si="1"/>
        <v>11</v>
      </c>
      <c r="O23" s="91">
        <f t="shared" si="2"/>
        <v>11</v>
      </c>
      <c r="P23" s="91">
        <f t="shared" si="3"/>
        <v>11</v>
      </c>
      <c r="Q23" s="91">
        <f t="shared" si="4"/>
        <v>11</v>
      </c>
      <c r="R23" s="91">
        <f t="shared" si="5"/>
        <v>9</v>
      </c>
      <c r="S23" s="91">
        <f t="shared" si="6"/>
        <v>11</v>
      </c>
      <c r="T23" s="92">
        <f t="shared" si="7"/>
        <v>11</v>
      </c>
      <c r="U23" s="92">
        <f t="shared" si="8"/>
        <v>11</v>
      </c>
      <c r="V23" s="93">
        <f>(IF((OR((P23="&gt;32"),(Q23="&gt;32"))),2,(IF(((T23+U23)=(P23+Q23)),0,1))))</f>
        <v>0</v>
      </c>
      <c r="W23" s="94">
        <f t="shared" si="25"/>
        <v>11</v>
      </c>
      <c r="X23" s="116">
        <f t="shared" si="30"/>
        <v>11</v>
      </c>
      <c r="Y23" s="92">
        <f t="shared" si="31"/>
        <v>0</v>
      </c>
      <c r="Z23" s="95">
        <f t="shared" si="9"/>
        <v>11</v>
      </c>
      <c r="AA23" s="96">
        <f t="shared" si="10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0.23635999999999999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2.1154171602640042</v>
      </c>
      <c r="AI23" s="100">
        <f t="shared" si="11"/>
        <v>0.6790156988429572</v>
      </c>
      <c r="AJ23" s="101" t="s">
        <v>173</v>
      </c>
      <c r="AK23" s="102">
        <f t="shared" si="12"/>
        <v>0.58314604959999994</v>
      </c>
      <c r="AL23" s="101"/>
      <c r="AM23" s="103" t="str">
        <f t="shared" si="13"/>
        <v>1 / 2F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2.1154171602640042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11</v>
      </c>
      <c r="BN23" s="61">
        <f t="shared" si="22"/>
        <v>11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11</v>
      </c>
      <c r="C24" s="259">
        <f>'PD0101'!E24</f>
        <v>11</v>
      </c>
      <c r="D24" s="259">
        <f>'PD0101'!B24</f>
        <v>11</v>
      </c>
      <c r="E24" s="259">
        <f>'PD0101'!C24</f>
        <v>12</v>
      </c>
      <c r="F24" s="259">
        <f>'IMPORTAÇÃO GENOTIPER'!AY20</f>
        <v>11</v>
      </c>
      <c r="G24" s="259">
        <f>'IMPORTAÇÃO GENOTIPER'!BG20</f>
        <v>11</v>
      </c>
      <c r="H24" s="90">
        <f t="shared" si="0"/>
        <v>11</v>
      </c>
      <c r="I24" s="90">
        <f t="shared" si="0"/>
        <v>11</v>
      </c>
      <c r="J24" s="90">
        <f t="shared" si="0"/>
        <v>11</v>
      </c>
      <c r="K24" s="90">
        <f t="shared" si="0"/>
        <v>12</v>
      </c>
      <c r="L24" s="90">
        <f t="shared" si="0"/>
        <v>11</v>
      </c>
      <c r="M24" s="90">
        <f t="shared" si="0"/>
        <v>11</v>
      </c>
      <c r="N24" s="91">
        <f t="shared" si="1"/>
        <v>11</v>
      </c>
      <c r="O24" s="91">
        <f t="shared" si="2"/>
        <v>11</v>
      </c>
      <c r="P24" s="91">
        <f t="shared" si="3"/>
        <v>11</v>
      </c>
      <c r="Q24" s="91">
        <f t="shared" si="4"/>
        <v>12</v>
      </c>
      <c r="R24" s="91">
        <f t="shared" si="5"/>
        <v>11</v>
      </c>
      <c r="S24" s="91">
        <f t="shared" si="6"/>
        <v>11</v>
      </c>
      <c r="T24" s="92">
        <f t="shared" si="7"/>
        <v>11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11</v>
      </c>
      <c r="X24" s="116">
        <f t="shared" si="30"/>
        <v>12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0.34637600000000002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12</v>
      </c>
      <c r="D25" s="259">
        <f>'PD0101'!B25</f>
        <v>8</v>
      </c>
      <c r="E25" s="259">
        <f>'PD0101'!C25</f>
        <v>11</v>
      </c>
      <c r="F25" s="259">
        <f>'IMPORTAÇÃO GENOTIPER'!AY21</f>
        <v>9</v>
      </c>
      <c r="G25" s="259">
        <f>'IMPORTAÇÃO GENOTIPER'!BG21</f>
        <v>12</v>
      </c>
      <c r="H25" s="90">
        <f t="shared" ref="H25:M30" si="33">(IF(CODE(B25)=(60),($BF25-1),(IF(CODE(B25)=(62),($BG25+1),B25))))</f>
        <v>8</v>
      </c>
      <c r="I25" s="90">
        <f t="shared" si="33"/>
        <v>12</v>
      </c>
      <c r="J25" s="90">
        <f t="shared" si="33"/>
        <v>8</v>
      </c>
      <c r="K25" s="90">
        <f t="shared" si="33"/>
        <v>11</v>
      </c>
      <c r="L25" s="90">
        <f t="shared" si="33"/>
        <v>9</v>
      </c>
      <c r="M25" s="90">
        <f t="shared" si="33"/>
        <v>12</v>
      </c>
      <c r="N25" s="91">
        <f t="shared" si="1"/>
        <v>8</v>
      </c>
      <c r="O25" s="91">
        <f t="shared" si="2"/>
        <v>12</v>
      </c>
      <c r="P25" s="91">
        <f t="shared" si="3"/>
        <v>8</v>
      </c>
      <c r="Q25" s="91">
        <f t="shared" si="4"/>
        <v>11</v>
      </c>
      <c r="R25" s="91">
        <f t="shared" si="5"/>
        <v>9</v>
      </c>
      <c r="S25" s="91">
        <f t="shared" si="6"/>
        <v>12</v>
      </c>
      <c r="T25" s="92">
        <f t="shared" si="7"/>
        <v>8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8</v>
      </c>
      <c r="X25" s="116">
        <f t="shared" si="30"/>
        <v>11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14</v>
      </c>
      <c r="D26" s="259">
        <f>'PD0101'!B26</f>
        <v>14</v>
      </c>
      <c r="E26" s="259">
        <f>'PD0101'!C26</f>
        <v>15</v>
      </c>
      <c r="F26" s="259">
        <f>'IMPORTAÇÃO GENOTIPER'!AY22</f>
        <v>13</v>
      </c>
      <c r="G26" s="259">
        <f>'IMPORTAÇÃO GENOTIPER'!BG22</f>
        <v>13</v>
      </c>
      <c r="H26" s="90">
        <f t="shared" si="33"/>
        <v>13</v>
      </c>
      <c r="I26" s="90">
        <f t="shared" si="33"/>
        <v>14</v>
      </c>
      <c r="J26" s="90">
        <f t="shared" si="33"/>
        <v>14</v>
      </c>
      <c r="K26" s="90">
        <f t="shared" si="33"/>
        <v>15</v>
      </c>
      <c r="L26" s="90">
        <f t="shared" si="33"/>
        <v>13</v>
      </c>
      <c r="M26" s="90">
        <f t="shared" si="33"/>
        <v>13</v>
      </c>
      <c r="N26" s="91">
        <f t="shared" si="1"/>
        <v>13</v>
      </c>
      <c r="O26" s="91">
        <f t="shared" si="2"/>
        <v>14</v>
      </c>
      <c r="P26" s="91">
        <f t="shared" si="3"/>
        <v>14</v>
      </c>
      <c r="Q26" s="91">
        <f t="shared" si="4"/>
        <v>15</v>
      </c>
      <c r="R26" s="91">
        <f t="shared" si="5"/>
        <v>13</v>
      </c>
      <c r="S26" s="91">
        <f t="shared" si="6"/>
        <v>13</v>
      </c>
      <c r="T26" s="92">
        <f t="shared" si="7"/>
        <v>14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14</v>
      </c>
      <c r="X26" s="116">
        <f t="shared" si="30"/>
        <v>15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0.13833100000000001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15</v>
      </c>
      <c r="BK26" s="54">
        <f t="shared" si="19"/>
        <v>14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19</v>
      </c>
      <c r="C27" s="259">
        <f>'PD0101'!E27</f>
        <v>22</v>
      </c>
      <c r="D27" s="259">
        <f>'PD0101'!B27</f>
        <v>22</v>
      </c>
      <c r="E27" s="259">
        <f>'PD0101'!C27</f>
        <v>24</v>
      </c>
      <c r="F27" s="259">
        <f>'IMPORTAÇÃO GENOTIPER'!AY23</f>
        <v>17.3</v>
      </c>
      <c r="G27" s="259">
        <f>'IMPORTAÇÃO GENOTIPER'!BG23</f>
        <v>19</v>
      </c>
      <c r="H27" s="90">
        <f t="shared" si="33"/>
        <v>19</v>
      </c>
      <c r="I27" s="90">
        <f t="shared" si="33"/>
        <v>22</v>
      </c>
      <c r="J27" s="90">
        <f t="shared" si="33"/>
        <v>22</v>
      </c>
      <c r="K27" s="90">
        <f t="shared" si="33"/>
        <v>24</v>
      </c>
      <c r="L27" s="90">
        <f t="shared" si="33"/>
        <v>17.3</v>
      </c>
      <c r="M27" s="90">
        <f t="shared" si="33"/>
        <v>19</v>
      </c>
      <c r="N27" s="91">
        <f t="shared" si="1"/>
        <v>19</v>
      </c>
      <c r="O27" s="91">
        <f t="shared" si="2"/>
        <v>22</v>
      </c>
      <c r="P27" s="91">
        <f t="shared" si="3"/>
        <v>22</v>
      </c>
      <c r="Q27" s="91">
        <f t="shared" si="4"/>
        <v>24</v>
      </c>
      <c r="R27" s="91">
        <f t="shared" si="5"/>
        <v>17.3</v>
      </c>
      <c r="S27" s="91">
        <f t="shared" si="6"/>
        <v>19</v>
      </c>
      <c r="T27" s="92">
        <f t="shared" si="7"/>
        <v>22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22</v>
      </c>
      <c r="X27" s="116">
        <f t="shared" si="30"/>
        <v>24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3.4799999999999998E-2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22</v>
      </c>
      <c r="BK27" s="54">
        <f t="shared" si="19"/>
        <v>22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12</v>
      </c>
      <c r="C28" s="259">
        <f>'PD0101'!E28</f>
        <v>13</v>
      </c>
      <c r="D28" s="259">
        <f>'PD0101'!B28</f>
        <v>12</v>
      </c>
      <c r="E28" s="259">
        <f>'PD0101'!C28</f>
        <v>15.2</v>
      </c>
      <c r="F28" s="259">
        <f>'IMPORTAÇÃO GENOTIPER'!AY24</f>
        <v>12</v>
      </c>
      <c r="G28" s="259">
        <f>'IMPORTAÇÃO GENOTIPER'!BG24</f>
        <v>13</v>
      </c>
      <c r="H28" s="90">
        <f t="shared" si="33"/>
        <v>12</v>
      </c>
      <c r="I28" s="90">
        <f t="shared" si="33"/>
        <v>13</v>
      </c>
      <c r="J28" s="90">
        <f t="shared" si="33"/>
        <v>12</v>
      </c>
      <c r="K28" s="90">
        <f t="shared" si="33"/>
        <v>15.2</v>
      </c>
      <c r="L28" s="90">
        <f t="shared" si="33"/>
        <v>12</v>
      </c>
      <c r="M28" s="90">
        <f t="shared" si="33"/>
        <v>13</v>
      </c>
      <c r="N28" s="91">
        <f t="shared" si="1"/>
        <v>12</v>
      </c>
      <c r="O28" s="91">
        <f t="shared" si="2"/>
        <v>13</v>
      </c>
      <c r="P28" s="91">
        <f t="shared" si="3"/>
        <v>12</v>
      </c>
      <c r="Q28" s="91">
        <f t="shared" si="4"/>
        <v>15.2</v>
      </c>
      <c r="R28" s="91">
        <f t="shared" si="5"/>
        <v>12</v>
      </c>
      <c r="S28" s="91">
        <f t="shared" si="6"/>
        <v>13</v>
      </c>
      <c r="T28" s="92">
        <f t="shared" si="7"/>
        <v>12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12</v>
      </c>
      <c r="X28" s="116">
        <f t="shared" si="30"/>
        <v>15.2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5.8799999999999998E-2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12</v>
      </c>
      <c r="BK28" s="54">
        <f t="shared" si="19"/>
        <v>12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21</v>
      </c>
      <c r="C29" s="259">
        <f>'PD0101'!E29</f>
        <v>24</v>
      </c>
      <c r="D29" s="259">
        <f>'PD0101'!B29</f>
        <v>24</v>
      </c>
      <c r="E29" s="259">
        <f>'PD0101'!C29</f>
        <v>25</v>
      </c>
      <c r="F29" s="259">
        <f>'IMPORTAÇÃO GENOTIPER'!AY25</f>
        <v>21</v>
      </c>
      <c r="G29" s="259">
        <f>'IMPORTAÇÃO GENOTIPER'!BG25</f>
        <v>21</v>
      </c>
      <c r="H29" s="90">
        <f t="shared" si="33"/>
        <v>21</v>
      </c>
      <c r="I29" s="90">
        <f t="shared" si="33"/>
        <v>24</v>
      </c>
      <c r="J29" s="90">
        <f t="shared" si="33"/>
        <v>24</v>
      </c>
      <c r="K29" s="90">
        <f t="shared" si="33"/>
        <v>25</v>
      </c>
      <c r="L29" s="90">
        <f t="shared" si="33"/>
        <v>21</v>
      </c>
      <c r="M29" s="90">
        <f t="shared" si="33"/>
        <v>21</v>
      </c>
      <c r="N29" s="91">
        <f t="shared" si="1"/>
        <v>21</v>
      </c>
      <c r="O29" s="91">
        <f t="shared" si="2"/>
        <v>24</v>
      </c>
      <c r="P29" s="91">
        <f t="shared" si="3"/>
        <v>24</v>
      </c>
      <c r="Q29" s="91">
        <f t="shared" si="4"/>
        <v>25</v>
      </c>
      <c r="R29" s="91">
        <f t="shared" si="5"/>
        <v>21</v>
      </c>
      <c r="S29" s="91">
        <f t="shared" si="6"/>
        <v>21</v>
      </c>
      <c r="T29" s="92">
        <f t="shared" si="7"/>
        <v>24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24</v>
      </c>
      <c r="X29" s="116">
        <f t="shared" si="30"/>
        <v>25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24</v>
      </c>
      <c r="BK29" s="54">
        <f t="shared" si="19"/>
        <v>24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16</v>
      </c>
      <c r="C30" s="259">
        <f>'PD0101'!E30</f>
        <v>16</v>
      </c>
      <c r="D30" s="259">
        <f>'PD0101'!B30</f>
        <v>15</v>
      </c>
      <c r="E30" s="259">
        <f>'PD0101'!C30</f>
        <v>16</v>
      </c>
      <c r="F30" s="259">
        <f>'IMPORTAÇÃO GENOTIPER'!AY26</f>
        <v>14</v>
      </c>
      <c r="G30" s="259">
        <f>'IMPORTAÇÃO GENOTIPER'!BG26</f>
        <v>16</v>
      </c>
      <c r="H30" s="90">
        <f t="shared" si="33"/>
        <v>16</v>
      </c>
      <c r="I30" s="90">
        <f t="shared" si="33"/>
        <v>16</v>
      </c>
      <c r="J30" s="90">
        <f t="shared" si="33"/>
        <v>15</v>
      </c>
      <c r="K30" s="90">
        <f t="shared" si="33"/>
        <v>16</v>
      </c>
      <c r="L30" s="90">
        <f t="shared" si="33"/>
        <v>14</v>
      </c>
      <c r="M30" s="90">
        <f t="shared" si="33"/>
        <v>16</v>
      </c>
      <c r="N30" s="91">
        <f t="shared" si="1"/>
        <v>16</v>
      </c>
      <c r="O30" s="91">
        <f t="shared" si="2"/>
        <v>16</v>
      </c>
      <c r="P30" s="91">
        <f t="shared" si="3"/>
        <v>15</v>
      </c>
      <c r="Q30" s="91">
        <f t="shared" si="4"/>
        <v>16</v>
      </c>
      <c r="R30" s="91">
        <f t="shared" si="5"/>
        <v>14</v>
      </c>
      <c r="S30" s="91">
        <f t="shared" si="6"/>
        <v>16</v>
      </c>
      <c r="T30" s="92">
        <f t="shared" si="7"/>
        <v>0</v>
      </c>
      <c r="U30" s="92">
        <f t="shared" si="8"/>
        <v>16</v>
      </c>
      <c r="V30" s="93">
        <f>(IF((OR((P30="&gt;22"),(Q30="&gt;22"))),2,(IF(((T30+U30)=(P30+Q30)),0,1))))</f>
        <v>1</v>
      </c>
      <c r="W30" s="94">
        <f t="shared" si="34"/>
        <v>16</v>
      </c>
      <c r="X30" s="116">
        <f t="shared" si="30"/>
        <v>15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11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customXml/itemProps3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2025-10-15T12:42:40Z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