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LAUDOS\1193.25.20.JD.297\"/>
    </mc:Choice>
  </mc:AlternateContent>
  <xr:revisionPtr revIDLastSave="0" documentId="8_{889BF2C1-CC94-4B85-B58B-ECFD349A11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MPORTAÇÃO GENOTIPER" sheetId="3" r:id="rId1"/>
    <sheet name="DADOS BÁSICOS" sheetId="1" r:id="rId2"/>
    <sheet name="FREQUENCIAS" sheetId="4" state="hidden" r:id="rId3"/>
  </sheets>
  <definedNames>
    <definedName name="_xlnm._FilterDatabase" localSheetId="1" hidden="1">'DADOS BÁSICOS'!$BF$47:$BF$49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3" l="1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E28" i="3" l="1"/>
  <c r="B35" i="1" s="1"/>
  <c r="AF28" i="3"/>
  <c r="AG28" i="3"/>
  <c r="AH28" i="3"/>
  <c r="AI28" i="3"/>
  <c r="AJ28" i="3"/>
  <c r="AK28" i="3"/>
  <c r="AN28" i="3"/>
  <c r="AO28" i="3"/>
  <c r="AP28" i="3"/>
  <c r="AQ28" i="3"/>
  <c r="AR28" i="3"/>
  <c r="AS28" i="3"/>
  <c r="AV28" i="3"/>
  <c r="AW28" i="3"/>
  <c r="AX28" i="3"/>
  <c r="AY28" i="3"/>
  <c r="AZ28" i="3"/>
  <c r="BA28" i="3"/>
  <c r="AE29" i="3"/>
  <c r="AF29" i="3"/>
  <c r="AG29" i="3"/>
  <c r="AH29" i="3"/>
  <c r="AI29" i="3"/>
  <c r="AJ29" i="3"/>
  <c r="AK29" i="3"/>
  <c r="AN29" i="3"/>
  <c r="AO29" i="3"/>
  <c r="AP29" i="3"/>
  <c r="AQ29" i="3"/>
  <c r="AR29" i="3"/>
  <c r="AS29" i="3"/>
  <c r="AV29" i="3"/>
  <c r="AW29" i="3"/>
  <c r="AX29" i="3"/>
  <c r="AY29" i="3"/>
  <c r="AZ29" i="3"/>
  <c r="BA29" i="3"/>
  <c r="AE30" i="3"/>
  <c r="B37" i="1" s="1"/>
  <c r="AF30" i="3"/>
  <c r="AG30" i="3"/>
  <c r="AH30" i="3"/>
  <c r="AI30" i="3"/>
  <c r="AJ30" i="3"/>
  <c r="AK30" i="3"/>
  <c r="AN30" i="3"/>
  <c r="AO30" i="3"/>
  <c r="AP30" i="3"/>
  <c r="AQ30" i="3"/>
  <c r="AR30" i="3"/>
  <c r="AS30" i="3"/>
  <c r="AV30" i="3"/>
  <c r="AW30" i="3"/>
  <c r="AX30" i="3"/>
  <c r="AY30" i="3"/>
  <c r="AZ30" i="3"/>
  <c r="BA30" i="3"/>
  <c r="AE31" i="3"/>
  <c r="B38" i="1" s="1"/>
  <c r="AF31" i="3"/>
  <c r="AG31" i="3"/>
  <c r="AH31" i="3"/>
  <c r="AI31" i="3"/>
  <c r="AJ31" i="3"/>
  <c r="AK31" i="3"/>
  <c r="AN31" i="3"/>
  <c r="AO31" i="3"/>
  <c r="AP31" i="3"/>
  <c r="AQ31" i="3"/>
  <c r="AR31" i="3"/>
  <c r="AS31" i="3"/>
  <c r="AV31" i="3"/>
  <c r="AW31" i="3"/>
  <c r="AX31" i="3"/>
  <c r="AY31" i="3"/>
  <c r="AZ31" i="3"/>
  <c r="BA31" i="3"/>
  <c r="AE32" i="3"/>
  <c r="AF32" i="3"/>
  <c r="AG32" i="3"/>
  <c r="AH32" i="3"/>
  <c r="AI32" i="3"/>
  <c r="AJ32" i="3"/>
  <c r="AK32" i="3"/>
  <c r="AN32" i="3"/>
  <c r="AO32" i="3"/>
  <c r="AP32" i="3"/>
  <c r="AQ32" i="3"/>
  <c r="AR32" i="3"/>
  <c r="AS32" i="3"/>
  <c r="AV32" i="3"/>
  <c r="AW32" i="3"/>
  <c r="AX32" i="3"/>
  <c r="AY32" i="3"/>
  <c r="AZ32" i="3"/>
  <c r="BA32" i="3"/>
  <c r="AE33" i="3"/>
  <c r="AF33" i="3"/>
  <c r="AG33" i="3"/>
  <c r="AH33" i="3"/>
  <c r="AI33" i="3"/>
  <c r="AJ33" i="3"/>
  <c r="AK33" i="3"/>
  <c r="AN33" i="3"/>
  <c r="AO33" i="3"/>
  <c r="AP33" i="3"/>
  <c r="AQ33" i="3"/>
  <c r="AR33" i="3"/>
  <c r="AS33" i="3"/>
  <c r="AV33" i="3"/>
  <c r="AW33" i="3"/>
  <c r="AX33" i="3"/>
  <c r="AY33" i="3"/>
  <c r="AZ33" i="3"/>
  <c r="BA33" i="3"/>
  <c r="AE34" i="3"/>
  <c r="B41" i="1" s="1"/>
  <c r="AF34" i="3"/>
  <c r="AG34" i="3"/>
  <c r="AH34" i="3"/>
  <c r="AI34" i="3"/>
  <c r="AJ34" i="3"/>
  <c r="AK34" i="3"/>
  <c r="AN34" i="3"/>
  <c r="AO34" i="3"/>
  <c r="AP34" i="3"/>
  <c r="AQ34" i="3"/>
  <c r="AR34" i="3"/>
  <c r="AS34" i="3"/>
  <c r="AV34" i="3"/>
  <c r="AW34" i="3"/>
  <c r="AX34" i="3"/>
  <c r="AY34" i="3"/>
  <c r="AZ34" i="3"/>
  <c r="BA34" i="3"/>
  <c r="AE35" i="3"/>
  <c r="B42" i="1" s="1"/>
  <c r="AF35" i="3"/>
  <c r="AG35" i="3"/>
  <c r="AH35" i="3"/>
  <c r="AI35" i="3"/>
  <c r="AJ35" i="3"/>
  <c r="AK35" i="3"/>
  <c r="AN35" i="3"/>
  <c r="AO35" i="3"/>
  <c r="AP35" i="3"/>
  <c r="AQ35" i="3"/>
  <c r="AR35" i="3"/>
  <c r="AS35" i="3"/>
  <c r="AV35" i="3"/>
  <c r="AW35" i="3"/>
  <c r="AX35" i="3"/>
  <c r="AY35" i="3"/>
  <c r="AZ35" i="3"/>
  <c r="BA35" i="3"/>
  <c r="AE36" i="3"/>
  <c r="AF36" i="3"/>
  <c r="AG36" i="3"/>
  <c r="AH36" i="3"/>
  <c r="AI36" i="3"/>
  <c r="AJ36" i="3"/>
  <c r="AK36" i="3"/>
  <c r="AN36" i="3"/>
  <c r="AO36" i="3"/>
  <c r="AP36" i="3"/>
  <c r="AQ36" i="3"/>
  <c r="AR36" i="3"/>
  <c r="AS36" i="3"/>
  <c r="AV36" i="3"/>
  <c r="AW36" i="3"/>
  <c r="AX36" i="3"/>
  <c r="AY36" i="3"/>
  <c r="AZ36" i="3"/>
  <c r="BA36" i="3"/>
  <c r="AE37" i="3"/>
  <c r="B44" i="1" s="1"/>
  <c r="AF37" i="3"/>
  <c r="AG37" i="3"/>
  <c r="AH37" i="3"/>
  <c r="AI37" i="3"/>
  <c r="AJ37" i="3"/>
  <c r="AK37" i="3"/>
  <c r="AN37" i="3"/>
  <c r="AO37" i="3"/>
  <c r="AP37" i="3"/>
  <c r="AQ37" i="3"/>
  <c r="AR37" i="3"/>
  <c r="AS37" i="3"/>
  <c r="AV37" i="3"/>
  <c r="AW37" i="3"/>
  <c r="AX37" i="3"/>
  <c r="AY37" i="3"/>
  <c r="AZ37" i="3"/>
  <c r="BA37" i="3"/>
  <c r="AE38" i="3"/>
  <c r="B45" i="1" s="1"/>
  <c r="AF38" i="3"/>
  <c r="AG38" i="3"/>
  <c r="AH38" i="3"/>
  <c r="AI38" i="3"/>
  <c r="AJ38" i="3"/>
  <c r="AK38" i="3"/>
  <c r="AN38" i="3"/>
  <c r="AO38" i="3"/>
  <c r="AP38" i="3"/>
  <c r="AQ38" i="3"/>
  <c r="AR38" i="3"/>
  <c r="AS38" i="3"/>
  <c r="AV38" i="3"/>
  <c r="AW38" i="3"/>
  <c r="AX38" i="3"/>
  <c r="AY38" i="3"/>
  <c r="AZ38" i="3"/>
  <c r="BA38" i="3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B40" i="1" l="1"/>
  <c r="Z45" i="1"/>
  <c r="AZ45" i="1"/>
  <c r="AH45" i="1"/>
  <c r="AK45" i="1" s="1"/>
  <c r="AV45" i="1"/>
  <c r="AZ38" i="1"/>
  <c r="B39" i="1"/>
  <c r="AV35" i="1"/>
  <c r="B36" i="1"/>
  <c r="AZ42" i="1"/>
  <c r="B43" i="1"/>
  <c r="BC37" i="3"/>
  <c r="E44" i="1" s="1"/>
  <c r="AU36" i="3"/>
  <c r="AM35" i="3"/>
  <c r="BC33" i="3"/>
  <c r="AM31" i="3"/>
  <c r="BC29" i="3"/>
  <c r="AU28" i="3"/>
  <c r="D35" i="1" s="1"/>
  <c r="AZ44" i="1"/>
  <c r="AV44" i="1"/>
  <c r="AH44" i="1"/>
  <c r="AK44" i="1" s="1"/>
  <c r="AU30" i="3"/>
  <c r="AM38" i="3"/>
  <c r="C45" i="1" s="1"/>
  <c r="AU35" i="3"/>
  <c r="AM34" i="3"/>
  <c r="BC32" i="3"/>
  <c r="E39" i="1" s="1"/>
  <c r="AU31" i="3"/>
  <c r="AM30" i="3"/>
  <c r="BC28" i="3"/>
  <c r="E35" i="1" s="1"/>
  <c r="BC36" i="3"/>
  <c r="BC35" i="3"/>
  <c r="E42" i="1" s="1"/>
  <c r="AU34" i="3"/>
  <c r="AM33" i="3"/>
  <c r="AU32" i="3"/>
  <c r="BC31" i="3"/>
  <c r="AM29" i="3"/>
  <c r="AU38" i="3"/>
  <c r="D45" i="1" s="1"/>
  <c r="AM37" i="3"/>
  <c r="C44" i="1" s="1"/>
  <c r="Z44" i="1" s="1"/>
  <c r="BC38" i="3"/>
  <c r="E45" i="1" s="1"/>
  <c r="AU37" i="3"/>
  <c r="D44" i="1" s="1"/>
  <c r="AZ43" i="1"/>
  <c r="AV43" i="1"/>
  <c r="AM36" i="3"/>
  <c r="BC34" i="3"/>
  <c r="AU33" i="3"/>
  <c r="D40" i="1" s="1"/>
  <c r="AM32" i="3"/>
  <c r="BC30" i="3"/>
  <c r="AU29" i="3"/>
  <c r="AM28" i="3"/>
  <c r="C35" i="1" s="1"/>
  <c r="AY42" i="1"/>
  <c r="AH42" i="1"/>
  <c r="AK42" i="1" s="1"/>
  <c r="AV42" i="1"/>
  <c r="AZ37" i="1"/>
  <c r="AV37" i="1"/>
  <c r="AH37" i="1"/>
  <c r="AK37" i="1" s="1"/>
  <c r="AH35" i="1"/>
  <c r="AK35" i="1" s="1"/>
  <c r="AZ35" i="1"/>
  <c r="AZ41" i="1"/>
  <c r="AV41" i="1"/>
  <c r="AH41" i="1"/>
  <c r="AK41" i="1" s="1"/>
  <c r="AV40" i="1"/>
  <c r="AZ40" i="1"/>
  <c r="AH38" i="1"/>
  <c r="AK38" i="1" s="1"/>
  <c r="AV38" i="1"/>
  <c r="AY39" i="1"/>
  <c r="Y35" i="1" l="1"/>
  <c r="G35" i="1"/>
  <c r="BB40" i="1"/>
  <c r="D41" i="1"/>
  <c r="AX41" i="1" s="1"/>
  <c r="D42" i="1"/>
  <c r="H42" i="1" s="1"/>
  <c r="BA37" i="1"/>
  <c r="C38" i="1"/>
  <c r="Z35" i="1"/>
  <c r="BA35" i="1"/>
  <c r="E41" i="1"/>
  <c r="BB45" i="1"/>
  <c r="H45" i="1"/>
  <c r="AX45" i="1"/>
  <c r="AL45" i="1"/>
  <c r="AO45" i="1" s="1"/>
  <c r="G45" i="1"/>
  <c r="AW45" i="1"/>
  <c r="BA45" i="1"/>
  <c r="BC39" i="1"/>
  <c r="E40" i="1"/>
  <c r="I40" i="1" s="1"/>
  <c r="AF45" i="1"/>
  <c r="C43" i="1"/>
  <c r="Y43" i="1" s="1"/>
  <c r="BC42" i="1"/>
  <c r="E43" i="1"/>
  <c r="BB36" i="1"/>
  <c r="D37" i="1"/>
  <c r="I37" i="1" s="1"/>
  <c r="C42" i="1"/>
  <c r="AF42" i="1" s="1"/>
  <c r="Y44" i="1"/>
  <c r="F45" i="1"/>
  <c r="AH43" i="1"/>
  <c r="AK43" i="1" s="1"/>
  <c r="AF43" i="1" s="1"/>
  <c r="AX42" i="1"/>
  <c r="D43" i="1"/>
  <c r="Z43" i="1" s="1"/>
  <c r="AL35" i="1"/>
  <c r="AO35" i="1" s="1"/>
  <c r="C36" i="1"/>
  <c r="AF36" i="1" s="1"/>
  <c r="G36" i="1"/>
  <c r="C37" i="1"/>
  <c r="Z39" i="1"/>
  <c r="AZ36" i="1"/>
  <c r="AV39" i="1"/>
  <c r="BB35" i="1"/>
  <c r="D36" i="1"/>
  <c r="E38" i="1"/>
  <c r="D38" i="1"/>
  <c r="Y45" i="1"/>
  <c r="AV36" i="1"/>
  <c r="E37" i="1"/>
  <c r="BC37" i="1" s="1"/>
  <c r="D39" i="1"/>
  <c r="Z40" i="1"/>
  <c r="AF38" i="1"/>
  <c r="AH40" i="1"/>
  <c r="AK40" i="1" s="1"/>
  <c r="AH36" i="1"/>
  <c r="AK36" i="1" s="1"/>
  <c r="AH39" i="1"/>
  <c r="AK39" i="1" s="1"/>
  <c r="AW38" i="1"/>
  <c r="C39" i="1"/>
  <c r="BA39" i="1" s="1"/>
  <c r="AY45" i="1"/>
  <c r="I45" i="1"/>
  <c r="BC45" i="1"/>
  <c r="C40" i="1"/>
  <c r="AF40" i="1" s="1"/>
  <c r="AW40" i="1"/>
  <c r="C41" i="1"/>
  <c r="AF41" i="1" s="1"/>
  <c r="BC35" i="1"/>
  <c r="E36" i="1"/>
  <c r="AY36" i="1" s="1"/>
  <c r="AZ39" i="1"/>
  <c r="BB42" i="1"/>
  <c r="AL38" i="1"/>
  <c r="AO38" i="1" s="1"/>
  <c r="H35" i="1"/>
  <c r="I36" i="1"/>
  <c r="AY35" i="1"/>
  <c r="F38" i="1"/>
  <c r="G40" i="1"/>
  <c r="BA40" i="1"/>
  <c r="BF45" i="1"/>
  <c r="BE45" i="1"/>
  <c r="AL44" i="1"/>
  <c r="AO44" i="1" s="1"/>
  <c r="BA44" i="1"/>
  <c r="G44" i="1"/>
  <c r="AW44" i="1"/>
  <c r="AL43" i="1"/>
  <c r="AO43" i="1" s="1"/>
  <c r="BA43" i="1"/>
  <c r="G43" i="1"/>
  <c r="AW43" i="1"/>
  <c r="F44" i="1"/>
  <c r="F40" i="1"/>
  <c r="AL40" i="1"/>
  <c r="AO40" i="1" s="1"/>
  <c r="AL39" i="1"/>
  <c r="AO39" i="1" s="1"/>
  <c r="G39" i="1"/>
  <c r="BB44" i="1"/>
  <c r="H44" i="1"/>
  <c r="AX44" i="1"/>
  <c r="AF44" i="1"/>
  <c r="AW35" i="1"/>
  <c r="F35" i="1"/>
  <c r="AY40" i="1"/>
  <c r="AL42" i="1"/>
  <c r="AO42" i="1" s="1"/>
  <c r="I41" i="1"/>
  <c r="AX40" i="1"/>
  <c r="G38" i="1"/>
  <c r="AY37" i="1"/>
  <c r="I35" i="1"/>
  <c r="AF35" i="1"/>
  <c r="AX35" i="1"/>
  <c r="AF39" i="1"/>
  <c r="BA38" i="1"/>
  <c r="F42" i="1"/>
  <c r="F43" i="1"/>
  <c r="BC44" i="1"/>
  <c r="I44" i="1"/>
  <c r="AY44" i="1"/>
  <c r="F36" i="1" l="1"/>
  <c r="AW36" i="1"/>
  <c r="BC36" i="1"/>
  <c r="BA41" i="1"/>
  <c r="O45" i="1"/>
  <c r="Q45" i="1" s="1"/>
  <c r="U45" i="1" s="1"/>
  <c r="N45" i="1"/>
  <c r="P45" i="1" s="1"/>
  <c r="Z38" i="1"/>
  <c r="Y38" i="1"/>
  <c r="Y40" i="1"/>
  <c r="AX37" i="1"/>
  <c r="Y39" i="1"/>
  <c r="AY41" i="1"/>
  <c r="BC41" i="1"/>
  <c r="Y42" i="1"/>
  <c r="Z42" i="1"/>
  <c r="AX43" i="1"/>
  <c r="AW39" i="1"/>
  <c r="Z41" i="1"/>
  <c r="Y41" i="1"/>
  <c r="G41" i="1"/>
  <c r="AW41" i="1"/>
  <c r="AL41" i="1"/>
  <c r="AO41" i="1" s="1"/>
  <c r="F41" i="1"/>
  <c r="BB39" i="1"/>
  <c r="I39" i="1"/>
  <c r="AX39" i="1"/>
  <c r="H39" i="1"/>
  <c r="BC38" i="1"/>
  <c r="AY38" i="1"/>
  <c r="I38" i="1"/>
  <c r="BD38" i="1" s="1"/>
  <c r="Y37" i="1"/>
  <c r="Z37" i="1"/>
  <c r="F37" i="1"/>
  <c r="G37" i="1"/>
  <c r="AL37" i="1"/>
  <c r="AO37" i="1" s="1"/>
  <c r="AW37" i="1"/>
  <c r="BD45" i="1"/>
  <c r="AE45" i="1"/>
  <c r="AY43" i="1"/>
  <c r="BC43" i="1"/>
  <c r="BC40" i="1"/>
  <c r="I43" i="1"/>
  <c r="AX38" i="1"/>
  <c r="BB38" i="1"/>
  <c r="H41" i="1"/>
  <c r="N41" i="1" s="1"/>
  <c r="P41" i="1" s="1"/>
  <c r="BB41" i="1"/>
  <c r="H37" i="1"/>
  <c r="BB37" i="1"/>
  <c r="H43" i="1"/>
  <c r="H38" i="1"/>
  <c r="BB43" i="1"/>
  <c r="AF37" i="1"/>
  <c r="H36" i="1"/>
  <c r="AX36" i="1"/>
  <c r="AL36" i="1"/>
  <c r="AO36" i="1" s="1"/>
  <c r="BA36" i="1"/>
  <c r="Y36" i="1"/>
  <c r="H40" i="1"/>
  <c r="O40" i="1" s="1"/>
  <c r="Q40" i="1" s="1"/>
  <c r="U40" i="1" s="1"/>
  <c r="F39" i="1"/>
  <c r="AW42" i="1"/>
  <c r="BA42" i="1"/>
  <c r="G42" i="1"/>
  <c r="AE42" i="1" s="1"/>
  <c r="Z36" i="1"/>
  <c r="I42" i="1"/>
  <c r="O42" i="1" s="1"/>
  <c r="Q42" i="1" s="1"/>
  <c r="U42" i="1" s="1"/>
  <c r="BD40" i="1"/>
  <c r="BD43" i="1"/>
  <c r="BD35" i="1"/>
  <c r="BD44" i="1"/>
  <c r="BD36" i="1"/>
  <c r="N40" i="1"/>
  <c r="P40" i="1" s="1"/>
  <c r="AE41" i="1"/>
  <c r="AE40" i="1"/>
  <c r="AE38" i="1"/>
  <c r="N39" i="1"/>
  <c r="P39" i="1" s="1"/>
  <c r="N35" i="1"/>
  <c r="P35" i="1" s="1"/>
  <c r="O35" i="1"/>
  <c r="Q35" i="1" s="1"/>
  <c r="U35" i="1" s="1"/>
  <c r="N38" i="1"/>
  <c r="P38" i="1" s="1"/>
  <c r="AE35" i="1"/>
  <c r="O43" i="1"/>
  <c r="Q43" i="1" s="1"/>
  <c r="U43" i="1" s="1"/>
  <c r="N43" i="1"/>
  <c r="P43" i="1" s="1"/>
  <c r="AE43" i="1"/>
  <c r="O44" i="1"/>
  <c r="Q44" i="1" s="1"/>
  <c r="U44" i="1" s="1"/>
  <c r="N44" i="1"/>
  <c r="P44" i="1" s="1"/>
  <c r="AE44" i="1"/>
  <c r="AE36" i="1" l="1"/>
  <c r="AE37" i="1"/>
  <c r="BD37" i="1"/>
  <c r="N37" i="1"/>
  <c r="P37" i="1" s="1"/>
  <c r="O37" i="1"/>
  <c r="Q37" i="1" s="1"/>
  <c r="U37" i="1" s="1"/>
  <c r="O41" i="1"/>
  <c r="Q41" i="1" s="1"/>
  <c r="U41" i="1" s="1"/>
  <c r="BD39" i="1"/>
  <c r="N42" i="1"/>
  <c r="P42" i="1" s="1"/>
  <c r="T42" i="1" s="1"/>
  <c r="T45" i="1"/>
  <c r="X45" i="1"/>
  <c r="AC45" i="1" s="1"/>
  <c r="AB45" i="1"/>
  <c r="BD41" i="1"/>
  <c r="AE39" i="1"/>
  <c r="BD42" i="1"/>
  <c r="O38" i="1"/>
  <c r="Q38" i="1" s="1"/>
  <c r="U38" i="1" s="1"/>
  <c r="O39" i="1"/>
  <c r="Q39" i="1" s="1"/>
  <c r="U39" i="1" s="1"/>
  <c r="O36" i="1"/>
  <c r="Q36" i="1" s="1"/>
  <c r="U36" i="1" s="1"/>
  <c r="N36" i="1"/>
  <c r="P36" i="1" s="1"/>
  <c r="T40" i="1"/>
  <c r="X40" i="1"/>
  <c r="AC40" i="1" s="1"/>
  <c r="AB40" i="1"/>
  <c r="X43" i="1"/>
  <c r="AC43" i="1" s="1"/>
  <c r="AB43" i="1"/>
  <c r="AB44" i="1"/>
  <c r="X44" i="1"/>
  <c r="AC44" i="1" s="1"/>
  <c r="T39" i="1"/>
  <c r="T41" i="1"/>
  <c r="AB41" i="1"/>
  <c r="T38" i="1"/>
  <c r="T35" i="1"/>
  <c r="X35" i="1"/>
  <c r="AC35" i="1" s="1"/>
  <c r="AB35" i="1"/>
  <c r="BE35" i="1"/>
  <c r="T44" i="1"/>
  <c r="T43" i="1"/>
  <c r="BF42" i="1"/>
  <c r="BE42" i="1"/>
  <c r="BF35" i="1"/>
  <c r="BF36" i="1"/>
  <c r="BE36" i="1"/>
  <c r="BE37" i="1"/>
  <c r="BF37" i="1"/>
  <c r="BE41" i="1"/>
  <c r="BF41" i="1"/>
  <c r="BF40" i="1"/>
  <c r="BE40" i="1"/>
  <c r="BF39" i="1"/>
  <c r="BE39" i="1"/>
  <c r="BF38" i="1"/>
  <c r="BE38" i="1"/>
  <c r="AB39" i="1" l="1"/>
  <c r="AB38" i="1"/>
  <c r="AB42" i="1"/>
  <c r="X38" i="1"/>
  <c r="AC38" i="1" s="1"/>
  <c r="X42" i="1"/>
  <c r="AC42" i="1" s="1"/>
  <c r="T37" i="1"/>
  <c r="X37" i="1"/>
  <c r="AC37" i="1" s="1"/>
  <c r="AB37" i="1"/>
  <c r="T36" i="1"/>
  <c r="AB36" i="1"/>
  <c r="X36" i="1"/>
  <c r="AC36" i="1" s="1"/>
  <c r="X39" i="1"/>
  <c r="AC39" i="1" s="1"/>
  <c r="X41" i="1"/>
  <c r="AC41" i="1" s="1"/>
  <c r="BE43" i="1"/>
  <c r="BF43" i="1"/>
  <c r="BF44" i="1"/>
  <c r="BE44" i="1"/>
  <c r="BA27" i="3"/>
  <c r="AZ27" i="3"/>
  <c r="AY27" i="3"/>
  <c r="AX27" i="3"/>
  <c r="AW27" i="3"/>
  <c r="AV27" i="3"/>
  <c r="AS27" i="3"/>
  <c r="AR27" i="3"/>
  <c r="AQ27" i="3"/>
  <c r="AP27" i="3"/>
  <c r="AO27" i="3"/>
  <c r="AN27" i="3"/>
  <c r="AK27" i="3"/>
  <c r="AJ27" i="3"/>
  <c r="AI27" i="3"/>
  <c r="AH27" i="3"/>
  <c r="AG27" i="3"/>
  <c r="AF27" i="3"/>
  <c r="AC27" i="3"/>
  <c r="AB27" i="3"/>
  <c r="AA27" i="3"/>
  <c r="Z27" i="3"/>
  <c r="Y27" i="3"/>
  <c r="X27" i="3"/>
  <c r="U27" i="3"/>
  <c r="T27" i="3"/>
  <c r="S27" i="3"/>
  <c r="R27" i="3"/>
  <c r="Q27" i="3"/>
  <c r="P27" i="3"/>
  <c r="M27" i="3"/>
  <c r="L27" i="3"/>
  <c r="K27" i="3"/>
  <c r="J27" i="3"/>
  <c r="I27" i="3"/>
  <c r="H27" i="3"/>
  <c r="BA26" i="3"/>
  <c r="AZ26" i="3"/>
  <c r="AY26" i="3"/>
  <c r="AX26" i="3"/>
  <c r="AW26" i="3"/>
  <c r="AV26" i="3"/>
  <c r="AS26" i="3"/>
  <c r="AR26" i="3"/>
  <c r="AQ26" i="3"/>
  <c r="AP26" i="3"/>
  <c r="AO26" i="3"/>
  <c r="AN26" i="3"/>
  <c r="AK26" i="3"/>
  <c r="AJ26" i="3"/>
  <c r="AI26" i="3"/>
  <c r="AH26" i="3"/>
  <c r="AG26" i="3"/>
  <c r="AF26" i="3"/>
  <c r="AC26" i="3"/>
  <c r="AB26" i="3"/>
  <c r="AA26" i="3"/>
  <c r="Z26" i="3"/>
  <c r="Y26" i="3"/>
  <c r="X26" i="3"/>
  <c r="U26" i="3"/>
  <c r="T26" i="3"/>
  <c r="S26" i="3"/>
  <c r="R26" i="3"/>
  <c r="Q26" i="3"/>
  <c r="P26" i="3"/>
  <c r="M26" i="3"/>
  <c r="L26" i="3"/>
  <c r="K26" i="3"/>
  <c r="J26" i="3"/>
  <c r="I26" i="3"/>
  <c r="H26" i="3"/>
  <c r="BA25" i="3"/>
  <c r="AZ25" i="3"/>
  <c r="AY25" i="3"/>
  <c r="AX25" i="3"/>
  <c r="AW25" i="3"/>
  <c r="AV25" i="3"/>
  <c r="AS25" i="3"/>
  <c r="AR25" i="3"/>
  <c r="AQ25" i="3"/>
  <c r="AP25" i="3"/>
  <c r="AO25" i="3"/>
  <c r="AN25" i="3"/>
  <c r="AK25" i="3"/>
  <c r="AJ25" i="3"/>
  <c r="AI25" i="3"/>
  <c r="AH25" i="3"/>
  <c r="AG25" i="3"/>
  <c r="AF25" i="3"/>
  <c r="AC25" i="3"/>
  <c r="AB25" i="3"/>
  <c r="AA25" i="3"/>
  <c r="Z25" i="3"/>
  <c r="Y25" i="3"/>
  <c r="X25" i="3"/>
  <c r="U25" i="3"/>
  <c r="T25" i="3"/>
  <c r="S25" i="3"/>
  <c r="R25" i="3"/>
  <c r="Q25" i="3"/>
  <c r="P25" i="3"/>
  <c r="M25" i="3"/>
  <c r="L25" i="3"/>
  <c r="K25" i="3"/>
  <c r="J25" i="3"/>
  <c r="I25" i="3"/>
  <c r="H25" i="3"/>
  <c r="BA24" i="3"/>
  <c r="AZ24" i="3"/>
  <c r="AY24" i="3"/>
  <c r="AX24" i="3"/>
  <c r="AW24" i="3"/>
  <c r="AV24" i="3"/>
  <c r="AS24" i="3"/>
  <c r="AR24" i="3"/>
  <c r="AQ24" i="3"/>
  <c r="AP24" i="3"/>
  <c r="AO24" i="3"/>
  <c r="AN24" i="3"/>
  <c r="AK24" i="3"/>
  <c r="AJ24" i="3"/>
  <c r="AI24" i="3"/>
  <c r="AH24" i="3"/>
  <c r="AG24" i="3"/>
  <c r="AF24" i="3"/>
  <c r="AC24" i="3"/>
  <c r="AB24" i="3"/>
  <c r="AA24" i="3"/>
  <c r="Z24" i="3"/>
  <c r="Y24" i="3"/>
  <c r="X24" i="3"/>
  <c r="U24" i="3"/>
  <c r="T24" i="3"/>
  <c r="S24" i="3"/>
  <c r="R24" i="3"/>
  <c r="Q24" i="3"/>
  <c r="P24" i="3"/>
  <c r="M24" i="3"/>
  <c r="L24" i="3"/>
  <c r="K24" i="3"/>
  <c r="J24" i="3"/>
  <c r="I24" i="3"/>
  <c r="H24" i="3"/>
  <c r="BA23" i="3"/>
  <c r="AZ23" i="3"/>
  <c r="AY23" i="3"/>
  <c r="AX23" i="3"/>
  <c r="AW23" i="3"/>
  <c r="AV23" i="3"/>
  <c r="AS23" i="3"/>
  <c r="AR23" i="3"/>
  <c r="AQ23" i="3"/>
  <c r="AP23" i="3"/>
  <c r="AO23" i="3"/>
  <c r="AN23" i="3"/>
  <c r="AK23" i="3"/>
  <c r="AJ23" i="3"/>
  <c r="AI23" i="3"/>
  <c r="AH23" i="3"/>
  <c r="AG23" i="3"/>
  <c r="AF23" i="3"/>
  <c r="AC23" i="3"/>
  <c r="AB23" i="3"/>
  <c r="AA23" i="3"/>
  <c r="Z23" i="3"/>
  <c r="Y23" i="3"/>
  <c r="X23" i="3"/>
  <c r="U23" i="3"/>
  <c r="T23" i="3"/>
  <c r="S23" i="3"/>
  <c r="R23" i="3"/>
  <c r="Q23" i="3"/>
  <c r="P23" i="3"/>
  <c r="M23" i="3"/>
  <c r="L23" i="3"/>
  <c r="K23" i="3"/>
  <c r="J23" i="3"/>
  <c r="I23" i="3"/>
  <c r="H23" i="3"/>
  <c r="BA22" i="3"/>
  <c r="AZ22" i="3"/>
  <c r="AY22" i="3"/>
  <c r="AX22" i="3"/>
  <c r="AW22" i="3"/>
  <c r="AV22" i="3"/>
  <c r="AS22" i="3"/>
  <c r="AR22" i="3"/>
  <c r="AQ22" i="3"/>
  <c r="AP22" i="3"/>
  <c r="AO22" i="3"/>
  <c r="AN22" i="3"/>
  <c r="AK22" i="3"/>
  <c r="AJ22" i="3"/>
  <c r="AI22" i="3"/>
  <c r="AH22" i="3"/>
  <c r="AG22" i="3"/>
  <c r="AF22" i="3"/>
  <c r="AC22" i="3"/>
  <c r="AB22" i="3"/>
  <c r="AA22" i="3"/>
  <c r="Z22" i="3"/>
  <c r="Y22" i="3"/>
  <c r="X22" i="3"/>
  <c r="U22" i="3"/>
  <c r="T22" i="3"/>
  <c r="S22" i="3"/>
  <c r="R22" i="3"/>
  <c r="Q22" i="3"/>
  <c r="P22" i="3"/>
  <c r="M22" i="3"/>
  <c r="L22" i="3"/>
  <c r="K22" i="3"/>
  <c r="J22" i="3"/>
  <c r="I22" i="3"/>
  <c r="H22" i="3"/>
  <c r="BA21" i="3"/>
  <c r="AZ21" i="3"/>
  <c r="AY21" i="3"/>
  <c r="AX21" i="3"/>
  <c r="AW21" i="3"/>
  <c r="AV21" i="3"/>
  <c r="AS21" i="3"/>
  <c r="AR21" i="3"/>
  <c r="AQ21" i="3"/>
  <c r="AP21" i="3"/>
  <c r="AO21" i="3"/>
  <c r="AN21" i="3"/>
  <c r="AK21" i="3"/>
  <c r="AJ21" i="3"/>
  <c r="AI21" i="3"/>
  <c r="AH21" i="3"/>
  <c r="AG21" i="3"/>
  <c r="AF21" i="3"/>
  <c r="AC21" i="3"/>
  <c r="AB21" i="3"/>
  <c r="AA21" i="3"/>
  <c r="Z21" i="3"/>
  <c r="Y21" i="3"/>
  <c r="X21" i="3"/>
  <c r="U21" i="3"/>
  <c r="T21" i="3"/>
  <c r="S21" i="3"/>
  <c r="R21" i="3"/>
  <c r="Q21" i="3"/>
  <c r="P21" i="3"/>
  <c r="M21" i="3"/>
  <c r="L21" i="3"/>
  <c r="K21" i="3"/>
  <c r="J21" i="3"/>
  <c r="I21" i="3"/>
  <c r="H21" i="3"/>
  <c r="BA20" i="3"/>
  <c r="AZ20" i="3"/>
  <c r="AY20" i="3"/>
  <c r="AX20" i="3"/>
  <c r="AW20" i="3"/>
  <c r="AV20" i="3"/>
  <c r="AS20" i="3"/>
  <c r="AR20" i="3"/>
  <c r="AQ20" i="3"/>
  <c r="AP20" i="3"/>
  <c r="AO20" i="3"/>
  <c r="AN20" i="3"/>
  <c r="AK20" i="3"/>
  <c r="AJ20" i="3"/>
  <c r="AI20" i="3"/>
  <c r="AH20" i="3"/>
  <c r="AG20" i="3"/>
  <c r="AF20" i="3"/>
  <c r="AC20" i="3"/>
  <c r="AB20" i="3"/>
  <c r="AA20" i="3"/>
  <c r="Z20" i="3"/>
  <c r="Y20" i="3"/>
  <c r="X20" i="3"/>
  <c r="U20" i="3"/>
  <c r="T20" i="3"/>
  <c r="S20" i="3"/>
  <c r="R20" i="3"/>
  <c r="Q20" i="3"/>
  <c r="P20" i="3"/>
  <c r="M20" i="3"/>
  <c r="L20" i="3"/>
  <c r="K20" i="3"/>
  <c r="J20" i="3"/>
  <c r="I20" i="3"/>
  <c r="H20" i="3"/>
  <c r="BB19" i="3"/>
  <c r="BA19" i="3"/>
  <c r="AZ19" i="3"/>
  <c r="AY19" i="3"/>
  <c r="AX19" i="3"/>
  <c r="AW19" i="3"/>
  <c r="AV19" i="3"/>
  <c r="AT19" i="3"/>
  <c r="AS19" i="3"/>
  <c r="AR19" i="3"/>
  <c r="AQ19" i="3"/>
  <c r="AP19" i="3"/>
  <c r="AO19" i="3"/>
  <c r="AN19" i="3"/>
  <c r="AL19" i="3"/>
  <c r="AK19" i="3"/>
  <c r="AJ19" i="3"/>
  <c r="AI19" i="3"/>
  <c r="AH19" i="3"/>
  <c r="AG19" i="3"/>
  <c r="AF19" i="3"/>
  <c r="AD19" i="3"/>
  <c r="AC19" i="3"/>
  <c r="AB19" i="3"/>
  <c r="AA19" i="3"/>
  <c r="Z19" i="3"/>
  <c r="Y19" i="3"/>
  <c r="X19" i="3"/>
  <c r="V19" i="3"/>
  <c r="U19" i="3"/>
  <c r="T19" i="3"/>
  <c r="S19" i="3"/>
  <c r="R19" i="3"/>
  <c r="Q19" i="3"/>
  <c r="P19" i="3"/>
  <c r="N19" i="3"/>
  <c r="M19" i="3"/>
  <c r="L19" i="3"/>
  <c r="K19" i="3"/>
  <c r="J19" i="3"/>
  <c r="I19" i="3"/>
  <c r="H19" i="3"/>
  <c r="BA18" i="3"/>
  <c r="AZ18" i="3"/>
  <c r="AY18" i="3"/>
  <c r="AX18" i="3"/>
  <c r="AW18" i="3"/>
  <c r="AV18" i="3"/>
  <c r="AS18" i="3"/>
  <c r="AR18" i="3"/>
  <c r="AQ18" i="3"/>
  <c r="AP18" i="3"/>
  <c r="AO18" i="3"/>
  <c r="AN18" i="3"/>
  <c r="AK18" i="3"/>
  <c r="AJ18" i="3"/>
  <c r="AI18" i="3"/>
  <c r="AH18" i="3"/>
  <c r="AG18" i="3"/>
  <c r="AF18" i="3"/>
  <c r="AC18" i="3"/>
  <c r="AB18" i="3"/>
  <c r="AA18" i="3"/>
  <c r="Z18" i="3"/>
  <c r="Y18" i="3"/>
  <c r="X18" i="3"/>
  <c r="U18" i="3"/>
  <c r="T18" i="3"/>
  <c r="S18" i="3"/>
  <c r="R18" i="3"/>
  <c r="Q18" i="3"/>
  <c r="P18" i="3"/>
  <c r="M18" i="3"/>
  <c r="L18" i="3"/>
  <c r="K18" i="3"/>
  <c r="J18" i="3"/>
  <c r="I18" i="3"/>
  <c r="H18" i="3"/>
  <c r="BA17" i="3"/>
  <c r="AZ17" i="3"/>
  <c r="AY17" i="3"/>
  <c r="AX17" i="3"/>
  <c r="AW17" i="3"/>
  <c r="AV17" i="3"/>
  <c r="AS17" i="3"/>
  <c r="AR17" i="3"/>
  <c r="AQ17" i="3"/>
  <c r="AP17" i="3"/>
  <c r="AO17" i="3"/>
  <c r="AN17" i="3"/>
  <c r="AK17" i="3"/>
  <c r="AJ17" i="3"/>
  <c r="AI17" i="3"/>
  <c r="AH17" i="3"/>
  <c r="AG17" i="3"/>
  <c r="AF17" i="3"/>
  <c r="AC17" i="3"/>
  <c r="AB17" i="3"/>
  <c r="AA17" i="3"/>
  <c r="Z17" i="3"/>
  <c r="Y17" i="3"/>
  <c r="X17" i="3"/>
  <c r="U17" i="3"/>
  <c r="W17" i="3" s="1"/>
  <c r="T17" i="3"/>
  <c r="S17" i="3"/>
  <c r="R17" i="3"/>
  <c r="Q17" i="3"/>
  <c r="P17" i="3"/>
  <c r="M17" i="3"/>
  <c r="L17" i="3"/>
  <c r="K17" i="3"/>
  <c r="J17" i="3"/>
  <c r="I17" i="3"/>
  <c r="H17" i="3"/>
  <c r="BA16" i="3"/>
  <c r="AZ16" i="3"/>
  <c r="AY16" i="3"/>
  <c r="AX16" i="3"/>
  <c r="AW16" i="3"/>
  <c r="AV16" i="3"/>
  <c r="AS16" i="3"/>
  <c r="AR16" i="3"/>
  <c r="AQ16" i="3"/>
  <c r="AP16" i="3"/>
  <c r="AO16" i="3"/>
  <c r="AN16" i="3"/>
  <c r="AK16" i="3"/>
  <c r="AJ16" i="3"/>
  <c r="AI16" i="3"/>
  <c r="AH16" i="3"/>
  <c r="AG16" i="3"/>
  <c r="AF16" i="3"/>
  <c r="AC16" i="3"/>
  <c r="AB16" i="3"/>
  <c r="AA16" i="3"/>
  <c r="Z16" i="3"/>
  <c r="Y16" i="3"/>
  <c r="X16" i="3"/>
  <c r="U16" i="3"/>
  <c r="T16" i="3"/>
  <c r="S16" i="3"/>
  <c r="R16" i="3"/>
  <c r="Q16" i="3"/>
  <c r="P16" i="3"/>
  <c r="M16" i="3"/>
  <c r="L16" i="3"/>
  <c r="K16" i="3"/>
  <c r="J16" i="3"/>
  <c r="I16" i="3"/>
  <c r="H16" i="3"/>
  <c r="BA15" i="3"/>
  <c r="AZ15" i="3"/>
  <c r="AY15" i="3"/>
  <c r="AX15" i="3"/>
  <c r="AW15" i="3"/>
  <c r="AV15" i="3"/>
  <c r="AS15" i="3"/>
  <c r="AR15" i="3"/>
  <c r="AQ15" i="3"/>
  <c r="AP15" i="3"/>
  <c r="AO15" i="3"/>
  <c r="AN15" i="3"/>
  <c r="AK15" i="3"/>
  <c r="AJ15" i="3"/>
  <c r="AI15" i="3"/>
  <c r="AH15" i="3"/>
  <c r="AG15" i="3"/>
  <c r="AF15" i="3"/>
  <c r="AC15" i="3"/>
  <c r="AB15" i="3"/>
  <c r="AA15" i="3"/>
  <c r="Z15" i="3"/>
  <c r="Y15" i="3"/>
  <c r="X15" i="3"/>
  <c r="U15" i="3"/>
  <c r="T15" i="3"/>
  <c r="S15" i="3"/>
  <c r="R15" i="3"/>
  <c r="Q15" i="3"/>
  <c r="P15" i="3"/>
  <c r="M15" i="3"/>
  <c r="L15" i="3"/>
  <c r="K15" i="3"/>
  <c r="O15" i="3" s="1"/>
  <c r="J15" i="3"/>
  <c r="I15" i="3"/>
  <c r="H15" i="3"/>
  <c r="BA14" i="3"/>
  <c r="AZ14" i="3"/>
  <c r="AY14" i="3"/>
  <c r="AX14" i="3"/>
  <c r="AW14" i="3"/>
  <c r="AV14" i="3"/>
  <c r="AS14" i="3"/>
  <c r="AR14" i="3"/>
  <c r="AQ14" i="3"/>
  <c r="AP14" i="3"/>
  <c r="AO14" i="3"/>
  <c r="AN14" i="3"/>
  <c r="AK14" i="3"/>
  <c r="AJ14" i="3"/>
  <c r="AI14" i="3"/>
  <c r="AH14" i="3"/>
  <c r="AG14" i="3"/>
  <c r="AF14" i="3"/>
  <c r="AC14" i="3"/>
  <c r="AB14" i="3"/>
  <c r="AA14" i="3"/>
  <c r="Z14" i="3"/>
  <c r="Y14" i="3"/>
  <c r="X14" i="3"/>
  <c r="U14" i="3"/>
  <c r="T14" i="3"/>
  <c r="S14" i="3"/>
  <c r="R14" i="3"/>
  <c r="Q14" i="3"/>
  <c r="P14" i="3"/>
  <c r="M14" i="3"/>
  <c r="L14" i="3"/>
  <c r="K14" i="3"/>
  <c r="J14" i="3"/>
  <c r="I14" i="3"/>
  <c r="H14" i="3"/>
  <c r="BA13" i="3"/>
  <c r="AZ13" i="3"/>
  <c r="AY13" i="3"/>
  <c r="AX13" i="3"/>
  <c r="AW13" i="3"/>
  <c r="AV13" i="3"/>
  <c r="AS13" i="3"/>
  <c r="AR13" i="3"/>
  <c r="AQ13" i="3"/>
  <c r="AP13" i="3"/>
  <c r="AO13" i="3"/>
  <c r="AN13" i="3"/>
  <c r="AK13" i="3"/>
  <c r="AJ13" i="3"/>
  <c r="AI13" i="3"/>
  <c r="AH13" i="3"/>
  <c r="AG13" i="3"/>
  <c r="AF13" i="3"/>
  <c r="AC13" i="3"/>
  <c r="AB13" i="3"/>
  <c r="AA13" i="3"/>
  <c r="Z13" i="3"/>
  <c r="Y13" i="3"/>
  <c r="X13" i="3"/>
  <c r="U13" i="3"/>
  <c r="T13" i="3"/>
  <c r="S13" i="3"/>
  <c r="R13" i="3"/>
  <c r="Q13" i="3"/>
  <c r="P13" i="3"/>
  <c r="M13" i="3"/>
  <c r="L13" i="3"/>
  <c r="K13" i="3"/>
  <c r="J13" i="3"/>
  <c r="I13" i="3"/>
  <c r="H13" i="3"/>
  <c r="BA12" i="3"/>
  <c r="AZ12" i="3"/>
  <c r="AY12" i="3"/>
  <c r="AX12" i="3"/>
  <c r="AW12" i="3"/>
  <c r="AV12" i="3"/>
  <c r="AS12" i="3"/>
  <c r="AR12" i="3"/>
  <c r="AQ12" i="3"/>
  <c r="AP12" i="3"/>
  <c r="AO12" i="3"/>
  <c r="AN12" i="3"/>
  <c r="AK12" i="3"/>
  <c r="AJ12" i="3"/>
  <c r="AI12" i="3"/>
  <c r="AH12" i="3"/>
  <c r="AG12" i="3"/>
  <c r="AF12" i="3"/>
  <c r="AC12" i="3"/>
  <c r="AB12" i="3"/>
  <c r="AA12" i="3"/>
  <c r="Z12" i="3"/>
  <c r="Y12" i="3"/>
  <c r="X12" i="3"/>
  <c r="U12" i="3"/>
  <c r="T12" i="3"/>
  <c r="S12" i="3"/>
  <c r="R12" i="3"/>
  <c r="Q12" i="3"/>
  <c r="P12" i="3"/>
  <c r="M12" i="3"/>
  <c r="L12" i="3"/>
  <c r="K12" i="3"/>
  <c r="J12" i="3"/>
  <c r="I12" i="3"/>
  <c r="H12" i="3"/>
  <c r="BA11" i="3"/>
  <c r="AZ11" i="3"/>
  <c r="AY11" i="3"/>
  <c r="AX11" i="3"/>
  <c r="AW11" i="3"/>
  <c r="AV11" i="3"/>
  <c r="AS11" i="3"/>
  <c r="AR11" i="3"/>
  <c r="AQ11" i="3"/>
  <c r="AP11" i="3"/>
  <c r="AO11" i="3"/>
  <c r="AN11" i="3"/>
  <c r="AK11" i="3"/>
  <c r="AJ11" i="3"/>
  <c r="AI11" i="3"/>
  <c r="AH11" i="3"/>
  <c r="AG11" i="3"/>
  <c r="AF11" i="3"/>
  <c r="AC11" i="3"/>
  <c r="AB11" i="3"/>
  <c r="AA11" i="3"/>
  <c r="Z11" i="3"/>
  <c r="Y11" i="3"/>
  <c r="X11" i="3"/>
  <c r="U11" i="3"/>
  <c r="T11" i="3"/>
  <c r="S11" i="3"/>
  <c r="R11" i="3"/>
  <c r="Q11" i="3"/>
  <c r="P11" i="3"/>
  <c r="M11" i="3"/>
  <c r="L11" i="3"/>
  <c r="K11" i="3"/>
  <c r="J11" i="3"/>
  <c r="I11" i="3"/>
  <c r="H11" i="3"/>
  <c r="BA10" i="3"/>
  <c r="AZ10" i="3"/>
  <c r="AY10" i="3"/>
  <c r="AX10" i="3"/>
  <c r="AW10" i="3"/>
  <c r="AV10" i="3"/>
  <c r="AS10" i="3"/>
  <c r="AR10" i="3"/>
  <c r="AQ10" i="3"/>
  <c r="AP10" i="3"/>
  <c r="AO10" i="3"/>
  <c r="AN10" i="3"/>
  <c r="AK10" i="3"/>
  <c r="AJ10" i="3"/>
  <c r="AI10" i="3"/>
  <c r="AH10" i="3"/>
  <c r="AG10" i="3"/>
  <c r="AF10" i="3"/>
  <c r="AC10" i="3"/>
  <c r="AB10" i="3"/>
  <c r="AA10" i="3"/>
  <c r="Z10" i="3"/>
  <c r="Y10" i="3"/>
  <c r="X10" i="3"/>
  <c r="U10" i="3"/>
  <c r="T10" i="3"/>
  <c r="S10" i="3"/>
  <c r="R10" i="3"/>
  <c r="Q10" i="3"/>
  <c r="P10" i="3"/>
  <c r="M10" i="3"/>
  <c r="L10" i="3"/>
  <c r="K10" i="3"/>
  <c r="J10" i="3"/>
  <c r="I10" i="3"/>
  <c r="H10" i="3"/>
  <c r="BA9" i="3"/>
  <c r="AZ9" i="3"/>
  <c r="AY9" i="3"/>
  <c r="AX9" i="3"/>
  <c r="AW9" i="3"/>
  <c r="AV9" i="3"/>
  <c r="AS9" i="3"/>
  <c r="AR9" i="3"/>
  <c r="AQ9" i="3"/>
  <c r="AP9" i="3"/>
  <c r="AO9" i="3"/>
  <c r="AN9" i="3"/>
  <c r="AK9" i="3"/>
  <c r="AJ9" i="3"/>
  <c r="AI9" i="3"/>
  <c r="AH9" i="3"/>
  <c r="AG9" i="3"/>
  <c r="AF9" i="3"/>
  <c r="AC9" i="3"/>
  <c r="AB9" i="3"/>
  <c r="AA9" i="3"/>
  <c r="Z9" i="3"/>
  <c r="Y9" i="3"/>
  <c r="X9" i="3"/>
  <c r="U9" i="3"/>
  <c r="T9" i="3"/>
  <c r="S9" i="3"/>
  <c r="R9" i="3"/>
  <c r="Q9" i="3"/>
  <c r="P9" i="3"/>
  <c r="M9" i="3"/>
  <c r="L9" i="3"/>
  <c r="K9" i="3"/>
  <c r="J9" i="3"/>
  <c r="I9" i="3"/>
  <c r="H9" i="3"/>
  <c r="BA8" i="3"/>
  <c r="AZ8" i="3"/>
  <c r="AY8" i="3"/>
  <c r="AX8" i="3"/>
  <c r="AW8" i="3"/>
  <c r="AV8" i="3"/>
  <c r="AS8" i="3"/>
  <c r="AR8" i="3"/>
  <c r="AQ8" i="3"/>
  <c r="AP8" i="3"/>
  <c r="AO8" i="3"/>
  <c r="AN8" i="3"/>
  <c r="AK8" i="3"/>
  <c r="AJ8" i="3"/>
  <c r="AI8" i="3"/>
  <c r="AH8" i="3"/>
  <c r="AG8" i="3"/>
  <c r="AF8" i="3"/>
  <c r="AC8" i="3"/>
  <c r="AB8" i="3"/>
  <c r="AA8" i="3"/>
  <c r="Z8" i="3"/>
  <c r="Y8" i="3"/>
  <c r="X8" i="3"/>
  <c r="U8" i="3"/>
  <c r="T8" i="3"/>
  <c r="S8" i="3"/>
  <c r="R8" i="3"/>
  <c r="Q8" i="3"/>
  <c r="P8" i="3"/>
  <c r="M8" i="3"/>
  <c r="L8" i="3"/>
  <c r="K8" i="3"/>
  <c r="J8" i="3"/>
  <c r="I8" i="3"/>
  <c r="H8" i="3"/>
  <c r="O8" i="3" s="1"/>
  <c r="BA7" i="3"/>
  <c r="AZ7" i="3"/>
  <c r="AY7" i="3"/>
  <c r="AX7" i="3"/>
  <c r="AW7" i="3"/>
  <c r="AV7" i="3"/>
  <c r="AS7" i="3"/>
  <c r="AR7" i="3"/>
  <c r="AQ7" i="3"/>
  <c r="AP7" i="3"/>
  <c r="AO7" i="3"/>
  <c r="AN7" i="3"/>
  <c r="AK7" i="3"/>
  <c r="AJ7" i="3"/>
  <c r="AI7" i="3"/>
  <c r="AH7" i="3"/>
  <c r="AG7" i="3"/>
  <c r="AF7" i="3"/>
  <c r="AC7" i="3"/>
  <c r="AB7" i="3"/>
  <c r="AA7" i="3"/>
  <c r="Z7" i="3"/>
  <c r="Y7" i="3"/>
  <c r="X7" i="3"/>
  <c r="U7" i="3"/>
  <c r="T7" i="3"/>
  <c r="S7" i="3"/>
  <c r="R7" i="3"/>
  <c r="Q7" i="3"/>
  <c r="P7" i="3"/>
  <c r="M7" i="3"/>
  <c r="L7" i="3"/>
  <c r="K7" i="3"/>
  <c r="J7" i="3"/>
  <c r="I7" i="3"/>
  <c r="H7" i="3"/>
  <c r="BA6" i="3"/>
  <c r="AZ6" i="3"/>
  <c r="AY6" i="3"/>
  <c r="AX6" i="3"/>
  <c r="AW6" i="3"/>
  <c r="AV6" i="3"/>
  <c r="AS6" i="3"/>
  <c r="AR6" i="3"/>
  <c r="AQ6" i="3"/>
  <c r="AP6" i="3"/>
  <c r="AO6" i="3"/>
  <c r="AN6" i="3"/>
  <c r="AK6" i="3"/>
  <c r="AJ6" i="3"/>
  <c r="AI6" i="3"/>
  <c r="AH6" i="3"/>
  <c r="AG6" i="3"/>
  <c r="AF6" i="3"/>
  <c r="AC6" i="3"/>
  <c r="AB6" i="3"/>
  <c r="AA6" i="3"/>
  <c r="Z6" i="3"/>
  <c r="Y6" i="3"/>
  <c r="X6" i="3"/>
  <c r="U6" i="3"/>
  <c r="T6" i="3"/>
  <c r="S6" i="3"/>
  <c r="R6" i="3"/>
  <c r="Q6" i="3"/>
  <c r="P6" i="3"/>
  <c r="M6" i="3"/>
  <c r="L6" i="3"/>
  <c r="K6" i="3"/>
  <c r="J6" i="3"/>
  <c r="I6" i="3"/>
  <c r="H6" i="3"/>
  <c r="BA5" i="3"/>
  <c r="AZ5" i="3"/>
  <c r="AY5" i="3"/>
  <c r="AX5" i="3"/>
  <c r="AW5" i="3"/>
  <c r="AV5" i="3"/>
  <c r="AS5" i="3"/>
  <c r="AR5" i="3"/>
  <c r="AQ5" i="3"/>
  <c r="AP5" i="3"/>
  <c r="AO5" i="3"/>
  <c r="AN5" i="3"/>
  <c r="AK5" i="3"/>
  <c r="AJ5" i="3"/>
  <c r="AI5" i="3"/>
  <c r="AH5" i="3"/>
  <c r="AG5" i="3"/>
  <c r="AF5" i="3"/>
  <c r="AC5" i="3"/>
  <c r="AB5" i="3"/>
  <c r="AA5" i="3"/>
  <c r="Z5" i="3"/>
  <c r="Y5" i="3"/>
  <c r="X5" i="3"/>
  <c r="U5" i="3"/>
  <c r="T5" i="3"/>
  <c r="S5" i="3"/>
  <c r="R5" i="3"/>
  <c r="Q5" i="3"/>
  <c r="P5" i="3"/>
  <c r="M5" i="3"/>
  <c r="L5" i="3"/>
  <c r="K5" i="3"/>
  <c r="O5" i="3" s="1"/>
  <c r="J5" i="3"/>
  <c r="I5" i="3"/>
  <c r="H5" i="3"/>
  <c r="AS4" i="3"/>
  <c r="AR4" i="3"/>
  <c r="AQ4" i="3"/>
  <c r="AP4" i="3"/>
  <c r="AO4" i="3"/>
  <c r="AN4" i="3"/>
  <c r="AK4" i="3"/>
  <c r="AJ4" i="3"/>
  <c r="AI4" i="3"/>
  <c r="AH4" i="3"/>
  <c r="AG4" i="3"/>
  <c r="AF4" i="3"/>
  <c r="AC4" i="3"/>
  <c r="AB4" i="3"/>
  <c r="AA4" i="3"/>
  <c r="Z4" i="3"/>
  <c r="Y4" i="3"/>
  <c r="X4" i="3"/>
  <c r="U4" i="3"/>
  <c r="T4" i="3"/>
  <c r="S4" i="3"/>
  <c r="R4" i="3"/>
  <c r="Q4" i="3"/>
  <c r="P4" i="3"/>
  <c r="M4" i="3"/>
  <c r="L4" i="3"/>
  <c r="K4" i="3"/>
  <c r="J4" i="3"/>
  <c r="I4" i="3"/>
  <c r="H4" i="3"/>
  <c r="O1" i="3"/>
  <c r="AM41" i="3"/>
  <c r="X3" i="1"/>
  <c r="X11" i="1"/>
  <c r="Y11" i="1"/>
  <c r="O6" i="3"/>
  <c r="W7" i="3"/>
  <c r="O16" i="3" l="1"/>
  <c r="AM10" i="3"/>
  <c r="C17" i="1" s="1"/>
  <c r="AL17" i="1" s="1"/>
  <c r="AO17" i="1" s="1"/>
  <c r="BC13" i="3"/>
  <c r="AE15" i="3"/>
  <c r="B22" i="1" s="1"/>
  <c r="AH22" i="1" s="1"/>
  <c r="AK22" i="1" s="1"/>
  <c r="W18" i="3"/>
  <c r="AU21" i="3"/>
  <c r="D28" i="1" s="1"/>
  <c r="BB28" i="1" s="1"/>
  <c r="AE26" i="3"/>
  <c r="B33" i="1" s="1"/>
  <c r="AM26" i="3"/>
  <c r="C33" i="1" s="1"/>
  <c r="W27" i="3"/>
  <c r="BC27" i="3"/>
  <c r="E34" i="1" s="1"/>
  <c r="AY34" i="1" s="1"/>
  <c r="W5" i="3"/>
  <c r="O10" i="3"/>
  <c r="O14" i="3"/>
  <c r="O18" i="3"/>
  <c r="W19" i="3"/>
  <c r="O9" i="3"/>
  <c r="W6" i="3"/>
  <c r="W23" i="3"/>
  <c r="O13" i="3"/>
  <c r="W13" i="3"/>
  <c r="W16" i="3"/>
  <c r="W10" i="3"/>
  <c r="O11" i="3"/>
  <c r="AE14" i="3"/>
  <c r="B21" i="1" s="1"/>
  <c r="AH21" i="1" s="1"/>
  <c r="AK21" i="1" s="1"/>
  <c r="BC14" i="3"/>
  <c r="E21" i="1" s="1"/>
  <c r="W15" i="3"/>
  <c r="AM15" i="3"/>
  <c r="BC20" i="3"/>
  <c r="AM21" i="3"/>
  <c r="C28" i="1" s="1"/>
  <c r="AL28" i="1" s="1"/>
  <c r="AO28" i="1" s="1"/>
  <c r="AU22" i="3"/>
  <c r="D29" i="1" s="1"/>
  <c r="BB29" i="1" s="1"/>
  <c r="BC26" i="3"/>
  <c r="E33" i="1" s="1"/>
  <c r="AE4" i="3"/>
  <c r="AM4" i="3"/>
  <c r="Z7" i="1" s="1"/>
  <c r="AE9" i="3"/>
  <c r="B16" i="1" s="1"/>
  <c r="AE10" i="3"/>
  <c r="B17" i="1" s="1"/>
  <c r="AH17" i="1" s="1"/>
  <c r="AK17" i="1" s="1"/>
  <c r="E20" i="1"/>
  <c r="AY20" i="1" s="1"/>
  <c r="E27" i="1"/>
  <c r="AY27" i="1" s="1"/>
  <c r="AU5" i="3"/>
  <c r="D12" i="1" s="1"/>
  <c r="AX12" i="1" s="1"/>
  <c r="AM6" i="3"/>
  <c r="AU7" i="3"/>
  <c r="D14" i="1" s="1"/>
  <c r="AX14" i="1" s="1"/>
  <c r="AM8" i="3"/>
  <c r="C15" i="1" s="1"/>
  <c r="AL15" i="1" s="1"/>
  <c r="AO15" i="1" s="1"/>
  <c r="AE12" i="3"/>
  <c r="B19" i="1" s="1"/>
  <c r="AH19" i="1" s="1"/>
  <c r="AK19" i="1" s="1"/>
  <c r="AE13" i="3"/>
  <c r="B20" i="1" s="1"/>
  <c r="AH20" i="1" s="1"/>
  <c r="AK20" i="1" s="1"/>
  <c r="AM20" i="3"/>
  <c r="C22" i="1"/>
  <c r="F22" i="1" s="1"/>
  <c r="AE6" i="3"/>
  <c r="B13" i="1" s="1"/>
  <c r="AV13" i="1" s="1"/>
  <c r="AM12" i="3"/>
  <c r="C19" i="1" s="1"/>
  <c r="AL19" i="1" s="1"/>
  <c r="AO19" i="1" s="1"/>
  <c r="BC12" i="3"/>
  <c r="AE16" i="3"/>
  <c r="BC16" i="3"/>
  <c r="AE19" i="3"/>
  <c r="B26" i="1" s="1"/>
  <c r="AH26" i="1" s="1"/>
  <c r="AK26" i="1" s="1"/>
  <c r="AU19" i="3"/>
  <c r="BC19" i="3"/>
  <c r="E26" i="1" s="1"/>
  <c r="AY26" i="1" s="1"/>
  <c r="AM23" i="3"/>
  <c r="BC24" i="3"/>
  <c r="E31" i="1" s="1"/>
  <c r="AY31" i="1" s="1"/>
  <c r="AU27" i="3"/>
  <c r="D34" i="1" s="1"/>
  <c r="AM5" i="3"/>
  <c r="C12" i="1" s="1"/>
  <c r="AL12" i="1" s="1"/>
  <c r="AO12" i="1" s="1"/>
  <c r="AU10" i="3"/>
  <c r="D17" i="1" s="1"/>
  <c r="AX17" i="1" s="1"/>
  <c r="AM11" i="3"/>
  <c r="C18" i="1" s="1"/>
  <c r="AL18" i="1" s="1"/>
  <c r="AO18" i="1" s="1"/>
  <c r="AU11" i="3"/>
  <c r="BC11" i="3"/>
  <c r="E18" i="1" s="1"/>
  <c r="AY18" i="1" s="1"/>
  <c r="BC15" i="3"/>
  <c r="E22" i="1" s="1"/>
  <c r="AU18" i="3"/>
  <c r="BC21" i="3"/>
  <c r="BC22" i="3"/>
  <c r="E29" i="1" s="1"/>
  <c r="H29" i="1" s="1"/>
  <c r="AE23" i="3"/>
  <c r="B30" i="1" s="1"/>
  <c r="AU8" i="3"/>
  <c r="AU16" i="3"/>
  <c r="BC18" i="3"/>
  <c r="AM19" i="3"/>
  <c r="C26" i="1" s="1"/>
  <c r="AL26" i="1" s="1"/>
  <c r="AO26" i="1" s="1"/>
  <c r="AE21" i="3"/>
  <c r="BC23" i="3"/>
  <c r="AM24" i="3"/>
  <c r="O25" i="3"/>
  <c r="W25" i="3"/>
  <c r="AE25" i="3"/>
  <c r="O26" i="3"/>
  <c r="O17" i="3"/>
  <c r="AE27" i="3"/>
  <c r="W4" i="3"/>
  <c r="AE5" i="3"/>
  <c r="B12" i="1" s="1"/>
  <c r="AV12" i="1" s="1"/>
  <c r="BC5" i="3"/>
  <c r="E12" i="1" s="1"/>
  <c r="AE7" i="3"/>
  <c r="AM7" i="3"/>
  <c r="BC7" i="3"/>
  <c r="W8" i="3"/>
  <c r="AM13" i="3"/>
  <c r="AU13" i="3"/>
  <c r="AE17" i="3"/>
  <c r="AM17" i="3"/>
  <c r="C24" i="1" s="1"/>
  <c r="AW24" i="1" s="1"/>
  <c r="AU17" i="3"/>
  <c r="AE18" i="3"/>
  <c r="AM18" i="3"/>
  <c r="C25" i="1" s="1"/>
  <c r="O19" i="3"/>
  <c r="O21" i="3"/>
  <c r="W21" i="3"/>
  <c r="AU23" i="3"/>
  <c r="D30" i="1" s="1"/>
  <c r="O24" i="3"/>
  <c r="AU24" i="3"/>
  <c r="D31" i="1" s="1"/>
  <c r="AU25" i="3"/>
  <c r="BC25" i="3"/>
  <c r="AM27" i="3"/>
  <c r="AU6" i="3"/>
  <c r="BC6" i="3"/>
  <c r="BC8" i="3"/>
  <c r="W9" i="3"/>
  <c r="AM9" i="3"/>
  <c r="C16" i="1" s="1"/>
  <c r="AU9" i="3"/>
  <c r="BC9" i="3"/>
  <c r="BC10" i="3"/>
  <c r="W11" i="3"/>
  <c r="AE11" i="3"/>
  <c r="O12" i="3"/>
  <c r="W12" i="3"/>
  <c r="AU12" i="3"/>
  <c r="W14" i="3"/>
  <c r="AM14" i="3"/>
  <c r="C21" i="1" s="1"/>
  <c r="AU15" i="3"/>
  <c r="D22" i="1" s="1"/>
  <c r="AX22" i="1" s="1"/>
  <c r="AM16" i="3"/>
  <c r="BC17" i="3"/>
  <c r="O20" i="3"/>
  <c r="W20" i="3"/>
  <c r="AE20" i="3"/>
  <c r="AU20" i="3"/>
  <c r="O22" i="3"/>
  <c r="W22" i="3"/>
  <c r="AM22" i="3"/>
  <c r="C29" i="1" s="1"/>
  <c r="BA29" i="1" s="1"/>
  <c r="AZ26" i="1"/>
  <c r="BC26" i="1"/>
  <c r="AY22" i="1"/>
  <c r="AW26" i="1"/>
  <c r="AX28" i="1"/>
  <c r="AW28" i="1"/>
  <c r="AY21" i="1"/>
  <c r="AE24" i="3"/>
  <c r="B31" i="1" s="1"/>
  <c r="AM25" i="3"/>
  <c r="C32" i="1" s="1"/>
  <c r="O4" i="3"/>
  <c r="AU4" i="3"/>
  <c r="O7" i="3"/>
  <c r="AE8" i="3"/>
  <c r="B15" i="1" s="1"/>
  <c r="AU14" i="3"/>
  <c r="D21" i="1" s="1"/>
  <c r="AE22" i="3"/>
  <c r="B29" i="1" s="1"/>
  <c r="AH29" i="1" s="1"/>
  <c r="AK29" i="1" s="1"/>
  <c r="O23" i="3"/>
  <c r="W24" i="3"/>
  <c r="W26" i="3"/>
  <c r="AU26" i="3"/>
  <c r="O27" i="3"/>
  <c r="BC34" i="1" l="1"/>
  <c r="I34" i="1"/>
  <c r="H31" i="1"/>
  <c r="AX29" i="1"/>
  <c r="BA28" i="1"/>
  <c r="AV22" i="1"/>
  <c r="AV20" i="1"/>
  <c r="AW19" i="1"/>
  <c r="AW18" i="1"/>
  <c r="AV17" i="1"/>
  <c r="AW33" i="1"/>
  <c r="BA33" i="1"/>
  <c r="BC33" i="1"/>
  <c r="AY33" i="1"/>
  <c r="F21" i="1"/>
  <c r="AV21" i="1"/>
  <c r="G21" i="1"/>
  <c r="AL21" i="1"/>
  <c r="AO21" i="1" s="1"/>
  <c r="AF21" i="1" s="1"/>
  <c r="G17" i="1"/>
  <c r="G12" i="1"/>
  <c r="AW21" i="1"/>
  <c r="AW17" i="1"/>
  <c r="AZ13" i="1"/>
  <c r="F17" i="1"/>
  <c r="AW12" i="1"/>
  <c r="F12" i="1"/>
  <c r="AH13" i="1"/>
  <c r="AK13" i="1" s="1"/>
  <c r="BC27" i="1"/>
  <c r="H22" i="1"/>
  <c r="H12" i="1"/>
  <c r="I22" i="1"/>
  <c r="AW15" i="1"/>
  <c r="F26" i="1"/>
  <c r="AH12" i="1"/>
  <c r="AK12" i="1" s="1"/>
  <c r="AF12" i="1" s="1"/>
  <c r="AH33" i="1"/>
  <c r="AK33" i="1" s="1"/>
  <c r="AV16" i="1"/>
  <c r="AV29" i="1"/>
  <c r="AV31" i="1"/>
  <c r="F29" i="1"/>
  <c r="BA26" i="1"/>
  <c r="G22" i="1"/>
  <c r="G26" i="1"/>
  <c r="AV26" i="1"/>
  <c r="AZ29" i="1"/>
  <c r="AL22" i="1"/>
  <c r="AO22" i="1" s="1"/>
  <c r="AF22" i="1" s="1"/>
  <c r="AV19" i="1"/>
  <c r="AL24" i="1"/>
  <c r="AO24" i="1" s="1"/>
  <c r="C23" i="1"/>
  <c r="AW23" i="1" s="1"/>
  <c r="C20" i="1"/>
  <c r="AL20" i="1" s="1"/>
  <c r="AO20" i="1" s="1"/>
  <c r="B14" i="1"/>
  <c r="AZ33" i="1"/>
  <c r="B34" i="1"/>
  <c r="B28" i="1"/>
  <c r="AZ28" i="1" s="1"/>
  <c r="D15" i="1"/>
  <c r="D25" i="1"/>
  <c r="B23" i="1"/>
  <c r="G29" i="1"/>
  <c r="AF19" i="1"/>
  <c r="AL32" i="1"/>
  <c r="AO32" i="1" s="1"/>
  <c r="F16" i="1"/>
  <c r="E17" i="1"/>
  <c r="AL33" i="1"/>
  <c r="AO33" i="1" s="1"/>
  <c r="C34" i="1"/>
  <c r="D26" i="1"/>
  <c r="AY19" i="1"/>
  <c r="E19" i="1"/>
  <c r="AW22" i="1"/>
  <c r="BA32" i="1"/>
  <c r="AH16" i="1"/>
  <c r="AK16" i="1" s="1"/>
  <c r="AF17" i="1"/>
  <c r="D13" i="1"/>
  <c r="AX13" i="1" s="1"/>
  <c r="AV33" i="1"/>
  <c r="F19" i="1"/>
  <c r="AW29" i="1"/>
  <c r="AW32" i="1"/>
  <c r="E16" i="1"/>
  <c r="AY16" i="1" s="1"/>
  <c r="E15" i="1"/>
  <c r="AY15" i="1" s="1"/>
  <c r="BC31" i="1"/>
  <c r="E32" i="1"/>
  <c r="B24" i="1"/>
  <c r="E14" i="1"/>
  <c r="AY14" i="1" s="1"/>
  <c r="C31" i="1"/>
  <c r="F31" i="1" s="1"/>
  <c r="E25" i="1"/>
  <c r="AF26" i="1"/>
  <c r="C27" i="1"/>
  <c r="AL27" i="1" s="1"/>
  <c r="AO27" i="1" s="1"/>
  <c r="B27" i="1"/>
  <c r="AH27" i="1" s="1"/>
  <c r="AK27" i="1" s="1"/>
  <c r="D19" i="1"/>
  <c r="D24" i="1"/>
  <c r="AX24" i="1" s="1"/>
  <c r="D33" i="1"/>
  <c r="G19" i="1"/>
  <c r="D27" i="1"/>
  <c r="E24" i="1"/>
  <c r="B18" i="1"/>
  <c r="D16" i="1"/>
  <c r="AX16" i="1" s="1"/>
  <c r="E13" i="1"/>
  <c r="BC13" i="1" s="1"/>
  <c r="BB31" i="1"/>
  <c r="D32" i="1"/>
  <c r="BB32" i="1" s="1"/>
  <c r="B25" i="1"/>
  <c r="AH25" i="1" s="1"/>
  <c r="AK25" i="1" s="1"/>
  <c r="D20" i="1"/>
  <c r="H20" i="1" s="1"/>
  <c r="C14" i="1"/>
  <c r="AZ31" i="1"/>
  <c r="B32" i="1"/>
  <c r="BC29" i="1"/>
  <c r="E30" i="1"/>
  <c r="I30" i="1" s="1"/>
  <c r="D23" i="1"/>
  <c r="AX23" i="1" s="1"/>
  <c r="E28" i="1"/>
  <c r="D18" i="1"/>
  <c r="AX18" i="1" s="1"/>
  <c r="BB34" i="1"/>
  <c r="AX34" i="1"/>
  <c r="H34" i="1"/>
  <c r="AL29" i="1"/>
  <c r="AO29" i="1" s="1"/>
  <c r="AF29" i="1" s="1"/>
  <c r="C30" i="1"/>
  <c r="G30" i="1" s="1"/>
  <c r="E23" i="1"/>
  <c r="AY23" i="1" s="1"/>
  <c r="C13" i="1"/>
  <c r="I29" i="1"/>
  <c r="O29" i="1" s="1"/>
  <c r="Q29" i="1" s="1"/>
  <c r="U29" i="1" s="1"/>
  <c r="AW16" i="1"/>
  <c r="G16" i="1"/>
  <c r="BB30" i="1"/>
  <c r="H30" i="1"/>
  <c r="AX30" i="1"/>
  <c r="G20" i="1"/>
  <c r="AH31" i="1"/>
  <c r="AK31" i="1" s="1"/>
  <c r="AY29" i="1"/>
  <c r="F33" i="1"/>
  <c r="G33" i="1"/>
  <c r="AX31" i="1"/>
  <c r="AY12" i="1"/>
  <c r="I12" i="1"/>
  <c r="O12" i="1" s="1"/>
  <c r="Q12" i="1" s="1"/>
  <c r="U12" i="1" s="1"/>
  <c r="B2" i="3"/>
  <c r="BB27" i="1"/>
  <c r="H23" i="1"/>
  <c r="I31" i="1"/>
  <c r="O31" i="1" s="1"/>
  <c r="Q31" i="1" s="1"/>
  <c r="U31" i="1" s="1"/>
  <c r="AL16" i="1"/>
  <c r="AO16" i="1" s="1"/>
  <c r="AW25" i="1"/>
  <c r="AL25" i="1"/>
  <c r="AO25" i="1" s="1"/>
  <c r="AX21" i="1"/>
  <c r="H21" i="1"/>
  <c r="AV15" i="1"/>
  <c r="AH15" i="1"/>
  <c r="AK15" i="1" s="1"/>
  <c r="AF15" i="1" s="1"/>
  <c r="G15" i="1"/>
  <c r="F15" i="1"/>
  <c r="I21" i="1"/>
  <c r="AH30" i="1"/>
  <c r="AK30" i="1" s="1"/>
  <c r="AZ30" i="1"/>
  <c r="AV30" i="1"/>
  <c r="AV4" i="3"/>
  <c r="BA31" i="1"/>
  <c r="AW31" i="1"/>
  <c r="I24" i="1" l="1"/>
  <c r="I23" i="1"/>
  <c r="O23" i="1" s="1"/>
  <c r="Q23" i="1" s="1"/>
  <c r="U23" i="1" s="1"/>
  <c r="O22" i="1"/>
  <c r="Q22" i="1" s="1"/>
  <c r="U22" i="1" s="1"/>
  <c r="AF33" i="1"/>
  <c r="AF27" i="1"/>
  <c r="AF25" i="1"/>
  <c r="BD21" i="1"/>
  <c r="N12" i="1"/>
  <c r="P12" i="1" s="1"/>
  <c r="AL23" i="1"/>
  <c r="AO23" i="1" s="1"/>
  <c r="AX19" i="1"/>
  <c r="AE29" i="1"/>
  <c r="AE12" i="1"/>
  <c r="BD22" i="1"/>
  <c r="BD12" i="1"/>
  <c r="G14" i="1"/>
  <c r="F27" i="1"/>
  <c r="I19" i="1"/>
  <c r="N22" i="1"/>
  <c r="P22" i="1" s="1"/>
  <c r="N29" i="1"/>
  <c r="P29" i="1" s="1"/>
  <c r="G31" i="1"/>
  <c r="BD31" i="1" s="1"/>
  <c r="H19" i="1"/>
  <c r="AE19" i="1" s="1"/>
  <c r="F28" i="1"/>
  <c r="H13" i="1"/>
  <c r="AL31" i="1"/>
  <c r="AO31" i="1" s="1"/>
  <c r="AF31" i="1" s="1"/>
  <c r="AV28" i="1"/>
  <c r="I16" i="1"/>
  <c r="I25" i="1"/>
  <c r="AX26" i="1"/>
  <c r="AY17" i="1"/>
  <c r="H15" i="1"/>
  <c r="N15" i="1" s="1"/>
  <c r="P15" i="1" s="1"/>
  <c r="F14" i="1"/>
  <c r="AE22" i="1"/>
  <c r="I13" i="1"/>
  <c r="AL13" i="1"/>
  <c r="AO13" i="1" s="1"/>
  <c r="AF13" i="1" s="1"/>
  <c r="G28" i="1"/>
  <c r="AL14" i="1"/>
  <c r="AO14" i="1" s="1"/>
  <c r="G32" i="1"/>
  <c r="AV25" i="1"/>
  <c r="BD29" i="1"/>
  <c r="AH14" i="1"/>
  <c r="AK14" i="1" s="1"/>
  <c r="F30" i="1"/>
  <c r="BD30" i="1" s="1"/>
  <c r="AV14" i="1"/>
  <c r="F18" i="1"/>
  <c r="AH23" i="1"/>
  <c r="AK23" i="1" s="1"/>
  <c r="AF23" i="1" s="1"/>
  <c r="G23" i="1"/>
  <c r="BC32" i="1"/>
  <c r="AY32" i="1"/>
  <c r="AZ34" i="1"/>
  <c r="AH34" i="1"/>
  <c r="AK34" i="1" s="1"/>
  <c r="AF34" i="1" s="1"/>
  <c r="AV34" i="1"/>
  <c r="F34" i="1"/>
  <c r="H32" i="1"/>
  <c r="I14" i="1"/>
  <c r="I20" i="1"/>
  <c r="O20" i="1" s="1"/>
  <c r="Q20" i="1" s="1"/>
  <c r="U20" i="1" s="1"/>
  <c r="AX15" i="1"/>
  <c r="F20" i="1"/>
  <c r="I15" i="1"/>
  <c r="O15" i="1" s="1"/>
  <c r="Q15" i="1" s="1"/>
  <c r="U15" i="1" s="1"/>
  <c r="AY13" i="1"/>
  <c r="H16" i="1"/>
  <c r="AX20" i="1"/>
  <c r="AY24" i="1"/>
  <c r="BB33" i="1"/>
  <c r="AX33" i="1"/>
  <c r="I33" i="1"/>
  <c r="H33" i="1"/>
  <c r="AW27" i="1"/>
  <c r="G27" i="1"/>
  <c r="BA27" i="1"/>
  <c r="AY25" i="1"/>
  <c r="H14" i="1"/>
  <c r="AW34" i="1"/>
  <c r="AL34" i="1"/>
  <c r="AO34" i="1" s="1"/>
  <c r="G34" i="1"/>
  <c r="O34" i="1" s="1"/>
  <c r="Q34" i="1" s="1"/>
  <c r="U34" i="1" s="1"/>
  <c r="BA34" i="1"/>
  <c r="AF20" i="1"/>
  <c r="AV23" i="1"/>
  <c r="AW20" i="1"/>
  <c r="AV32" i="1"/>
  <c r="F32" i="1"/>
  <c r="AZ32" i="1"/>
  <c r="AH32" i="1"/>
  <c r="AK32" i="1" s="1"/>
  <c r="AF32" i="1" s="1"/>
  <c r="H28" i="1"/>
  <c r="BC28" i="1"/>
  <c r="I28" i="1"/>
  <c r="AY30" i="1"/>
  <c r="BC30" i="1"/>
  <c r="AX27" i="1"/>
  <c r="I27" i="1"/>
  <c r="I32" i="1"/>
  <c r="F24" i="1"/>
  <c r="G24" i="1"/>
  <c r="AV24" i="1"/>
  <c r="AF16" i="1"/>
  <c r="H25" i="1"/>
  <c r="I18" i="1"/>
  <c r="H18" i="1"/>
  <c r="H24" i="1"/>
  <c r="AX32" i="1"/>
  <c r="AV18" i="1"/>
  <c r="F25" i="1"/>
  <c r="F23" i="1"/>
  <c r="AW13" i="1"/>
  <c r="G13" i="1"/>
  <c r="BA13" i="1"/>
  <c r="F13" i="1"/>
  <c r="AW30" i="1"/>
  <c r="AL30" i="1"/>
  <c r="AO30" i="1" s="1"/>
  <c r="AF30" i="1" s="1"/>
  <c r="AY28" i="1"/>
  <c r="AW14" i="1"/>
  <c r="G25" i="1"/>
  <c r="AH18" i="1"/>
  <c r="AK18" i="1" s="1"/>
  <c r="AF18" i="1" s="1"/>
  <c r="H27" i="1"/>
  <c r="AV27" i="1"/>
  <c r="AZ27" i="1"/>
  <c r="BA30" i="1"/>
  <c r="AH24" i="1"/>
  <c r="AK24" i="1" s="1"/>
  <c r="AF24" i="1" s="1"/>
  <c r="BB13" i="1"/>
  <c r="H26" i="1"/>
  <c r="BB26" i="1"/>
  <c r="I26" i="1"/>
  <c r="H17" i="1"/>
  <c r="I17" i="1"/>
  <c r="G18" i="1"/>
  <c r="AX25" i="1"/>
  <c r="AH28" i="1"/>
  <c r="AK28" i="1" s="1"/>
  <c r="AF28" i="1" s="1"/>
  <c r="O30" i="1"/>
  <c r="Q30" i="1" s="1"/>
  <c r="U30" i="1" s="1"/>
  <c r="AE21" i="1"/>
  <c r="AB29" i="1"/>
  <c r="O21" i="1"/>
  <c r="Q21" i="1" s="1"/>
  <c r="U21" i="1" s="1"/>
  <c r="N21" i="1"/>
  <c r="P21" i="1" s="1"/>
  <c r="N30" i="1"/>
  <c r="P30" i="1" s="1"/>
  <c r="T30" i="1" s="1"/>
  <c r="AW4" i="3"/>
  <c r="O27" i="1" l="1"/>
  <c r="Q27" i="1" s="1"/>
  <c r="U27" i="1" s="1"/>
  <c r="BD19" i="1"/>
  <c r="N19" i="1"/>
  <c r="P19" i="1" s="1"/>
  <c r="T19" i="1" s="1"/>
  <c r="T15" i="1"/>
  <c r="AE15" i="1"/>
  <c r="AB15" i="1" s="1"/>
  <c r="AB12" i="1"/>
  <c r="N31" i="1"/>
  <c r="P31" i="1" s="1"/>
  <c r="AE31" i="1"/>
  <c r="T29" i="1"/>
  <c r="X29" i="1" s="1"/>
  <c r="BD28" i="1"/>
  <c r="T22" i="1"/>
  <c r="AB22" i="1"/>
  <c r="T21" i="1"/>
  <c r="X21" i="1" s="1"/>
  <c r="AC21" i="1" s="1"/>
  <c r="Y21" i="1" s="1"/>
  <c r="Z21" i="1" s="1"/>
  <c r="AF14" i="1"/>
  <c r="N14" i="1"/>
  <c r="T12" i="1"/>
  <c r="X12" i="1" s="1"/>
  <c r="AC12" i="1" s="1"/>
  <c r="Y12" i="1" s="1"/>
  <c r="BF12" i="1" s="1"/>
  <c r="O19" i="1"/>
  <c r="Q19" i="1" s="1"/>
  <c r="BD16" i="1"/>
  <c r="O32" i="1"/>
  <c r="Q32" i="1" s="1"/>
  <c r="U32" i="1" s="1"/>
  <c r="N16" i="1"/>
  <c r="P16" i="1" s="1"/>
  <c r="X22" i="1"/>
  <c r="AC22" i="1" s="1"/>
  <c r="Y22" i="1" s="1"/>
  <c r="BD26" i="1"/>
  <c r="BD14" i="1"/>
  <c r="BD15" i="1"/>
  <c r="AE30" i="1"/>
  <c r="AE18" i="1"/>
  <c r="BD13" i="1"/>
  <c r="BD32" i="1"/>
  <c r="O14" i="1"/>
  <c r="Q14" i="1" s="1"/>
  <c r="U14" i="1" s="1"/>
  <c r="N27" i="1"/>
  <c r="P27" i="1" s="1"/>
  <c r="O33" i="1"/>
  <c r="Q33" i="1" s="1"/>
  <c r="U33" i="1" s="1"/>
  <c r="BD18" i="1"/>
  <c r="N32" i="1"/>
  <c r="P32" i="1" s="1"/>
  <c r="O16" i="1"/>
  <c r="Q16" i="1" s="1"/>
  <c r="AE16" i="1"/>
  <c r="BD17" i="1"/>
  <c r="O13" i="1"/>
  <c r="Q13" i="1" s="1"/>
  <c r="U13" i="1" s="1"/>
  <c r="BD23" i="1"/>
  <c r="BD34" i="1"/>
  <c r="BD33" i="1"/>
  <c r="AE20" i="1"/>
  <c r="BD20" i="1"/>
  <c r="AE32" i="1"/>
  <c r="N18" i="1"/>
  <c r="P18" i="1" s="1"/>
  <c r="N20" i="1"/>
  <c r="P20" i="1" s="1"/>
  <c r="BD25" i="1"/>
  <c r="BD27" i="1"/>
  <c r="BD24" i="1"/>
  <c r="AE23" i="1"/>
  <c r="N17" i="1"/>
  <c r="P17" i="1" s="1"/>
  <c r="O17" i="1"/>
  <c r="Q17" i="1" s="1"/>
  <c r="U17" i="1" s="1"/>
  <c r="AE17" i="1"/>
  <c r="P14" i="1"/>
  <c r="T14" i="1" s="1"/>
  <c r="AE14" i="1"/>
  <c r="N25" i="1"/>
  <c r="P25" i="1" s="1"/>
  <c r="O25" i="1"/>
  <c r="Q25" i="1" s="1"/>
  <c r="U25" i="1" s="1"/>
  <c r="AE24" i="1"/>
  <c r="N13" i="1"/>
  <c r="P13" i="1" s="1"/>
  <c r="N23" i="1"/>
  <c r="P23" i="1" s="1"/>
  <c r="AE13" i="1"/>
  <c r="AE25" i="1"/>
  <c r="N24" i="1"/>
  <c r="P24" i="1" s="1"/>
  <c r="O24" i="1"/>
  <c r="Q24" i="1" s="1"/>
  <c r="U24" i="1" s="1"/>
  <c r="O28" i="1"/>
  <c r="Q28" i="1" s="1"/>
  <c r="U28" i="1" s="1"/>
  <c r="AE28" i="1"/>
  <c r="N28" i="1"/>
  <c r="P28" i="1" s="1"/>
  <c r="AE27" i="1"/>
  <c r="N34" i="1"/>
  <c r="P34" i="1" s="1"/>
  <c r="AE34" i="1"/>
  <c r="N33" i="1"/>
  <c r="P33" i="1" s="1"/>
  <c r="AE33" i="1"/>
  <c r="AE26" i="1"/>
  <c r="O26" i="1"/>
  <c r="Q26" i="1" s="1"/>
  <c r="U26" i="1" s="1"/>
  <c r="N26" i="1"/>
  <c r="P26" i="1" s="1"/>
  <c r="O18" i="1"/>
  <c r="Q18" i="1" s="1"/>
  <c r="U18" i="1" s="1"/>
  <c r="X15" i="1"/>
  <c r="AC15" i="1" s="1"/>
  <c r="Y15" i="1" s="1"/>
  <c r="Z15" i="1" s="1"/>
  <c r="AB21" i="1"/>
  <c r="AX4" i="3"/>
  <c r="AB30" i="1"/>
  <c r="X30" i="1"/>
  <c r="AC30" i="1" s="1"/>
  <c r="Y30" i="1" s="1"/>
  <c r="Z30" i="1" s="1"/>
  <c r="AC29" i="1" l="1"/>
  <c r="Y29" i="1"/>
  <c r="BE22" i="1"/>
  <c r="BF22" i="1"/>
  <c r="Z22" i="1"/>
  <c r="Z12" i="1"/>
  <c r="Y33" i="1"/>
  <c r="Z33" i="1" s="1"/>
  <c r="AB32" i="1"/>
  <c r="T32" i="1"/>
  <c r="X32" i="1" s="1"/>
  <c r="AC32" i="1" s="1"/>
  <c r="Y32" i="1" s="1"/>
  <c r="AB31" i="1"/>
  <c r="T31" i="1"/>
  <c r="X31" i="1" s="1"/>
  <c r="AC31" i="1" s="1"/>
  <c r="Y31" i="1" s="1"/>
  <c r="BF29" i="1"/>
  <c r="Y28" i="1"/>
  <c r="Z28" i="1" s="1"/>
  <c r="T27" i="1"/>
  <c r="X27" i="1" s="1"/>
  <c r="AC27" i="1" s="1"/>
  <c r="Y27" i="1" s="1"/>
  <c r="Z27" i="1" s="1"/>
  <c r="AB27" i="1"/>
  <c r="Y26" i="1"/>
  <c r="Z26" i="1" s="1"/>
  <c r="T20" i="1"/>
  <c r="X20" i="1" s="1"/>
  <c r="AC20" i="1" s="1"/>
  <c r="Y20" i="1" s="1"/>
  <c r="Z20" i="1" s="1"/>
  <c r="U19" i="1"/>
  <c r="AB19" i="1"/>
  <c r="X19" i="1"/>
  <c r="AC19" i="1" s="1"/>
  <c r="Y19" i="1" s="1"/>
  <c r="Z19" i="1" s="1"/>
  <c r="T16" i="1"/>
  <c r="X16" i="1" s="1"/>
  <c r="AC16" i="1" s="1"/>
  <c r="Y16" i="1" s="1"/>
  <c r="Z16" i="1" s="1"/>
  <c r="AB14" i="1"/>
  <c r="AB13" i="1"/>
  <c r="BE12" i="1"/>
  <c r="BD46" i="1"/>
  <c r="U16" i="1"/>
  <c r="AB16" i="1"/>
  <c r="AB20" i="1"/>
  <c r="Y23" i="1"/>
  <c r="Z23" i="1" s="1"/>
  <c r="T26" i="1"/>
  <c r="X26" i="1"/>
  <c r="AC26" i="1" s="1"/>
  <c r="AB26" i="1"/>
  <c r="T33" i="1"/>
  <c r="X33" i="1" s="1"/>
  <c r="AB33" i="1"/>
  <c r="T34" i="1"/>
  <c r="X34" i="1" s="1"/>
  <c r="AC34" i="1" s="1"/>
  <c r="Y34" i="1" s="1"/>
  <c r="Z34" i="1" s="1"/>
  <c r="AB34" i="1"/>
  <c r="T23" i="1"/>
  <c r="X23" i="1"/>
  <c r="AC23" i="1" s="1"/>
  <c r="AB23" i="1"/>
  <c r="T24" i="1"/>
  <c r="X24" i="1" s="1"/>
  <c r="AB24" i="1"/>
  <c r="T18" i="1"/>
  <c r="X18" i="1" s="1"/>
  <c r="AC18" i="1" s="1"/>
  <c r="Y18" i="1" s="1"/>
  <c r="Z18" i="1" s="1"/>
  <c r="AB18" i="1"/>
  <c r="X14" i="1"/>
  <c r="AC14" i="1" s="1"/>
  <c r="Y14" i="1" s="1"/>
  <c r="Z14" i="1" s="1"/>
  <c r="T28" i="1"/>
  <c r="X28" i="1"/>
  <c r="AC28" i="1" s="1"/>
  <c r="AB28" i="1"/>
  <c r="T13" i="1"/>
  <c r="X13" i="1" s="1"/>
  <c r="T25" i="1"/>
  <c r="X25" i="1" s="1"/>
  <c r="AB25" i="1"/>
  <c r="T17" i="1"/>
  <c r="X17" i="1" s="1"/>
  <c r="AC17" i="1" s="1"/>
  <c r="Y17" i="1" s="1"/>
  <c r="Z17" i="1" s="1"/>
  <c r="AB17" i="1"/>
  <c r="BF15" i="1"/>
  <c r="BE15" i="1"/>
  <c r="BF21" i="1"/>
  <c r="BE21" i="1"/>
  <c r="BE30" i="1"/>
  <c r="BF30" i="1"/>
  <c r="AY4" i="3"/>
  <c r="BE32" i="1" l="1"/>
  <c r="Z32" i="1"/>
  <c r="BE31" i="1"/>
  <c r="Z31" i="1"/>
  <c r="BE29" i="1"/>
  <c r="Z29" i="1"/>
  <c r="BF32" i="1"/>
  <c r="BF31" i="1"/>
  <c r="BE20" i="1"/>
  <c r="BF20" i="1"/>
  <c r="BF19" i="1"/>
  <c r="BE19" i="1"/>
  <c r="BF16" i="1"/>
  <c r="BE16" i="1"/>
  <c r="BE34" i="1"/>
  <c r="BF34" i="1"/>
  <c r="AC24" i="1"/>
  <c r="Y24" i="1" s="1"/>
  <c r="Z24" i="1" s="1"/>
  <c r="AC25" i="1"/>
  <c r="Y25" i="1" s="1"/>
  <c r="Z25" i="1" s="1"/>
  <c r="BF26" i="1"/>
  <c r="BE26" i="1"/>
  <c r="BF17" i="1"/>
  <c r="BE17" i="1"/>
  <c r="BE14" i="1"/>
  <c r="BF14" i="1"/>
  <c r="AC33" i="1"/>
  <c r="BF23" i="1"/>
  <c r="BE23" i="1"/>
  <c r="BE27" i="1"/>
  <c r="BF27" i="1"/>
  <c r="AC13" i="1"/>
  <c r="Y13" i="1" s="1"/>
  <c r="Z13" i="1" s="1"/>
  <c r="AZ4" i="3"/>
  <c r="BA4" i="3" s="1"/>
  <c r="BB4" i="3" s="1"/>
  <c r="BF28" i="1" l="1"/>
  <c r="BE28" i="1"/>
  <c r="BE25" i="1"/>
  <c r="BF25" i="1"/>
  <c r="BE13" i="1"/>
  <c r="BF13" i="1"/>
  <c r="BF33" i="1"/>
  <c r="BE33" i="1"/>
  <c r="BF18" i="1"/>
  <c r="BE18" i="1"/>
  <c r="BF24" i="1"/>
  <c r="BE24" i="1"/>
  <c r="BC4" i="3"/>
  <c r="Z8" i="1" s="1"/>
  <c r="BE46" i="1" l="1"/>
  <c r="BF11" i="1"/>
  <c r="W44" i="1" l="1"/>
  <c r="W19" i="1"/>
  <c r="W32" i="1"/>
  <c r="W17" i="1"/>
  <c r="W12" i="1"/>
  <c r="W14" i="1"/>
  <c r="W35" i="1"/>
  <c r="W37" i="1"/>
  <c r="X49" i="1"/>
  <c r="W22" i="1"/>
  <c r="A54" i="1"/>
  <c r="D40" i="3" s="1"/>
  <c r="W30" i="1"/>
  <c r="W45" i="1"/>
  <c r="W24" i="1"/>
  <c r="W31" i="1"/>
  <c r="W13" i="1"/>
  <c r="W25" i="1"/>
  <c r="A55" i="1"/>
  <c r="W41" i="1"/>
  <c r="W39" i="1"/>
  <c r="Y46" i="1"/>
  <c r="W26" i="1"/>
  <c r="W18" i="1"/>
  <c r="W34" i="1"/>
  <c r="W28" i="1"/>
  <c r="W21" i="1"/>
  <c r="W33" i="1"/>
  <c r="W27" i="1"/>
  <c r="W23" i="1"/>
  <c r="W15" i="1"/>
  <c r="W16" i="1"/>
  <c r="W42" i="1"/>
  <c r="W36" i="1"/>
  <c r="W40" i="1"/>
  <c r="W29" i="1"/>
  <c r="W43" i="1"/>
  <c r="W20" i="1"/>
  <c r="W38" i="1"/>
  <c r="Y49" i="1" l="1"/>
  <c r="D42" i="3" s="1"/>
  <c r="AF46" i="1"/>
  <c r="Y48" i="1" s="1"/>
  <c r="Y47" i="1"/>
  <c r="O42" i="3" s="1"/>
</calcChain>
</file>

<file path=xl/sharedStrings.xml><?xml version="1.0" encoding="utf-8"?>
<sst xmlns="http://schemas.openxmlformats.org/spreadsheetml/2006/main" count="245" uniqueCount="150">
  <si>
    <t>M1 AJ-7</t>
  </si>
  <si>
    <t>M2 AJ-7</t>
  </si>
  <si>
    <t>C1 AJ-7</t>
  </si>
  <si>
    <t>C2 AJ-7</t>
  </si>
  <si>
    <t>SP1 AJ-7</t>
  </si>
  <si>
    <t>SP2 AJ-7</t>
  </si>
  <si>
    <t>ANÁL. DE SUPERVISÃO:</t>
  </si>
  <si>
    <t>ANÁL. MATERNIDADE:</t>
  </si>
  <si>
    <t>ANÁL. PATERNIDADE:</t>
  </si>
  <si>
    <t>NÃO ANALISADA NO CASO TIPO 02</t>
  </si>
  <si>
    <t>ND</t>
  </si>
  <si>
    <t>CRIANÇA</t>
  </si>
  <si>
    <t>CSF1PO</t>
  </si>
  <si>
    <t>SUP. PAI</t>
  </si>
  <si>
    <t>AL. MAT</t>
  </si>
  <si>
    <t>AM1</t>
  </si>
  <si>
    <t>AM2</t>
  </si>
  <si>
    <t>AM3</t>
  </si>
  <si>
    <t>AL. PAT.</t>
  </si>
  <si>
    <t>COMP.</t>
  </si>
  <si>
    <t>TPOX</t>
  </si>
  <si>
    <t>PR. PAT</t>
  </si>
  <si>
    <t>TH01</t>
  </si>
  <si>
    <t>Fr 1A</t>
  </si>
  <si>
    <t>Fr 1B</t>
  </si>
  <si>
    <t>Fr 2A</t>
  </si>
  <si>
    <t>Fr 2B</t>
  </si>
  <si>
    <t>D3S1358</t>
  </si>
  <si>
    <t>FGA</t>
  </si>
  <si>
    <t>D8S1179</t>
  </si>
  <si>
    <t>D21S11</t>
  </si>
  <si>
    <t>D18S51</t>
  </si>
  <si>
    <t>D5S818</t>
  </si>
  <si>
    <t>D13S317</t>
  </si>
  <si>
    <t>D7S820</t>
  </si>
  <si>
    <t>D16S539</t>
  </si>
  <si>
    <t>Fr Sp</t>
  </si>
  <si>
    <t>CRIANÇA:</t>
  </si>
  <si>
    <t>C CALC</t>
  </si>
  <si>
    <t>SP CALC</t>
  </si>
  <si>
    <t xml:space="preserve">ÍNDICE DE PATERNIDADE ACUMULADO:     </t>
  </si>
  <si>
    <t xml:space="preserve">PROBABILIDADE DE PATERNIDADE:     </t>
  </si>
  <si>
    <t>MÃE (não disp.):</t>
  </si>
  <si>
    <t>VILMARA RODRIGUES NUNES</t>
  </si>
  <si>
    <t>FÓRM</t>
  </si>
  <si>
    <t>1 / 2F</t>
  </si>
  <si>
    <t>1 / F</t>
  </si>
  <si>
    <t>1 / 4F</t>
  </si>
  <si>
    <t>F/(4pq)</t>
  </si>
  <si>
    <t>FREQ. ALELO 1 DA CRIANÇA</t>
  </si>
  <si>
    <t>FREQ. ALELO 2 DA CRIANÇA</t>
  </si>
  <si>
    <t xml:space="preserve">CAP. DE EFICIÊNCIA DOS MARCADORES:     </t>
  </si>
  <si>
    <t>AMELOGENINA</t>
  </si>
  <si>
    <t>D19S433</t>
  </si>
  <si>
    <t>D2S1338</t>
  </si>
  <si>
    <t>CÓDIGO:</t>
  </si>
  <si>
    <t>SUP. PAI:</t>
  </si>
  <si>
    <t>Sistema automatizado de cálculo de Genética de Populações desenvolvido pelo Engº e Biólogo Helder Pereira de Figueiredo</t>
  </si>
  <si>
    <t>CASO:</t>
  </si>
  <si>
    <t>DADOS AJUSTADOS</t>
  </si>
  <si>
    <t>STR</t>
  </si>
  <si>
    <t>M1</t>
  </si>
  <si>
    <t>M2</t>
  </si>
  <si>
    <t>C1</t>
  </si>
  <si>
    <t>C2</t>
  </si>
  <si>
    <t>SP1</t>
  </si>
  <si>
    <t>SP2</t>
  </si>
  <si>
    <t>M1 AJ-1</t>
  </si>
  <si>
    <t>M1 AJ-2</t>
  </si>
  <si>
    <t>M1 AJ-3</t>
  </si>
  <si>
    <t>M1 AJ-4</t>
  </si>
  <si>
    <t>M1 AJ-5</t>
  </si>
  <si>
    <t>M1 AJ-6</t>
  </si>
  <si>
    <t>M1-FIN</t>
  </si>
  <si>
    <t>M2 AJ-1</t>
  </si>
  <si>
    <t>M2 AJ-2</t>
  </si>
  <si>
    <t>M2 AJ-3</t>
  </si>
  <si>
    <t>M2 AJ-4</t>
  </si>
  <si>
    <t>M2 AJ-5</t>
  </si>
  <si>
    <t>M2 AJ-6</t>
  </si>
  <si>
    <t>M2-FIN</t>
  </si>
  <si>
    <t>C1 AJ-1</t>
  </si>
  <si>
    <t>C1 AJ-2</t>
  </si>
  <si>
    <t>C1 AJ-3</t>
  </si>
  <si>
    <t>C1 AJ-4</t>
  </si>
  <si>
    <t>C1 AJ-5</t>
  </si>
  <si>
    <t>C1 AJ-6</t>
  </si>
  <si>
    <t>C1-FIN</t>
  </si>
  <si>
    <t>C2 AJ-1</t>
  </si>
  <si>
    <t>C2 AJ-2</t>
  </si>
  <si>
    <t>C2 AJ-3</t>
  </si>
  <si>
    <t>C2 AJ-4</t>
  </si>
  <si>
    <t>C2 AJ-5</t>
  </si>
  <si>
    <t>C2 AJ-6</t>
  </si>
  <si>
    <t>C2-FIN</t>
  </si>
  <si>
    <t>SP1 AJ-1</t>
  </si>
  <si>
    <t>SP1 AJ-2</t>
  </si>
  <si>
    <t>SP1 AJ-3</t>
  </si>
  <si>
    <t>SP1 AJ-4</t>
  </si>
  <si>
    <t>SP1 AJ-5</t>
  </si>
  <si>
    <t>SP1 AJ-6</t>
  </si>
  <si>
    <t>SP1-FIN</t>
  </si>
  <si>
    <t>SP2 AJ-1</t>
  </si>
  <si>
    <t>SP2 AJ-2</t>
  </si>
  <si>
    <t>SP2 AJ-3</t>
  </si>
  <si>
    <t>SP2 AJ-4</t>
  </si>
  <si>
    <t>SP2 AJ-5</t>
  </si>
  <si>
    <t>SP2 AJ-6</t>
  </si>
  <si>
    <t>SP2-FIN</t>
  </si>
  <si>
    <t>vWA</t>
  </si>
  <si>
    <t>AMEL</t>
  </si>
  <si>
    <t>Biólogo BRUNO BOIKO PEREIRA DE FIGUEIREDO</t>
  </si>
  <si>
    <t>Mestrando em Biotecnologia - UCDB - Genética Humana</t>
  </si>
  <si>
    <t>Taxa de Mutação</t>
  </si>
  <si>
    <t>Ocorrência de 1 não compartilhamento, calcular como mutação?</t>
  </si>
  <si>
    <t>SIM</t>
  </si>
  <si>
    <t>NÃO</t>
  </si>
  <si>
    <t>Colunas1</t>
  </si>
  <si>
    <t>ANEXO 01</t>
  </si>
  <si>
    <t>(nesta lauda)</t>
  </si>
  <si>
    <t>MT</t>
  </si>
  <si>
    <t>ANEXO 02</t>
  </si>
  <si>
    <t>ANEXO 03</t>
  </si>
  <si>
    <t>ANEXO 04</t>
  </si>
  <si>
    <t>ANEXO 05</t>
  </si>
  <si>
    <t>ANEXO 06</t>
  </si>
  <si>
    <t>FREQUÊNCIA ALÉLICA MÍNIMA:</t>
  </si>
  <si>
    <t>IPC MS EXAMES DE DNA - DIVISÃO DE GENÉTICA MOLECULAR</t>
  </si>
  <si>
    <t>CRBio-1 54.040 - Diretor da Div. Genética Molecular</t>
  </si>
  <si>
    <t>Alelos</t>
  </si>
  <si>
    <t>D1S1656</t>
  </si>
  <si>
    <t>D2S441</t>
  </si>
  <si>
    <t>D10S1248</t>
  </si>
  <si>
    <t>D12S391</t>
  </si>
  <si>
    <t>D22S1045</t>
  </si>
  <si>
    <t>SE33</t>
  </si>
  <si>
    <t>PE</t>
  </si>
  <si>
    <t>MUT</t>
  </si>
  <si>
    <t>(IMPORTANTE: 1º SALVAR)</t>
  </si>
  <si>
    <t>REGIÃO</t>
  </si>
  <si>
    <t>B</t>
  </si>
  <si>
    <t>C</t>
  </si>
  <si>
    <t>PROB:</t>
  </si>
  <si>
    <t>Diretor da Divisão de Genética Molecular</t>
  </si>
  <si>
    <r>
      <rPr>
        <b/>
        <sz val="9"/>
        <rFont val="Arial"/>
        <family val="2"/>
      </rPr>
      <t>IPC MS EXAMES</t>
    </r>
    <r>
      <rPr>
        <sz val="9"/>
        <rFont val="Arial"/>
        <family val="2"/>
      </rPr>
      <t xml:space="preserve"> - CRBio-1 54.040</t>
    </r>
  </si>
  <si>
    <t>Penta_E</t>
  </si>
  <si>
    <t>Penta_D</t>
  </si>
  <si>
    <t>Biólogo e Eng. Civil BRUNO BOIKO PEREIRA DE FIGUEIREDO, MSc.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</si>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</sst>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0.0000%"/>
    <numFmt numFmtId="166" formatCode="0.000"/>
    <numFmt numFmtId="167" formatCode="0.000000000%"/>
    <numFmt numFmtId="168" formatCode="0.000000%"/>
    <numFmt numFmtId="169" formatCode="0.0"/>
    <numFmt numFmtId="170" formatCode="#,##0.00000000_);\(#,##0.00000000\)"/>
    <numFmt numFmtId="171" formatCode="0.0000"/>
    <numFmt numFmtId="172" formatCode="0####"/>
    <numFmt numFmtId="173" formatCode="&quot;CASO &quot;0####"/>
    <numFmt numFmtId="174" formatCode="&quot;Campo Grande (MS), &quot;dd\ &quot;de&quot;\ mmmm\ &quot;de&quot;\ yyyy"/>
    <numFmt numFmtId="175" formatCode="0.000000"/>
  </numFmts>
  <fonts count="3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color indexed="13"/>
      <name val="Arial"/>
      <family val="2"/>
    </font>
    <font>
      <sz val="7"/>
      <name val="Arial"/>
      <family val="2"/>
    </font>
    <font>
      <b/>
      <sz val="10"/>
      <color indexed="12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b/>
      <sz val="18"/>
      <color indexed="10"/>
      <name val="Umbrella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4"/>
      <color indexed="10"/>
      <name val="Arial"/>
      <family val="2"/>
    </font>
    <font>
      <b/>
      <sz val="8"/>
      <name val="Arial"/>
      <family val="2"/>
    </font>
    <font>
      <b/>
      <sz val="11"/>
      <color indexed="12"/>
      <name val="Arial"/>
      <family val="2"/>
    </font>
    <font>
      <sz val="11"/>
      <color indexed="12"/>
      <name val="Arial"/>
      <family val="2"/>
    </font>
    <font>
      <b/>
      <sz val="6"/>
      <color indexed="10"/>
      <name val="Arial"/>
      <family val="2"/>
    </font>
    <font>
      <sz val="6"/>
      <color indexed="10"/>
      <name val="Arial"/>
      <family val="2"/>
    </font>
    <font>
      <sz val="10"/>
      <color theme="0"/>
      <name val="Arial"/>
      <family val="2"/>
    </font>
    <font>
      <b/>
      <sz val="12"/>
      <color rgb="FF0033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57">
    <xf numFmtId="0" fontId="0" fillId="0" borderId="0" xfId="0"/>
    <xf numFmtId="0" fontId="0" fillId="0" borderId="0" xfId="0" applyAlignment="1" applyProtection="1">
      <alignment horizontal="center"/>
      <protection hidden="1"/>
    </xf>
    <xf numFmtId="0" fontId="19" fillId="0" borderId="0" xfId="0" applyFont="1" applyAlignment="1" applyProtection="1">
      <alignment horizontal="right"/>
      <protection hidden="1"/>
    </xf>
    <xf numFmtId="0" fontId="4" fillId="9" borderId="8" xfId="0" applyFont="1" applyFill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37" fontId="21" fillId="2" borderId="0" xfId="6" applyNumberFormat="1" applyFont="1" applyFill="1" applyBorder="1" applyAlignment="1" applyProtection="1">
      <alignment horizontal="center"/>
      <protection hidden="1"/>
    </xf>
    <xf numFmtId="37" fontId="21" fillId="2" borderId="5" xfId="6" applyNumberFormat="1" applyFont="1" applyFill="1" applyBorder="1" applyAlignment="1" applyProtection="1">
      <alignment horizontal="center"/>
      <protection hidden="1"/>
    </xf>
    <xf numFmtId="0" fontId="22" fillId="9" borderId="11" xfId="0" applyFont="1" applyFill="1" applyBorder="1" applyAlignment="1">
      <alignment horizontal="center" vertical="center"/>
    </xf>
    <xf numFmtId="175" fontId="22" fillId="9" borderId="11" xfId="0" applyNumberFormat="1" applyFont="1" applyFill="1" applyBorder="1" applyAlignment="1">
      <alignment horizontal="center" vertical="center"/>
    </xf>
    <xf numFmtId="175" fontId="22" fillId="0" borderId="11" xfId="0" applyNumberFormat="1" applyFont="1" applyBorder="1" applyAlignment="1">
      <alignment horizontal="center" vertical="center"/>
    </xf>
    <xf numFmtId="166" fontId="23" fillId="9" borderId="11" xfId="0" applyNumberFormat="1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66" fontId="23" fillId="0" borderId="11" xfId="0" applyNumberFormat="1" applyFont="1" applyBorder="1" applyAlignment="1">
      <alignment horizontal="center" vertical="center"/>
    </xf>
    <xf numFmtId="169" fontId="22" fillId="0" borderId="11" xfId="0" applyNumberFormat="1" applyFont="1" applyBorder="1" applyAlignment="1">
      <alignment horizontal="center" vertical="center"/>
    </xf>
    <xf numFmtId="175" fontId="14" fillId="9" borderId="11" xfId="0" applyNumberFormat="1" applyFont="1" applyFill="1" applyBorder="1" applyAlignment="1">
      <alignment horizontal="center" vertical="center"/>
    </xf>
    <xf numFmtId="0" fontId="16" fillId="3" borderId="8" xfId="0" applyFont="1" applyFill="1" applyBorder="1" applyAlignment="1" applyProtection="1">
      <alignment horizontal="center" vertical="center"/>
      <protection locked="0" hidden="1"/>
    </xf>
    <xf numFmtId="0" fontId="9" fillId="3" borderId="12" xfId="0" applyFont="1" applyFill="1" applyBorder="1" applyAlignment="1" applyProtection="1">
      <alignment vertical="center"/>
      <protection hidden="1"/>
    </xf>
    <xf numFmtId="0" fontId="9" fillId="3" borderId="13" xfId="0" applyFont="1" applyFill="1" applyBorder="1" applyAlignment="1" applyProtection="1">
      <alignment vertical="center"/>
      <protection hidden="1"/>
    </xf>
    <xf numFmtId="0" fontId="2" fillId="3" borderId="14" xfId="0" applyFont="1" applyFill="1" applyBorder="1" applyAlignment="1" applyProtection="1">
      <alignment horizontal="right" vertical="center"/>
      <protection hidden="1"/>
    </xf>
    <xf numFmtId="172" fontId="15" fillId="2" borderId="15" xfId="0" applyNumberFormat="1" applyFont="1" applyFill="1" applyBorder="1" applyAlignment="1" applyProtection="1">
      <alignment horizontal="center" vertical="center"/>
      <protection locked="0"/>
    </xf>
    <xf numFmtId="0" fontId="14" fillId="3" borderId="15" xfId="0" applyFont="1" applyFill="1" applyBorder="1" applyAlignment="1" applyProtection="1">
      <alignment vertical="center"/>
      <protection locked="0" hidden="1"/>
    </xf>
    <xf numFmtId="0" fontId="0" fillId="3" borderId="15" xfId="0" applyFill="1" applyBorder="1" applyAlignment="1" applyProtection="1">
      <alignment vertical="center"/>
      <protection locked="0" hidden="1"/>
    </xf>
    <xf numFmtId="0" fontId="0" fillId="3" borderId="16" xfId="0" applyFill="1" applyBorder="1" applyAlignment="1" applyProtection="1">
      <alignment vertical="center"/>
      <protection locked="0" hidden="1"/>
    </xf>
    <xf numFmtId="0" fontId="0" fillId="3" borderId="15" xfId="0" applyFill="1" applyBorder="1" applyAlignment="1" applyProtection="1">
      <alignment vertical="center"/>
      <protection hidden="1"/>
    </xf>
    <xf numFmtId="0" fontId="15" fillId="3" borderId="15" xfId="0" applyFont="1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24" fillId="5" borderId="8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hidden="1"/>
    </xf>
    <xf numFmtId="0" fontId="16" fillId="3" borderId="8" xfId="0" applyFont="1" applyFill="1" applyBorder="1" applyAlignment="1" applyProtection="1">
      <alignment horizontal="center" vertical="center"/>
      <protection hidden="1"/>
    </xf>
    <xf numFmtId="0" fontId="9" fillId="4" borderId="8" xfId="0" applyFont="1" applyFill="1" applyBorder="1" applyAlignment="1" applyProtection="1">
      <alignment horizontal="center" vertical="center"/>
      <protection hidden="1"/>
    </xf>
    <xf numFmtId="0" fontId="9" fillId="3" borderId="8" xfId="0" applyFont="1" applyFill="1" applyBorder="1" applyAlignment="1" applyProtection="1">
      <alignment horizontal="center" vertical="center"/>
      <protection hidden="1"/>
    </xf>
    <xf numFmtId="0" fontId="9" fillId="6" borderId="8" xfId="0" applyFont="1" applyFill="1" applyBorder="1" applyAlignment="1" applyProtection="1">
      <alignment horizontal="center" vertical="center"/>
      <protection hidden="1"/>
    </xf>
    <xf numFmtId="0" fontId="9" fillId="7" borderId="8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8" borderId="8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169" fontId="25" fillId="3" borderId="17" xfId="0" applyNumberFormat="1" applyFont="1" applyFill="1" applyBorder="1" applyAlignment="1" applyProtection="1">
      <alignment horizontal="center" vertical="center"/>
      <protection hidden="1"/>
    </xf>
    <xf numFmtId="169" fontId="25" fillId="3" borderId="18" xfId="0" applyNumberFormat="1" applyFont="1" applyFill="1" applyBorder="1" applyAlignment="1" applyProtection="1">
      <alignment horizontal="center" vertical="center"/>
      <protection hidden="1"/>
    </xf>
    <xf numFmtId="169" fontId="9" fillId="4" borderId="0" xfId="0" applyNumberFormat="1" applyFont="1" applyFill="1" applyAlignment="1" applyProtection="1">
      <alignment horizontal="center" vertical="center"/>
      <protection hidden="1"/>
    </xf>
    <xf numFmtId="169" fontId="9" fillId="4" borderId="8" xfId="0" applyNumberFormat="1" applyFont="1" applyFill="1" applyBorder="1" applyAlignment="1" applyProtection="1">
      <alignment horizontal="center" vertical="center"/>
      <protection hidden="1"/>
    </xf>
    <xf numFmtId="169" fontId="9" fillId="3" borderId="0" xfId="0" applyNumberFormat="1" applyFont="1" applyFill="1" applyAlignment="1" applyProtection="1">
      <alignment horizontal="center" vertical="center"/>
      <protection hidden="1"/>
    </xf>
    <xf numFmtId="169" fontId="9" fillId="3" borderId="8" xfId="0" applyNumberFormat="1" applyFont="1" applyFill="1" applyBorder="1" applyAlignment="1" applyProtection="1">
      <alignment horizontal="center" vertical="center"/>
      <protection hidden="1"/>
    </xf>
    <xf numFmtId="169" fontId="9" fillId="6" borderId="0" xfId="0" applyNumberFormat="1" applyFont="1" applyFill="1" applyAlignment="1" applyProtection="1">
      <alignment horizontal="center" vertical="center"/>
      <protection hidden="1"/>
    </xf>
    <xf numFmtId="169" fontId="9" fillId="6" borderId="8" xfId="0" applyNumberFormat="1" applyFont="1" applyFill="1" applyBorder="1" applyAlignment="1" applyProtection="1">
      <alignment horizontal="center" vertical="center"/>
      <protection hidden="1"/>
    </xf>
    <xf numFmtId="169" fontId="9" fillId="7" borderId="0" xfId="0" applyNumberFormat="1" applyFont="1" applyFill="1" applyAlignment="1" applyProtection="1">
      <alignment horizontal="center" vertical="center"/>
      <protection hidden="1"/>
    </xf>
    <xf numFmtId="169" fontId="9" fillId="7" borderId="8" xfId="0" applyNumberFormat="1" applyFont="1" applyFill="1" applyBorder="1" applyAlignment="1" applyProtection="1">
      <alignment horizontal="center" vertical="center"/>
      <protection hidden="1"/>
    </xf>
    <xf numFmtId="169" fontId="9" fillId="5" borderId="0" xfId="0" applyNumberFormat="1" applyFont="1" applyFill="1" applyAlignment="1" applyProtection="1">
      <alignment horizontal="center" vertical="center"/>
      <protection hidden="1"/>
    </xf>
    <xf numFmtId="169" fontId="9" fillId="5" borderId="8" xfId="0" applyNumberFormat="1" applyFont="1" applyFill="1" applyBorder="1" applyAlignment="1" applyProtection="1">
      <alignment horizontal="center" vertical="center"/>
      <protection hidden="1"/>
    </xf>
    <xf numFmtId="169" fontId="9" fillId="8" borderId="0" xfId="0" applyNumberFormat="1" applyFont="1" applyFill="1" applyAlignment="1" applyProtection="1">
      <alignment horizontal="center" vertical="center"/>
      <protection hidden="1"/>
    </xf>
    <xf numFmtId="169" fontId="9" fillId="8" borderId="8" xfId="0" applyNumberFormat="1" applyFont="1" applyFill="1" applyBorder="1" applyAlignment="1" applyProtection="1">
      <alignment horizontal="center" vertical="center"/>
      <protection hidden="1"/>
    </xf>
    <xf numFmtId="169" fontId="19" fillId="0" borderId="0" xfId="0" applyNumberFormat="1" applyFont="1" applyAlignment="1" applyProtection="1">
      <alignment horizontal="center" vertical="center"/>
      <protection locked="0"/>
    </xf>
    <xf numFmtId="169" fontId="25" fillId="3" borderId="19" xfId="0" applyNumberFormat="1" applyFont="1" applyFill="1" applyBorder="1" applyAlignment="1" applyProtection="1">
      <alignment horizontal="center" vertical="center"/>
      <protection hidden="1"/>
    </xf>
    <xf numFmtId="169" fontId="25" fillId="3" borderId="20" xfId="0" applyNumberFormat="1" applyFont="1" applyFill="1" applyBorder="1" applyAlignment="1" applyProtection="1">
      <alignment horizontal="center" vertical="center"/>
      <protection hidden="1"/>
    </xf>
    <xf numFmtId="169" fontId="0" fillId="0" borderId="0" xfId="0" applyNumberFormat="1" applyAlignment="1" applyProtection="1">
      <alignment vertical="center"/>
      <protection hidden="1"/>
    </xf>
    <xf numFmtId="169" fontId="9" fillId="4" borderId="21" xfId="0" applyNumberFormat="1" applyFont="1" applyFill="1" applyBorder="1" applyAlignment="1" applyProtection="1">
      <alignment horizontal="center" vertical="center"/>
      <protection hidden="1"/>
    </xf>
    <xf numFmtId="169" fontId="9" fillId="4" borderId="22" xfId="0" applyNumberFormat="1" applyFont="1" applyFill="1" applyBorder="1" applyAlignment="1" applyProtection="1">
      <alignment horizontal="center" vertical="center"/>
      <protection hidden="1"/>
    </xf>
    <xf numFmtId="169" fontId="25" fillId="3" borderId="23" xfId="0" applyNumberFormat="1" applyFont="1" applyFill="1" applyBorder="1" applyAlignment="1" applyProtection="1">
      <alignment horizontal="center" vertical="center"/>
      <protection hidden="1"/>
    </xf>
    <xf numFmtId="169" fontId="25" fillId="3" borderId="24" xfId="0" applyNumberFormat="1" applyFont="1" applyFill="1" applyBorder="1" applyAlignment="1" applyProtection="1">
      <alignment horizontal="center" vertical="center"/>
      <protection hidden="1"/>
    </xf>
    <xf numFmtId="169" fontId="0" fillId="0" borderId="0" xfId="0" applyNumberFormat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vertical="center"/>
      <protection hidden="1"/>
    </xf>
    <xf numFmtId="0" fontId="13" fillId="3" borderId="0" xfId="0" applyFont="1" applyFill="1" applyAlignment="1" applyProtection="1">
      <alignment vertical="center"/>
      <protection hidden="1"/>
    </xf>
    <xf numFmtId="0" fontId="0" fillId="3" borderId="0" xfId="0" applyFill="1" applyAlignment="1" applyProtection="1">
      <alignment vertical="center"/>
      <protection hidden="1"/>
    </xf>
    <xf numFmtId="0" fontId="12" fillId="3" borderId="0" xfId="0" applyFont="1" applyFill="1" applyAlignment="1" applyProtection="1">
      <alignment horizontal="right"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0" fillId="6" borderId="0" xfId="0" applyFill="1" applyAlignment="1" applyProtection="1">
      <alignment vertical="center"/>
      <protection hidden="1"/>
    </xf>
    <xf numFmtId="169" fontId="19" fillId="0" borderId="0" xfId="1" applyNumberFormat="1" applyFont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right" vertical="center"/>
      <protection hidden="1"/>
    </xf>
    <xf numFmtId="0" fontId="10" fillId="2" borderId="3" xfId="0" applyFont="1" applyFill="1" applyBorder="1" applyAlignment="1" applyProtection="1">
      <alignment horizontal="right" vertical="center"/>
      <protection hidden="1"/>
    </xf>
    <xf numFmtId="37" fontId="15" fillId="2" borderId="3" xfId="6" applyNumberFormat="1" applyFont="1" applyFill="1" applyBorder="1" applyAlignment="1" applyProtection="1">
      <alignment vertical="center"/>
      <protection hidden="1"/>
    </xf>
    <xf numFmtId="0" fontId="7" fillId="9" borderId="5" xfId="0" applyFont="1" applyFill="1" applyBorder="1" applyAlignment="1" applyProtection="1">
      <alignment horizontal="center" vertical="center"/>
      <protection hidden="1"/>
    </xf>
    <xf numFmtId="10" fontId="4" fillId="9" borderId="29" xfId="3" applyNumberFormat="1" applyFont="1" applyFill="1" applyBorder="1" applyAlignment="1" applyProtection="1">
      <alignment horizontal="center" vertical="center"/>
      <protection hidden="1"/>
    </xf>
    <xf numFmtId="2" fontId="4" fillId="9" borderId="29" xfId="3" applyNumberFormat="1" applyFont="1" applyFill="1" applyBorder="1" applyAlignment="1" applyProtection="1">
      <alignment horizontal="center" vertical="center"/>
      <protection hidden="1"/>
    </xf>
    <xf numFmtId="0" fontId="7" fillId="9" borderId="9" xfId="0" applyFont="1" applyFill="1" applyBorder="1" applyAlignment="1" applyProtection="1">
      <alignment horizontal="center" vertical="center"/>
      <protection hidden="1"/>
    </xf>
    <xf numFmtId="10" fontId="4" fillId="9" borderId="28" xfId="3" applyNumberFormat="1" applyFont="1" applyFill="1" applyBorder="1" applyAlignment="1" applyProtection="1">
      <alignment horizontal="center" vertical="center"/>
      <protection hidden="1"/>
    </xf>
    <xf numFmtId="2" fontId="4" fillId="9" borderId="28" xfId="3" applyNumberFormat="1" applyFont="1" applyFill="1" applyBorder="1" applyAlignment="1" applyProtection="1">
      <alignment horizontal="center" vertical="center"/>
      <protection hidden="1"/>
    </xf>
    <xf numFmtId="0" fontId="2" fillId="2" borderId="35" xfId="0" applyFont="1" applyFill="1" applyBorder="1" applyAlignment="1" applyProtection="1">
      <alignment horizontal="center" vertical="center"/>
      <protection hidden="1"/>
    </xf>
    <xf numFmtId="2" fontId="4" fillId="9" borderId="37" xfId="3" applyNumberFormat="1" applyFont="1" applyFill="1" applyBorder="1" applyAlignment="1" applyProtection="1">
      <alignment horizontal="center" vertical="center"/>
      <protection hidden="1"/>
    </xf>
    <xf numFmtId="2" fontId="4" fillId="9" borderId="38" xfId="3" applyNumberFormat="1" applyFont="1" applyFill="1" applyBorder="1" applyAlignment="1" applyProtection="1">
      <alignment horizontal="center" vertical="center"/>
      <protection hidden="1"/>
    </xf>
    <xf numFmtId="169" fontId="4" fillId="0" borderId="0" xfId="0" applyNumberFormat="1" applyFont="1" applyProtection="1">
      <protection hidden="1"/>
    </xf>
    <xf numFmtId="37" fontId="21" fillId="2" borderId="7" xfId="6" applyNumberFormat="1" applyFont="1" applyFill="1" applyBorder="1" applyAlignment="1" applyProtection="1">
      <alignment horizontal="left"/>
      <protection hidden="1"/>
    </xf>
    <xf numFmtId="37" fontId="21" fillId="2" borderId="7" xfId="6" applyNumberFormat="1" applyFont="1" applyFill="1" applyBorder="1" applyAlignment="1" applyProtection="1">
      <alignment horizontal="left" vertical="center"/>
      <protection hidden="1"/>
    </xf>
    <xf numFmtId="37" fontId="28" fillId="3" borderId="0" xfId="0" applyNumberFormat="1" applyFont="1" applyFill="1" applyAlignment="1" applyProtection="1">
      <alignment vertical="center"/>
      <protection hidden="1"/>
    </xf>
    <xf numFmtId="0" fontId="29" fillId="3" borderId="0" xfId="0" applyFont="1" applyFill="1" applyAlignment="1" applyProtection="1">
      <alignment horizontal="right" vertical="center"/>
      <protection hidden="1"/>
    </xf>
    <xf numFmtId="0" fontId="28" fillId="3" borderId="0" xfId="0" applyFont="1" applyFill="1" applyAlignment="1" applyProtection="1">
      <alignment vertical="center"/>
      <protection hidden="1"/>
    </xf>
    <xf numFmtId="0" fontId="6" fillId="0" borderId="0" xfId="0" applyFont="1" applyProtection="1">
      <protection hidden="1"/>
    </xf>
    <xf numFmtId="0" fontId="4" fillId="0" borderId="7" xfId="0" applyFont="1" applyBorder="1" applyProtection="1">
      <protection hidden="1"/>
    </xf>
    <xf numFmtId="0" fontId="2" fillId="2" borderId="51" xfId="0" applyFont="1" applyFill="1" applyBorder="1" applyProtection="1">
      <protection hidden="1"/>
    </xf>
    <xf numFmtId="0" fontId="2" fillId="2" borderId="52" xfId="0" applyFont="1" applyFill="1" applyBorder="1" applyProtection="1">
      <protection hidden="1"/>
    </xf>
    <xf numFmtId="171" fontId="6" fillId="2" borderId="1" xfId="0" applyNumberFormat="1" applyFont="1" applyFill="1" applyBorder="1" applyAlignment="1" applyProtection="1">
      <alignment horizontal="center"/>
      <protection hidden="1"/>
    </xf>
    <xf numFmtId="171" fontId="6" fillId="9" borderId="1" xfId="0" applyNumberFormat="1" applyFont="1" applyFill="1" applyBorder="1" applyAlignment="1" applyProtection="1">
      <alignment horizontal="center"/>
      <protection hidden="1"/>
    </xf>
    <xf numFmtId="0" fontId="7" fillId="9" borderId="55" xfId="0" applyFont="1" applyFill="1" applyBorder="1" applyAlignment="1" applyProtection="1">
      <alignment horizontal="center" vertical="center"/>
      <protection hidden="1"/>
    </xf>
    <xf numFmtId="171" fontId="6" fillId="2" borderId="56" xfId="0" applyNumberFormat="1" applyFont="1" applyFill="1" applyBorder="1" applyAlignment="1" applyProtection="1">
      <alignment horizontal="center"/>
      <protection hidden="1"/>
    </xf>
    <xf numFmtId="0" fontId="7" fillId="9" borderId="60" xfId="0" applyFont="1" applyFill="1" applyBorder="1" applyAlignment="1" applyProtection="1">
      <alignment horizontal="center" vertical="center"/>
      <protection hidden="1"/>
    </xf>
    <xf numFmtId="171" fontId="6" fillId="2" borderId="48" xfId="0" applyNumberFormat="1" applyFont="1" applyFill="1" applyBorder="1" applyAlignment="1" applyProtection="1">
      <alignment horizontal="center"/>
      <protection hidden="1"/>
    </xf>
    <xf numFmtId="0" fontId="7" fillId="9" borderId="64" xfId="0" applyFont="1" applyFill="1" applyBorder="1" applyAlignment="1" applyProtection="1">
      <alignment horizontal="center" vertical="center"/>
      <protection hidden="1"/>
    </xf>
    <xf numFmtId="171" fontId="6" fillId="2" borderId="49" xfId="0" applyNumberFormat="1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8" fillId="3" borderId="7" xfId="0" applyFont="1" applyFill="1" applyBorder="1" applyAlignment="1" applyProtection="1">
      <alignment horizontal="left"/>
      <protection hidden="1"/>
    </xf>
    <xf numFmtId="0" fontId="8" fillId="3" borderId="0" xfId="0" applyFont="1" applyFill="1" applyAlignment="1" applyProtection="1">
      <alignment horizontal="left"/>
      <protection hidden="1"/>
    </xf>
    <xf numFmtId="0" fontId="9" fillId="3" borderId="5" xfId="0" applyFont="1" applyFill="1" applyBorder="1" applyAlignment="1" applyProtection="1">
      <alignment horizontal="right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9" fillId="3" borderId="0" xfId="0" applyFont="1" applyFill="1" applyAlignment="1" applyProtection="1">
      <alignment horizontal="right"/>
      <protection hidden="1"/>
    </xf>
    <xf numFmtId="0" fontId="9" fillId="2" borderId="5" xfId="0" applyFont="1" applyFill="1" applyBorder="1" applyAlignment="1" applyProtection="1">
      <alignment horizontal="right"/>
      <protection hidden="1"/>
    </xf>
    <xf numFmtId="0" fontId="27" fillId="2" borderId="7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0" fontId="0" fillId="2" borderId="5" xfId="0" applyFill="1" applyBorder="1" applyAlignment="1" applyProtection="1">
      <alignment horizontal="right"/>
      <protection hidden="1"/>
    </xf>
    <xf numFmtId="0" fontId="7" fillId="2" borderId="7" xfId="0" applyFont="1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7" fillId="2" borderId="0" xfId="0" applyFont="1" applyFill="1" applyAlignment="1" applyProtection="1">
      <alignment horizontal="right"/>
      <protection hidden="1"/>
    </xf>
    <xf numFmtId="10" fontId="7" fillId="2" borderId="0" xfId="3" applyNumberFormat="1" applyFont="1" applyFill="1" applyBorder="1" applyAlignment="1" applyProtection="1">
      <alignment horizontal="left"/>
      <protection hidden="1"/>
    </xf>
    <xf numFmtId="0" fontId="4" fillId="2" borderId="0" xfId="0" applyFont="1" applyFill="1" applyAlignment="1" applyProtection="1">
      <alignment horizontal="right"/>
      <protection hidden="1"/>
    </xf>
    <xf numFmtId="0" fontId="5" fillId="2" borderId="7" xfId="0" applyFont="1" applyFill="1" applyBorder="1" applyProtection="1">
      <protection hidden="1"/>
    </xf>
    <xf numFmtId="0" fontId="3" fillId="2" borderId="0" xfId="0" applyFont="1" applyFill="1" applyProtection="1">
      <protection hidden="1"/>
    </xf>
    <xf numFmtId="0" fontId="0" fillId="2" borderId="0" xfId="0" applyFill="1" applyProtection="1">
      <protection hidden="1"/>
    </xf>
    <xf numFmtId="0" fontId="2" fillId="2" borderId="0" xfId="0" applyFont="1" applyFill="1" applyAlignment="1" applyProtection="1">
      <alignment horizontal="right"/>
      <protection hidden="1"/>
    </xf>
    <xf numFmtId="10" fontId="2" fillId="2" borderId="0" xfId="0" applyNumberFormat="1" applyFont="1" applyFill="1" applyAlignment="1" applyProtection="1">
      <alignment horizontal="left"/>
      <protection hidden="1"/>
    </xf>
    <xf numFmtId="0" fontId="0" fillId="2" borderId="7" xfId="0" applyFill="1" applyBorder="1" applyProtection="1">
      <protection hidden="1"/>
    </xf>
    <xf numFmtId="0" fontId="6" fillId="2" borderId="0" xfId="0" applyFont="1" applyFill="1" applyProtection="1">
      <protection hidden="1"/>
    </xf>
    <xf numFmtId="0" fontId="10" fillId="2" borderId="0" xfId="0" applyFont="1" applyFill="1" applyAlignment="1" applyProtection="1">
      <alignment horizontal="right"/>
      <protection hidden="1"/>
    </xf>
    <xf numFmtId="0" fontId="4" fillId="9" borderId="8" xfId="0" applyFont="1" applyFill="1" applyBorder="1" applyAlignment="1" applyProtection="1">
      <alignment vertical="center"/>
      <protection hidden="1"/>
    </xf>
    <xf numFmtId="0" fontId="7" fillId="9" borderId="8" xfId="0" applyFont="1" applyFill="1" applyBorder="1" applyAlignment="1" applyProtection="1">
      <alignment vertical="center"/>
      <protection hidden="1"/>
    </xf>
    <xf numFmtId="0" fontId="4" fillId="9" borderId="36" xfId="0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0" fontId="6" fillId="2" borderId="50" xfId="0" applyFont="1" applyFill="1" applyBorder="1" applyAlignment="1" applyProtection="1">
      <alignment horizontal="center" vertical="center"/>
      <protection hidden="1"/>
    </xf>
    <xf numFmtId="0" fontId="6" fillId="2" borderId="33" xfId="0" applyFont="1" applyFill="1" applyBorder="1" applyAlignment="1" applyProtection="1">
      <alignment horizontal="center" vertical="center"/>
      <protection hidden="1"/>
    </xf>
    <xf numFmtId="0" fontId="6" fillId="2" borderId="34" xfId="0" applyFont="1" applyFill="1" applyBorder="1" applyAlignment="1" applyProtection="1">
      <alignment horizontal="center" vertical="center"/>
      <protection hidden="1"/>
    </xf>
    <xf numFmtId="0" fontId="7" fillId="9" borderId="6" xfId="0" applyFont="1" applyFill="1" applyBorder="1" applyAlignment="1" applyProtection="1">
      <alignment horizontal="center" vertical="center"/>
      <protection hidden="1"/>
    </xf>
    <xf numFmtId="0" fontId="7" fillId="9" borderId="25" xfId="0" applyFont="1" applyFill="1" applyBorder="1" applyAlignment="1" applyProtection="1">
      <alignment horizontal="center" vertical="center"/>
      <protection hidden="1"/>
    </xf>
    <xf numFmtId="0" fontId="7" fillId="9" borderId="26" xfId="0" applyFont="1" applyFill="1" applyBorder="1" applyAlignment="1" applyProtection="1">
      <alignment horizontal="center" vertical="center"/>
      <protection hidden="1"/>
    </xf>
    <xf numFmtId="0" fontId="7" fillId="9" borderId="27" xfId="0" applyFont="1" applyFill="1" applyBorder="1" applyAlignment="1" applyProtection="1">
      <alignment horizontal="center" vertical="center"/>
      <protection hidden="1"/>
    </xf>
    <xf numFmtId="171" fontId="7" fillId="9" borderId="6" xfId="0" applyNumberFormat="1" applyFont="1" applyFill="1" applyBorder="1" applyAlignment="1" applyProtection="1">
      <alignment horizontal="center" vertical="center"/>
      <protection hidden="1"/>
    </xf>
    <xf numFmtId="171" fontId="7" fillId="9" borderId="7" xfId="0" applyNumberFormat="1" applyFont="1" applyFill="1" applyBorder="1" applyAlignment="1" applyProtection="1">
      <alignment horizontal="center" vertical="center"/>
      <protection hidden="1"/>
    </xf>
    <xf numFmtId="171" fontId="20" fillId="9" borderId="28" xfId="0" applyNumberFormat="1" applyFont="1" applyFill="1" applyBorder="1" applyAlignment="1" applyProtection="1">
      <alignment horizontal="center" vertical="center"/>
      <protection hidden="1"/>
    </xf>
    <xf numFmtId="0" fontId="7" fillId="9" borderId="0" xfId="0" applyFont="1" applyFill="1" applyAlignment="1" applyProtection="1">
      <alignment vertical="center"/>
      <protection hidden="1"/>
    </xf>
    <xf numFmtId="168" fontId="7" fillId="0" borderId="0" xfId="0" applyNumberFormat="1" applyFont="1" applyProtection="1">
      <protection hidden="1"/>
    </xf>
    <xf numFmtId="166" fontId="0" fillId="0" borderId="1" xfId="0" applyNumberFormat="1" applyBorder="1" applyAlignment="1" applyProtection="1">
      <alignment horizontal="center"/>
      <protection hidden="1"/>
    </xf>
    <xf numFmtId="166" fontId="2" fillId="0" borderId="4" xfId="0" applyNumberFormat="1" applyFont="1" applyBorder="1" applyAlignment="1" applyProtection="1">
      <alignment horizontal="center"/>
      <protection hidden="1"/>
    </xf>
    <xf numFmtId="171" fontId="7" fillId="9" borderId="6" xfId="0" applyNumberFormat="1" applyFont="1" applyFill="1" applyBorder="1" applyAlignment="1" applyProtection="1">
      <alignment horizontal="center"/>
      <protection hidden="1"/>
    </xf>
    <xf numFmtId="171" fontId="0" fillId="0" borderId="0" xfId="0" applyNumberFormat="1" applyAlignment="1" applyProtection="1">
      <alignment horizontal="center"/>
      <protection hidden="1"/>
    </xf>
    <xf numFmtId="0" fontId="7" fillId="9" borderId="1" xfId="0" applyFont="1" applyFill="1" applyBorder="1" applyAlignment="1" applyProtection="1">
      <alignment horizontal="center" vertical="center"/>
      <protection hidden="1"/>
    </xf>
    <xf numFmtId="0" fontId="7" fillId="9" borderId="4" xfId="0" applyFont="1" applyFill="1" applyBorder="1" applyAlignment="1" applyProtection="1">
      <alignment horizontal="center" vertical="center"/>
      <protection hidden="1"/>
    </xf>
    <xf numFmtId="0" fontId="7" fillId="9" borderId="30" xfId="0" applyFont="1" applyFill="1" applyBorder="1" applyAlignment="1" applyProtection="1">
      <alignment horizontal="center" vertical="center"/>
      <protection hidden="1"/>
    </xf>
    <xf numFmtId="0" fontId="7" fillId="9" borderId="31" xfId="0" applyFont="1" applyFill="1" applyBorder="1" applyAlignment="1" applyProtection="1">
      <alignment horizontal="center" vertical="center"/>
      <protection hidden="1"/>
    </xf>
    <xf numFmtId="171" fontId="7" fillId="9" borderId="1" xfId="0" applyNumberFormat="1" applyFont="1" applyFill="1" applyBorder="1" applyAlignment="1" applyProtection="1">
      <alignment horizontal="center" vertical="center"/>
      <protection hidden="1"/>
    </xf>
    <xf numFmtId="171" fontId="7" fillId="9" borderId="32" xfId="0" applyNumberFormat="1" applyFont="1" applyFill="1" applyBorder="1" applyAlignment="1" applyProtection="1">
      <alignment horizontal="center" vertical="center"/>
      <protection hidden="1"/>
    </xf>
    <xf numFmtId="171" fontId="7" fillId="9" borderId="1" xfId="0" applyNumberFormat="1" applyFont="1" applyFill="1" applyBorder="1" applyAlignment="1" applyProtection="1">
      <alignment horizontal="center"/>
      <protection hidden="1"/>
    </xf>
    <xf numFmtId="166" fontId="0" fillId="0" borderId="4" xfId="0" applyNumberFormat="1" applyBorder="1" applyAlignment="1" applyProtection="1">
      <alignment horizontal="center"/>
      <protection hidden="1"/>
    </xf>
    <xf numFmtId="0" fontId="7" fillId="9" borderId="53" xfId="0" applyFont="1" applyFill="1" applyBorder="1" applyAlignment="1" applyProtection="1">
      <alignment vertical="center"/>
      <protection hidden="1"/>
    </xf>
    <xf numFmtId="0" fontId="7" fillId="9" borderId="54" xfId="0" applyFont="1" applyFill="1" applyBorder="1" applyAlignment="1" applyProtection="1">
      <alignment vertical="center"/>
      <protection hidden="1"/>
    </xf>
    <xf numFmtId="0" fontId="7" fillId="9" borderId="56" xfId="0" applyFont="1" applyFill="1" applyBorder="1" applyAlignment="1" applyProtection="1">
      <alignment horizontal="center" vertical="center"/>
      <protection hidden="1"/>
    </xf>
    <xf numFmtId="0" fontId="7" fillId="9" borderId="57" xfId="0" applyFont="1" applyFill="1" applyBorder="1" applyAlignment="1" applyProtection="1">
      <alignment horizontal="center" vertical="center"/>
      <protection hidden="1"/>
    </xf>
    <xf numFmtId="0" fontId="7" fillId="9" borderId="58" xfId="0" applyFont="1" applyFill="1" applyBorder="1" applyAlignment="1" applyProtection="1">
      <alignment horizontal="center" vertical="center"/>
      <protection hidden="1"/>
    </xf>
    <xf numFmtId="171" fontId="7" fillId="9" borderId="56" xfId="0" applyNumberFormat="1" applyFont="1" applyFill="1" applyBorder="1" applyAlignment="1" applyProtection="1">
      <alignment horizontal="center" vertical="center"/>
      <protection hidden="1"/>
    </xf>
    <xf numFmtId="171" fontId="7" fillId="9" borderId="59" xfId="0" applyNumberFormat="1" applyFont="1" applyFill="1" applyBorder="1" applyAlignment="1" applyProtection="1">
      <alignment horizontal="center" vertical="center"/>
      <protection hidden="1"/>
    </xf>
    <xf numFmtId="0" fontId="7" fillId="9" borderId="48" xfId="0" applyFont="1" applyFill="1" applyBorder="1" applyAlignment="1" applyProtection="1">
      <alignment horizontal="center" vertical="center"/>
      <protection hidden="1"/>
    </xf>
    <xf numFmtId="0" fontId="7" fillId="9" borderId="61" xfId="0" applyFont="1" applyFill="1" applyBorder="1" applyAlignment="1" applyProtection="1">
      <alignment horizontal="center" vertical="center"/>
      <protection hidden="1"/>
    </xf>
    <xf numFmtId="0" fontId="7" fillId="9" borderId="62" xfId="0" applyFont="1" applyFill="1" applyBorder="1" applyAlignment="1" applyProtection="1">
      <alignment horizontal="center" vertical="center"/>
      <protection hidden="1"/>
    </xf>
    <xf numFmtId="171" fontId="7" fillId="9" borderId="48" xfId="0" applyNumberFormat="1" applyFont="1" applyFill="1" applyBorder="1" applyAlignment="1" applyProtection="1">
      <alignment horizontal="center" vertical="center"/>
      <protection hidden="1"/>
    </xf>
    <xf numFmtId="171" fontId="7" fillId="9" borderId="63" xfId="0" applyNumberFormat="1" applyFont="1" applyFill="1" applyBorder="1" applyAlignment="1" applyProtection="1">
      <alignment horizontal="center" vertical="center"/>
      <protection hidden="1"/>
    </xf>
    <xf numFmtId="0" fontId="7" fillId="9" borderId="49" xfId="0" applyFont="1" applyFill="1" applyBorder="1" applyAlignment="1" applyProtection="1">
      <alignment horizontal="center" vertical="center"/>
      <protection hidden="1"/>
    </xf>
    <xf numFmtId="0" fontId="7" fillId="9" borderId="65" xfId="0" applyFont="1" applyFill="1" applyBorder="1" applyAlignment="1" applyProtection="1">
      <alignment horizontal="center" vertical="center"/>
      <protection hidden="1"/>
    </xf>
    <xf numFmtId="0" fontId="7" fillId="9" borderId="66" xfId="0" applyFont="1" applyFill="1" applyBorder="1" applyAlignment="1" applyProtection="1">
      <alignment horizontal="center" vertical="center"/>
      <protection hidden="1"/>
    </xf>
    <xf numFmtId="0" fontId="7" fillId="9" borderId="67" xfId="0" applyFont="1" applyFill="1" applyBorder="1" applyAlignment="1" applyProtection="1">
      <alignment horizontal="center" vertical="center"/>
      <protection hidden="1"/>
    </xf>
    <xf numFmtId="171" fontId="7" fillId="9" borderId="49" xfId="0" applyNumberFormat="1" applyFont="1" applyFill="1" applyBorder="1" applyAlignment="1" applyProtection="1">
      <alignment horizontal="center" vertical="center"/>
      <protection hidden="1"/>
    </xf>
    <xf numFmtId="171" fontId="7" fillId="9" borderId="68" xfId="0" applyNumberFormat="1" applyFont="1" applyFill="1" applyBorder="1" applyAlignment="1" applyProtection="1">
      <alignment horizontal="center" vertical="center"/>
      <protection hidden="1"/>
    </xf>
    <xf numFmtId="0" fontId="7" fillId="9" borderId="15" xfId="0" applyFont="1" applyFill="1" applyBorder="1" applyAlignment="1" applyProtection="1">
      <alignment vertical="center"/>
      <protection hidden="1"/>
    </xf>
    <xf numFmtId="0" fontId="0" fillId="2" borderId="2" xfId="0" applyFill="1" applyBorder="1" applyProtection="1">
      <protection hidden="1"/>
    </xf>
    <xf numFmtId="171" fontId="0" fillId="2" borderId="5" xfId="0" applyNumberFormat="1" applyFill="1" applyBorder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10" fontId="0" fillId="2" borderId="5" xfId="0" applyNumberFormat="1" applyFill="1" applyBorder="1" applyProtection="1">
      <protection hidden="1"/>
    </xf>
    <xf numFmtId="0" fontId="17" fillId="0" borderId="0" xfId="0" applyFont="1" applyProtection="1">
      <protection hidden="1"/>
    </xf>
    <xf numFmtId="0" fontId="0" fillId="2" borderId="39" xfId="0" applyFill="1" applyBorder="1" applyProtection="1">
      <protection hidden="1"/>
    </xf>
    <xf numFmtId="0" fontId="0" fillId="2" borderId="3" xfId="0" applyFill="1" applyBorder="1" applyProtection="1">
      <protection hidden="1"/>
    </xf>
    <xf numFmtId="0" fontId="0" fillId="0" borderId="3" xfId="0" applyBorder="1" applyProtection="1">
      <protection hidden="1"/>
    </xf>
    <xf numFmtId="0" fontId="0" fillId="2" borderId="10" xfId="0" applyFill="1" applyBorder="1" applyProtection="1">
      <protection hidden="1"/>
    </xf>
    <xf numFmtId="0" fontId="19" fillId="2" borderId="2" xfId="0" applyFont="1" applyFill="1" applyBorder="1" applyProtection="1">
      <protection hidden="1"/>
    </xf>
    <xf numFmtId="0" fontId="19" fillId="2" borderId="2" xfId="0" applyFont="1" applyFill="1" applyBorder="1" applyAlignment="1" applyProtection="1">
      <alignment horizontal="right"/>
      <protection hidden="1"/>
    </xf>
    <xf numFmtId="0" fontId="19" fillId="2" borderId="2" xfId="0" applyFont="1" applyFill="1" applyBorder="1" applyAlignment="1" applyProtection="1">
      <alignment horizontal="right" vertical="center"/>
      <protection hidden="1"/>
    </xf>
    <xf numFmtId="37" fontId="19" fillId="2" borderId="2" xfId="0" applyNumberFormat="1" applyFont="1" applyFill="1" applyBorder="1" applyAlignment="1" applyProtection="1">
      <alignment vertical="center"/>
      <protection hidden="1"/>
    </xf>
    <xf numFmtId="0" fontId="19" fillId="0" borderId="2" xfId="0" applyFont="1" applyBorder="1" applyProtection="1">
      <protection hidden="1"/>
    </xf>
    <xf numFmtId="0" fontId="19" fillId="2" borderId="9" xfId="0" applyFont="1" applyFill="1" applyBorder="1" applyProtection="1">
      <protection hidden="1"/>
    </xf>
    <xf numFmtId="0" fontId="19" fillId="0" borderId="0" xfId="0" applyFont="1" applyProtection="1">
      <protection hidden="1"/>
    </xf>
    <xf numFmtId="0" fontId="19" fillId="2" borderId="7" xfId="0" applyFont="1" applyFill="1" applyBorder="1" applyProtection="1">
      <protection hidden="1"/>
    </xf>
    <xf numFmtId="0" fontId="16" fillId="4" borderId="0" xfId="0" applyFont="1" applyFill="1" applyAlignment="1" applyProtection="1">
      <alignment vertical="center"/>
      <protection hidden="1"/>
    </xf>
    <xf numFmtId="0" fontId="16" fillId="4" borderId="5" xfId="0" applyFont="1" applyFill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30" fillId="0" borderId="0" xfId="0" applyFont="1" applyProtection="1">
      <protection hidden="1"/>
    </xf>
    <xf numFmtId="0" fontId="18" fillId="0" borderId="0" xfId="0" applyFont="1" applyAlignment="1" applyProtection="1">
      <alignment horizontal="right"/>
      <protection hidden="1"/>
    </xf>
    <xf numFmtId="0" fontId="4" fillId="2" borderId="0" xfId="0" applyFont="1" applyFill="1" applyProtection="1">
      <protection locked="0" hidden="1"/>
    </xf>
    <xf numFmtId="0" fontId="7" fillId="2" borderId="0" xfId="0" applyFont="1" applyFill="1" applyProtection="1">
      <protection locked="0" hidden="1"/>
    </xf>
    <xf numFmtId="0" fontId="2" fillId="2" borderId="69" xfId="0" applyFont="1" applyFill="1" applyBorder="1" applyProtection="1">
      <protection hidden="1"/>
    </xf>
    <xf numFmtId="171" fontId="6" fillId="2" borderId="6" xfId="0" applyNumberFormat="1" applyFont="1" applyFill="1" applyBorder="1" applyAlignment="1" applyProtection="1">
      <alignment horizontal="center"/>
      <protection hidden="1"/>
    </xf>
    <xf numFmtId="171" fontId="20" fillId="9" borderId="70" xfId="0" applyNumberFormat="1" applyFont="1" applyFill="1" applyBorder="1" applyAlignment="1" applyProtection="1">
      <alignment horizontal="center" vertical="center"/>
      <protection hidden="1"/>
    </xf>
    <xf numFmtId="10" fontId="4" fillId="9" borderId="70" xfId="3" applyNumberFormat="1" applyFont="1" applyFill="1" applyBorder="1" applyAlignment="1" applyProtection="1">
      <alignment horizontal="center" vertical="center"/>
      <protection hidden="1"/>
    </xf>
    <xf numFmtId="165" fontId="4" fillId="9" borderId="70" xfId="6" applyNumberFormat="1" applyFont="1" applyFill="1" applyBorder="1" applyAlignment="1" applyProtection="1">
      <alignment horizontal="center" vertical="center"/>
      <protection hidden="1"/>
    </xf>
    <xf numFmtId="2" fontId="4" fillId="9" borderId="71" xfId="3" applyNumberFormat="1" applyFont="1" applyFill="1" applyBorder="1" applyAlignment="1" applyProtection="1">
      <alignment horizontal="center" vertical="center"/>
      <protection hidden="1"/>
    </xf>
    <xf numFmtId="0" fontId="6" fillId="2" borderId="72" xfId="0" applyFont="1" applyFill="1" applyBorder="1" applyAlignment="1" applyProtection="1">
      <alignment horizontal="center" vertical="center"/>
      <protection hidden="1"/>
    </xf>
    <xf numFmtId="0" fontId="6" fillId="2" borderId="73" xfId="0" applyFont="1" applyFill="1" applyBorder="1" applyAlignment="1" applyProtection="1">
      <alignment horizontal="center" vertical="center"/>
      <protection hidden="1"/>
    </xf>
    <xf numFmtId="0" fontId="6" fillId="2" borderId="74" xfId="0" applyFont="1" applyFill="1" applyBorder="1" applyAlignment="1" applyProtection="1">
      <alignment horizontal="center" vertical="center"/>
      <protection hidden="1"/>
    </xf>
    <xf numFmtId="0" fontId="2" fillId="2" borderId="75" xfId="0" applyFont="1" applyFill="1" applyBorder="1" applyProtection="1">
      <protection hidden="1"/>
    </xf>
    <xf numFmtId="0" fontId="2" fillId="2" borderId="68" xfId="0" applyFont="1" applyFill="1" applyBorder="1" applyProtection="1">
      <protection hidden="1"/>
    </xf>
    <xf numFmtId="171" fontId="20" fillId="9" borderId="76" xfId="0" applyNumberFormat="1" applyFont="1" applyFill="1" applyBorder="1" applyAlignment="1" applyProtection="1">
      <alignment horizontal="center" vertical="center"/>
      <protection hidden="1"/>
    </xf>
    <xf numFmtId="10" fontId="4" fillId="9" borderId="76" xfId="3" applyNumberFormat="1" applyFont="1" applyFill="1" applyBorder="1" applyAlignment="1" applyProtection="1">
      <alignment horizontal="center" vertical="center"/>
      <protection hidden="1"/>
    </xf>
    <xf numFmtId="2" fontId="4" fillId="9" borderId="76" xfId="3" applyNumberFormat="1" applyFont="1" applyFill="1" applyBorder="1" applyAlignment="1" applyProtection="1">
      <alignment horizontal="center" vertical="center"/>
      <protection hidden="1"/>
    </xf>
    <xf numFmtId="2" fontId="4" fillId="9" borderId="77" xfId="3" applyNumberFormat="1" applyFont="1" applyFill="1" applyBorder="1" applyAlignment="1" applyProtection="1">
      <alignment horizontal="center" vertical="center"/>
      <protection hidden="1"/>
    </xf>
    <xf numFmtId="0" fontId="0" fillId="2" borderId="15" xfId="0" applyFill="1" applyBorder="1" applyProtection="1">
      <protection hidden="1"/>
    </xf>
    <xf numFmtId="0" fontId="10" fillId="2" borderId="15" xfId="0" applyFont="1" applyFill="1" applyBorder="1" applyAlignment="1" applyProtection="1">
      <alignment horizontal="right" vertical="center"/>
      <protection hidden="1"/>
    </xf>
    <xf numFmtId="0" fontId="0" fillId="0" borderId="15" xfId="0" applyBorder="1" applyProtection="1">
      <protection hidden="1"/>
    </xf>
    <xf numFmtId="171" fontId="0" fillId="2" borderId="64" xfId="0" applyNumberFormat="1" applyFill="1" applyBorder="1" applyProtection="1">
      <protection hidden="1"/>
    </xf>
    <xf numFmtId="172" fontId="14" fillId="8" borderId="40" xfId="0" applyNumberFormat="1" applyFont="1" applyFill="1" applyBorder="1" applyAlignment="1" applyProtection="1">
      <alignment horizontal="center" vertical="center"/>
      <protection locked="0" hidden="1"/>
    </xf>
    <xf numFmtId="172" fontId="14" fillId="8" borderId="41" xfId="0" applyNumberFormat="1" applyFont="1" applyFill="1" applyBorder="1" applyAlignment="1" applyProtection="1">
      <alignment horizontal="center" vertical="center"/>
      <protection locked="0" hidden="1"/>
    </xf>
    <xf numFmtId="172" fontId="14" fillId="8" borderId="42" xfId="0" applyNumberFormat="1" applyFont="1" applyFill="1" applyBorder="1" applyAlignment="1" applyProtection="1">
      <alignment horizontal="center" vertical="center"/>
      <protection locked="0" hidden="1"/>
    </xf>
    <xf numFmtId="172" fontId="14" fillId="8" borderId="40" xfId="0" applyNumberFormat="1" applyFont="1" applyFill="1" applyBorder="1" applyAlignment="1" applyProtection="1">
      <alignment horizontal="center" vertical="center"/>
      <protection hidden="1"/>
    </xf>
    <xf numFmtId="172" fontId="14" fillId="8" borderId="41" xfId="0" applyNumberFormat="1" applyFont="1" applyFill="1" applyBorder="1" applyAlignment="1" applyProtection="1">
      <alignment horizontal="center" vertical="center"/>
      <protection hidden="1"/>
    </xf>
    <xf numFmtId="172" fontId="14" fillId="8" borderId="42" xfId="0" applyNumberFormat="1" applyFont="1" applyFill="1" applyBorder="1" applyAlignment="1" applyProtection="1">
      <alignment horizontal="center" vertical="center"/>
      <protection hidden="1"/>
    </xf>
    <xf numFmtId="167" fontId="28" fillId="3" borderId="0" xfId="3" applyNumberFormat="1" applyFont="1" applyFill="1" applyAlignment="1" applyProtection="1">
      <alignment horizontal="left" vertical="center"/>
      <protection hidden="1"/>
    </xf>
    <xf numFmtId="39" fontId="29" fillId="3" borderId="0" xfId="0" applyNumberFormat="1" applyFont="1" applyFill="1" applyAlignment="1" applyProtection="1">
      <alignment horizontal="center" vertical="center"/>
      <protection hidden="1"/>
    </xf>
    <xf numFmtId="0" fontId="31" fillId="10" borderId="45" xfId="0" applyFont="1" applyFill="1" applyBorder="1" applyAlignment="1" applyProtection="1">
      <alignment horizontal="center"/>
      <protection hidden="1"/>
    </xf>
    <xf numFmtId="0" fontId="31" fillId="10" borderId="46" xfId="0" applyFont="1" applyFill="1" applyBorder="1" applyAlignment="1" applyProtection="1">
      <alignment horizontal="center"/>
      <protection hidden="1"/>
    </xf>
    <xf numFmtId="0" fontId="31" fillId="10" borderId="47" xfId="0" applyFont="1" applyFill="1" applyBorder="1" applyAlignment="1" applyProtection="1">
      <alignment horizontal="center"/>
      <protection hidden="1"/>
    </xf>
    <xf numFmtId="167" fontId="15" fillId="2" borderId="0" xfId="6" applyNumberFormat="1" applyFont="1" applyFill="1" applyBorder="1" applyAlignment="1" applyProtection="1">
      <alignment horizontal="left" vertical="center"/>
      <protection hidden="1"/>
    </xf>
    <xf numFmtId="173" fontId="4" fillId="0" borderId="0" xfId="0" applyNumberFormat="1" applyFont="1" applyAlignment="1" applyProtection="1">
      <alignment horizontal="left"/>
      <protection locked="0" hidden="1"/>
    </xf>
    <xf numFmtId="174" fontId="0" fillId="2" borderId="0" xfId="0" applyNumberFormat="1" applyFill="1" applyAlignment="1" applyProtection="1">
      <alignment horizontal="right"/>
      <protection hidden="1"/>
    </xf>
    <xf numFmtId="174" fontId="0" fillId="2" borderId="5" xfId="0" applyNumberFormat="1" applyFill="1" applyBorder="1" applyAlignment="1" applyProtection="1">
      <alignment horizontal="right"/>
      <protection hidden="1"/>
    </xf>
    <xf numFmtId="0" fontId="4" fillId="9" borderId="8" xfId="0" applyFont="1" applyFill="1" applyBorder="1" applyAlignment="1" applyProtection="1">
      <alignment horizontal="center" vertical="center"/>
      <protection hidden="1"/>
    </xf>
    <xf numFmtId="39" fontId="15" fillId="2" borderId="15" xfId="6" applyNumberFormat="1" applyFont="1" applyFill="1" applyBorder="1" applyAlignment="1" applyProtection="1">
      <alignment horizontal="left" vertical="center"/>
      <protection hidden="1"/>
    </xf>
    <xf numFmtId="0" fontId="26" fillId="2" borderId="0" xfId="0" applyFont="1" applyFill="1" applyAlignment="1" applyProtection="1">
      <alignment horizontal="center"/>
      <protection hidden="1"/>
    </xf>
    <xf numFmtId="0" fontId="4" fillId="9" borderId="43" xfId="0" applyFont="1" applyFill="1" applyBorder="1" applyAlignment="1" applyProtection="1">
      <alignment horizontal="center" vertical="center"/>
      <protection hidden="1"/>
    </xf>
    <xf numFmtId="0" fontId="4" fillId="9" borderId="44" xfId="0" applyFont="1" applyFill="1" applyBorder="1" applyAlignment="1" applyProtection="1">
      <alignment horizontal="center" vertical="center"/>
      <protection hidden="1"/>
    </xf>
    <xf numFmtId="0" fontId="9" fillId="0" borderId="39" xfId="0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16" fillId="4" borderId="0" xfId="0" applyFont="1" applyFill="1" applyAlignment="1" applyProtection="1">
      <alignment horizontal="center" vertical="center"/>
      <protection hidden="1"/>
    </xf>
    <xf numFmtId="0" fontId="16" fillId="4" borderId="5" xfId="0" applyFont="1" applyFill="1" applyBorder="1" applyAlignment="1" applyProtection="1">
      <alignment horizontal="center" vertical="center"/>
      <protection hidden="1"/>
    </xf>
    <xf numFmtId="0" fontId="4" fillId="9" borderId="41" xfId="0" applyFont="1" applyFill="1" applyBorder="1" applyAlignment="1" applyProtection="1">
      <alignment horizontal="center" vertical="center"/>
      <protection hidden="1"/>
    </xf>
    <xf numFmtId="0" fontId="4" fillId="9" borderId="42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5" xfId="0" applyFont="1" applyBorder="1" applyAlignment="1" applyProtection="1">
      <alignment horizontal="center" vertical="center"/>
      <protection hidden="1"/>
    </xf>
    <xf numFmtId="0" fontId="21" fillId="4" borderId="7" xfId="0" applyFont="1" applyFill="1" applyBorder="1" applyAlignment="1" applyProtection="1">
      <alignment horizontal="center" vertical="center"/>
      <protection hidden="1"/>
    </xf>
    <xf numFmtId="0" fontId="21" fillId="4" borderId="0" xfId="0" applyFont="1" applyFill="1" applyAlignment="1" applyProtection="1">
      <alignment horizontal="center" vertical="center"/>
      <protection hidden="1"/>
    </xf>
    <xf numFmtId="0" fontId="21" fillId="4" borderId="5" xfId="0" applyFont="1" applyFill="1" applyBorder="1" applyAlignment="1" applyProtection="1">
      <alignment horizontal="center" vertical="center"/>
      <protection hidden="1"/>
    </xf>
    <xf numFmtId="0" fontId="19" fillId="0" borderId="39" xfId="0" applyFont="1" applyBorder="1" applyAlignment="1" applyProtection="1">
      <alignment horizontal="center" vertical="center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4" fillId="4" borderId="45" xfId="0" applyFont="1" applyFill="1" applyBorder="1" applyAlignment="1" applyProtection="1">
      <alignment horizontal="center"/>
      <protection hidden="1"/>
    </xf>
    <xf numFmtId="0" fontId="4" fillId="4" borderId="46" xfId="0" applyFont="1" applyFill="1" applyBorder="1" applyAlignment="1" applyProtection="1">
      <alignment horizontal="center"/>
      <protection hidden="1"/>
    </xf>
    <xf numFmtId="0" fontId="4" fillId="4" borderId="47" xfId="0" applyFont="1" applyFill="1" applyBorder="1" applyAlignment="1" applyProtection="1">
      <alignment horizontal="center"/>
      <protection hidden="1"/>
    </xf>
    <xf numFmtId="170" fontId="3" fillId="2" borderId="2" xfId="6" applyNumberFormat="1" applyFont="1" applyFill="1" applyBorder="1" applyAlignment="1" applyProtection="1">
      <alignment horizontal="left"/>
      <protection hidden="1"/>
    </xf>
  </cellXfs>
  <cellStyles count="9">
    <cellStyle name="Normal" xfId="0" builtinId="0"/>
    <cellStyle name="Normal 2" xfId="1" xr:uid="{00000000-0005-0000-0000-000001000000}"/>
    <cellStyle name="Normal 3" xfId="2" xr:uid="{00000000-0005-0000-0000-000002000000}"/>
    <cellStyle name="Porcentagem" xfId="3" builtinId="5"/>
    <cellStyle name="Porcentagem 2" xfId="4" xr:uid="{00000000-0005-0000-0000-000004000000}"/>
    <cellStyle name="Porcentagem 3" xfId="5" xr:uid="{00000000-0005-0000-0000-000005000000}"/>
    <cellStyle name="Vírgula" xfId="6" builtinId="3"/>
    <cellStyle name="Vírgula 2" xfId="7" xr:uid="{00000000-0005-0000-0000-000007000000}"/>
    <cellStyle name="Vírgula 3" xfId="8" xr:uid="{00000000-0005-0000-0000-000008000000}"/>
  </cellStyles>
  <dxfs count="20"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theme="0"/>
      </font>
      <fill>
        <patternFill>
          <fgColor theme="0"/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10"/>
      </font>
    </dxf>
    <dxf>
      <protection locked="1" hidden="1"/>
    </dxf>
    <dxf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chart.googleapis.com/chart?chs=150x150&amp;cht=qr&amp;chl=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311150</xdr:colOff>
      <xdr:row>2</xdr:row>
      <xdr:rowOff>158750</xdr:rowOff>
    </xdr:from>
    <xdr:to>
      <xdr:col>27</xdr:col>
      <xdr:colOff>565151</xdr:colOff>
      <xdr:row>9</xdr:row>
      <xdr:rowOff>3176</xdr:rowOff>
    </xdr:to>
    <xdr:pic>
      <xdr:nvPicPr>
        <xdr:cNvPr id="3" name="QR_L4">
          <a:extLst>
            <a:ext uri="{FF2B5EF4-FFF2-40B4-BE49-F238E27FC236}">
              <a16:creationId xmlns:a16="http://schemas.microsoft.com/office/drawing/2014/main" id="{43CCB574-A2AD-38A7-3757-970324755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rcRect l="12444" t="12444" r="12444" b="12444"/>
        <a:stretch>
          <a:fillRect/>
        </a:stretch>
      </xdr:blipFill>
      <xdr:spPr>
        <a:xfrm>
          <a:off x="4378325" y="520700"/>
          <a:ext cx="1073151" cy="1073151"/>
        </a:xfrm>
        <a:prstGeom prst="rect">
          <a:avLst/>
        </a:prstGeom>
      </xdr:spPr>
    </xdr:pic>
    <xdr:clientData/>
  </xdr:twoCellAnchor>
  <xdr:twoCellAnchor editAs="oneCell">
    <xdr:from>
      <xdr:col>25</xdr:col>
      <xdr:colOff>692150</xdr:colOff>
      <xdr:row>2</xdr:row>
      <xdr:rowOff>158750</xdr:rowOff>
    </xdr:from>
    <xdr:to>
      <xdr:col>60</xdr:col>
      <xdr:colOff>298451</xdr:colOff>
      <xdr:row>9</xdr:row>
      <xdr:rowOff>3176</xdr:rowOff>
    </xdr:to>
    <xdr:pic>
      <xdr:nvPicPr>
        <xdr:cNvPr id="7" name="QR_M4">
          <a:extLst>
            <a:ext uri="{FF2B5EF4-FFF2-40B4-BE49-F238E27FC236}">
              <a16:creationId xmlns:a16="http://schemas.microsoft.com/office/drawing/2014/main" id="{69BFF310-893D-7F9B-FB26-9295044B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rcRect l="12444" t="12444" r="12444" b="12444"/>
        <a:stretch>
          <a:fillRect/>
        </a:stretch>
      </xdr:blipFill>
      <xdr:spPr>
        <a:xfrm>
          <a:off x="4759325" y="520700"/>
          <a:ext cx="1073151" cy="107315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1" displayName="Lista1" ref="BF47:BF49" totalsRowShown="0" headerRowDxfId="19" dataDxfId="18">
  <autoFilter ref="BF47:BF49" xr:uid="{00000000-0009-0000-0100-000001000000}"/>
  <tableColumns count="1">
    <tableColumn id="1" xr3:uid="{00000000-0010-0000-0000-000001000000}" name="Colunas1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44"/>
  <sheetViews>
    <sheetView zoomScale="120" zoomScaleNormal="120" workbookViewId="0">
      <selection activeCell="E26" sqref="E26"/>
    </sheetView>
  </sheetViews>
  <sheetFormatPr defaultColWidth="8.85546875" defaultRowHeight="12.75"/>
  <cols>
    <col min="1" max="1" width="10.28515625" style="26" customWidth="1"/>
    <col min="2" max="2" width="6.140625" style="26" customWidth="1"/>
    <col min="3" max="3" width="6.28515625" style="26" customWidth="1"/>
    <col min="4" max="4" width="6.7109375" style="26" customWidth="1"/>
    <col min="5" max="5" width="6.7109375" style="64" customWidth="1"/>
    <col min="6" max="7" width="6.7109375" style="26" customWidth="1"/>
    <col min="8" max="23" width="6.7109375" style="26" hidden="1" customWidth="1"/>
    <col min="24" max="30" width="6.7109375" style="65" hidden="1" customWidth="1"/>
    <col min="31" max="31" width="6.7109375" style="65" customWidth="1"/>
    <col min="32" max="38" width="6.7109375" style="26" hidden="1" customWidth="1"/>
    <col min="39" max="39" width="6.7109375" style="26" customWidth="1"/>
    <col min="40" max="46" width="6.7109375" style="26" hidden="1" customWidth="1"/>
    <col min="47" max="47" width="6.7109375" style="26" customWidth="1"/>
    <col min="48" max="54" width="6.7109375" style="26" hidden="1" customWidth="1"/>
    <col min="55" max="55" width="6.7109375" style="26" customWidth="1"/>
    <col min="56" max="16384" width="8.85546875" style="26"/>
  </cols>
  <sheetData>
    <row r="1" spans="1:63" ht="15.75" thickBot="1">
      <c r="A1" s="19" t="s">
        <v>58</v>
      </c>
      <c r="B1" s="20"/>
      <c r="C1" s="21" t="s">
        <v>138</v>
      </c>
      <c r="D1" s="22"/>
      <c r="E1" s="22"/>
      <c r="F1" s="22"/>
      <c r="G1" s="23"/>
      <c r="H1" s="24"/>
      <c r="I1" s="24"/>
      <c r="J1" s="24"/>
      <c r="K1" s="24"/>
      <c r="L1" s="24"/>
      <c r="M1" s="24"/>
      <c r="N1" s="24"/>
      <c r="O1" s="25" t="str">
        <f>(IF((A2=1),"Helder - MS",(IF((A2=2),"Carlos - PR",(IF((A2=3),"Rui - PR",(IF((A2=4),"Helder - PR",(IF((A2=5),"Carlos - MS","Opção Incorreta"))))))))))</f>
        <v>Helder - MS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</row>
    <row r="2" spans="1:63" ht="19.5" thickTop="1" thickBot="1">
      <c r="A2" s="27">
        <v>1</v>
      </c>
      <c r="B2" s="215" t="str">
        <f>IF(OR(($O$17="ERRO"),($W$17="ERRO"),($AU$17="ERRO"),($BC$17="ERRO")),"VERIFICAR ERRO NA AMELOGENINA","DADOS IMPORTADOS")</f>
        <v>DADOS IMPORTADOS</v>
      </c>
      <c r="C2" s="216"/>
      <c r="D2" s="216"/>
      <c r="E2" s="216"/>
      <c r="F2" s="216"/>
      <c r="G2" s="217"/>
      <c r="H2" s="28"/>
      <c r="I2" s="28"/>
      <c r="J2" s="28"/>
      <c r="K2" s="28"/>
      <c r="L2" s="28"/>
      <c r="M2" s="28"/>
      <c r="N2" s="28"/>
      <c r="O2" s="218" t="s">
        <v>59</v>
      </c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20"/>
    </row>
    <row r="3" spans="1:63" ht="9.9499999999999993" customHeight="1" thickTop="1" thickBot="1">
      <c r="A3" s="29" t="s">
        <v>60</v>
      </c>
      <c r="B3" s="16" t="s">
        <v>61</v>
      </c>
      <c r="C3" s="16" t="s">
        <v>62</v>
      </c>
      <c r="D3" s="16" t="s">
        <v>63</v>
      </c>
      <c r="E3" s="16" t="s">
        <v>64</v>
      </c>
      <c r="F3" s="16" t="s">
        <v>65</v>
      </c>
      <c r="G3" s="16" t="s">
        <v>66</v>
      </c>
      <c r="H3" s="30" t="s">
        <v>67</v>
      </c>
      <c r="I3" s="30" t="s">
        <v>68</v>
      </c>
      <c r="J3" s="30" t="s">
        <v>69</v>
      </c>
      <c r="K3" s="30" t="s">
        <v>70</v>
      </c>
      <c r="L3" s="30" t="s">
        <v>71</v>
      </c>
      <c r="M3" s="30" t="s">
        <v>72</v>
      </c>
      <c r="N3" s="30" t="s">
        <v>0</v>
      </c>
      <c r="O3" s="30" t="s">
        <v>73</v>
      </c>
      <c r="P3" s="31" t="s">
        <v>74</v>
      </c>
      <c r="Q3" s="31" t="s">
        <v>75</v>
      </c>
      <c r="R3" s="31" t="s">
        <v>76</v>
      </c>
      <c r="S3" s="31" t="s">
        <v>77</v>
      </c>
      <c r="T3" s="31" t="s">
        <v>78</v>
      </c>
      <c r="U3" s="31" t="s">
        <v>79</v>
      </c>
      <c r="V3" s="31" t="s">
        <v>1</v>
      </c>
      <c r="W3" s="31" t="s">
        <v>80</v>
      </c>
      <c r="X3" s="32" t="s">
        <v>81</v>
      </c>
      <c r="Y3" s="32" t="s">
        <v>82</v>
      </c>
      <c r="Z3" s="32" t="s">
        <v>83</v>
      </c>
      <c r="AA3" s="32" t="s">
        <v>84</v>
      </c>
      <c r="AB3" s="32" t="s">
        <v>85</v>
      </c>
      <c r="AC3" s="32" t="s">
        <v>86</v>
      </c>
      <c r="AD3" s="32" t="s">
        <v>2</v>
      </c>
      <c r="AE3" s="32" t="s">
        <v>87</v>
      </c>
      <c r="AF3" s="33" t="s">
        <v>88</v>
      </c>
      <c r="AG3" s="33" t="s">
        <v>89</v>
      </c>
      <c r="AH3" s="33" t="s">
        <v>90</v>
      </c>
      <c r="AI3" s="33" t="s">
        <v>91</v>
      </c>
      <c r="AJ3" s="33" t="s">
        <v>92</v>
      </c>
      <c r="AK3" s="33" t="s">
        <v>93</v>
      </c>
      <c r="AL3" s="33" t="s">
        <v>3</v>
      </c>
      <c r="AM3" s="33" t="s">
        <v>94</v>
      </c>
      <c r="AN3" s="34" t="s">
        <v>95</v>
      </c>
      <c r="AO3" s="34" t="s">
        <v>96</v>
      </c>
      <c r="AP3" s="34" t="s">
        <v>97</v>
      </c>
      <c r="AQ3" s="34" t="s">
        <v>98</v>
      </c>
      <c r="AR3" s="34" t="s">
        <v>99</v>
      </c>
      <c r="AS3" s="34" t="s">
        <v>100</v>
      </c>
      <c r="AT3" s="34" t="s">
        <v>4</v>
      </c>
      <c r="AU3" s="34" t="s">
        <v>101</v>
      </c>
      <c r="AV3" s="35" t="s">
        <v>102</v>
      </c>
      <c r="AW3" s="35" t="s">
        <v>103</v>
      </c>
      <c r="AX3" s="35" t="s">
        <v>104</v>
      </c>
      <c r="AY3" s="35" t="s">
        <v>105</v>
      </c>
      <c r="AZ3" s="35" t="s">
        <v>106</v>
      </c>
      <c r="BA3" s="35" t="s">
        <v>107</v>
      </c>
      <c r="BB3" s="35" t="s">
        <v>5</v>
      </c>
      <c r="BC3" s="35" t="s">
        <v>108</v>
      </c>
      <c r="BF3" s="36"/>
      <c r="BG3" s="36"/>
      <c r="BH3" s="36"/>
      <c r="BI3" s="36"/>
      <c r="BJ3" s="36"/>
      <c r="BK3" s="36"/>
    </row>
    <row r="4" spans="1:63" ht="9.9499999999999993" customHeight="1" thickTop="1" thickBot="1">
      <c r="A4" s="17" t="s">
        <v>110</v>
      </c>
      <c r="B4" s="37" t="s">
        <v>10</v>
      </c>
      <c r="C4" s="38" t="s">
        <v>10</v>
      </c>
      <c r="D4" s="66" t="s">
        <v>148</v>
      </c>
      <c r="E4" s="66" t="s">
        <v>148</v>
      </c>
      <c r="F4" s="66" t="s">
        <v>148</v>
      </c>
      <c r="G4" s="66" t="s">
        <v>149</v>
      </c>
      <c r="H4" s="39">
        <f t="shared" ref="H4:H27" si="0">((IF(($B4=38785),9.3,((IF(($B4=38761),13.2,((IF(($B4="31.2"),31.2,((IF(($B4=38787),11.3,((IF(($B4=38759),11.2,((IF(($B4=38763),15.2,((IF(($B4=38765),17.2,((IF(($B4=38772),24.2,0))))))))))))))))))))))))</f>
        <v>0</v>
      </c>
      <c r="I4" s="39">
        <f t="shared" ref="I4:I27" si="1">((IF(($B4=38800),24.3,((IF(($B4=38773),25.2,((IF(($B4=38046),29.2,((IF(($B4=38075),29.3,((IF(($B4="32.2"),32.2,((IF(($B4="33.2"),33.2,((IF(($B4="34.2"),34.2,((IF(($B4="35.2"),35.2,0))))))))))))))))))))))))</f>
        <v>0</v>
      </c>
      <c r="J4" s="39">
        <f t="shared" ref="J4:J27" si="2">((IF(($B4=38767),19.2,((IF(($B4="21.2"),21.2,((IF(($B4="22.2"),22.2,((IF(($B4="22.3"),22.3,((IF(($B4="26.2"),26.2,((IF(($B4="42.2"),42.2,((IF(($B4="44.2"),44.2,((IF(($B4="46.2"),46.2,0))))))))))))))))))))))))</f>
        <v>0</v>
      </c>
      <c r="K4" s="39">
        <f t="shared" ref="K4:K27" si="3">((IF(($B4="47.2"),47.2,((IF(($B4="50.2"),50.2,((IF(($B4="8.3"),8.3,((IF(($B4="23.2"),23.2,((IF(($B4="43.2"),43.2,((IF(($B4="45.2"),45.2,((IF(($B4="48.2"),48.2,((IF(($B4="51.2"),51.2,0))))))))))))))))))))))))</f>
        <v>0</v>
      </c>
      <c r="L4" s="39">
        <f t="shared" ref="L4:L27" si="4">((IF(($B4="13.3"),13.3,((IF(($B4=38758),10.2,((IF(($B4=38762),14.2,((IF(($B4=38760),12.2,((IF(($B4=38764),16.2,((IF(($B4=38766),18.2,((IF(($B4=38776),28.2,((IF(($B4="30.2"),30.2,0))))))))))))))))))))))))</f>
        <v>0</v>
      </c>
      <c r="M4" s="39">
        <f>((IF(($B4="34.1"),34.1,((IF(($B4="35.1"),35.1,((IF(($B4=38733),16.1,((IF(($B4=38768),20.2,((IF(($B4=38774),26.2,0)))))))))))))))</f>
        <v>0</v>
      </c>
      <c r="N4" s="39"/>
      <c r="O4" s="40" t="str">
        <f t="shared" ref="O4:O18" si="5">(IF((SUM(H4:N4)&lt;&gt;0),(SUM(H4:N4)),$B4))</f>
        <v>ND</v>
      </c>
      <c r="P4" s="41">
        <f>((IF(($C4=38785),9.3,((IF(($C4=38761),13.2,((IF(($C4="31.2"),31.2,((IF(($C4=38787),11.3,((IF(($C4=38759),11.2,((IF(($C4=38763),15.2,((IF(($C4=38765),4.2,((IF(($C4=38772),24.2,0))))))))))))))))))))))))</f>
        <v>0</v>
      </c>
      <c r="Q4" s="41">
        <f>((IF(($C4=38800),24.3,((IF(($C4=38773),25.2,((IF(($C4=38046),29.2,((IF(($C4=38075),29.3,((IF(($C4="32.2"),32.2,((IF(($C4="33.2"),33.2,((IF(($C4="34.2"),34.2,((IF(($C4="35.2"),35.2,0))))))))))))))))))))))))</f>
        <v>0</v>
      </c>
      <c r="R4" s="41">
        <f>((IF(($C4=38767),19.2,((IF(($C4="21.2"),21.2,((IF(($C4="22.2"),22.2,((IF(($C4="22.3"),22.3,((IF(($C4="26.2"),26.2,((IF(($C4="42.2"),42.2,((IF(($C4="44.2"),44.2,((IF(($C4="46.2"),46.2,0))))))))))))))))))))))))</f>
        <v>0</v>
      </c>
      <c r="S4" s="41">
        <f>((IF(($C4="47.2"),47.2,((IF(($C4="50.2"),50.2,((IF(($C4="8.3"),8.3,((IF(($C4="23.2"),23.2,((IF(($C4="43.2"),43.2,((IF(($C4="45.2"),45.2,((IF(($C4="48.2"),48.2,((IF(($C4="51.2"),51.2,0))))))))))))))))))))))))</f>
        <v>0</v>
      </c>
      <c r="T4" s="41">
        <f>((IF(($C4="13.3"),13.3,((IF(($C4=38758),10.2,((IF(($C4=38762),14.2,((IF(($C4=38760),12.2,((IF(($C4=38764),16.2,((IF(($C4=38766),18.2,((IF(($C4=38776),28.2,((IF(($C4="30.2"),30.2,0))))))))))))))))))))))))</f>
        <v>0</v>
      </c>
      <c r="U4" s="41">
        <f>((IF(($C4="34.1"),34.1,((IF(($C4="35.1"),35.1,((IF(($C4=38733),16.1,((IF(($C4=38768),20.2,((IF(($C4=38774),26.2,((IF(($C4=38771),23.2,0))))))))))))))))))</f>
        <v>0</v>
      </c>
      <c r="V4" s="41"/>
      <c r="W4" s="42" t="str">
        <f t="shared" ref="W4:W18" si="6">(IF((SUM(P4:V4)&lt;&gt;0),(SUM(P4:V4)),$C4))</f>
        <v>ND</v>
      </c>
      <c r="X4" s="43">
        <f>((IF(($D4=38785),9.3,((IF(($D4=38761),13.2,((IF(($D4="31.2"),31.2,((IF(($D4=38787),11.3,((IF(($D4=38759),11.2,((IF(($D4=38763),15.2,((IF(($D4=38765),4.2,((IF(($D4=38772),24.2,0))))))))))))))))))))))))</f>
        <v>0</v>
      </c>
      <c r="Y4" s="43">
        <f>((IF(($D4=38800),24.3,((IF(($D4=38773),25.2,((IF(($D4=38046),29.2,((IF(($D4=38075),29.3,((IF(($D4="32.2"),32.2,((IF(($D4="33.2"),33.2,((IF(($D4="34.2"),34.2,((IF(($D4="35.2"),35.2,0))))))))))))))))))))))))</f>
        <v>0</v>
      </c>
      <c r="Z4" s="43">
        <f>((IF(($D4=38767),19.2,((IF(($D4="21.2"),21.2,((IF(($D4="22.2"),22.2,((IF(($D4="22.3"),22.3,((IF(($D4="26.2"),26.2,((IF(($D4="42.2"),42.2,((IF(($D4="44.2"),44.2,((IF(($D4="46.2"),46.2,0))))))))))))))))))))))))</f>
        <v>0</v>
      </c>
      <c r="AA4" s="43">
        <f>((IF(($D4="47.2"),47.2,((IF(($D4="50.2"),50.2,((IF(($D4="8.3"),8.3,((IF(($D4="23.2"),23.2,((IF(($D4="43.2"),43.2,((IF(($D4="45.2"),45.2,((IF(($D4="48.2"),48.2,((IF(($D4="51.2"),51.2,0))))))))))))))))))))))))</f>
        <v>0</v>
      </c>
      <c r="AB4" s="43">
        <f>((IF(($D4="13.3"),13.3,((IF(($D4=38758),10.2,((IF(($D4=38762),14.2,((IF(($D4=38760),12.2,((IF(($D4=38764),16.2,((IF(($D4=38766),18.2,((IF(($D4=38776),28.2,((IF(($D4="30.2"),30.2,0))))))))))))))))))))))))</f>
        <v>0</v>
      </c>
      <c r="AC4" s="43">
        <f>((IF(($D4="34.1"),34.1,((IF(($D4="35.1"),35.1,((IF(($D4=38733),16.1,((IF(($D4=38768),20.2,((IF(($D4=38774),26.2,0)))))))))))))))</f>
        <v>0</v>
      </c>
      <c r="AD4" s="43"/>
      <c r="AE4" s="44" t="str">
        <f t="shared" ref="AE4:AE27" si="7">(IF((SUM(X4:AD4)&lt;&gt;0),(SUM(X4:AD4)),$D4))</f>
        <v>X</v>
      </c>
      <c r="AF4" s="45">
        <f>((IF(($E4=38785),9.3,((IF(($E4=38761),13.2,((IF(($E4="31.2"),31.2,((IF(($E4=38787),11.3,((IF(($E4=38759),11.2,((IF(($E4=38763),15.2,((IF(($E4=38765),4.2,((IF(($E4=38772),24.2,0))))))))))))))))))))))))</f>
        <v>0</v>
      </c>
      <c r="AG4" s="45">
        <f>((IF(($E4=38800),24.3,((IF(($E4=38773),25.2,((IF(($E4=38046),29.2,((IF(($E4=38075),29.3,((IF(($E4="32.2"),32.2,((IF(($E4="33.2"),33.2,((IF(($E4="34.2"),34.2,((IF(($E4="35.2"),35.2,0))))))))))))))))))))))))</f>
        <v>0</v>
      </c>
      <c r="AH4" s="45">
        <f>((IF(($E4=38767),19.2,((IF(($E4="21.2"),21.2,((IF(($E4="22.2"),22.2,((IF(($E4="22.3"),22.3,((IF(($E4="26.2"),26.2,((IF(($E4="42.2"),42.2,((IF(($E4="44.2"),44.2,((IF(($E4="46.2"),46.2,0))))))))))))))))))))))))</f>
        <v>0</v>
      </c>
      <c r="AI4" s="45">
        <f>((IF(($E4="47.2"),47.2,((IF(($E4="50.2"),50.2,((IF(($E4="8.3"),8.3,((IF(($E4="23.2"),23.2,((IF(($E4="43.2"),43.2,((IF(($E4="45.2"),45.2,((IF(($E4="48.2"),48.2,((IF(($E4="51.2"),51.2,0))))))))))))))))))))))))</f>
        <v>0</v>
      </c>
      <c r="AJ4" s="45">
        <f>((IF(($E4="13.3"),13.3,((IF(($E4=38758),10.2,((IF(($E4=38762),14.2,((IF(($E4=38760),12.2,((IF(($E4=38764),16.2,((IF(($E4=38766),18.2,((IF(($E4=38776),28.2,((IF(($E4="30.2"),30.2,0))))))))))))))))))))))))</f>
        <v>0</v>
      </c>
      <c r="AK4" s="45">
        <f>((IF(($E4="34.1"),34.1,((IF(($E4="35.1"),35.1,((IF(($E4=38733),16.1,((IF(($E4=38768),20.2,((IF(($E4=38774),26.2,((IF(($E4=38771),23.2,0))))))))))))))))))</f>
        <v>0</v>
      </c>
      <c r="AL4" s="45"/>
      <c r="AM4" s="46" t="str">
        <f>(IF((SUM(AF4:AL4)&lt;&gt;0),(SUM(AF4:AL4)),$E4))</f>
        <v>X</v>
      </c>
      <c r="AN4" s="47">
        <f>((IF(($F4=38785),9.3,((IF(($F4=38761),13.2,((IF(($F4="31.2"),31.2,((IF(($F4=38787),11.3,((IF(($F4=38759),11.2,((IF(($F4=38763),15.2,((IF(($F4=38765),4.2,((IF(($F4=38772),24.2,0))))))))))))))))))))))))</f>
        <v>0</v>
      </c>
      <c r="AO4" s="47">
        <f>((IF(($F4=38800),24.3,((IF(($F4=38773),25.2,((IF(($F4=38046),29.2,((IF(($F4=38075),29.3,((IF(($F4="32.2"),32.2,((IF(($F4="33.2"),33.2,((IF(($F4="34.2"),34.2,((IF(($F4="35.2"),35.2,0))))))))))))))))))))))))</f>
        <v>0</v>
      </c>
      <c r="AP4" s="47">
        <f>((IF(($F4=38767),19.2,((IF(($F4="21.2"),21.2,((IF(($F4="22.2"),22.2,((IF(($F4="22.3"),22.3,((IF(($F4="26.2"),26.2,((IF(($F4="42.2"),42.2,((IF(($F4="44.2"),44.2,((IF(($F4="46.2"),46.2,0))))))))))))))))))))))))</f>
        <v>0</v>
      </c>
      <c r="AQ4" s="47">
        <f>((IF(($F4="47.2"),47.2,((IF(($F4="50.2"),50.2,((IF(($F4="8.3"),8.3,((IF(($F4="23.2"),23.2,((IF(($F4="43.2"),43.2,((IF(($F4="45.2"),45.2,((IF(($F4="48.2"),48.2,((IF(($F4="51.2"),51.2,0))))))))))))))))))))))))</f>
        <v>0</v>
      </c>
      <c r="AR4" s="47">
        <f>((IF(($F4="13.3"),13.3,((IF(($F4=38758),10.2,((IF(($F4=38762),14.2,((IF(($F4=38760),12.2,((IF(($F4=38764),16.2,((IF(($F4=38766),18.2,((IF(($F4=38776),28.2,((IF(($F4="30.2"),30.2,0))))))))))))))))))))))))</f>
        <v>0</v>
      </c>
      <c r="AS4" s="47">
        <f>((IF(($F4="34.1"),34.1,((IF(($F4="35.1"),35.1,((IF(($F4=38733),16.1,((IF(($F4=38768),20.2,((IF(($F4=38774),26.2,0)))))))))))))))</f>
        <v>0</v>
      </c>
      <c r="AT4" s="47"/>
      <c r="AU4" s="48" t="str">
        <f>(IF((SUM(AN4:AT4)&lt;&gt;0),(SUM(AN4:AT4)),$F4))</f>
        <v>X</v>
      </c>
      <c r="AV4" s="49" t="str">
        <f t="shared" ref="AV4:BB4" si="8">(IF((SUM(AO4:AU4)&lt;&gt;0),(SUM(AO4:AU4)),$E4))</f>
        <v>X</v>
      </c>
      <c r="AW4" s="49" t="str">
        <f t="shared" si="8"/>
        <v>X</v>
      </c>
      <c r="AX4" s="49" t="str">
        <f t="shared" si="8"/>
        <v>X</v>
      </c>
      <c r="AY4" s="49" t="str">
        <f t="shared" si="8"/>
        <v>X</v>
      </c>
      <c r="AZ4" s="49" t="str">
        <f t="shared" si="8"/>
        <v>X</v>
      </c>
      <c r="BA4" s="49" t="str">
        <f t="shared" si="8"/>
        <v>X</v>
      </c>
      <c r="BB4" s="49" t="str">
        <f t="shared" si="8"/>
        <v>X</v>
      </c>
      <c r="BC4" s="50" t="str">
        <f>(IF((SUM(AV4:BB4)&lt;&gt;0),(SUM(AV4:BB4)),$G4))</f>
        <v>Y</v>
      </c>
      <c r="BF4" s="51"/>
      <c r="BG4" s="51"/>
      <c r="BH4" s="51"/>
      <c r="BI4" s="51"/>
      <c r="BJ4" s="51"/>
      <c r="BK4" s="51"/>
    </row>
    <row r="5" spans="1:63" ht="9.9499999999999993" customHeight="1" thickTop="1" thickBot="1">
      <c r="A5" s="18" t="str">
        <f>FREQUENCIAS!B$1</f>
        <v>D3S1358</v>
      </c>
      <c r="B5" s="52" t="s">
        <v>10</v>
      </c>
      <c r="C5" s="53" t="s">
        <v>10</v>
      </c>
      <c r="D5" s="66">
        <v>15</v>
      </c>
      <c r="E5" s="66">
        <v>17</v>
      </c>
      <c r="F5" s="66">
        <v>15</v>
      </c>
      <c r="G5" s="66">
        <v>16</v>
      </c>
      <c r="H5" s="39">
        <f t="shared" si="0"/>
        <v>0</v>
      </c>
      <c r="I5" s="39">
        <f t="shared" si="1"/>
        <v>0</v>
      </c>
      <c r="J5" s="39">
        <f t="shared" si="2"/>
        <v>0</v>
      </c>
      <c r="K5" s="39">
        <f t="shared" si="3"/>
        <v>0</v>
      </c>
      <c r="L5" s="39">
        <f t="shared" si="4"/>
        <v>0</v>
      </c>
      <c r="M5" s="39">
        <f>((IF(($B5="34.1"),34.1,((IF(($B5="35.1"),35.1,((IF(($B5=38733),16.1,((IF(($B5=38768),20.2,((IF(($B5=38774),26.2,((IF(($B5=38771),23.2,((IF(($B5="29.2"),29.2,0)))))))))))))))))))))</f>
        <v>0</v>
      </c>
      <c r="N5" s="39"/>
      <c r="O5" s="40" t="str">
        <f t="shared" si="5"/>
        <v>ND</v>
      </c>
      <c r="P5" s="41">
        <f t="shared" ref="P5:P27" si="9">((IF(($C5=38785),9.3,((IF(($C5=38761),13.2,((IF(($C5="31.2"),31.2,((IF(($C5=38787),11.3,((IF(($C5=38759),11.2,((IF(($C5=38763),15.2,((IF(($C5=38765),17.2,((IF(($C5=38772),24.2,0))))))))))))))))))))))))</f>
        <v>0</v>
      </c>
      <c r="Q5" s="41">
        <f t="shared" ref="Q5:Q27" si="10">((IF(($C5=38800),24.3,((IF(($C5=38773),25.2,((IF(($C5=38046),29.2,((IF(($C5=38075),29.3,((IF(($C5="32.2"),32.2,((IF(($C5="33.2"),33.2,((IF(($C5="34.2"),34.2,((IF(($C5="35.2"),35.2,0))))))))))))))))))))))))</f>
        <v>0</v>
      </c>
      <c r="R5" s="41">
        <f t="shared" ref="R5:R27" si="11">((IF(($C5=38767),19.2,((IF(($C5="21.2"),21.2,((IF(($C5="22.2"),22.2,((IF(($C5="22.3"),22.3,((IF(($C5="26.2"),26.2,((IF(($C5="42.2"),42.2,((IF(($C5="44.2"),44.2,((IF(($C5="46.2"),46.2,0))))))))))))))))))))))))</f>
        <v>0</v>
      </c>
      <c r="S5" s="41">
        <f t="shared" ref="S5:S27" si="12">((IF(($C5="47.2"),47.2,((IF(($C5="50.2"),50.2,((IF(($C5="8.3"),8.3,((IF(($C5="23.2"),23.2,((IF(($C5="43.2"),43.2,((IF(($C5="45.2"),45.2,((IF(($C5="48.2"),48.2,((IF(($C5="51.2"),51.2,0))))))))))))))))))))))))</f>
        <v>0</v>
      </c>
      <c r="T5" s="41">
        <f t="shared" ref="T5:T27" si="13">((IF(($C5="13.3"),13.3,((IF(($C5=38758),10.2,((IF(($C5=38762),14.2,((IF(($C5=38760),12.2,((IF(($C5=38764),16.2,((IF(($C5=38766),18.2,((IF(($C5=38776),28.2,((IF(($C5="30.2"),30.2,0))))))))))))))))))))))))</f>
        <v>0</v>
      </c>
      <c r="U5" s="41">
        <f>((IF(($C5="34.1"),34.1,((IF(($C5="35.1"),35.1,((IF(($C5=38733),16.1,((IF(($C5=38768),20.2,((IF(($C5=38774),26.2,((IF(($C5=38771),23.2,((IF(($C5="29.2"),29.2,0)))))))))))))))))))))</f>
        <v>0</v>
      </c>
      <c r="V5" s="41"/>
      <c r="W5" s="42" t="str">
        <f t="shared" si="6"/>
        <v>ND</v>
      </c>
      <c r="X5" s="43">
        <f t="shared" ref="X5:X27" si="14">((IF(($D5=38785),9.3,((IF(($D5=38761),13.2,((IF(($D5="31.2"),31.2,((IF(($D5=38787),11.3,((IF(($D5=38759),11.2,((IF(($D5=38763),15.2,((IF(($D5=38765),17.2,((IF(($D5=38772),24.2,0))))))))))))))))))))))))</f>
        <v>0</v>
      </c>
      <c r="Y5" s="43">
        <f t="shared" ref="Y5:Y27" si="15">((IF(($D5=38800),24.3,((IF(($D5=38773),25.2,((IF(($D5=38046),29.2,((IF(($D5=38075),29.3,((IF(($D5="32.2"),32.2,((IF(($D5="33.2"),33.2,((IF(($D5="34.2"),34.2,((IF(($D5="35.2"),35.2,0))))))))))))))))))))))))</f>
        <v>0</v>
      </c>
      <c r="Z5" s="43">
        <f t="shared" ref="Z5:Z27" si="16">((IF(($D5=38767),19.2,((IF(($D5="21.2"),21.2,((IF(($D5="22.2"),22.2,((IF(($D5="22.3"),22.3,((IF(($D5="26.2"),26.2,((IF(($D5="42.2"),42.2,((IF(($D5="44.2"),44.2,((IF(($D5="46.2"),46.2,0))))))))))))))))))))))))</f>
        <v>0</v>
      </c>
      <c r="AA5" s="43">
        <f t="shared" ref="AA5:AA27" si="17">((IF(($D5="47.2"),47.2,((IF(($D5="50.2"),50.2,((IF(($D5="8.3"),8.3,((IF(($D5="23.2"),23.2,((IF(($D5="43.2"),43.2,((IF(($D5="45.2"),45.2,((IF(($D5="48.2"),48.2,((IF(($D5="51.2"),51.2,0))))))))))))))))))))))))</f>
        <v>0</v>
      </c>
      <c r="AB5" s="43">
        <f t="shared" ref="AB5:AB27" si="18">((IF(($D5="13.3"),13.3,((IF(($D5=38758),10.2,((IF(($D5=38762),14.2,((IF(($D5=38760),12.2,((IF(($D5=38764),16.2,((IF(($D5=38766),18.2,((IF(($D5=38776),28.2,((IF(($D5="30.2"),30.2,0))))))))))))))))))))))))</f>
        <v>0</v>
      </c>
      <c r="AC5" s="43">
        <f>((IF(($D5="34.1"),34.1,((IF(($D5="35.1"),35.1,((IF(($D5=38733),16.1,((IF(($D5=38768),20.2,((IF(($D5=38774),26.2,((IF(($D5=38771),23.2,((IF(($D5="29.2"),29.2,0)))))))))))))))))))))</f>
        <v>0</v>
      </c>
      <c r="AD5" s="43"/>
      <c r="AE5" s="44">
        <f t="shared" si="7"/>
        <v>15</v>
      </c>
      <c r="AF5" s="45">
        <f t="shared" ref="AF5:AF38" si="19">((IF(($E5=38785),9.3,((IF(($E5=38761),13.2,((IF(($E5="31.2"),31.2,((IF(($E5=38787),11.3,((IF(($E5=38759),11.2,((IF(($E5=38763),15.2,((IF(($E5=38765),17.2,((IF(($E5=38772),24.2,0))))))))))))))))))))))))</f>
        <v>0</v>
      </c>
      <c r="AG5" s="45">
        <f t="shared" ref="AG5:AG38" si="20">((IF(($E5=38800),24.3,((IF(($E5=38773),25.2,((IF(($E5=38046),29.2,((IF(($E5=38075),29.3,((IF(($E5="32.2"),32.2,((IF(($E5="33.2"),33.2,((IF(($E5="34.2"),34.2,((IF(($E5="35.2"),35.2,0))))))))))))))))))))))))</f>
        <v>0</v>
      </c>
      <c r="AH5" s="45">
        <f t="shared" ref="AH5:AH38" si="21">((IF(($E5=38767),19.2,((IF(($E5="21.2"),21.2,((IF(($E5="22.2"),22.2,((IF(($E5="22.3"),22.3,((IF(($E5="26.2"),26.2,((IF(($E5="42.2"),42.2,((IF(($E5="44.2"),44.2,((IF(($E5="46.2"),46.2,0))))))))))))))))))))))))</f>
        <v>0</v>
      </c>
      <c r="AI5" s="45">
        <f t="shared" ref="AI5:AI38" si="22">((IF(($E5="47.2"),47.2,((IF(($E5="50.2"),50.2,((IF(($E5="8.3"),8.3,((IF(($E5="23.2"),23.2,((IF(($E5="43.2"),43.2,((IF(($E5="45.2"),45.2,((IF(($E5="48.2"),48.2,((IF(($E5="51.2"),51.2,0))))))))))))))))))))))))</f>
        <v>0</v>
      </c>
      <c r="AJ5" s="45">
        <f t="shared" ref="AJ5:AJ38" si="23">((IF(($E5="13.3"),13.3,((IF(($E5=38758),10.2,((IF(($E5=38762),14.2,((IF(($E5=38760),12.2,((IF(($E5=38764),16.2,((IF(($E5=38766),18.2,((IF(($E5=38776),28.2,((IF(($E5="30.2"),30.2,0))))))))))))))))))))))))</f>
        <v>0</v>
      </c>
      <c r="AK5" s="45">
        <f>((IF(($E5="34.1"),34.1,((IF(($E5="35.1"),35.1,((IF(($E5=38733),16.1,((IF(($E5=38768),20.2,((IF(($E5=38774),26.2,((IF(($E5=38771),23.2,((IF(($E5="29.2"),29.2,0)))))))))))))))))))))</f>
        <v>0</v>
      </c>
      <c r="AL5" s="45"/>
      <c r="AM5" s="46">
        <f t="shared" ref="AM5:AM18" si="24">(IF((SUM(AF5:AL5)&lt;&gt;0),(SUM(AF5:AL5)),$E5))</f>
        <v>17</v>
      </c>
      <c r="AN5" s="47">
        <f t="shared" ref="AN5:AN38" si="25">((IF(($F5=38785),9.3,((IF(($F5=38761),13.2,((IF(($F5="31.2"),31.2,((IF(($F5=38787),11.3,((IF(($F5=38759),11.2,((IF(($F5=38763),15.2,((IF(($F5=38765),17.2,((IF(($F5=38772),24.2,0))))))))))))))))))))))))</f>
        <v>0</v>
      </c>
      <c r="AO5" s="47">
        <f t="shared" ref="AO5:AO38" si="26">((IF(($F5=38800),24.3,((IF(($F5=38773),25.2,((IF(($F5=38046),29.2,((IF(($F5=38075),29.3,((IF(($F5="32.2"),32.2,((IF(($F5="33.2"),33.2,((IF(($F5="34.2"),34.2,((IF(($F5="35.2"),35.2,0))))))))))))))))))))))))</f>
        <v>0</v>
      </c>
      <c r="AP5" s="47">
        <f t="shared" ref="AP5:AP38" si="27">((IF(($F5=38767),19.2,((IF(($F5="21.2"),21.2,((IF(($F5="22.2"),22.2,((IF(($F5="22.3"),22.3,((IF(($F5="26.2"),26.2,((IF(($F5="42.2"),42.2,((IF(($F5="44.2"),44.2,((IF(($F5="46.2"),46.2,0))))))))))))))))))))))))</f>
        <v>0</v>
      </c>
      <c r="AQ5" s="47">
        <f t="shared" ref="AQ5:AQ38" si="28">((IF(($F5="47.2"),47.2,((IF(($F5="50.2"),50.2,((IF(($F5="8.3"),8.3,((IF(($F5="23.2"),23.2,((IF(($F5="43.2"),43.2,((IF(($F5="45.2"),45.2,((IF(($F5="48.2"),48.2,((IF(($F5="51.2"),51.2,0))))))))))))))))))))))))</f>
        <v>0</v>
      </c>
      <c r="AR5" s="47">
        <f t="shared" ref="AR5:AR38" si="29">((IF(($F5="13.3"),13.3,((IF(($F5=38758),10.2,((IF(($F5=38762),14.2,((IF(($F5=38760),12.2,((IF(($F5=38764),16.2,((IF(($F5=38766),18.2,((IF(($F5=38776),28.2,((IF(($F5="30.2"),30.2,0))))))))))))))))))))))))</f>
        <v>0</v>
      </c>
      <c r="AS5" s="47">
        <f>((IF(($F5="34.1"),34.1,((IF(($F5="35.1"),35.1,((IF(($F5=38733),16.1,((IF(($F5=38768),20.2,((IF(($F5=38774),26.2,((IF(($F5=38771),23.2,((IF(($F5="29.2"),29.2,0)))))))))))))))))))))</f>
        <v>0</v>
      </c>
      <c r="AT5" s="47"/>
      <c r="AU5" s="48">
        <f t="shared" ref="AU5:AU18" si="30">(IF((SUM(AN5:AT5)&lt;&gt;0),(SUM(AN5:AT5)),$F5))</f>
        <v>15</v>
      </c>
      <c r="AV5" s="49">
        <f t="shared" ref="AV5:AV38" si="31">((IF(($G5=38785),9.3,((IF(($G5=38761),13.2,((IF(($G5="31.2"),31.2,((IF(($G5=38787),11.3,((IF(($G5=38759),11.2,((IF(($G5=38763),15.2,((IF(($G5=38765),17.2,((IF(($G5=38772),24.2,0))))))))))))))))))))))))</f>
        <v>0</v>
      </c>
      <c r="AW5" s="49">
        <f t="shared" ref="AW5:AW38" si="32">((IF(($G5=38800),24.3,((IF(($G5=38773),25.2,((IF(($G5=38046),29.2,((IF(($G5=38075),29.3,((IF(($G5="32.2"),32.2,((IF(($G5="33.2"),33.2,((IF(($G5="34.2"),34.2,((IF(($G5="35.2"),35.2,0))))))))))))))))))))))))</f>
        <v>0</v>
      </c>
      <c r="AX5" s="49">
        <f t="shared" ref="AX5:AX38" si="33">((IF(($G5=38767),19.2,((IF(($G5="21.2"),21.2,((IF(($G5="22.2"),22.2,((IF(($G5="22.3"),22.3,((IF(($G5="26.2"),26.2,((IF(($G5="42.2"),42.2,((IF(($G5="44.2"),44.2,((IF(($G5="46.2"),46.2,0))))))))))))))))))))))))</f>
        <v>0</v>
      </c>
      <c r="AY5" s="49">
        <f t="shared" ref="AY5:AY38" si="34">((IF(($G5="47.2"),47.2,((IF(($G5="50.2"),50.2,((IF(($G5="8.3"),8.3,((IF(($G5="23.2"),23.2,((IF(($G5="43.2"),43.2,((IF(($G5="45.2"),45.2,((IF(($G5="48.2"),48.2,((IF(($G5="51.2"),51.2,0))))))))))))))))))))))))</f>
        <v>0</v>
      </c>
      <c r="AZ5" s="49">
        <f t="shared" ref="AZ5:AZ38" si="35">((IF(($G5="13.3"),13.3,((IF(($G5=38758),10.2,((IF(($G5=38762),14.2,((IF(($G5=38760),12.2,((IF(($G5=38764),16.2,((IF(($G5=38766),18.2,((IF(($G5=38776),28.2,((IF(($G5="30.2"),30.2,0))))))))))))))))))))))))</f>
        <v>0</v>
      </c>
      <c r="BA5" s="49">
        <f>((IF(($G5="34.1"),34.1,((IF(($G5="35.1"),35.1,((IF(($G5=38733),16.1,((IF(($G5=38768),20.2,((IF(($G5=38774),26.2,((IF(($G5=38771),23.2,((IF(($G5="29.2"),29.2,0)))))))))))))))))))))</f>
        <v>0</v>
      </c>
      <c r="BB5" s="49"/>
      <c r="BC5" s="50">
        <f t="shared" ref="BC5:BC18" si="36">(IF((SUM(AV5:BB5)&lt;&gt;0),(SUM(AV5:BB5)),$G5))</f>
        <v>16</v>
      </c>
      <c r="BF5" s="51"/>
      <c r="BG5" s="51"/>
      <c r="BH5" s="51"/>
      <c r="BI5" s="51"/>
      <c r="BJ5" s="51"/>
      <c r="BK5" s="51"/>
    </row>
    <row r="6" spans="1:63" ht="9.9499999999999993" customHeight="1" thickTop="1" thickBot="1">
      <c r="A6" s="18" t="str">
        <f>FREQUENCIAS!C$1</f>
        <v>D1S1656</v>
      </c>
      <c r="B6" s="52" t="s">
        <v>10</v>
      </c>
      <c r="C6" s="53" t="s">
        <v>10</v>
      </c>
      <c r="D6" s="66">
        <v>15.3</v>
      </c>
      <c r="E6" s="66">
        <v>17</v>
      </c>
      <c r="F6" s="66">
        <v>16</v>
      </c>
      <c r="G6" s="66">
        <v>17</v>
      </c>
      <c r="H6" s="39">
        <f t="shared" si="0"/>
        <v>0</v>
      </c>
      <c r="I6" s="39">
        <f t="shared" si="1"/>
        <v>0</v>
      </c>
      <c r="J6" s="39">
        <f t="shared" si="2"/>
        <v>0</v>
      </c>
      <c r="K6" s="39">
        <f t="shared" si="3"/>
        <v>0</v>
      </c>
      <c r="L6" s="39">
        <f t="shared" si="4"/>
        <v>0</v>
      </c>
      <c r="M6" s="39">
        <f>((IF(($B6="34.1"),34.1,((IF(($B6="35.1"),35.1,((IF(($B6=38733),16.1,((IF(($B6=38768),20.2,((IF(($B6=38774),26.2,0)))))))))))))))</f>
        <v>0</v>
      </c>
      <c r="N6" s="39"/>
      <c r="O6" s="40" t="str">
        <f t="shared" si="5"/>
        <v>ND</v>
      </c>
      <c r="P6" s="41">
        <f t="shared" si="9"/>
        <v>0</v>
      </c>
      <c r="Q6" s="41">
        <f t="shared" si="10"/>
        <v>0</v>
      </c>
      <c r="R6" s="41">
        <f t="shared" si="11"/>
        <v>0</v>
      </c>
      <c r="S6" s="41">
        <f t="shared" si="12"/>
        <v>0</v>
      </c>
      <c r="T6" s="41">
        <f t="shared" si="13"/>
        <v>0</v>
      </c>
      <c r="U6" s="41">
        <f>((IF(($C6="34.1"),34.1,((IF(($C6="35.1"),35.1,((IF(($C6=38733),16.1,((IF(($C6=38768),20.2,((IF(($C6=38774),26.2,((IF(($C6=38771),23.2,0))))))))))))))))))</f>
        <v>0</v>
      </c>
      <c r="V6" s="41"/>
      <c r="W6" s="42" t="str">
        <f t="shared" si="6"/>
        <v>ND</v>
      </c>
      <c r="X6" s="43">
        <f t="shared" si="14"/>
        <v>0</v>
      </c>
      <c r="Y6" s="43">
        <f t="shared" si="15"/>
        <v>0</v>
      </c>
      <c r="Z6" s="43">
        <f t="shared" si="16"/>
        <v>0</v>
      </c>
      <c r="AA6" s="43">
        <f t="shared" si="17"/>
        <v>0</v>
      </c>
      <c r="AB6" s="43">
        <f t="shared" si="18"/>
        <v>0</v>
      </c>
      <c r="AC6" s="43">
        <f>((IF(($D6="34.1"),34.1,((IF(($D6="35.1"),35.1,((IF(($D6=38733),16.1,((IF(($D6=38768),20.2,((IF(($D6=38774),26.2,0)))))))))))))))</f>
        <v>0</v>
      </c>
      <c r="AD6" s="43"/>
      <c r="AE6" s="44">
        <f t="shared" si="7"/>
        <v>15.3</v>
      </c>
      <c r="AF6" s="45">
        <f t="shared" si="19"/>
        <v>0</v>
      </c>
      <c r="AG6" s="45">
        <f t="shared" si="20"/>
        <v>0</v>
      </c>
      <c r="AH6" s="45">
        <f t="shared" si="21"/>
        <v>0</v>
      </c>
      <c r="AI6" s="45">
        <f t="shared" si="22"/>
        <v>0</v>
      </c>
      <c r="AJ6" s="45">
        <f t="shared" si="23"/>
        <v>0</v>
      </c>
      <c r="AK6" s="45">
        <f>((IF(($E6="34.1"),34.1,((IF(($E6="35.1"),35.1,((IF(($E6=38733),16.1,((IF(($E6=38768),20.2,((IF(($E6=38774),26.2,((IF(($E6=38771),23.2,0))))))))))))))))))</f>
        <v>0</v>
      </c>
      <c r="AL6" s="45"/>
      <c r="AM6" s="46">
        <f t="shared" si="24"/>
        <v>17</v>
      </c>
      <c r="AN6" s="47">
        <f t="shared" si="25"/>
        <v>0</v>
      </c>
      <c r="AO6" s="47">
        <f t="shared" si="26"/>
        <v>0</v>
      </c>
      <c r="AP6" s="47">
        <f t="shared" si="27"/>
        <v>0</v>
      </c>
      <c r="AQ6" s="47">
        <f t="shared" si="28"/>
        <v>0</v>
      </c>
      <c r="AR6" s="47">
        <f t="shared" si="29"/>
        <v>0</v>
      </c>
      <c r="AS6" s="47">
        <f>((IF(($F6="34.1"),34.1,((IF(($F6="35.1"),35.1,((IF(($F6=38733),16.1,((IF(($F6=38768),20.2,((IF(($F6=38774),26.2,0)))))))))))))))</f>
        <v>0</v>
      </c>
      <c r="AT6" s="47"/>
      <c r="AU6" s="48">
        <f t="shared" si="30"/>
        <v>16</v>
      </c>
      <c r="AV6" s="49">
        <f t="shared" si="31"/>
        <v>0</v>
      </c>
      <c r="AW6" s="49">
        <f t="shared" si="32"/>
        <v>0</v>
      </c>
      <c r="AX6" s="49">
        <f t="shared" si="33"/>
        <v>0</v>
      </c>
      <c r="AY6" s="49">
        <f t="shared" si="34"/>
        <v>0</v>
      </c>
      <c r="AZ6" s="49">
        <f t="shared" si="35"/>
        <v>0</v>
      </c>
      <c r="BA6" s="49">
        <f>((IF(($G6="34.1"),34.1,((IF(($G6="35.1"),35.1,((IF(($G6=38733),16.1,((IF(($G6=38768),20.2,((IF(($G6=38774),26.2,((IF(($G6=38771),23.2,0))))))))))))))))))</f>
        <v>0</v>
      </c>
      <c r="BB6" s="49"/>
      <c r="BC6" s="50">
        <f t="shared" si="36"/>
        <v>17</v>
      </c>
      <c r="BF6" s="51"/>
      <c r="BG6" s="51"/>
      <c r="BH6" s="51"/>
      <c r="BI6" s="51"/>
      <c r="BJ6" s="51"/>
      <c r="BK6" s="51"/>
    </row>
    <row r="7" spans="1:63" ht="9.9499999999999993" customHeight="1" thickTop="1" thickBot="1">
      <c r="A7" s="18" t="str">
        <f>FREQUENCIAS!D$1</f>
        <v>D2S441</v>
      </c>
      <c r="B7" s="52" t="s">
        <v>10</v>
      </c>
      <c r="C7" s="53" t="s">
        <v>10</v>
      </c>
      <c r="D7" s="66">
        <v>10</v>
      </c>
      <c r="E7" s="66">
        <v>11</v>
      </c>
      <c r="F7" s="66">
        <v>10</v>
      </c>
      <c r="G7" s="66">
        <v>11</v>
      </c>
      <c r="H7" s="39">
        <f t="shared" si="0"/>
        <v>0</v>
      </c>
      <c r="I7" s="39">
        <f t="shared" si="1"/>
        <v>0</v>
      </c>
      <c r="J7" s="39">
        <f t="shared" si="2"/>
        <v>0</v>
      </c>
      <c r="K7" s="39">
        <f t="shared" si="3"/>
        <v>0</v>
      </c>
      <c r="L7" s="39">
        <f t="shared" si="4"/>
        <v>0</v>
      </c>
      <c r="M7" s="39">
        <f>((IF(($B7="34.1"),34.1,((IF(($B7="35.1"),35.1,((IF(($B7=38733),16.1,((IF(($B7=38768),20.2,((IF(($B7=38774),26.2,0)))))))))))))))</f>
        <v>0</v>
      </c>
      <c r="N7" s="39"/>
      <c r="O7" s="40" t="str">
        <f t="shared" si="5"/>
        <v>ND</v>
      </c>
      <c r="P7" s="41">
        <f t="shared" si="9"/>
        <v>0</v>
      </c>
      <c r="Q7" s="41">
        <f t="shared" si="10"/>
        <v>0</v>
      </c>
      <c r="R7" s="41">
        <f t="shared" si="11"/>
        <v>0</v>
      </c>
      <c r="S7" s="41">
        <f t="shared" si="12"/>
        <v>0</v>
      </c>
      <c r="T7" s="41">
        <f t="shared" si="13"/>
        <v>0</v>
      </c>
      <c r="U7" s="41">
        <f>((IF(($C7="34.1"),34.1,((IF(($C7="35.1"),35.1,((IF(($C7=38733),16.1,((IF(($C7=38768),20.2,((IF(($C7=38774),26.2,((IF(($C7=38771),23.2,0))))))))))))))))))</f>
        <v>0</v>
      </c>
      <c r="V7" s="41"/>
      <c r="W7" s="42" t="str">
        <f t="shared" si="6"/>
        <v>ND</v>
      </c>
      <c r="X7" s="43">
        <f t="shared" si="14"/>
        <v>0</v>
      </c>
      <c r="Y7" s="43">
        <f t="shared" si="15"/>
        <v>0</v>
      </c>
      <c r="Z7" s="43">
        <f t="shared" si="16"/>
        <v>0</v>
      </c>
      <c r="AA7" s="43">
        <f t="shared" si="17"/>
        <v>0</v>
      </c>
      <c r="AB7" s="43">
        <f t="shared" si="18"/>
        <v>0</v>
      </c>
      <c r="AC7" s="43">
        <f>((IF(($D7="34.1"),34.1,((IF(($D7="35.1"),35.1,((IF(($D7=38733),16.1,((IF(($D7=38768),20.2,((IF(($D7=38774),26.2,0)))))))))))))))</f>
        <v>0</v>
      </c>
      <c r="AD7" s="43"/>
      <c r="AE7" s="44">
        <f t="shared" si="7"/>
        <v>10</v>
      </c>
      <c r="AF7" s="45">
        <f t="shared" si="19"/>
        <v>0</v>
      </c>
      <c r="AG7" s="45">
        <f t="shared" si="20"/>
        <v>0</v>
      </c>
      <c r="AH7" s="45">
        <f t="shared" si="21"/>
        <v>0</v>
      </c>
      <c r="AI7" s="45">
        <f t="shared" si="22"/>
        <v>0</v>
      </c>
      <c r="AJ7" s="45">
        <f t="shared" si="23"/>
        <v>0</v>
      </c>
      <c r="AK7" s="45">
        <f>((IF(($E7="34.1"),34.1,((IF(($E7="35.1"),35.1,((IF(($E7=38733),16.1,((IF(($E7=38768),20.2,((IF(($E7=38774),26.2,((IF(($E7=38771),23.2,0))))))))))))))))))</f>
        <v>0</v>
      </c>
      <c r="AL7" s="45"/>
      <c r="AM7" s="46">
        <f t="shared" si="24"/>
        <v>11</v>
      </c>
      <c r="AN7" s="47">
        <f t="shared" si="25"/>
        <v>0</v>
      </c>
      <c r="AO7" s="47">
        <f t="shared" si="26"/>
        <v>0</v>
      </c>
      <c r="AP7" s="47">
        <f t="shared" si="27"/>
        <v>0</v>
      </c>
      <c r="AQ7" s="47">
        <f t="shared" si="28"/>
        <v>0</v>
      </c>
      <c r="AR7" s="47">
        <f t="shared" si="29"/>
        <v>0</v>
      </c>
      <c r="AS7" s="47">
        <f>((IF(($F7="34.1"),34.1,((IF(($F7="35.1"),35.1,((IF(($F7=38733),16.1,((IF(($F7=38768),20.2,((IF(($F7=38774),26.2,0)))))))))))))))</f>
        <v>0</v>
      </c>
      <c r="AT7" s="47"/>
      <c r="AU7" s="48">
        <f t="shared" si="30"/>
        <v>10</v>
      </c>
      <c r="AV7" s="49">
        <f t="shared" si="31"/>
        <v>0</v>
      </c>
      <c r="AW7" s="49">
        <f t="shared" si="32"/>
        <v>0</v>
      </c>
      <c r="AX7" s="49">
        <f t="shared" si="33"/>
        <v>0</v>
      </c>
      <c r="AY7" s="49">
        <f t="shared" si="34"/>
        <v>0</v>
      </c>
      <c r="AZ7" s="49">
        <f t="shared" si="35"/>
        <v>0</v>
      </c>
      <c r="BA7" s="49">
        <f>((IF(($G7="34.1"),34.1,((IF(($G7="35.1"),35.1,((IF(($G7=38733),16.1,((IF(($G7=38768),20.2,((IF(($G7=38774),26.2,((IF(($G7=38771),23.2,0))))))))))))))))))</f>
        <v>0</v>
      </c>
      <c r="BB7" s="49"/>
      <c r="BC7" s="50">
        <f t="shared" si="36"/>
        <v>11</v>
      </c>
      <c r="BF7" s="51"/>
      <c r="BG7" s="51"/>
      <c r="BH7" s="51"/>
      <c r="BI7" s="51"/>
      <c r="BJ7" s="51"/>
      <c r="BK7" s="51"/>
    </row>
    <row r="8" spans="1:63" ht="9.9499999999999993" customHeight="1" thickTop="1" thickBot="1">
      <c r="A8" s="18" t="str">
        <f>FREQUENCIAS!E$1</f>
        <v>D10S1248</v>
      </c>
      <c r="B8" s="52" t="s">
        <v>10</v>
      </c>
      <c r="C8" s="53" t="s">
        <v>10</v>
      </c>
      <c r="D8" s="66">
        <v>14</v>
      </c>
      <c r="E8" s="66">
        <v>15</v>
      </c>
      <c r="F8" s="66">
        <v>13</v>
      </c>
      <c r="G8" s="66">
        <v>14</v>
      </c>
      <c r="H8" s="39">
        <f t="shared" si="0"/>
        <v>0</v>
      </c>
      <c r="I8" s="39">
        <f t="shared" si="1"/>
        <v>0</v>
      </c>
      <c r="J8" s="39">
        <f t="shared" si="2"/>
        <v>0</v>
      </c>
      <c r="K8" s="39">
        <f t="shared" si="3"/>
        <v>0</v>
      </c>
      <c r="L8" s="39">
        <f t="shared" si="4"/>
        <v>0</v>
      </c>
      <c r="M8" s="39">
        <f>((IF(($B8="34.1"),34.1,((IF(($B8="35.1"),35.1,((IF(($B8=38733),16.1,((IF(($B8=38768),20.2,((IF(($B8=38774),26.2,0)))))))))))))))</f>
        <v>0</v>
      </c>
      <c r="N8" s="39"/>
      <c r="O8" s="40" t="str">
        <f t="shared" si="5"/>
        <v>ND</v>
      </c>
      <c r="P8" s="41">
        <f t="shared" si="9"/>
        <v>0</v>
      </c>
      <c r="Q8" s="41">
        <f t="shared" si="10"/>
        <v>0</v>
      </c>
      <c r="R8" s="41">
        <f t="shared" si="11"/>
        <v>0</v>
      </c>
      <c r="S8" s="41">
        <f t="shared" si="12"/>
        <v>0</v>
      </c>
      <c r="T8" s="41">
        <f t="shared" si="13"/>
        <v>0</v>
      </c>
      <c r="U8" s="41">
        <f>((IF(($C8="34.1"),34.1,((IF(($C8="35.1"),35.1,((IF(($C8=38733),16.1,((IF(($C8=38768),20.2,((IF(($C8=38774),26.2,((IF(($C8=38771),23.2,0))))))))))))))))))</f>
        <v>0</v>
      </c>
      <c r="V8" s="41"/>
      <c r="W8" s="42" t="str">
        <f t="shared" si="6"/>
        <v>ND</v>
      </c>
      <c r="X8" s="43">
        <f t="shared" si="14"/>
        <v>0</v>
      </c>
      <c r="Y8" s="43">
        <f t="shared" si="15"/>
        <v>0</v>
      </c>
      <c r="Z8" s="43">
        <f t="shared" si="16"/>
        <v>0</v>
      </c>
      <c r="AA8" s="43">
        <f t="shared" si="17"/>
        <v>0</v>
      </c>
      <c r="AB8" s="43">
        <f t="shared" si="18"/>
        <v>0</v>
      </c>
      <c r="AC8" s="43">
        <f>((IF(($D8="34.1"),34.1,((IF(($D8="35.1"),35.1,((IF(($D8=38733),16.1,((IF(($D8=38768),20.2,((IF(($D8=38774),26.2,0)))))))))))))))</f>
        <v>0</v>
      </c>
      <c r="AD8" s="43"/>
      <c r="AE8" s="44">
        <f t="shared" si="7"/>
        <v>14</v>
      </c>
      <c r="AF8" s="45">
        <f t="shared" si="19"/>
        <v>0</v>
      </c>
      <c r="AG8" s="45">
        <f t="shared" si="20"/>
        <v>0</v>
      </c>
      <c r="AH8" s="45">
        <f t="shared" si="21"/>
        <v>0</v>
      </c>
      <c r="AI8" s="45">
        <f t="shared" si="22"/>
        <v>0</v>
      </c>
      <c r="AJ8" s="45">
        <f t="shared" si="23"/>
        <v>0</v>
      </c>
      <c r="AK8" s="45">
        <f>((IF(($E8="34.1"),34.1,((IF(($E8="35.1"),35.1,((IF(($E8=38733),16.1,((IF(($E8=38768),20.2,((IF(($E8=38774),26.2,((IF(($E8=38771),23.2,0))))))))))))))))))</f>
        <v>0</v>
      </c>
      <c r="AL8" s="45"/>
      <c r="AM8" s="46">
        <f t="shared" si="24"/>
        <v>15</v>
      </c>
      <c r="AN8" s="47">
        <f t="shared" si="25"/>
        <v>0</v>
      </c>
      <c r="AO8" s="47">
        <f t="shared" si="26"/>
        <v>0</v>
      </c>
      <c r="AP8" s="47">
        <f t="shared" si="27"/>
        <v>0</v>
      </c>
      <c r="AQ8" s="47">
        <f t="shared" si="28"/>
        <v>0</v>
      </c>
      <c r="AR8" s="47">
        <f t="shared" si="29"/>
        <v>0</v>
      </c>
      <c r="AS8" s="47">
        <f>((IF(($F8="34.1"),34.1,((IF(($F8="35.1"),35.1,((IF(($F8=38733),16.1,((IF(($F8=38768),20.2,((IF(($F8=38774),26.2,0)))))))))))))))</f>
        <v>0</v>
      </c>
      <c r="AT8" s="47"/>
      <c r="AU8" s="48">
        <f t="shared" si="30"/>
        <v>13</v>
      </c>
      <c r="AV8" s="49">
        <f t="shared" si="31"/>
        <v>0</v>
      </c>
      <c r="AW8" s="49">
        <f t="shared" si="32"/>
        <v>0</v>
      </c>
      <c r="AX8" s="49">
        <f t="shared" si="33"/>
        <v>0</v>
      </c>
      <c r="AY8" s="49">
        <f t="shared" si="34"/>
        <v>0</v>
      </c>
      <c r="AZ8" s="49">
        <f t="shared" si="35"/>
        <v>0</v>
      </c>
      <c r="BA8" s="49">
        <f>((IF(($G8="34.1"),34.1,((IF(($G8="35.1"),35.1,((IF(($G8=38733),16.1,((IF(($G8=38768),20.2,((IF(($G8=38774),26.2,((IF(($G8=38771),23.2,0))))))))))))))))))</f>
        <v>0</v>
      </c>
      <c r="BB8" s="49"/>
      <c r="BC8" s="50">
        <f t="shared" si="36"/>
        <v>14</v>
      </c>
      <c r="BD8" s="54"/>
      <c r="BF8" s="51"/>
      <c r="BG8" s="51"/>
      <c r="BH8" s="51"/>
      <c r="BI8" s="51"/>
      <c r="BJ8" s="51"/>
      <c r="BK8" s="51"/>
    </row>
    <row r="9" spans="1:63" ht="9.9499999999999993" customHeight="1" thickTop="1" thickBot="1">
      <c r="A9" s="18" t="str">
        <f>FREQUENCIAS!F$1</f>
        <v>D13S317</v>
      </c>
      <c r="B9" s="52" t="s">
        <v>10</v>
      </c>
      <c r="C9" s="53" t="s">
        <v>10</v>
      </c>
      <c r="D9" s="66">
        <v>12</v>
      </c>
      <c r="E9" s="66">
        <v>14</v>
      </c>
      <c r="F9" s="66">
        <v>13</v>
      </c>
      <c r="G9" s="66">
        <v>14</v>
      </c>
      <c r="H9" s="55">
        <f t="shared" si="0"/>
        <v>0</v>
      </c>
      <c r="I9" s="39">
        <f t="shared" si="1"/>
        <v>0</v>
      </c>
      <c r="J9" s="39">
        <f t="shared" si="2"/>
        <v>0</v>
      </c>
      <c r="K9" s="39">
        <f t="shared" si="3"/>
        <v>0</v>
      </c>
      <c r="L9" s="39">
        <f t="shared" si="4"/>
        <v>0</v>
      </c>
      <c r="M9" s="39">
        <f>((IF(($B9="34.1"),34.1,((IF(($B9="35.1"),35.1,((IF(($B9=38733),16.1,((IF(($B9=38768),20.2,((IF(($B9=38774),26.2,((IF(($B9=38784),8.3,((IF(($B9=38789),13.3,0)))))))))))))))))))))</f>
        <v>0</v>
      </c>
      <c r="N9" s="39"/>
      <c r="O9" s="40" t="str">
        <f t="shared" si="5"/>
        <v>ND</v>
      </c>
      <c r="P9" s="41">
        <f t="shared" si="9"/>
        <v>0</v>
      </c>
      <c r="Q9" s="41">
        <f t="shared" si="10"/>
        <v>0</v>
      </c>
      <c r="R9" s="41">
        <f t="shared" si="11"/>
        <v>0</v>
      </c>
      <c r="S9" s="41">
        <f t="shared" si="12"/>
        <v>0</v>
      </c>
      <c r="T9" s="41">
        <f t="shared" si="13"/>
        <v>0</v>
      </c>
      <c r="U9" s="41">
        <f>((IF(($C9="34.1"),34.1,((IF(($C9="35.1"),35.1,((IF(($C9=38733),16.1,((IF(($C9=38768),20.2,((IF(($C9=38774),26.2,((IF(($C9=38771),23.2,((IF(($C9=38784),8.3,((IF(($C9=38789),13.3,0))))))))))))))))))))))))</f>
        <v>0</v>
      </c>
      <c r="V9" s="41"/>
      <c r="W9" s="42" t="str">
        <f t="shared" si="6"/>
        <v>ND</v>
      </c>
      <c r="X9" s="43">
        <f t="shared" si="14"/>
        <v>0</v>
      </c>
      <c r="Y9" s="43">
        <f t="shared" si="15"/>
        <v>0</v>
      </c>
      <c r="Z9" s="43">
        <f t="shared" si="16"/>
        <v>0</v>
      </c>
      <c r="AA9" s="43">
        <f t="shared" si="17"/>
        <v>0</v>
      </c>
      <c r="AB9" s="43">
        <f t="shared" si="18"/>
        <v>0</v>
      </c>
      <c r="AC9" s="43">
        <f>((IF(($D9="34.1"),34.1,((IF(($D9="35.1"),35.1,((IF(($D9=38733),16.1,((IF(($D9=38768),20.2,((IF(($D9=38774),26.2,((IF(($D9=38784),8.3,((IF(($D9=38789),13.3,0)))))))))))))))))))))</f>
        <v>0</v>
      </c>
      <c r="AD9" s="43"/>
      <c r="AE9" s="44">
        <f t="shared" si="7"/>
        <v>12</v>
      </c>
      <c r="AF9" s="45">
        <f t="shared" si="19"/>
        <v>0</v>
      </c>
      <c r="AG9" s="45">
        <f t="shared" si="20"/>
        <v>0</v>
      </c>
      <c r="AH9" s="45">
        <f t="shared" si="21"/>
        <v>0</v>
      </c>
      <c r="AI9" s="45">
        <f t="shared" si="22"/>
        <v>0</v>
      </c>
      <c r="AJ9" s="45">
        <f t="shared" si="23"/>
        <v>0</v>
      </c>
      <c r="AK9" s="45">
        <f>((IF(($E9="34.1"),34.1,((IF(($E9="35.1"),35.1,((IF(($E9=38733),16.1,((IF(($E9=38768),20.2,((IF(($E9=38774),26.2,((IF(($E9=38771),23.2,((IF(($E9=38784),8.3,((IF(($E9=38789),13.3,0))))))))))))))))))))))))</f>
        <v>0</v>
      </c>
      <c r="AL9" s="45"/>
      <c r="AM9" s="46">
        <f t="shared" si="24"/>
        <v>14</v>
      </c>
      <c r="AN9" s="47">
        <f t="shared" si="25"/>
        <v>0</v>
      </c>
      <c r="AO9" s="47">
        <f t="shared" si="26"/>
        <v>0</v>
      </c>
      <c r="AP9" s="47">
        <f t="shared" si="27"/>
        <v>0</v>
      </c>
      <c r="AQ9" s="47">
        <f t="shared" si="28"/>
        <v>0</v>
      </c>
      <c r="AR9" s="47">
        <f t="shared" si="29"/>
        <v>0</v>
      </c>
      <c r="AS9" s="47">
        <f>((IF(($F9="34.1"),34.1,((IF(($F9="35.1"),35.1,((IF(($F9=38733),16.1,((IF(($F9=38768),20.2,((IF(($F9=38774),26.2,((IF(($F9=38784),8.3,((IF(($F9=38789),13.3,0)))))))))))))))))))))</f>
        <v>0</v>
      </c>
      <c r="AT9" s="47"/>
      <c r="AU9" s="48">
        <f t="shared" si="30"/>
        <v>13</v>
      </c>
      <c r="AV9" s="49">
        <f t="shared" si="31"/>
        <v>0</v>
      </c>
      <c r="AW9" s="49">
        <f t="shared" si="32"/>
        <v>0</v>
      </c>
      <c r="AX9" s="49">
        <f t="shared" si="33"/>
        <v>0</v>
      </c>
      <c r="AY9" s="49">
        <f t="shared" si="34"/>
        <v>0</v>
      </c>
      <c r="AZ9" s="49">
        <f t="shared" si="35"/>
        <v>0</v>
      </c>
      <c r="BA9" s="49">
        <f>((IF(($G9="34.1"),34.1,((IF(($G9="35.1"),35.1,((IF(($G9=38733),16.1,((IF(($G9=38768),20.2,((IF(($G9=38774),26.2,((IF(($G9=38771),23.2,((IF(($G9=38784),8.3,((IF(($G9=38789),13.3,0))))))))))))))))))))))))</f>
        <v>0</v>
      </c>
      <c r="BB9" s="49"/>
      <c r="BC9" s="50">
        <f t="shared" si="36"/>
        <v>14</v>
      </c>
      <c r="BF9" s="51"/>
      <c r="BG9" s="51"/>
      <c r="BH9" s="51"/>
      <c r="BI9" s="51"/>
      <c r="BJ9" s="51"/>
      <c r="BK9" s="51"/>
    </row>
    <row r="10" spans="1:63" ht="9.9499999999999993" customHeight="1" thickTop="1" thickBot="1">
      <c r="A10" s="18" t="str">
        <f>FREQUENCIAS!G$1</f>
        <v>Penta_E</v>
      </c>
      <c r="B10" s="52" t="s">
        <v>10</v>
      </c>
      <c r="C10" s="53" t="s">
        <v>10</v>
      </c>
      <c r="D10" s="66">
        <v>12</v>
      </c>
      <c r="E10" s="66">
        <v>13</v>
      </c>
      <c r="F10" s="66">
        <v>12</v>
      </c>
      <c r="G10" s="66">
        <v>13</v>
      </c>
      <c r="H10" s="39">
        <f t="shared" si="0"/>
        <v>0</v>
      </c>
      <c r="I10" s="39">
        <f t="shared" si="1"/>
        <v>0</v>
      </c>
      <c r="J10" s="39">
        <f t="shared" si="2"/>
        <v>0</v>
      </c>
      <c r="K10" s="39">
        <f t="shared" si="3"/>
        <v>0</v>
      </c>
      <c r="L10" s="39">
        <f t="shared" si="4"/>
        <v>0</v>
      </c>
      <c r="M10" s="39">
        <f t="shared" ref="M10:M18" si="37">((IF(($B10="34.1"),34.1,((IF(($B10="35.1"),35.1,((IF(($B10=38733),16.1,((IF(($B10=38768),20.2,((IF(($B10=38774),26.2,0)))))))))))))))</f>
        <v>0</v>
      </c>
      <c r="N10" s="39"/>
      <c r="O10" s="40" t="str">
        <f t="shared" si="5"/>
        <v>ND</v>
      </c>
      <c r="P10" s="41">
        <f t="shared" si="9"/>
        <v>0</v>
      </c>
      <c r="Q10" s="41">
        <f t="shared" si="10"/>
        <v>0</v>
      </c>
      <c r="R10" s="41">
        <f t="shared" si="11"/>
        <v>0</v>
      </c>
      <c r="S10" s="41">
        <f t="shared" si="12"/>
        <v>0</v>
      </c>
      <c r="T10" s="41">
        <f t="shared" si="13"/>
        <v>0</v>
      </c>
      <c r="U10" s="41">
        <f t="shared" ref="U10:U18" si="38">((IF(($C10="34.1"),34.1,((IF(($C10="35.1"),35.1,((IF(($C10=38733),16.1,((IF(($C10=38768),20.2,((IF(($C10=38774),26.2,((IF(($C10=38771),23.2,0))))))))))))))))))</f>
        <v>0</v>
      </c>
      <c r="V10" s="41"/>
      <c r="W10" s="42" t="str">
        <f t="shared" si="6"/>
        <v>ND</v>
      </c>
      <c r="X10" s="43">
        <f t="shared" si="14"/>
        <v>0</v>
      </c>
      <c r="Y10" s="43">
        <f t="shared" si="15"/>
        <v>0</v>
      </c>
      <c r="Z10" s="43">
        <f t="shared" si="16"/>
        <v>0</v>
      </c>
      <c r="AA10" s="43">
        <f t="shared" si="17"/>
        <v>0</v>
      </c>
      <c r="AB10" s="43">
        <f t="shared" si="18"/>
        <v>0</v>
      </c>
      <c r="AC10" s="43">
        <f t="shared" ref="AC10:AC18" si="39">((IF(($D10="34.1"),34.1,((IF(($D10="35.1"),35.1,((IF(($D10=38733),16.1,((IF(($D10=38768),20.2,((IF(($D10=38774),26.2,0)))))))))))))))</f>
        <v>0</v>
      </c>
      <c r="AD10" s="43"/>
      <c r="AE10" s="44">
        <f t="shared" si="7"/>
        <v>12</v>
      </c>
      <c r="AF10" s="45">
        <f t="shared" si="19"/>
        <v>0</v>
      </c>
      <c r="AG10" s="45">
        <f t="shared" si="20"/>
        <v>0</v>
      </c>
      <c r="AH10" s="45">
        <f t="shared" si="21"/>
        <v>0</v>
      </c>
      <c r="AI10" s="45">
        <f t="shared" si="22"/>
        <v>0</v>
      </c>
      <c r="AJ10" s="45">
        <f t="shared" si="23"/>
        <v>0</v>
      </c>
      <c r="AK10" s="45">
        <f t="shared" ref="AK10:AK18" si="40">((IF(($E10="34.1"),34.1,((IF(($E10="35.1"),35.1,((IF(($E10=38733),16.1,((IF(($E10=38768),20.2,((IF(($E10=38774),26.2,((IF(($E10=38771),23.2,0))))))))))))))))))</f>
        <v>0</v>
      </c>
      <c r="AL10" s="45"/>
      <c r="AM10" s="46">
        <f t="shared" si="24"/>
        <v>13</v>
      </c>
      <c r="AN10" s="47">
        <f t="shared" si="25"/>
        <v>0</v>
      </c>
      <c r="AO10" s="47">
        <f t="shared" si="26"/>
        <v>0</v>
      </c>
      <c r="AP10" s="47">
        <f t="shared" si="27"/>
        <v>0</v>
      </c>
      <c r="AQ10" s="47">
        <f t="shared" si="28"/>
        <v>0</v>
      </c>
      <c r="AR10" s="47">
        <f t="shared" si="29"/>
        <v>0</v>
      </c>
      <c r="AS10" s="47">
        <f t="shared" ref="AS10:AS18" si="41">((IF(($F10="34.1"),34.1,((IF(($F10="35.1"),35.1,((IF(($F10=38733),16.1,((IF(($F10=38768),20.2,((IF(($F10=38774),26.2,0)))))))))))))))</f>
        <v>0</v>
      </c>
      <c r="AT10" s="47"/>
      <c r="AU10" s="48">
        <f t="shared" si="30"/>
        <v>12</v>
      </c>
      <c r="AV10" s="49">
        <f t="shared" si="31"/>
        <v>0</v>
      </c>
      <c r="AW10" s="49">
        <f t="shared" si="32"/>
        <v>0</v>
      </c>
      <c r="AX10" s="49">
        <f t="shared" si="33"/>
        <v>0</v>
      </c>
      <c r="AY10" s="49">
        <f t="shared" si="34"/>
        <v>0</v>
      </c>
      <c r="AZ10" s="49">
        <f t="shared" si="35"/>
        <v>0</v>
      </c>
      <c r="BA10" s="49">
        <f t="shared" ref="BA10:BA18" si="42">((IF(($G10="34.1"),34.1,((IF(($G10="35.1"),35.1,((IF(($G10=38733),16.1,((IF(($G10=38768),20.2,((IF(($G10=38774),26.2,((IF(($G10=38771),23.2,0))))))))))))))))))</f>
        <v>0</v>
      </c>
      <c r="BB10" s="49"/>
      <c r="BC10" s="50">
        <f t="shared" si="36"/>
        <v>13</v>
      </c>
      <c r="BF10" s="51"/>
      <c r="BG10" s="51"/>
      <c r="BH10" s="51"/>
      <c r="BI10" s="51"/>
      <c r="BJ10" s="51"/>
      <c r="BK10" s="51"/>
    </row>
    <row r="11" spans="1:63" ht="9.9499999999999993" customHeight="1" thickTop="1" thickBot="1">
      <c r="A11" s="18" t="str">
        <f>FREQUENCIAS!H$1</f>
        <v>D16S539</v>
      </c>
      <c r="B11" s="52" t="s">
        <v>10</v>
      </c>
      <c r="C11" s="53" t="s">
        <v>10</v>
      </c>
      <c r="D11" s="66">
        <v>10</v>
      </c>
      <c r="E11" s="66">
        <v>12</v>
      </c>
      <c r="F11" s="66">
        <v>9</v>
      </c>
      <c r="G11" s="66">
        <v>12</v>
      </c>
      <c r="H11" s="39">
        <f t="shared" si="0"/>
        <v>0</v>
      </c>
      <c r="I11" s="39">
        <f t="shared" si="1"/>
        <v>0</v>
      </c>
      <c r="J11" s="39">
        <f t="shared" si="2"/>
        <v>0</v>
      </c>
      <c r="K11" s="39">
        <f t="shared" si="3"/>
        <v>0</v>
      </c>
      <c r="L11" s="39">
        <f t="shared" si="4"/>
        <v>0</v>
      </c>
      <c r="M11" s="39">
        <f t="shared" si="37"/>
        <v>0</v>
      </c>
      <c r="N11" s="39"/>
      <c r="O11" s="40" t="str">
        <f t="shared" si="5"/>
        <v>ND</v>
      </c>
      <c r="P11" s="41">
        <f t="shared" si="9"/>
        <v>0</v>
      </c>
      <c r="Q11" s="41">
        <f t="shared" si="10"/>
        <v>0</v>
      </c>
      <c r="R11" s="41">
        <f t="shared" si="11"/>
        <v>0</v>
      </c>
      <c r="S11" s="41">
        <f t="shared" si="12"/>
        <v>0</v>
      </c>
      <c r="T11" s="41">
        <f t="shared" si="13"/>
        <v>0</v>
      </c>
      <c r="U11" s="41">
        <f t="shared" si="38"/>
        <v>0</v>
      </c>
      <c r="V11" s="41"/>
      <c r="W11" s="42" t="str">
        <f t="shared" si="6"/>
        <v>ND</v>
      </c>
      <c r="X11" s="43">
        <f t="shared" si="14"/>
        <v>0</v>
      </c>
      <c r="Y11" s="43">
        <f t="shared" si="15"/>
        <v>0</v>
      </c>
      <c r="Z11" s="43">
        <f t="shared" si="16"/>
        <v>0</v>
      </c>
      <c r="AA11" s="43">
        <f t="shared" si="17"/>
        <v>0</v>
      </c>
      <c r="AB11" s="43">
        <f t="shared" si="18"/>
        <v>0</v>
      </c>
      <c r="AC11" s="43">
        <f t="shared" si="39"/>
        <v>0</v>
      </c>
      <c r="AD11" s="43"/>
      <c r="AE11" s="44">
        <f t="shared" si="7"/>
        <v>10</v>
      </c>
      <c r="AF11" s="45">
        <f t="shared" si="19"/>
        <v>0</v>
      </c>
      <c r="AG11" s="45">
        <f t="shared" si="20"/>
        <v>0</v>
      </c>
      <c r="AH11" s="45">
        <f t="shared" si="21"/>
        <v>0</v>
      </c>
      <c r="AI11" s="45">
        <f t="shared" si="22"/>
        <v>0</v>
      </c>
      <c r="AJ11" s="45">
        <f t="shared" si="23"/>
        <v>0</v>
      </c>
      <c r="AK11" s="45">
        <f t="shared" si="40"/>
        <v>0</v>
      </c>
      <c r="AL11" s="45"/>
      <c r="AM11" s="46">
        <f t="shared" si="24"/>
        <v>12</v>
      </c>
      <c r="AN11" s="47">
        <f t="shared" si="25"/>
        <v>0</v>
      </c>
      <c r="AO11" s="47">
        <f t="shared" si="26"/>
        <v>0</v>
      </c>
      <c r="AP11" s="47">
        <f t="shared" si="27"/>
        <v>0</v>
      </c>
      <c r="AQ11" s="47">
        <f t="shared" si="28"/>
        <v>0</v>
      </c>
      <c r="AR11" s="47">
        <f t="shared" si="29"/>
        <v>0</v>
      </c>
      <c r="AS11" s="47">
        <f t="shared" si="41"/>
        <v>0</v>
      </c>
      <c r="AT11" s="47"/>
      <c r="AU11" s="48">
        <f t="shared" si="30"/>
        <v>9</v>
      </c>
      <c r="AV11" s="49">
        <f t="shared" si="31"/>
        <v>0</v>
      </c>
      <c r="AW11" s="49">
        <f t="shared" si="32"/>
        <v>0</v>
      </c>
      <c r="AX11" s="49">
        <f t="shared" si="33"/>
        <v>0</v>
      </c>
      <c r="AY11" s="49">
        <f t="shared" si="34"/>
        <v>0</v>
      </c>
      <c r="AZ11" s="49">
        <f t="shared" si="35"/>
        <v>0</v>
      </c>
      <c r="BA11" s="49">
        <f t="shared" si="42"/>
        <v>0</v>
      </c>
      <c r="BB11" s="49"/>
      <c r="BC11" s="50">
        <f t="shared" si="36"/>
        <v>12</v>
      </c>
      <c r="BF11" s="51"/>
      <c r="BG11" s="51"/>
      <c r="BH11" s="51"/>
      <c r="BI11" s="51"/>
      <c r="BJ11" s="51"/>
      <c r="BK11" s="51"/>
    </row>
    <row r="12" spans="1:63" ht="9.9499999999999993" customHeight="1" thickTop="1" thickBot="1">
      <c r="A12" s="18" t="str">
        <f>FREQUENCIAS!I$1</f>
        <v>D18S51</v>
      </c>
      <c r="B12" s="52" t="s">
        <v>10</v>
      </c>
      <c r="C12" s="53" t="s">
        <v>10</v>
      </c>
      <c r="D12" s="66">
        <v>15</v>
      </c>
      <c r="E12" s="66">
        <v>16</v>
      </c>
      <c r="F12" s="66">
        <v>15</v>
      </c>
      <c r="G12" s="66">
        <v>18</v>
      </c>
      <c r="H12" s="39">
        <f t="shared" si="0"/>
        <v>0</v>
      </c>
      <c r="I12" s="39">
        <f t="shared" si="1"/>
        <v>0</v>
      </c>
      <c r="J12" s="39">
        <f t="shared" si="2"/>
        <v>0</v>
      </c>
      <c r="K12" s="39">
        <f t="shared" si="3"/>
        <v>0</v>
      </c>
      <c r="L12" s="39">
        <f t="shared" si="4"/>
        <v>0</v>
      </c>
      <c r="M12" s="39">
        <f t="shared" si="37"/>
        <v>0</v>
      </c>
      <c r="N12" s="39"/>
      <c r="O12" s="40" t="str">
        <f t="shared" si="5"/>
        <v>ND</v>
      </c>
      <c r="P12" s="41">
        <f t="shared" si="9"/>
        <v>0</v>
      </c>
      <c r="Q12" s="41">
        <f t="shared" si="10"/>
        <v>0</v>
      </c>
      <c r="R12" s="41">
        <f t="shared" si="11"/>
        <v>0</v>
      </c>
      <c r="S12" s="41">
        <f t="shared" si="12"/>
        <v>0</v>
      </c>
      <c r="T12" s="41">
        <f t="shared" si="13"/>
        <v>0</v>
      </c>
      <c r="U12" s="41">
        <f t="shared" si="38"/>
        <v>0</v>
      </c>
      <c r="V12" s="41"/>
      <c r="W12" s="42" t="str">
        <f t="shared" si="6"/>
        <v>ND</v>
      </c>
      <c r="X12" s="43">
        <f t="shared" si="14"/>
        <v>0</v>
      </c>
      <c r="Y12" s="43">
        <f t="shared" si="15"/>
        <v>0</v>
      </c>
      <c r="Z12" s="43">
        <f t="shared" si="16"/>
        <v>0</v>
      </c>
      <c r="AA12" s="43">
        <f t="shared" si="17"/>
        <v>0</v>
      </c>
      <c r="AB12" s="43">
        <f t="shared" si="18"/>
        <v>0</v>
      </c>
      <c r="AC12" s="43">
        <f t="shared" si="39"/>
        <v>0</v>
      </c>
      <c r="AD12" s="43"/>
      <c r="AE12" s="44">
        <f t="shared" si="7"/>
        <v>15</v>
      </c>
      <c r="AF12" s="45">
        <f t="shared" si="19"/>
        <v>0</v>
      </c>
      <c r="AG12" s="45">
        <f t="shared" si="20"/>
        <v>0</v>
      </c>
      <c r="AH12" s="45">
        <f t="shared" si="21"/>
        <v>0</v>
      </c>
      <c r="AI12" s="45">
        <f t="shared" si="22"/>
        <v>0</v>
      </c>
      <c r="AJ12" s="45">
        <f t="shared" si="23"/>
        <v>0</v>
      </c>
      <c r="AK12" s="45">
        <f t="shared" si="40"/>
        <v>0</v>
      </c>
      <c r="AL12" s="45"/>
      <c r="AM12" s="46">
        <f t="shared" si="24"/>
        <v>16</v>
      </c>
      <c r="AN12" s="47">
        <f t="shared" si="25"/>
        <v>0</v>
      </c>
      <c r="AO12" s="47">
        <f t="shared" si="26"/>
        <v>0</v>
      </c>
      <c r="AP12" s="47">
        <f t="shared" si="27"/>
        <v>0</v>
      </c>
      <c r="AQ12" s="47">
        <f t="shared" si="28"/>
        <v>0</v>
      </c>
      <c r="AR12" s="47">
        <f t="shared" si="29"/>
        <v>0</v>
      </c>
      <c r="AS12" s="47">
        <f t="shared" si="41"/>
        <v>0</v>
      </c>
      <c r="AT12" s="47"/>
      <c r="AU12" s="48">
        <f t="shared" si="30"/>
        <v>15</v>
      </c>
      <c r="AV12" s="49">
        <f t="shared" si="31"/>
        <v>0</v>
      </c>
      <c r="AW12" s="49">
        <f t="shared" si="32"/>
        <v>0</v>
      </c>
      <c r="AX12" s="49">
        <f t="shared" si="33"/>
        <v>0</v>
      </c>
      <c r="AY12" s="49">
        <f t="shared" si="34"/>
        <v>0</v>
      </c>
      <c r="AZ12" s="49">
        <f t="shared" si="35"/>
        <v>0</v>
      </c>
      <c r="BA12" s="49">
        <f t="shared" si="42"/>
        <v>0</v>
      </c>
      <c r="BB12" s="49"/>
      <c r="BC12" s="50">
        <f t="shared" si="36"/>
        <v>18</v>
      </c>
      <c r="BF12" s="51"/>
      <c r="BG12" s="51"/>
      <c r="BH12" s="51"/>
      <c r="BI12" s="51"/>
      <c r="BJ12" s="51"/>
      <c r="BK12" s="51"/>
    </row>
    <row r="13" spans="1:63" ht="9.9499999999999993" customHeight="1" thickTop="1" thickBot="1">
      <c r="A13" s="18" t="str">
        <f>FREQUENCIAS!J$1</f>
        <v>D2S1338</v>
      </c>
      <c r="B13" s="52" t="s">
        <v>10</v>
      </c>
      <c r="C13" s="53" t="s">
        <v>10</v>
      </c>
      <c r="D13" s="66">
        <v>19</v>
      </c>
      <c r="E13" s="66">
        <v>21</v>
      </c>
      <c r="F13" s="66">
        <v>19</v>
      </c>
      <c r="G13" s="66">
        <v>22</v>
      </c>
      <c r="H13" s="39">
        <f t="shared" si="0"/>
        <v>0</v>
      </c>
      <c r="I13" s="39">
        <f t="shared" si="1"/>
        <v>0</v>
      </c>
      <c r="J13" s="39">
        <f t="shared" si="2"/>
        <v>0</v>
      </c>
      <c r="K13" s="39">
        <f t="shared" si="3"/>
        <v>0</v>
      </c>
      <c r="L13" s="39">
        <f t="shared" si="4"/>
        <v>0</v>
      </c>
      <c r="M13" s="39">
        <f t="shared" si="37"/>
        <v>0</v>
      </c>
      <c r="N13" s="39"/>
      <c r="O13" s="40" t="str">
        <f t="shared" si="5"/>
        <v>ND</v>
      </c>
      <c r="P13" s="41">
        <f t="shared" si="9"/>
        <v>0</v>
      </c>
      <c r="Q13" s="41">
        <f t="shared" si="10"/>
        <v>0</v>
      </c>
      <c r="R13" s="41">
        <f t="shared" si="11"/>
        <v>0</v>
      </c>
      <c r="S13" s="41">
        <f t="shared" si="12"/>
        <v>0</v>
      </c>
      <c r="T13" s="41">
        <f t="shared" si="13"/>
        <v>0</v>
      </c>
      <c r="U13" s="41">
        <f t="shared" si="38"/>
        <v>0</v>
      </c>
      <c r="V13" s="41"/>
      <c r="W13" s="42" t="str">
        <f t="shared" si="6"/>
        <v>ND</v>
      </c>
      <c r="X13" s="43">
        <f t="shared" si="14"/>
        <v>0</v>
      </c>
      <c r="Y13" s="43">
        <f t="shared" si="15"/>
        <v>0</v>
      </c>
      <c r="Z13" s="43">
        <f t="shared" si="16"/>
        <v>0</v>
      </c>
      <c r="AA13" s="43">
        <f t="shared" si="17"/>
        <v>0</v>
      </c>
      <c r="AB13" s="43">
        <f t="shared" si="18"/>
        <v>0</v>
      </c>
      <c r="AC13" s="43">
        <f t="shared" si="39"/>
        <v>0</v>
      </c>
      <c r="AD13" s="43"/>
      <c r="AE13" s="44">
        <f t="shared" si="7"/>
        <v>19</v>
      </c>
      <c r="AF13" s="45">
        <f t="shared" si="19"/>
        <v>0</v>
      </c>
      <c r="AG13" s="45">
        <f t="shared" si="20"/>
        <v>0</v>
      </c>
      <c r="AH13" s="45">
        <f t="shared" si="21"/>
        <v>0</v>
      </c>
      <c r="AI13" s="45">
        <f t="shared" si="22"/>
        <v>0</v>
      </c>
      <c r="AJ13" s="45">
        <f t="shared" si="23"/>
        <v>0</v>
      </c>
      <c r="AK13" s="45">
        <f t="shared" si="40"/>
        <v>0</v>
      </c>
      <c r="AL13" s="45"/>
      <c r="AM13" s="46">
        <f t="shared" si="24"/>
        <v>21</v>
      </c>
      <c r="AN13" s="47">
        <f t="shared" si="25"/>
        <v>0</v>
      </c>
      <c r="AO13" s="47">
        <f t="shared" si="26"/>
        <v>0</v>
      </c>
      <c r="AP13" s="47">
        <f t="shared" si="27"/>
        <v>0</v>
      </c>
      <c r="AQ13" s="47">
        <f t="shared" si="28"/>
        <v>0</v>
      </c>
      <c r="AR13" s="47">
        <f t="shared" si="29"/>
        <v>0</v>
      </c>
      <c r="AS13" s="47">
        <f t="shared" si="41"/>
        <v>0</v>
      </c>
      <c r="AT13" s="47"/>
      <c r="AU13" s="48">
        <f t="shared" si="30"/>
        <v>19</v>
      </c>
      <c r="AV13" s="49">
        <f t="shared" si="31"/>
        <v>0</v>
      </c>
      <c r="AW13" s="49">
        <f t="shared" si="32"/>
        <v>0</v>
      </c>
      <c r="AX13" s="49">
        <f t="shared" si="33"/>
        <v>0</v>
      </c>
      <c r="AY13" s="49">
        <f t="shared" si="34"/>
        <v>0</v>
      </c>
      <c r="AZ13" s="49">
        <f t="shared" si="35"/>
        <v>0</v>
      </c>
      <c r="BA13" s="49">
        <f t="shared" si="42"/>
        <v>0</v>
      </c>
      <c r="BB13" s="49"/>
      <c r="BC13" s="50">
        <f t="shared" si="36"/>
        <v>22</v>
      </c>
      <c r="BF13" s="51"/>
      <c r="BG13" s="51"/>
      <c r="BH13" s="51"/>
      <c r="BI13" s="51"/>
      <c r="BJ13" s="51"/>
      <c r="BK13" s="51"/>
    </row>
    <row r="14" spans="1:63" ht="9.9499999999999993" customHeight="1" thickTop="1" thickBot="1">
      <c r="A14" s="18" t="str">
        <f>FREQUENCIAS!K$1</f>
        <v>CSF1PO</v>
      </c>
      <c r="B14" s="52" t="s">
        <v>10</v>
      </c>
      <c r="C14" s="53" t="s">
        <v>10</v>
      </c>
      <c r="D14" s="66">
        <v>10</v>
      </c>
      <c r="E14" s="66">
        <v>11</v>
      </c>
      <c r="F14" s="66">
        <v>11</v>
      </c>
      <c r="G14" s="66">
        <v>12</v>
      </c>
      <c r="H14" s="39">
        <f t="shared" si="0"/>
        <v>0</v>
      </c>
      <c r="I14" s="39">
        <f t="shared" si="1"/>
        <v>0</v>
      </c>
      <c r="J14" s="39">
        <f t="shared" si="2"/>
        <v>0</v>
      </c>
      <c r="K14" s="39">
        <f t="shared" si="3"/>
        <v>0</v>
      </c>
      <c r="L14" s="39">
        <f t="shared" si="4"/>
        <v>0</v>
      </c>
      <c r="M14" s="39">
        <f t="shared" si="37"/>
        <v>0</v>
      </c>
      <c r="N14" s="39"/>
      <c r="O14" s="40" t="str">
        <f t="shared" si="5"/>
        <v>ND</v>
      </c>
      <c r="P14" s="41">
        <f t="shared" si="9"/>
        <v>0</v>
      </c>
      <c r="Q14" s="41">
        <f t="shared" si="10"/>
        <v>0</v>
      </c>
      <c r="R14" s="41">
        <f t="shared" si="11"/>
        <v>0</v>
      </c>
      <c r="S14" s="41">
        <f t="shared" si="12"/>
        <v>0</v>
      </c>
      <c r="T14" s="41">
        <f t="shared" si="13"/>
        <v>0</v>
      </c>
      <c r="U14" s="41">
        <f t="shared" si="38"/>
        <v>0</v>
      </c>
      <c r="V14" s="41"/>
      <c r="W14" s="42" t="str">
        <f t="shared" si="6"/>
        <v>ND</v>
      </c>
      <c r="X14" s="43">
        <f t="shared" si="14"/>
        <v>0</v>
      </c>
      <c r="Y14" s="43">
        <f t="shared" si="15"/>
        <v>0</v>
      </c>
      <c r="Z14" s="43">
        <f t="shared" si="16"/>
        <v>0</v>
      </c>
      <c r="AA14" s="43">
        <f t="shared" si="17"/>
        <v>0</v>
      </c>
      <c r="AB14" s="43">
        <f t="shared" si="18"/>
        <v>0</v>
      </c>
      <c r="AC14" s="43">
        <f t="shared" si="39"/>
        <v>0</v>
      </c>
      <c r="AD14" s="43"/>
      <c r="AE14" s="44">
        <f t="shared" si="7"/>
        <v>10</v>
      </c>
      <c r="AF14" s="45">
        <f t="shared" si="19"/>
        <v>0</v>
      </c>
      <c r="AG14" s="45">
        <f t="shared" si="20"/>
        <v>0</v>
      </c>
      <c r="AH14" s="45">
        <f t="shared" si="21"/>
        <v>0</v>
      </c>
      <c r="AI14" s="45">
        <f t="shared" si="22"/>
        <v>0</v>
      </c>
      <c r="AJ14" s="45">
        <f t="shared" si="23"/>
        <v>0</v>
      </c>
      <c r="AK14" s="45">
        <f t="shared" si="40"/>
        <v>0</v>
      </c>
      <c r="AL14" s="45"/>
      <c r="AM14" s="46">
        <f t="shared" si="24"/>
        <v>11</v>
      </c>
      <c r="AN14" s="47">
        <f t="shared" si="25"/>
        <v>0</v>
      </c>
      <c r="AO14" s="47">
        <f t="shared" si="26"/>
        <v>0</v>
      </c>
      <c r="AP14" s="47">
        <f t="shared" si="27"/>
        <v>0</v>
      </c>
      <c r="AQ14" s="47">
        <f t="shared" si="28"/>
        <v>0</v>
      </c>
      <c r="AR14" s="47">
        <f t="shared" si="29"/>
        <v>0</v>
      </c>
      <c r="AS14" s="47">
        <f t="shared" si="41"/>
        <v>0</v>
      </c>
      <c r="AT14" s="47"/>
      <c r="AU14" s="48">
        <f t="shared" si="30"/>
        <v>11</v>
      </c>
      <c r="AV14" s="49">
        <f t="shared" si="31"/>
        <v>0</v>
      </c>
      <c r="AW14" s="49">
        <f t="shared" si="32"/>
        <v>0</v>
      </c>
      <c r="AX14" s="49">
        <f t="shared" si="33"/>
        <v>0</v>
      </c>
      <c r="AY14" s="49">
        <f t="shared" si="34"/>
        <v>0</v>
      </c>
      <c r="AZ14" s="49">
        <f t="shared" si="35"/>
        <v>0</v>
      </c>
      <c r="BA14" s="49">
        <f t="shared" si="42"/>
        <v>0</v>
      </c>
      <c r="BB14" s="49"/>
      <c r="BC14" s="50">
        <f t="shared" si="36"/>
        <v>12</v>
      </c>
      <c r="BF14" s="51"/>
      <c r="BG14" s="51"/>
      <c r="BH14" s="51"/>
      <c r="BI14" s="51"/>
      <c r="BJ14" s="51"/>
      <c r="BK14" s="51"/>
    </row>
    <row r="15" spans="1:63" ht="9.9499999999999993" customHeight="1" thickTop="1" thickBot="1">
      <c r="A15" s="18" t="str">
        <f>FREQUENCIAS!L$1</f>
        <v>Penta_D</v>
      </c>
      <c r="B15" s="52" t="s">
        <v>10</v>
      </c>
      <c r="C15" s="53" t="s">
        <v>10</v>
      </c>
      <c r="D15" s="66">
        <v>10</v>
      </c>
      <c r="E15" s="66">
        <v>11</v>
      </c>
      <c r="F15" s="66">
        <v>11</v>
      </c>
      <c r="G15" s="66">
        <v>12</v>
      </c>
      <c r="H15" s="39">
        <f t="shared" si="0"/>
        <v>0</v>
      </c>
      <c r="I15" s="39">
        <f t="shared" si="1"/>
        <v>0</v>
      </c>
      <c r="J15" s="39">
        <f t="shared" si="2"/>
        <v>0</v>
      </c>
      <c r="K15" s="39">
        <f t="shared" si="3"/>
        <v>0</v>
      </c>
      <c r="L15" s="39">
        <f t="shared" si="4"/>
        <v>0</v>
      </c>
      <c r="M15" s="39">
        <f t="shared" si="37"/>
        <v>0</v>
      </c>
      <c r="N15" s="39"/>
      <c r="O15" s="40" t="str">
        <f t="shared" si="5"/>
        <v>ND</v>
      </c>
      <c r="P15" s="41">
        <f t="shared" si="9"/>
        <v>0</v>
      </c>
      <c r="Q15" s="41">
        <f t="shared" si="10"/>
        <v>0</v>
      </c>
      <c r="R15" s="41">
        <f t="shared" si="11"/>
        <v>0</v>
      </c>
      <c r="S15" s="41">
        <f t="shared" si="12"/>
        <v>0</v>
      </c>
      <c r="T15" s="41">
        <f t="shared" si="13"/>
        <v>0</v>
      </c>
      <c r="U15" s="41">
        <f t="shared" si="38"/>
        <v>0</v>
      </c>
      <c r="V15" s="41"/>
      <c r="W15" s="42" t="str">
        <f t="shared" si="6"/>
        <v>ND</v>
      </c>
      <c r="X15" s="43">
        <f t="shared" si="14"/>
        <v>0</v>
      </c>
      <c r="Y15" s="43">
        <f t="shared" si="15"/>
        <v>0</v>
      </c>
      <c r="Z15" s="43">
        <f t="shared" si="16"/>
        <v>0</v>
      </c>
      <c r="AA15" s="43">
        <f t="shared" si="17"/>
        <v>0</v>
      </c>
      <c r="AB15" s="43">
        <f t="shared" si="18"/>
        <v>0</v>
      </c>
      <c r="AC15" s="43">
        <f t="shared" si="39"/>
        <v>0</v>
      </c>
      <c r="AD15" s="43"/>
      <c r="AE15" s="44">
        <f t="shared" si="7"/>
        <v>10</v>
      </c>
      <c r="AF15" s="45">
        <f t="shared" si="19"/>
        <v>0</v>
      </c>
      <c r="AG15" s="45">
        <f t="shared" si="20"/>
        <v>0</v>
      </c>
      <c r="AH15" s="45">
        <f t="shared" si="21"/>
        <v>0</v>
      </c>
      <c r="AI15" s="45">
        <f t="shared" si="22"/>
        <v>0</v>
      </c>
      <c r="AJ15" s="45">
        <f t="shared" si="23"/>
        <v>0</v>
      </c>
      <c r="AK15" s="45">
        <f t="shared" si="40"/>
        <v>0</v>
      </c>
      <c r="AL15" s="45"/>
      <c r="AM15" s="46">
        <f t="shared" si="24"/>
        <v>11</v>
      </c>
      <c r="AN15" s="47">
        <f t="shared" si="25"/>
        <v>0</v>
      </c>
      <c r="AO15" s="47">
        <f t="shared" si="26"/>
        <v>0</v>
      </c>
      <c r="AP15" s="47">
        <f t="shared" si="27"/>
        <v>0</v>
      </c>
      <c r="AQ15" s="47">
        <f t="shared" si="28"/>
        <v>0</v>
      </c>
      <c r="AR15" s="47">
        <f t="shared" si="29"/>
        <v>0</v>
      </c>
      <c r="AS15" s="47">
        <f t="shared" si="41"/>
        <v>0</v>
      </c>
      <c r="AT15" s="47"/>
      <c r="AU15" s="48">
        <f t="shared" si="30"/>
        <v>11</v>
      </c>
      <c r="AV15" s="49">
        <f t="shared" si="31"/>
        <v>0</v>
      </c>
      <c r="AW15" s="49">
        <f t="shared" si="32"/>
        <v>0</v>
      </c>
      <c r="AX15" s="49">
        <f t="shared" si="33"/>
        <v>0</v>
      </c>
      <c r="AY15" s="49">
        <f t="shared" si="34"/>
        <v>0</v>
      </c>
      <c r="AZ15" s="49">
        <f t="shared" si="35"/>
        <v>0</v>
      </c>
      <c r="BA15" s="49">
        <f t="shared" si="42"/>
        <v>0</v>
      </c>
      <c r="BB15" s="49"/>
      <c r="BC15" s="50">
        <f t="shared" si="36"/>
        <v>12</v>
      </c>
      <c r="BF15" s="51"/>
      <c r="BG15" s="51"/>
      <c r="BH15" s="51"/>
      <c r="BI15" s="51"/>
      <c r="BJ15" s="51"/>
      <c r="BK15" s="51"/>
    </row>
    <row r="16" spans="1:63" ht="9.9499999999999993" customHeight="1" thickTop="1" thickBot="1">
      <c r="A16" s="18" t="str">
        <f>FREQUENCIAS!M$1</f>
        <v>TH01</v>
      </c>
      <c r="B16" s="52" t="s">
        <v>10</v>
      </c>
      <c r="C16" s="53" t="s">
        <v>10</v>
      </c>
      <c r="D16" s="66">
        <v>6</v>
      </c>
      <c r="E16" s="66">
        <v>7</v>
      </c>
      <c r="F16" s="66">
        <v>6</v>
      </c>
      <c r="G16" s="66">
        <v>7</v>
      </c>
      <c r="H16" s="39">
        <f t="shared" si="0"/>
        <v>0</v>
      </c>
      <c r="I16" s="39">
        <f t="shared" si="1"/>
        <v>0</v>
      </c>
      <c r="J16" s="39">
        <f t="shared" si="2"/>
        <v>0</v>
      </c>
      <c r="K16" s="39">
        <f t="shared" si="3"/>
        <v>0</v>
      </c>
      <c r="L16" s="39">
        <f t="shared" si="4"/>
        <v>0</v>
      </c>
      <c r="M16" s="39">
        <f t="shared" si="37"/>
        <v>0</v>
      </c>
      <c r="N16" s="39"/>
      <c r="O16" s="40" t="str">
        <f t="shared" si="5"/>
        <v>ND</v>
      </c>
      <c r="P16" s="41">
        <f t="shared" si="9"/>
        <v>0</v>
      </c>
      <c r="Q16" s="41">
        <f t="shared" si="10"/>
        <v>0</v>
      </c>
      <c r="R16" s="41">
        <f t="shared" si="11"/>
        <v>0</v>
      </c>
      <c r="S16" s="41">
        <f t="shared" si="12"/>
        <v>0</v>
      </c>
      <c r="T16" s="41">
        <f t="shared" si="13"/>
        <v>0</v>
      </c>
      <c r="U16" s="41">
        <f t="shared" si="38"/>
        <v>0</v>
      </c>
      <c r="V16" s="41"/>
      <c r="W16" s="42" t="str">
        <f t="shared" si="6"/>
        <v>ND</v>
      </c>
      <c r="X16" s="43">
        <f t="shared" si="14"/>
        <v>0</v>
      </c>
      <c r="Y16" s="43">
        <f t="shared" si="15"/>
        <v>0</v>
      </c>
      <c r="Z16" s="43">
        <f t="shared" si="16"/>
        <v>0</v>
      </c>
      <c r="AA16" s="43">
        <f t="shared" si="17"/>
        <v>0</v>
      </c>
      <c r="AB16" s="43">
        <f t="shared" si="18"/>
        <v>0</v>
      </c>
      <c r="AC16" s="43">
        <f t="shared" si="39"/>
        <v>0</v>
      </c>
      <c r="AD16" s="43"/>
      <c r="AE16" s="44">
        <f t="shared" si="7"/>
        <v>6</v>
      </c>
      <c r="AF16" s="45">
        <f t="shared" si="19"/>
        <v>0</v>
      </c>
      <c r="AG16" s="45">
        <f t="shared" si="20"/>
        <v>0</v>
      </c>
      <c r="AH16" s="45">
        <f t="shared" si="21"/>
        <v>0</v>
      </c>
      <c r="AI16" s="45">
        <f t="shared" si="22"/>
        <v>0</v>
      </c>
      <c r="AJ16" s="45">
        <f t="shared" si="23"/>
        <v>0</v>
      </c>
      <c r="AK16" s="45">
        <f t="shared" si="40"/>
        <v>0</v>
      </c>
      <c r="AL16" s="45"/>
      <c r="AM16" s="46">
        <f t="shared" si="24"/>
        <v>7</v>
      </c>
      <c r="AN16" s="47">
        <f t="shared" si="25"/>
        <v>0</v>
      </c>
      <c r="AO16" s="47">
        <f t="shared" si="26"/>
        <v>0</v>
      </c>
      <c r="AP16" s="47">
        <f t="shared" si="27"/>
        <v>0</v>
      </c>
      <c r="AQ16" s="47">
        <f t="shared" si="28"/>
        <v>0</v>
      </c>
      <c r="AR16" s="47">
        <f t="shared" si="29"/>
        <v>0</v>
      </c>
      <c r="AS16" s="47">
        <f t="shared" si="41"/>
        <v>0</v>
      </c>
      <c r="AT16" s="47"/>
      <c r="AU16" s="48">
        <f t="shared" si="30"/>
        <v>6</v>
      </c>
      <c r="AV16" s="49">
        <f t="shared" si="31"/>
        <v>0</v>
      </c>
      <c r="AW16" s="49">
        <f t="shared" si="32"/>
        <v>0</v>
      </c>
      <c r="AX16" s="49">
        <f t="shared" si="33"/>
        <v>0</v>
      </c>
      <c r="AY16" s="49">
        <f t="shared" si="34"/>
        <v>0</v>
      </c>
      <c r="AZ16" s="49">
        <f t="shared" si="35"/>
        <v>0</v>
      </c>
      <c r="BA16" s="49">
        <f t="shared" si="42"/>
        <v>0</v>
      </c>
      <c r="BB16" s="49"/>
      <c r="BC16" s="50">
        <f t="shared" si="36"/>
        <v>7</v>
      </c>
      <c r="BF16" s="51"/>
      <c r="BG16" s="51"/>
      <c r="BH16" s="51"/>
      <c r="BI16" s="51"/>
      <c r="BJ16" s="51"/>
      <c r="BK16" s="51"/>
    </row>
    <row r="17" spans="1:63" ht="9.9499999999999993" customHeight="1" thickTop="1" thickBot="1">
      <c r="A17" s="18" t="str">
        <f>FREQUENCIAS!N$1</f>
        <v>vWA</v>
      </c>
      <c r="B17" s="52" t="s">
        <v>10</v>
      </c>
      <c r="C17" s="53" t="s">
        <v>10</v>
      </c>
      <c r="D17" s="66">
        <v>15</v>
      </c>
      <c r="E17" s="66">
        <v>16</v>
      </c>
      <c r="F17" s="66">
        <v>16</v>
      </c>
      <c r="G17" s="66">
        <v>17</v>
      </c>
      <c r="H17" s="56">
        <f t="shared" si="0"/>
        <v>0</v>
      </c>
      <c r="I17" s="56">
        <f t="shared" si="1"/>
        <v>0</v>
      </c>
      <c r="J17" s="56">
        <f t="shared" si="2"/>
        <v>0</v>
      </c>
      <c r="K17" s="56">
        <f t="shared" si="3"/>
        <v>0</v>
      </c>
      <c r="L17" s="56">
        <f t="shared" si="4"/>
        <v>0</v>
      </c>
      <c r="M17" s="56">
        <f t="shared" si="37"/>
        <v>0</v>
      </c>
      <c r="N17" s="56"/>
      <c r="O17" s="40" t="str">
        <f>(IF((SUM(H17:N17)&lt;&gt;0),(SUM(H17:N17)),$B17))</f>
        <v>ND</v>
      </c>
      <c r="P17" s="41">
        <f t="shared" si="9"/>
        <v>0</v>
      </c>
      <c r="Q17" s="41">
        <f t="shared" si="10"/>
        <v>0</v>
      </c>
      <c r="R17" s="41">
        <f t="shared" si="11"/>
        <v>0</v>
      </c>
      <c r="S17" s="41">
        <f t="shared" si="12"/>
        <v>0</v>
      </c>
      <c r="T17" s="41">
        <f t="shared" si="13"/>
        <v>0</v>
      </c>
      <c r="U17" s="41">
        <f t="shared" si="38"/>
        <v>0</v>
      </c>
      <c r="V17" s="41"/>
      <c r="W17" s="42" t="str">
        <f>(IF((SUM(P17:V17)&lt;&gt;0),(SUM(P17:V17)),$C17))</f>
        <v>ND</v>
      </c>
      <c r="X17" s="43">
        <f t="shared" si="14"/>
        <v>0</v>
      </c>
      <c r="Y17" s="43">
        <f t="shared" si="15"/>
        <v>0</v>
      </c>
      <c r="Z17" s="43">
        <f t="shared" si="16"/>
        <v>0</v>
      </c>
      <c r="AA17" s="43">
        <f t="shared" si="17"/>
        <v>0</v>
      </c>
      <c r="AB17" s="43">
        <f t="shared" si="18"/>
        <v>0</v>
      </c>
      <c r="AC17" s="43">
        <f t="shared" si="39"/>
        <v>0</v>
      </c>
      <c r="AD17" s="43"/>
      <c r="AE17" s="44">
        <f t="shared" si="7"/>
        <v>15</v>
      </c>
      <c r="AF17" s="45">
        <f t="shared" si="19"/>
        <v>0</v>
      </c>
      <c r="AG17" s="45">
        <f t="shared" si="20"/>
        <v>0</v>
      </c>
      <c r="AH17" s="45">
        <f t="shared" si="21"/>
        <v>0</v>
      </c>
      <c r="AI17" s="45">
        <f t="shared" si="22"/>
        <v>0</v>
      </c>
      <c r="AJ17" s="45">
        <f t="shared" si="23"/>
        <v>0</v>
      </c>
      <c r="AK17" s="45">
        <f t="shared" si="40"/>
        <v>0</v>
      </c>
      <c r="AL17" s="45"/>
      <c r="AM17" s="46">
        <f>(IF((SUM(AF17:AL17)&lt;&gt;0),(SUM(AF17:AL17)),$E17))</f>
        <v>16</v>
      </c>
      <c r="AN17" s="47">
        <f t="shared" si="25"/>
        <v>0</v>
      </c>
      <c r="AO17" s="47">
        <f t="shared" si="26"/>
        <v>0</v>
      </c>
      <c r="AP17" s="47">
        <f t="shared" si="27"/>
        <v>0</v>
      </c>
      <c r="AQ17" s="47">
        <f t="shared" si="28"/>
        <v>0</v>
      </c>
      <c r="AR17" s="47">
        <f t="shared" si="29"/>
        <v>0</v>
      </c>
      <c r="AS17" s="47">
        <f t="shared" si="41"/>
        <v>0</v>
      </c>
      <c r="AT17" s="47"/>
      <c r="AU17" s="48">
        <f>(IF((SUM(AN17:AT17)&lt;&gt;0),(SUM(AN17:AT17)),$F17))</f>
        <v>16</v>
      </c>
      <c r="AV17" s="49">
        <f t="shared" si="31"/>
        <v>0</v>
      </c>
      <c r="AW17" s="49">
        <f t="shared" si="32"/>
        <v>0</v>
      </c>
      <c r="AX17" s="49">
        <f t="shared" si="33"/>
        <v>0</v>
      </c>
      <c r="AY17" s="49">
        <f t="shared" si="34"/>
        <v>0</v>
      </c>
      <c r="AZ17" s="49">
        <f t="shared" si="35"/>
        <v>0</v>
      </c>
      <c r="BA17" s="49">
        <f t="shared" si="42"/>
        <v>0</v>
      </c>
      <c r="BB17" s="49"/>
      <c r="BC17" s="50">
        <f>(IF((SUM(AV17:BB17)&lt;&gt;0),(SUM(AV17:BB17)),$G17))</f>
        <v>17</v>
      </c>
      <c r="BF17" s="51"/>
      <c r="BG17" s="51"/>
      <c r="BH17" s="51"/>
      <c r="BI17" s="51"/>
      <c r="BJ17" s="51"/>
      <c r="BK17" s="51"/>
    </row>
    <row r="18" spans="1:63" ht="9.9499999999999993" customHeight="1" thickTop="1" thickBot="1">
      <c r="A18" s="18" t="str">
        <f>FREQUENCIAS!O$1</f>
        <v>D21S11</v>
      </c>
      <c r="B18" s="52" t="s">
        <v>10</v>
      </c>
      <c r="C18" s="53" t="s">
        <v>10</v>
      </c>
      <c r="D18" s="66">
        <v>30</v>
      </c>
      <c r="E18" s="66">
        <v>32.200000000000003</v>
      </c>
      <c r="F18" s="66">
        <v>32.200000000000003</v>
      </c>
      <c r="G18" s="66">
        <v>33.200000000000003</v>
      </c>
      <c r="H18" s="39">
        <f t="shared" si="0"/>
        <v>0</v>
      </c>
      <c r="I18" s="39">
        <f t="shared" si="1"/>
        <v>0</v>
      </c>
      <c r="J18" s="39">
        <f t="shared" si="2"/>
        <v>0</v>
      </c>
      <c r="K18" s="39">
        <f t="shared" si="3"/>
        <v>0</v>
      </c>
      <c r="L18" s="39">
        <f t="shared" si="4"/>
        <v>0</v>
      </c>
      <c r="M18" s="39">
        <f t="shared" si="37"/>
        <v>0</v>
      </c>
      <c r="N18" s="39"/>
      <c r="O18" s="40" t="str">
        <f t="shared" si="5"/>
        <v>ND</v>
      </c>
      <c r="P18" s="41">
        <f t="shared" si="9"/>
        <v>0</v>
      </c>
      <c r="Q18" s="41">
        <f t="shared" si="10"/>
        <v>0</v>
      </c>
      <c r="R18" s="41">
        <f t="shared" si="11"/>
        <v>0</v>
      </c>
      <c r="S18" s="41">
        <f t="shared" si="12"/>
        <v>0</v>
      </c>
      <c r="T18" s="41">
        <f t="shared" si="13"/>
        <v>0</v>
      </c>
      <c r="U18" s="41">
        <f t="shared" si="38"/>
        <v>0</v>
      </c>
      <c r="V18" s="41"/>
      <c r="W18" s="42" t="str">
        <f t="shared" si="6"/>
        <v>ND</v>
      </c>
      <c r="X18" s="43">
        <f t="shared" si="14"/>
        <v>0</v>
      </c>
      <c r="Y18" s="43">
        <f t="shared" si="15"/>
        <v>0</v>
      </c>
      <c r="Z18" s="43">
        <f t="shared" si="16"/>
        <v>0</v>
      </c>
      <c r="AA18" s="43">
        <f t="shared" si="17"/>
        <v>0</v>
      </c>
      <c r="AB18" s="43">
        <f t="shared" si="18"/>
        <v>0</v>
      </c>
      <c r="AC18" s="43">
        <f t="shared" si="39"/>
        <v>0</v>
      </c>
      <c r="AD18" s="43"/>
      <c r="AE18" s="44">
        <f t="shared" si="7"/>
        <v>30</v>
      </c>
      <c r="AF18" s="45">
        <f t="shared" si="19"/>
        <v>0</v>
      </c>
      <c r="AG18" s="45">
        <f t="shared" si="20"/>
        <v>0</v>
      </c>
      <c r="AH18" s="45">
        <f t="shared" si="21"/>
        <v>0</v>
      </c>
      <c r="AI18" s="45">
        <f t="shared" si="22"/>
        <v>0</v>
      </c>
      <c r="AJ18" s="45">
        <f t="shared" si="23"/>
        <v>0</v>
      </c>
      <c r="AK18" s="45">
        <f t="shared" si="40"/>
        <v>0</v>
      </c>
      <c r="AL18" s="45"/>
      <c r="AM18" s="46">
        <f t="shared" si="24"/>
        <v>32.200000000000003</v>
      </c>
      <c r="AN18" s="47">
        <f t="shared" si="25"/>
        <v>0</v>
      </c>
      <c r="AO18" s="47">
        <f t="shared" si="26"/>
        <v>0</v>
      </c>
      <c r="AP18" s="47">
        <f t="shared" si="27"/>
        <v>0</v>
      </c>
      <c r="AQ18" s="47">
        <f t="shared" si="28"/>
        <v>0</v>
      </c>
      <c r="AR18" s="47">
        <f t="shared" si="29"/>
        <v>0</v>
      </c>
      <c r="AS18" s="47">
        <f t="shared" si="41"/>
        <v>0</v>
      </c>
      <c r="AT18" s="47"/>
      <c r="AU18" s="48">
        <f t="shared" si="30"/>
        <v>32.200000000000003</v>
      </c>
      <c r="AV18" s="49">
        <f t="shared" si="31"/>
        <v>0</v>
      </c>
      <c r="AW18" s="49">
        <f t="shared" si="32"/>
        <v>0</v>
      </c>
      <c r="AX18" s="49">
        <f t="shared" si="33"/>
        <v>0</v>
      </c>
      <c r="AY18" s="49">
        <f t="shared" si="34"/>
        <v>0</v>
      </c>
      <c r="AZ18" s="49">
        <f t="shared" si="35"/>
        <v>0</v>
      </c>
      <c r="BA18" s="49">
        <f t="shared" si="42"/>
        <v>0</v>
      </c>
      <c r="BB18" s="49"/>
      <c r="BC18" s="50">
        <f t="shared" si="36"/>
        <v>33.200000000000003</v>
      </c>
      <c r="BF18" s="51"/>
      <c r="BG18" s="51"/>
      <c r="BH18" s="51"/>
      <c r="BI18" s="51"/>
      <c r="BJ18" s="51"/>
      <c r="BK18" s="51"/>
    </row>
    <row r="19" spans="1:63" ht="9.9499999999999993" customHeight="1" thickTop="1" thickBot="1">
      <c r="A19" s="18" t="str">
        <f>FREQUENCIAS!P$1</f>
        <v>D7S820</v>
      </c>
      <c r="B19" s="52" t="s">
        <v>10</v>
      </c>
      <c r="C19" s="53" t="s">
        <v>10</v>
      </c>
      <c r="D19" s="66">
        <v>9</v>
      </c>
      <c r="E19" s="66">
        <v>11</v>
      </c>
      <c r="F19" s="66">
        <v>9</v>
      </c>
      <c r="G19" s="66">
        <v>12</v>
      </c>
      <c r="H19" s="55">
        <f t="shared" si="0"/>
        <v>0</v>
      </c>
      <c r="I19" s="39">
        <f t="shared" si="1"/>
        <v>0</v>
      </c>
      <c r="J19" s="39">
        <f t="shared" si="2"/>
        <v>0</v>
      </c>
      <c r="K19" s="39">
        <f t="shared" si="3"/>
        <v>0</v>
      </c>
      <c r="L19" s="39">
        <f t="shared" si="4"/>
        <v>0</v>
      </c>
      <c r="M19" s="39">
        <f>((IF(($B19="34.1"),34.1,((IF(($B19="35.1"),35.1,((IF(($B19=38733),16.1,((IF(($B19=38768),20.2,((IF(($B19=38774),26.2,((IF(($B19=38769),21.2,((IF(($B19=38770),22.2,0)))))))))))))))))))))</f>
        <v>0</v>
      </c>
      <c r="N19" s="39">
        <f>((IF(($B19=38771),23.2,((IF(($B19=38800),24.3,((IF(($B19=38798),22.3,0)))))))))</f>
        <v>0</v>
      </c>
      <c r="O19" s="40" t="str">
        <f>(IF((SUM(H19:N19)&lt;&gt;0),(SUM(H19:N19)),$B19))</f>
        <v>ND</v>
      </c>
      <c r="P19" s="41">
        <f t="shared" si="9"/>
        <v>0</v>
      </c>
      <c r="Q19" s="41">
        <f t="shared" si="10"/>
        <v>0</v>
      </c>
      <c r="R19" s="41">
        <f t="shared" si="11"/>
        <v>0</v>
      </c>
      <c r="S19" s="41">
        <f t="shared" si="12"/>
        <v>0</v>
      </c>
      <c r="T19" s="41">
        <f t="shared" si="13"/>
        <v>0</v>
      </c>
      <c r="U19" s="41">
        <f>((IF(($C19="34.1"),34.1,((IF(($C19="35.1"),35.1,((IF(($C19=38733),16.1,((IF(($C19=38768),20.2,((IF(($C19=38774),26.2,((IF(($C19=38769),21.2,((IF(($C19=38770),22.2,0)))))))))))))))))))))</f>
        <v>0</v>
      </c>
      <c r="V19" s="41">
        <f>((IF(($C19=38771),23.2,((IF(($C19=38800),24.3,((IF(($C19=38798),22.3,0)))))))))</f>
        <v>0</v>
      </c>
      <c r="W19" s="42" t="str">
        <f>(IF((SUM(P19:V19)&lt;&gt;0),(SUM(P19:V19)),$C19))</f>
        <v>ND</v>
      </c>
      <c r="X19" s="43">
        <f t="shared" si="14"/>
        <v>0</v>
      </c>
      <c r="Y19" s="43">
        <f t="shared" si="15"/>
        <v>0</v>
      </c>
      <c r="Z19" s="43">
        <f t="shared" si="16"/>
        <v>0</v>
      </c>
      <c r="AA19" s="43">
        <f t="shared" si="17"/>
        <v>0</v>
      </c>
      <c r="AB19" s="43">
        <f t="shared" si="18"/>
        <v>0</v>
      </c>
      <c r="AC19" s="43">
        <f>((IF(($D19="34.1"),34.1,((IF(($D19="35.1"),35.1,((IF(($D19=38733),16.1,((IF(($D19=38768),20.2,((IF(($D19=38774),26.2,((IF(($D19=38769),21.2,((IF(($D19=38770),22.2,0)))))))))))))))))))))</f>
        <v>0</v>
      </c>
      <c r="AD19" s="43">
        <f>((IF(($D19=38771),23.2,((IF(($D19=38800),24.3,((IF(($D19=38798),22.3,0)))))))))</f>
        <v>0</v>
      </c>
      <c r="AE19" s="44">
        <f t="shared" si="7"/>
        <v>9</v>
      </c>
      <c r="AF19" s="45">
        <f t="shared" si="19"/>
        <v>0</v>
      </c>
      <c r="AG19" s="45">
        <f t="shared" si="20"/>
        <v>0</v>
      </c>
      <c r="AH19" s="45">
        <f t="shared" si="21"/>
        <v>0</v>
      </c>
      <c r="AI19" s="45">
        <f t="shared" si="22"/>
        <v>0</v>
      </c>
      <c r="AJ19" s="45">
        <f t="shared" si="23"/>
        <v>0</v>
      </c>
      <c r="AK19" s="45">
        <f>((IF(($E19="34.1"),34.1,((IF(($E19="35.1"),35.1,((IF(($E19=38733),16.1,((IF(($E19=38768),20.2,((IF(($E19=38774),26.2,((IF(($E19=38769),21.2,((IF(($E19=38770),22.2,0)))))))))))))))))))))</f>
        <v>0</v>
      </c>
      <c r="AL19" s="45">
        <f>((IF(($E19=38771),23.2,((IF(($E19=38800),24.3,((IF(($E19=38798),22.3,0)))))))))</f>
        <v>0</v>
      </c>
      <c r="AM19" s="46">
        <f>(IF((SUM(AF19:AL19)&lt;&gt;0),(SUM(AF19:AL19)),$E19))</f>
        <v>11</v>
      </c>
      <c r="AN19" s="47">
        <f t="shared" si="25"/>
        <v>0</v>
      </c>
      <c r="AO19" s="47">
        <f t="shared" si="26"/>
        <v>0</v>
      </c>
      <c r="AP19" s="47">
        <f t="shared" si="27"/>
        <v>0</v>
      </c>
      <c r="AQ19" s="47">
        <f t="shared" si="28"/>
        <v>0</v>
      </c>
      <c r="AR19" s="47">
        <f t="shared" si="29"/>
        <v>0</v>
      </c>
      <c r="AS19" s="47">
        <f>((IF(($F19="34.1"),34.1,((IF(($F19="35.1"),35.1,((IF(($F19=38733),16.1,((IF(($F19=38768),20.2,((IF(($F19=38774),26.2,((IF(($F19=38769),21.2,((IF(($F19=38770),22.2,0)))))))))))))))))))))</f>
        <v>0</v>
      </c>
      <c r="AT19" s="47">
        <f>((IF(($F19=38771),23.2,((IF(($F19=38800),24.3,((IF(($F19=38798),22.3,0)))))))))</f>
        <v>0</v>
      </c>
      <c r="AU19" s="48">
        <f>(IF((SUM(AN19:AT19)&lt;&gt;0),(SUM(AN19:AT19)),$F19))</f>
        <v>9</v>
      </c>
      <c r="AV19" s="49">
        <f t="shared" si="31"/>
        <v>0</v>
      </c>
      <c r="AW19" s="49">
        <f t="shared" si="32"/>
        <v>0</v>
      </c>
      <c r="AX19" s="49">
        <f t="shared" si="33"/>
        <v>0</v>
      </c>
      <c r="AY19" s="49">
        <f t="shared" si="34"/>
        <v>0</v>
      </c>
      <c r="AZ19" s="49">
        <f t="shared" si="35"/>
        <v>0</v>
      </c>
      <c r="BA19" s="49">
        <f>((IF(($G19="34.1"),34.1,((IF(($G19="35.1"),35.1,((IF(($G19=38733),16.1,((IF(($G19=38768),20.2,((IF(($G19=38774),26.2,((IF(($G19=38769),21.2,((IF(($G19=38770),22.2,0)))))))))))))))))))))</f>
        <v>0</v>
      </c>
      <c r="BB19" s="49">
        <f>((IF(($G19=38771),23.2,((IF(($G19=38800),24.3,((IF(($G19=38798),22.3,0)))))))))</f>
        <v>0</v>
      </c>
      <c r="BC19" s="50">
        <f>(IF((SUM(AV19:BB19)&lt;&gt;0),(SUM(AV19:BB19)),$G19))</f>
        <v>12</v>
      </c>
      <c r="BF19" s="51"/>
      <c r="BG19" s="51"/>
      <c r="BH19" s="51"/>
      <c r="BI19" s="51"/>
      <c r="BJ19" s="51"/>
      <c r="BK19" s="51"/>
    </row>
    <row r="20" spans="1:63" ht="9.9499999999999993" customHeight="1" thickTop="1" thickBot="1">
      <c r="A20" s="18" t="str">
        <f>FREQUENCIAS!Q$1</f>
        <v>D5S818</v>
      </c>
      <c r="B20" s="52" t="s">
        <v>10</v>
      </c>
      <c r="C20" s="53" t="s">
        <v>10</v>
      </c>
      <c r="D20" s="66">
        <v>7</v>
      </c>
      <c r="E20" s="66">
        <v>11</v>
      </c>
      <c r="F20" s="66">
        <v>11</v>
      </c>
      <c r="G20" s="66">
        <v>11</v>
      </c>
      <c r="H20" s="39">
        <f t="shared" si="0"/>
        <v>0</v>
      </c>
      <c r="I20" s="39">
        <f t="shared" si="1"/>
        <v>0</v>
      </c>
      <c r="J20" s="39">
        <f t="shared" si="2"/>
        <v>0</v>
      </c>
      <c r="K20" s="39">
        <f t="shared" si="3"/>
        <v>0</v>
      </c>
      <c r="L20" s="39">
        <f t="shared" si="4"/>
        <v>0</v>
      </c>
      <c r="M20" s="39">
        <f>((IF(($B20="34.1"),34.1,((IF(($B20="35.1"),35.1,((IF(($B20=38733),16.1,((IF(($B20=38768),20.2,((IF(($B20=38774),26.2,0)))))))))))))))</f>
        <v>0</v>
      </c>
      <c r="N20" s="39"/>
      <c r="O20" s="40" t="str">
        <f t="shared" ref="O20:O27" si="43">(IF((SUM(H20:N20)&lt;&gt;0),(SUM(H20:N20)),$B20))</f>
        <v>ND</v>
      </c>
      <c r="P20" s="41">
        <f t="shared" si="9"/>
        <v>0</v>
      </c>
      <c r="Q20" s="41">
        <f t="shared" si="10"/>
        <v>0</v>
      </c>
      <c r="R20" s="41">
        <f t="shared" si="11"/>
        <v>0</v>
      </c>
      <c r="S20" s="41">
        <f t="shared" si="12"/>
        <v>0</v>
      </c>
      <c r="T20" s="41">
        <f t="shared" si="13"/>
        <v>0</v>
      </c>
      <c r="U20" s="41">
        <f>((IF(($C20="34.1"),34.1,((IF(($C20="35.1"),35.1,((IF(($C20=38733),16.1,((IF(($C20=38768),20.2,((IF(($C20=38774),26.2,((IF(($C20=38771),23.2,0))))))))))))))))))</f>
        <v>0</v>
      </c>
      <c r="V20" s="41"/>
      <c r="W20" s="42" t="str">
        <f t="shared" ref="W20:W27" si="44">(IF((SUM(P20:V20)&lt;&gt;0),(SUM(P20:V20)),$C20))</f>
        <v>ND</v>
      </c>
      <c r="X20" s="43">
        <f t="shared" si="14"/>
        <v>0</v>
      </c>
      <c r="Y20" s="43">
        <f t="shared" si="15"/>
        <v>0</v>
      </c>
      <c r="Z20" s="43">
        <f t="shared" si="16"/>
        <v>0</v>
      </c>
      <c r="AA20" s="43">
        <f t="shared" si="17"/>
        <v>0</v>
      </c>
      <c r="AB20" s="43">
        <f t="shared" si="18"/>
        <v>0</v>
      </c>
      <c r="AC20" s="43">
        <f>((IF(($D20="34.1"),34.1,((IF(($D20="35.1"),35.1,((IF(($D20=38733),16.1,((IF(($D20=38768),20.2,((IF(($D20=38774),26.2,0)))))))))))))))</f>
        <v>0</v>
      </c>
      <c r="AD20" s="43"/>
      <c r="AE20" s="44">
        <f t="shared" si="7"/>
        <v>7</v>
      </c>
      <c r="AF20" s="45">
        <f t="shared" si="19"/>
        <v>0</v>
      </c>
      <c r="AG20" s="45">
        <f t="shared" si="20"/>
        <v>0</v>
      </c>
      <c r="AH20" s="45">
        <f t="shared" si="21"/>
        <v>0</v>
      </c>
      <c r="AI20" s="45">
        <f t="shared" si="22"/>
        <v>0</v>
      </c>
      <c r="AJ20" s="45">
        <f t="shared" si="23"/>
        <v>0</v>
      </c>
      <c r="AK20" s="45">
        <f>((IF(($E20="34.1"),34.1,((IF(($E20="35.1"),35.1,((IF(($E20=38733),16.1,((IF(($E20=38768),20.2,((IF(($E20=38774),26.2,((IF(($E20=38771),23.2,0))))))))))))))))))</f>
        <v>0</v>
      </c>
      <c r="AL20" s="45"/>
      <c r="AM20" s="46">
        <f t="shared" ref="AM20:AM27" si="45">(IF((SUM(AF20:AL20)&lt;&gt;0),(SUM(AF20:AL20)),$E20))</f>
        <v>11</v>
      </c>
      <c r="AN20" s="47">
        <f t="shared" si="25"/>
        <v>0</v>
      </c>
      <c r="AO20" s="47">
        <f t="shared" si="26"/>
        <v>0</v>
      </c>
      <c r="AP20" s="47">
        <f t="shared" si="27"/>
        <v>0</v>
      </c>
      <c r="AQ20" s="47">
        <f t="shared" si="28"/>
        <v>0</v>
      </c>
      <c r="AR20" s="47">
        <f t="shared" si="29"/>
        <v>0</v>
      </c>
      <c r="AS20" s="47">
        <f>((IF(($F20="34.1"),34.1,((IF(($F20="35.1"),35.1,((IF(($F20=38733),16.1,((IF(($F20=38768),20.2,((IF(($F20=38774),26.2,0)))))))))))))))</f>
        <v>0</v>
      </c>
      <c r="AT20" s="47"/>
      <c r="AU20" s="48">
        <f t="shared" ref="AU20:AU27" si="46">(IF((SUM(AN20:AT20)&lt;&gt;0),(SUM(AN20:AT20)),$F20))</f>
        <v>11</v>
      </c>
      <c r="AV20" s="49">
        <f t="shared" si="31"/>
        <v>0</v>
      </c>
      <c r="AW20" s="49">
        <f t="shared" si="32"/>
        <v>0</v>
      </c>
      <c r="AX20" s="49">
        <f t="shared" si="33"/>
        <v>0</v>
      </c>
      <c r="AY20" s="49">
        <f t="shared" si="34"/>
        <v>0</v>
      </c>
      <c r="AZ20" s="49">
        <f t="shared" si="35"/>
        <v>0</v>
      </c>
      <c r="BA20" s="49">
        <f>((IF(($G20="34.1"),34.1,((IF(($G20="35.1"),35.1,((IF(($G20=38733),16.1,((IF(($G20=38768),20.2,((IF(($G20=38774),26.2,((IF(($G20=38771),23.2,0))))))))))))))))))</f>
        <v>0</v>
      </c>
      <c r="BB20" s="49"/>
      <c r="BC20" s="50">
        <f t="shared" ref="BC20:BC27" si="47">(IF((SUM(AV20:BB20)&lt;&gt;0),(SUM(AV20:BB20)),$G20))</f>
        <v>11</v>
      </c>
      <c r="BF20" s="51"/>
      <c r="BG20" s="51"/>
      <c r="BH20" s="51"/>
      <c r="BI20" s="51"/>
      <c r="BJ20" s="51"/>
      <c r="BK20" s="51"/>
    </row>
    <row r="21" spans="1:63" ht="9.9499999999999993" customHeight="1" thickTop="1" thickBot="1">
      <c r="A21" s="18" t="str">
        <f>FREQUENCIAS!R$1</f>
        <v>TPOX</v>
      </c>
      <c r="B21" s="52" t="s">
        <v>10</v>
      </c>
      <c r="C21" s="53" t="s">
        <v>10</v>
      </c>
      <c r="D21" s="66">
        <v>8</v>
      </c>
      <c r="E21" s="66">
        <v>11</v>
      </c>
      <c r="F21" s="66">
        <v>8</v>
      </c>
      <c r="G21" s="66">
        <v>11</v>
      </c>
      <c r="H21" s="39">
        <f t="shared" si="0"/>
        <v>0</v>
      </c>
      <c r="I21" s="39">
        <f t="shared" si="1"/>
        <v>0</v>
      </c>
      <c r="J21" s="39">
        <f t="shared" si="2"/>
        <v>0</v>
      </c>
      <c r="K21" s="39">
        <f t="shared" si="3"/>
        <v>0</v>
      </c>
      <c r="L21" s="39">
        <f t="shared" si="4"/>
        <v>0</v>
      </c>
      <c r="M21" s="39">
        <f>((IF(($B21="34.1"),34.1,((IF(($B21="35.1"),35.1,((IF(($B21=38733),16.1,((IF(($B21=38768),20.2,((IF(($B21=38774),26.2,((IF(($B21=38771),23.2,((IF(($B21="29.2"),29.2,0)))))))))))))))))))))</f>
        <v>0</v>
      </c>
      <c r="N21" s="39"/>
      <c r="O21" s="40" t="str">
        <f t="shared" si="43"/>
        <v>ND</v>
      </c>
      <c r="P21" s="41">
        <f t="shared" si="9"/>
        <v>0</v>
      </c>
      <c r="Q21" s="41">
        <f t="shared" si="10"/>
        <v>0</v>
      </c>
      <c r="R21" s="41">
        <f t="shared" si="11"/>
        <v>0</v>
      </c>
      <c r="S21" s="41">
        <f t="shared" si="12"/>
        <v>0</v>
      </c>
      <c r="T21" s="41">
        <f t="shared" si="13"/>
        <v>0</v>
      </c>
      <c r="U21" s="41">
        <f>((IF(($C21="34.1"),34.1,((IF(($C21="35.1"),35.1,((IF(($C21=38733),16.1,((IF(($C21=38768),20.2,((IF(($C21=38774),26.2,((IF(($C21=38771),23.2,((IF(($C21="29.2"),29.2,0)))))))))))))))))))))</f>
        <v>0</v>
      </c>
      <c r="V21" s="41"/>
      <c r="W21" s="42" t="str">
        <f t="shared" si="44"/>
        <v>ND</v>
      </c>
      <c r="X21" s="43">
        <f t="shared" si="14"/>
        <v>0</v>
      </c>
      <c r="Y21" s="43">
        <f t="shared" si="15"/>
        <v>0</v>
      </c>
      <c r="Z21" s="43">
        <f t="shared" si="16"/>
        <v>0</v>
      </c>
      <c r="AA21" s="43">
        <f t="shared" si="17"/>
        <v>0</v>
      </c>
      <c r="AB21" s="43">
        <f t="shared" si="18"/>
        <v>0</v>
      </c>
      <c r="AC21" s="43">
        <f>((IF(($D21="34.1"),34.1,((IF(($D21="35.1"),35.1,((IF(($D21=38733),16.1,((IF(($D21=38768),20.2,((IF(($D21=38774),26.2,((IF(($D21=38771),23.2,((IF(($D21="29.2"),29.2,0)))))))))))))))))))))</f>
        <v>0</v>
      </c>
      <c r="AD21" s="43"/>
      <c r="AE21" s="44">
        <f t="shared" si="7"/>
        <v>8</v>
      </c>
      <c r="AF21" s="45">
        <f t="shared" si="19"/>
        <v>0</v>
      </c>
      <c r="AG21" s="45">
        <f t="shared" si="20"/>
        <v>0</v>
      </c>
      <c r="AH21" s="45">
        <f t="shared" si="21"/>
        <v>0</v>
      </c>
      <c r="AI21" s="45">
        <f t="shared" si="22"/>
        <v>0</v>
      </c>
      <c r="AJ21" s="45">
        <f t="shared" si="23"/>
        <v>0</v>
      </c>
      <c r="AK21" s="45">
        <f>((IF(($E21="34.1"),34.1,((IF(($E21="35.1"),35.1,((IF(($E21=38733),16.1,((IF(($E21=38768),20.2,((IF(($E21=38774),26.2,((IF(($E21=38771),23.2,((IF(($E21="29.2"),29.2,0)))))))))))))))))))))</f>
        <v>0</v>
      </c>
      <c r="AL21" s="45"/>
      <c r="AM21" s="46">
        <f t="shared" si="45"/>
        <v>11</v>
      </c>
      <c r="AN21" s="47">
        <f t="shared" si="25"/>
        <v>0</v>
      </c>
      <c r="AO21" s="47">
        <f t="shared" si="26"/>
        <v>0</v>
      </c>
      <c r="AP21" s="47">
        <f t="shared" si="27"/>
        <v>0</v>
      </c>
      <c r="AQ21" s="47">
        <f t="shared" si="28"/>
        <v>0</v>
      </c>
      <c r="AR21" s="47">
        <f t="shared" si="29"/>
        <v>0</v>
      </c>
      <c r="AS21" s="47">
        <f>((IF(($F21="34.1"),34.1,((IF(($F21="35.1"),35.1,((IF(($F21=38733),16.1,((IF(($F21=38768),20.2,((IF(($F21=38774),26.2,((IF(($F21=38771),23.2,((IF(($F21="29.2"),29.2,0)))))))))))))))))))))</f>
        <v>0</v>
      </c>
      <c r="AT21" s="47"/>
      <c r="AU21" s="48">
        <f t="shared" si="46"/>
        <v>8</v>
      </c>
      <c r="AV21" s="49">
        <f t="shared" si="31"/>
        <v>0</v>
      </c>
      <c r="AW21" s="49">
        <f t="shared" si="32"/>
        <v>0</v>
      </c>
      <c r="AX21" s="49">
        <f t="shared" si="33"/>
        <v>0</v>
      </c>
      <c r="AY21" s="49">
        <f t="shared" si="34"/>
        <v>0</v>
      </c>
      <c r="AZ21" s="49">
        <f t="shared" si="35"/>
        <v>0</v>
      </c>
      <c r="BA21" s="49">
        <f>((IF(($G21="34.1"),34.1,((IF(($G21="35.1"),35.1,((IF(($G21=38733),16.1,((IF(($G21=38768),20.2,((IF(($G21=38774),26.2,((IF(($G21=38771),23.2,((IF(($G21="29.2"),29.2,0)))))))))))))))))))))</f>
        <v>0</v>
      </c>
      <c r="BB21" s="49"/>
      <c r="BC21" s="50">
        <f t="shared" si="47"/>
        <v>11</v>
      </c>
      <c r="BF21" s="51"/>
      <c r="BG21" s="51"/>
      <c r="BH21" s="51"/>
      <c r="BI21" s="51"/>
      <c r="BJ21" s="51"/>
      <c r="BK21" s="51"/>
    </row>
    <row r="22" spans="1:63" ht="9.9499999999999993" customHeight="1" thickTop="1" thickBot="1">
      <c r="A22" s="18" t="str">
        <f>FREQUENCIAS!S$1</f>
        <v>D8S1179</v>
      </c>
      <c r="B22" s="52" t="s">
        <v>10</v>
      </c>
      <c r="C22" s="53" t="s">
        <v>10</v>
      </c>
      <c r="D22" s="66">
        <v>15</v>
      </c>
      <c r="E22" s="66">
        <v>15</v>
      </c>
      <c r="F22" s="66">
        <v>14</v>
      </c>
      <c r="G22" s="66">
        <v>15</v>
      </c>
      <c r="H22" s="39">
        <f t="shared" si="0"/>
        <v>0</v>
      </c>
      <c r="I22" s="39">
        <f t="shared" si="1"/>
        <v>0</v>
      </c>
      <c r="J22" s="39">
        <f t="shared" si="2"/>
        <v>0</v>
      </c>
      <c r="K22" s="39">
        <f t="shared" si="3"/>
        <v>0</v>
      </c>
      <c r="L22" s="39">
        <f t="shared" si="4"/>
        <v>0</v>
      </c>
      <c r="M22" s="39">
        <f>((IF(($B22="34.1"),34.1,((IF(($B22="35.1"),35.1,((IF(($B22=38733),16.1,((IF(($B22=38768),20.2,((IF(($B22=38774),26.2,0)))))))))))))))</f>
        <v>0</v>
      </c>
      <c r="N22" s="39"/>
      <c r="O22" s="40" t="str">
        <f t="shared" si="43"/>
        <v>ND</v>
      </c>
      <c r="P22" s="41">
        <f t="shared" si="9"/>
        <v>0</v>
      </c>
      <c r="Q22" s="41">
        <f t="shared" si="10"/>
        <v>0</v>
      </c>
      <c r="R22" s="41">
        <f t="shared" si="11"/>
        <v>0</v>
      </c>
      <c r="S22" s="41">
        <f t="shared" si="12"/>
        <v>0</v>
      </c>
      <c r="T22" s="41">
        <f t="shared" si="13"/>
        <v>0</v>
      </c>
      <c r="U22" s="41">
        <f>((IF(($C22="34.1"),34.1,((IF(($C22="35.1"),35.1,((IF(($C22=38733),16.1,((IF(($C22=38768),20.2,((IF(($C22=38774),26.2,((IF(($C22=38771),23.2,0))))))))))))))))))</f>
        <v>0</v>
      </c>
      <c r="V22" s="41"/>
      <c r="W22" s="42" t="str">
        <f t="shared" si="44"/>
        <v>ND</v>
      </c>
      <c r="X22" s="43">
        <f t="shared" si="14"/>
        <v>0</v>
      </c>
      <c r="Y22" s="43">
        <f t="shared" si="15"/>
        <v>0</v>
      </c>
      <c r="Z22" s="43">
        <f t="shared" si="16"/>
        <v>0</v>
      </c>
      <c r="AA22" s="43">
        <f t="shared" si="17"/>
        <v>0</v>
      </c>
      <c r="AB22" s="43">
        <f t="shared" si="18"/>
        <v>0</v>
      </c>
      <c r="AC22" s="43">
        <f>((IF(($D22="34.1"),34.1,((IF(($D22="35.1"),35.1,((IF(($D22=38733),16.1,((IF(($D22=38768),20.2,((IF(($D22=38774),26.2,0)))))))))))))))</f>
        <v>0</v>
      </c>
      <c r="AD22" s="43"/>
      <c r="AE22" s="44">
        <f t="shared" si="7"/>
        <v>15</v>
      </c>
      <c r="AF22" s="45">
        <f t="shared" si="19"/>
        <v>0</v>
      </c>
      <c r="AG22" s="45">
        <f t="shared" si="20"/>
        <v>0</v>
      </c>
      <c r="AH22" s="45">
        <f t="shared" si="21"/>
        <v>0</v>
      </c>
      <c r="AI22" s="45">
        <f t="shared" si="22"/>
        <v>0</v>
      </c>
      <c r="AJ22" s="45">
        <f t="shared" si="23"/>
        <v>0</v>
      </c>
      <c r="AK22" s="45">
        <f>((IF(($E22="34.1"),34.1,((IF(($E22="35.1"),35.1,((IF(($E22=38733),16.1,((IF(($E22=38768),20.2,((IF(($E22=38774),26.2,((IF(($E22=38771),23.2,0))))))))))))))))))</f>
        <v>0</v>
      </c>
      <c r="AL22" s="45"/>
      <c r="AM22" s="46">
        <f t="shared" si="45"/>
        <v>15</v>
      </c>
      <c r="AN22" s="47">
        <f t="shared" si="25"/>
        <v>0</v>
      </c>
      <c r="AO22" s="47">
        <f t="shared" si="26"/>
        <v>0</v>
      </c>
      <c r="AP22" s="47">
        <f t="shared" si="27"/>
        <v>0</v>
      </c>
      <c r="AQ22" s="47">
        <f t="shared" si="28"/>
        <v>0</v>
      </c>
      <c r="AR22" s="47">
        <f t="shared" si="29"/>
        <v>0</v>
      </c>
      <c r="AS22" s="47">
        <f>((IF(($F22="34.1"),34.1,((IF(($F22="35.1"),35.1,((IF(($F22=38733),16.1,((IF(($F22=38768),20.2,((IF(($F22=38774),26.2,0)))))))))))))))</f>
        <v>0</v>
      </c>
      <c r="AT22" s="47"/>
      <c r="AU22" s="48">
        <f t="shared" si="46"/>
        <v>14</v>
      </c>
      <c r="AV22" s="49">
        <f t="shared" si="31"/>
        <v>0</v>
      </c>
      <c r="AW22" s="49">
        <f t="shared" si="32"/>
        <v>0</v>
      </c>
      <c r="AX22" s="49">
        <f t="shared" si="33"/>
        <v>0</v>
      </c>
      <c r="AY22" s="49">
        <f t="shared" si="34"/>
        <v>0</v>
      </c>
      <c r="AZ22" s="49">
        <f t="shared" si="35"/>
        <v>0</v>
      </c>
      <c r="BA22" s="49">
        <f>((IF(($G22="34.1"),34.1,((IF(($G22="35.1"),35.1,((IF(($G22=38733),16.1,((IF(($G22=38768),20.2,((IF(($G22=38774),26.2,((IF(($G22=38771),23.2,0))))))))))))))))))</f>
        <v>0</v>
      </c>
      <c r="BB22" s="49"/>
      <c r="BC22" s="50">
        <f t="shared" si="47"/>
        <v>15</v>
      </c>
      <c r="BF22" s="51"/>
      <c r="BG22" s="51"/>
      <c r="BH22" s="51"/>
      <c r="BI22" s="51"/>
      <c r="BJ22" s="51"/>
      <c r="BK22" s="51"/>
    </row>
    <row r="23" spans="1:63" ht="9.9499999999999993" customHeight="1" thickTop="1" thickBot="1">
      <c r="A23" s="18" t="str">
        <f>FREQUENCIAS!T$1</f>
        <v>D12S391</v>
      </c>
      <c r="B23" s="52" t="s">
        <v>10</v>
      </c>
      <c r="C23" s="53" t="s">
        <v>10</v>
      </c>
      <c r="D23" s="66">
        <v>18</v>
      </c>
      <c r="E23" s="66">
        <v>20</v>
      </c>
      <c r="F23" s="66">
        <v>18</v>
      </c>
      <c r="G23" s="66">
        <v>18</v>
      </c>
      <c r="H23" s="39">
        <f t="shared" si="0"/>
        <v>0</v>
      </c>
      <c r="I23" s="39">
        <f t="shared" si="1"/>
        <v>0</v>
      </c>
      <c r="J23" s="39">
        <f t="shared" si="2"/>
        <v>0</v>
      </c>
      <c r="K23" s="39">
        <f t="shared" si="3"/>
        <v>0</v>
      </c>
      <c r="L23" s="39">
        <f t="shared" si="4"/>
        <v>0</v>
      </c>
      <c r="M23" s="39">
        <f>((IF(($B23="34.1"),34.1,((IF(($B23="35.1"),35.1,((IF(($B23=38733),16.1,((IF(($B23=38768),20.2,((IF(($B23=38774),26.2,0)))))))))))))))</f>
        <v>0</v>
      </c>
      <c r="N23" s="39"/>
      <c r="O23" s="40" t="str">
        <f t="shared" si="43"/>
        <v>ND</v>
      </c>
      <c r="P23" s="41">
        <f t="shared" si="9"/>
        <v>0</v>
      </c>
      <c r="Q23" s="41">
        <f t="shared" si="10"/>
        <v>0</v>
      </c>
      <c r="R23" s="41">
        <f t="shared" si="11"/>
        <v>0</v>
      </c>
      <c r="S23" s="41">
        <f t="shared" si="12"/>
        <v>0</v>
      </c>
      <c r="T23" s="41">
        <f t="shared" si="13"/>
        <v>0</v>
      </c>
      <c r="U23" s="41">
        <f>((IF(($C23="34.1"),34.1,((IF(($C23="35.1"),35.1,((IF(($C23=38733),16.1,((IF(($C23=38768),20.2,((IF(($C23=38774),26.2,((IF(($C23=38771),23.2,0))))))))))))))))))</f>
        <v>0</v>
      </c>
      <c r="V23" s="41"/>
      <c r="W23" s="42" t="str">
        <f t="shared" si="44"/>
        <v>ND</v>
      </c>
      <c r="X23" s="43">
        <f t="shared" si="14"/>
        <v>0</v>
      </c>
      <c r="Y23" s="43">
        <f t="shared" si="15"/>
        <v>0</v>
      </c>
      <c r="Z23" s="43">
        <f t="shared" si="16"/>
        <v>0</v>
      </c>
      <c r="AA23" s="43">
        <f t="shared" si="17"/>
        <v>0</v>
      </c>
      <c r="AB23" s="43">
        <f t="shared" si="18"/>
        <v>0</v>
      </c>
      <c r="AC23" s="43">
        <f>((IF(($D23="34.1"),34.1,((IF(($D23="35.1"),35.1,((IF(($D23=38733),16.1,((IF(($D23=38768),20.2,((IF(($D23=38774),26.2,0)))))))))))))))</f>
        <v>0</v>
      </c>
      <c r="AD23" s="43"/>
      <c r="AE23" s="44">
        <f t="shared" si="7"/>
        <v>18</v>
      </c>
      <c r="AF23" s="45">
        <f t="shared" si="19"/>
        <v>0</v>
      </c>
      <c r="AG23" s="45">
        <f t="shared" si="20"/>
        <v>0</v>
      </c>
      <c r="AH23" s="45">
        <f t="shared" si="21"/>
        <v>0</v>
      </c>
      <c r="AI23" s="45">
        <f t="shared" si="22"/>
        <v>0</v>
      </c>
      <c r="AJ23" s="45">
        <f t="shared" si="23"/>
        <v>0</v>
      </c>
      <c r="AK23" s="45">
        <f>((IF(($E23="34.1"),34.1,((IF(($E23="35.1"),35.1,((IF(($E23=38733),16.1,((IF(($E23=38768),20.2,((IF(($E23=38774),26.2,((IF(($E23=38771),23.2,0))))))))))))))))))</f>
        <v>0</v>
      </c>
      <c r="AL23" s="45"/>
      <c r="AM23" s="46">
        <f t="shared" si="45"/>
        <v>20</v>
      </c>
      <c r="AN23" s="47">
        <f t="shared" si="25"/>
        <v>0</v>
      </c>
      <c r="AO23" s="47">
        <f t="shared" si="26"/>
        <v>0</v>
      </c>
      <c r="AP23" s="47">
        <f t="shared" si="27"/>
        <v>0</v>
      </c>
      <c r="AQ23" s="47">
        <f t="shared" si="28"/>
        <v>0</v>
      </c>
      <c r="AR23" s="47">
        <f t="shared" si="29"/>
        <v>0</v>
      </c>
      <c r="AS23" s="47">
        <f>((IF(($F23="34.1"),34.1,((IF(($F23="35.1"),35.1,((IF(($F23=38733),16.1,((IF(($F23=38768),20.2,((IF(($F23=38774),26.2,0)))))))))))))))</f>
        <v>0</v>
      </c>
      <c r="AT23" s="47"/>
      <c r="AU23" s="48">
        <f t="shared" si="46"/>
        <v>18</v>
      </c>
      <c r="AV23" s="49">
        <f t="shared" si="31"/>
        <v>0</v>
      </c>
      <c r="AW23" s="49">
        <f t="shared" si="32"/>
        <v>0</v>
      </c>
      <c r="AX23" s="49">
        <f t="shared" si="33"/>
        <v>0</v>
      </c>
      <c r="AY23" s="49">
        <f t="shared" si="34"/>
        <v>0</v>
      </c>
      <c r="AZ23" s="49">
        <f t="shared" si="35"/>
        <v>0</v>
      </c>
      <c r="BA23" s="49">
        <f>((IF(($G23="34.1"),34.1,((IF(($G23="35.1"),35.1,((IF(($G23=38733),16.1,((IF(($G23=38768),20.2,((IF(($G23=38774),26.2,((IF(($G23=38771),23.2,0))))))))))))))))))</f>
        <v>0</v>
      </c>
      <c r="BB23" s="49"/>
      <c r="BC23" s="50">
        <f t="shared" si="47"/>
        <v>18</v>
      </c>
      <c r="BF23" s="51"/>
      <c r="BG23" s="51"/>
      <c r="BH23" s="51"/>
      <c r="BI23" s="51"/>
      <c r="BJ23" s="51"/>
      <c r="BK23" s="51"/>
    </row>
    <row r="24" spans="1:63" ht="9.9499999999999993" customHeight="1" thickTop="1" thickBot="1">
      <c r="A24" s="18" t="str">
        <f>FREQUENCIAS!U$1</f>
        <v>D19S433</v>
      </c>
      <c r="B24" s="52" t="s">
        <v>10</v>
      </c>
      <c r="C24" s="53" t="s">
        <v>10</v>
      </c>
      <c r="D24" s="66">
        <v>13</v>
      </c>
      <c r="E24" s="66">
        <v>14</v>
      </c>
      <c r="F24" s="66">
        <v>13</v>
      </c>
      <c r="G24" s="66">
        <v>14</v>
      </c>
      <c r="H24" s="39">
        <f t="shared" si="0"/>
        <v>0</v>
      </c>
      <c r="I24" s="39">
        <f t="shared" si="1"/>
        <v>0</v>
      </c>
      <c r="J24" s="39">
        <f t="shared" si="2"/>
        <v>0</v>
      </c>
      <c r="K24" s="39">
        <f t="shared" si="3"/>
        <v>0</v>
      </c>
      <c r="L24" s="39">
        <f t="shared" si="4"/>
        <v>0</v>
      </c>
      <c r="M24" s="39">
        <f>((IF(($B24="34.1"),34.1,((IF(($B24="35.1"),35.1,((IF(($B24=38733),16.1,((IF(($B24=38768),20.2,((IF(($B24=38774),26.2,0)))))))))))))))</f>
        <v>0</v>
      </c>
      <c r="N24" s="39"/>
      <c r="O24" s="40" t="str">
        <f t="shared" si="43"/>
        <v>ND</v>
      </c>
      <c r="P24" s="41">
        <f t="shared" si="9"/>
        <v>0</v>
      </c>
      <c r="Q24" s="41">
        <f t="shared" si="10"/>
        <v>0</v>
      </c>
      <c r="R24" s="41">
        <f t="shared" si="11"/>
        <v>0</v>
      </c>
      <c r="S24" s="41">
        <f t="shared" si="12"/>
        <v>0</v>
      </c>
      <c r="T24" s="41">
        <f t="shared" si="13"/>
        <v>0</v>
      </c>
      <c r="U24" s="41">
        <f>((IF(($C24="34.1"),34.1,((IF(($C24="35.1"),35.1,((IF(($C24=38733),16.1,((IF(($C24=38768),20.2,((IF(($C24=38774),26.2,((IF(($C24=38771),23.2,0))))))))))))))))))</f>
        <v>0</v>
      </c>
      <c r="V24" s="41"/>
      <c r="W24" s="42" t="str">
        <f t="shared" si="44"/>
        <v>ND</v>
      </c>
      <c r="X24" s="43">
        <f t="shared" si="14"/>
        <v>0</v>
      </c>
      <c r="Y24" s="43">
        <f t="shared" si="15"/>
        <v>0</v>
      </c>
      <c r="Z24" s="43">
        <f t="shared" si="16"/>
        <v>0</v>
      </c>
      <c r="AA24" s="43">
        <f t="shared" si="17"/>
        <v>0</v>
      </c>
      <c r="AB24" s="43">
        <f t="shared" si="18"/>
        <v>0</v>
      </c>
      <c r="AC24" s="43">
        <f>((IF(($D24="34.1"),34.1,((IF(($D24="35.1"),35.1,((IF(($D24=38733),16.1,((IF(($D24=38768),20.2,((IF(($D24=38774),26.2,0)))))))))))))))</f>
        <v>0</v>
      </c>
      <c r="AD24" s="43"/>
      <c r="AE24" s="44">
        <f t="shared" si="7"/>
        <v>13</v>
      </c>
      <c r="AF24" s="45">
        <f t="shared" si="19"/>
        <v>0</v>
      </c>
      <c r="AG24" s="45">
        <f t="shared" si="20"/>
        <v>0</v>
      </c>
      <c r="AH24" s="45">
        <f t="shared" si="21"/>
        <v>0</v>
      </c>
      <c r="AI24" s="45">
        <f t="shared" si="22"/>
        <v>0</v>
      </c>
      <c r="AJ24" s="45">
        <f t="shared" si="23"/>
        <v>0</v>
      </c>
      <c r="AK24" s="45">
        <f>((IF(($E24="34.1"),34.1,((IF(($E24="35.1"),35.1,((IF(($E24=38733),16.1,((IF(($E24=38768),20.2,((IF(($E24=38774),26.2,((IF(($E24=38771),23.2,0))))))))))))))))))</f>
        <v>0</v>
      </c>
      <c r="AL24" s="45"/>
      <c r="AM24" s="46">
        <f t="shared" si="45"/>
        <v>14</v>
      </c>
      <c r="AN24" s="47">
        <f t="shared" si="25"/>
        <v>0</v>
      </c>
      <c r="AO24" s="47">
        <f t="shared" si="26"/>
        <v>0</v>
      </c>
      <c r="AP24" s="47">
        <f t="shared" si="27"/>
        <v>0</v>
      </c>
      <c r="AQ24" s="47">
        <f t="shared" si="28"/>
        <v>0</v>
      </c>
      <c r="AR24" s="47">
        <f t="shared" si="29"/>
        <v>0</v>
      </c>
      <c r="AS24" s="47">
        <f>((IF(($F24="34.1"),34.1,((IF(($F24="35.1"),35.1,((IF(($F24=38733),16.1,((IF(($F24=38768),20.2,((IF(($F24=38774),26.2,0)))))))))))))))</f>
        <v>0</v>
      </c>
      <c r="AT24" s="47"/>
      <c r="AU24" s="48">
        <f t="shared" si="46"/>
        <v>13</v>
      </c>
      <c r="AV24" s="49">
        <f t="shared" si="31"/>
        <v>0</v>
      </c>
      <c r="AW24" s="49">
        <f t="shared" si="32"/>
        <v>0</v>
      </c>
      <c r="AX24" s="49">
        <f t="shared" si="33"/>
        <v>0</v>
      </c>
      <c r="AY24" s="49">
        <f t="shared" si="34"/>
        <v>0</v>
      </c>
      <c r="AZ24" s="49">
        <f t="shared" si="35"/>
        <v>0</v>
      </c>
      <c r="BA24" s="49">
        <f>((IF(($G24="34.1"),34.1,((IF(($G24="35.1"),35.1,((IF(($G24=38733),16.1,((IF(($G24=38768),20.2,((IF(($G24=38774),26.2,((IF(($G24=38771),23.2,0))))))))))))))))))</f>
        <v>0</v>
      </c>
      <c r="BB24" s="49"/>
      <c r="BC24" s="50">
        <f t="shared" si="47"/>
        <v>14</v>
      </c>
      <c r="BF24" s="51"/>
      <c r="BG24" s="51"/>
      <c r="BH24" s="51"/>
      <c r="BI24" s="51"/>
      <c r="BJ24" s="51"/>
      <c r="BK24" s="51"/>
    </row>
    <row r="25" spans="1:63" ht="9.9499999999999993" customHeight="1" thickTop="1" thickBot="1">
      <c r="A25" s="18" t="str">
        <f>FREQUENCIAS!V$1</f>
        <v>FGA</v>
      </c>
      <c r="B25" s="52" t="s">
        <v>10</v>
      </c>
      <c r="C25" s="53" t="s">
        <v>10</v>
      </c>
      <c r="D25" s="66">
        <v>26</v>
      </c>
      <c r="E25" s="66">
        <v>27</v>
      </c>
      <c r="F25" s="66">
        <v>22</v>
      </c>
      <c r="G25" s="66">
        <v>26</v>
      </c>
      <c r="H25" s="55">
        <f t="shared" si="0"/>
        <v>0</v>
      </c>
      <c r="I25" s="39">
        <f t="shared" si="1"/>
        <v>0</v>
      </c>
      <c r="J25" s="39">
        <f t="shared" si="2"/>
        <v>0</v>
      </c>
      <c r="K25" s="39">
        <f t="shared" si="3"/>
        <v>0</v>
      </c>
      <c r="L25" s="39">
        <f t="shared" si="4"/>
        <v>0</v>
      </c>
      <c r="M25" s="39">
        <f>((IF(($B25="34.1"),34.1,((IF(($B25="35.1"),35.1,((IF(($B25=38733),16.1,((IF(($B25=38768),20.2,((IF(($B25=38774),26.2,((IF(($B25=38784),8.3,((IF(($B25=38789),13.3,0)))))))))))))))))))))</f>
        <v>0</v>
      </c>
      <c r="N25" s="39"/>
      <c r="O25" s="40" t="str">
        <f t="shared" si="43"/>
        <v>ND</v>
      </c>
      <c r="P25" s="41">
        <f t="shared" si="9"/>
        <v>0</v>
      </c>
      <c r="Q25" s="41">
        <f t="shared" si="10"/>
        <v>0</v>
      </c>
      <c r="R25" s="41">
        <f t="shared" si="11"/>
        <v>0</v>
      </c>
      <c r="S25" s="41">
        <f t="shared" si="12"/>
        <v>0</v>
      </c>
      <c r="T25" s="41">
        <f t="shared" si="13"/>
        <v>0</v>
      </c>
      <c r="U25" s="41">
        <f>((IF(($C25="34.1"),34.1,((IF(($C25="35.1"),35.1,((IF(($C25=38733),16.1,((IF(($C25=38768),20.2,((IF(($C25=38774),26.2,((IF(($C25=38771),23.2,((IF(($C25=38784),8.3,((IF(($C25=38789),13.3,0))))))))))))))))))))))))</f>
        <v>0</v>
      </c>
      <c r="V25" s="41"/>
      <c r="W25" s="42" t="str">
        <f t="shared" si="44"/>
        <v>ND</v>
      </c>
      <c r="X25" s="43">
        <f t="shared" si="14"/>
        <v>0</v>
      </c>
      <c r="Y25" s="43">
        <f t="shared" si="15"/>
        <v>0</v>
      </c>
      <c r="Z25" s="43">
        <f t="shared" si="16"/>
        <v>0</v>
      </c>
      <c r="AA25" s="43">
        <f t="shared" si="17"/>
        <v>0</v>
      </c>
      <c r="AB25" s="43">
        <f t="shared" si="18"/>
        <v>0</v>
      </c>
      <c r="AC25" s="43">
        <f>((IF(($D25="34.1"),34.1,((IF(($D25="35.1"),35.1,((IF(($D25=38733),16.1,((IF(($D25=38768),20.2,((IF(($D25=38774),26.2,((IF(($D25=38784),8.3,((IF(($D25=38789),13.3,0)))))))))))))))))))))</f>
        <v>0</v>
      </c>
      <c r="AD25" s="43"/>
      <c r="AE25" s="44">
        <f t="shared" si="7"/>
        <v>26</v>
      </c>
      <c r="AF25" s="45">
        <f t="shared" si="19"/>
        <v>0</v>
      </c>
      <c r="AG25" s="45">
        <f t="shared" si="20"/>
        <v>0</v>
      </c>
      <c r="AH25" s="45">
        <f t="shared" si="21"/>
        <v>0</v>
      </c>
      <c r="AI25" s="45">
        <f t="shared" si="22"/>
        <v>0</v>
      </c>
      <c r="AJ25" s="45">
        <f t="shared" si="23"/>
        <v>0</v>
      </c>
      <c r="AK25" s="45">
        <f>((IF(($E25="34.1"),34.1,((IF(($E25="35.1"),35.1,((IF(($E25=38733),16.1,((IF(($E25=38768),20.2,((IF(($E25=38774),26.2,((IF(($E25=38771),23.2,((IF(($E25=38784),8.3,((IF(($E25=38789),13.3,0))))))))))))))))))))))))</f>
        <v>0</v>
      </c>
      <c r="AL25" s="45"/>
      <c r="AM25" s="46">
        <f t="shared" si="45"/>
        <v>27</v>
      </c>
      <c r="AN25" s="47">
        <f t="shared" si="25"/>
        <v>0</v>
      </c>
      <c r="AO25" s="47">
        <f t="shared" si="26"/>
        <v>0</v>
      </c>
      <c r="AP25" s="47">
        <f t="shared" si="27"/>
        <v>0</v>
      </c>
      <c r="AQ25" s="47">
        <f t="shared" si="28"/>
        <v>0</v>
      </c>
      <c r="AR25" s="47">
        <f t="shared" si="29"/>
        <v>0</v>
      </c>
      <c r="AS25" s="47">
        <f>((IF(($F25="34.1"),34.1,((IF(($F25="35.1"),35.1,((IF(($F25=38733),16.1,((IF(($F25=38768),20.2,((IF(($F25=38774),26.2,((IF(($F25=38784),8.3,((IF(($F25=38789),13.3,0)))))))))))))))))))))</f>
        <v>0</v>
      </c>
      <c r="AT25" s="47"/>
      <c r="AU25" s="48">
        <f t="shared" si="46"/>
        <v>22</v>
      </c>
      <c r="AV25" s="49">
        <f t="shared" si="31"/>
        <v>0</v>
      </c>
      <c r="AW25" s="49">
        <f t="shared" si="32"/>
        <v>0</v>
      </c>
      <c r="AX25" s="49">
        <f t="shared" si="33"/>
        <v>0</v>
      </c>
      <c r="AY25" s="49">
        <f t="shared" si="34"/>
        <v>0</v>
      </c>
      <c r="AZ25" s="49">
        <f t="shared" si="35"/>
        <v>0</v>
      </c>
      <c r="BA25" s="49">
        <f>((IF(($G25="34.1"),34.1,((IF(($G25="35.1"),35.1,((IF(($G25=38733),16.1,((IF(($G25=38768),20.2,((IF(($G25=38774),26.2,((IF(($G25=38771),23.2,((IF(($G25=38784),8.3,((IF(($G25=38789),13.3,0))))))))))))))))))))))))</f>
        <v>0</v>
      </c>
      <c r="BB25" s="49"/>
      <c r="BC25" s="50">
        <f t="shared" si="47"/>
        <v>26</v>
      </c>
      <c r="BF25" s="51"/>
      <c r="BG25" s="51"/>
      <c r="BH25" s="51"/>
      <c r="BI25" s="51"/>
      <c r="BJ25" s="51"/>
      <c r="BK25" s="51"/>
    </row>
    <row r="26" spans="1:63" ht="9.9499999999999993" customHeight="1" thickTop="1" thickBot="1">
      <c r="A26" s="18" t="str">
        <f>FREQUENCIAS!W$1</f>
        <v>D22S1045</v>
      </c>
      <c r="B26" s="52" t="s">
        <v>10</v>
      </c>
      <c r="C26" s="53" t="s">
        <v>10</v>
      </c>
      <c r="D26" s="66">
        <v>16</v>
      </c>
      <c r="E26" s="66">
        <v>16</v>
      </c>
      <c r="F26" s="66">
        <v>15</v>
      </c>
      <c r="G26" s="66">
        <v>16</v>
      </c>
      <c r="H26" s="39">
        <f t="shared" si="0"/>
        <v>0</v>
      </c>
      <c r="I26" s="39">
        <f t="shared" si="1"/>
        <v>0</v>
      </c>
      <c r="J26" s="39">
        <f t="shared" si="2"/>
        <v>0</v>
      </c>
      <c r="K26" s="39">
        <f t="shared" si="3"/>
        <v>0</v>
      </c>
      <c r="L26" s="39">
        <f t="shared" si="4"/>
        <v>0</v>
      </c>
      <c r="M26" s="39">
        <f>((IF(($B26="34.1"),34.1,((IF(($B26="35.1"),35.1,((IF(($B26=38733),16.1,((IF(($B26=38768),20.2,((IF(($B26=38774),26.2,0)))))))))))))))</f>
        <v>0</v>
      </c>
      <c r="N26" s="39"/>
      <c r="O26" s="40" t="str">
        <f t="shared" si="43"/>
        <v>ND</v>
      </c>
      <c r="P26" s="41">
        <f t="shared" si="9"/>
        <v>0</v>
      </c>
      <c r="Q26" s="41">
        <f t="shared" si="10"/>
        <v>0</v>
      </c>
      <c r="R26" s="41">
        <f t="shared" si="11"/>
        <v>0</v>
      </c>
      <c r="S26" s="41">
        <f t="shared" si="12"/>
        <v>0</v>
      </c>
      <c r="T26" s="41">
        <f t="shared" si="13"/>
        <v>0</v>
      </c>
      <c r="U26" s="41">
        <f>((IF(($C26="34.1"),34.1,((IF(($C26="35.1"),35.1,((IF(($C26=38733),16.1,((IF(($C26=38768),20.2,((IF(($C26=38774),26.2,((IF(($C26=38771),23.2,0))))))))))))))))))</f>
        <v>0</v>
      </c>
      <c r="V26" s="41"/>
      <c r="W26" s="42" t="str">
        <f t="shared" si="44"/>
        <v>ND</v>
      </c>
      <c r="X26" s="43">
        <f t="shared" si="14"/>
        <v>0</v>
      </c>
      <c r="Y26" s="43">
        <f t="shared" si="15"/>
        <v>0</v>
      </c>
      <c r="Z26" s="43">
        <f t="shared" si="16"/>
        <v>0</v>
      </c>
      <c r="AA26" s="43">
        <f t="shared" si="17"/>
        <v>0</v>
      </c>
      <c r="AB26" s="43">
        <f t="shared" si="18"/>
        <v>0</v>
      </c>
      <c r="AC26" s="43">
        <f>((IF(($D26="34.1"),34.1,((IF(($D26="35.1"),35.1,((IF(($D26=38733),16.1,((IF(($D26=38768),20.2,((IF(($D26=38774),26.2,0)))))))))))))))</f>
        <v>0</v>
      </c>
      <c r="AD26" s="43"/>
      <c r="AE26" s="44">
        <f t="shared" si="7"/>
        <v>16</v>
      </c>
      <c r="AF26" s="45">
        <f t="shared" si="19"/>
        <v>0</v>
      </c>
      <c r="AG26" s="45">
        <f t="shared" si="20"/>
        <v>0</v>
      </c>
      <c r="AH26" s="45">
        <f t="shared" si="21"/>
        <v>0</v>
      </c>
      <c r="AI26" s="45">
        <f t="shared" si="22"/>
        <v>0</v>
      </c>
      <c r="AJ26" s="45">
        <f t="shared" si="23"/>
        <v>0</v>
      </c>
      <c r="AK26" s="45">
        <f>((IF(($E26="34.1"),34.1,((IF(($E26="35.1"),35.1,((IF(($E26=38733),16.1,((IF(($E26=38768),20.2,((IF(($E26=38774),26.2,((IF(($E26=38771),23.2,0))))))))))))))))))</f>
        <v>0</v>
      </c>
      <c r="AL26" s="45"/>
      <c r="AM26" s="46">
        <f t="shared" si="45"/>
        <v>16</v>
      </c>
      <c r="AN26" s="47">
        <f t="shared" si="25"/>
        <v>0</v>
      </c>
      <c r="AO26" s="47">
        <f t="shared" si="26"/>
        <v>0</v>
      </c>
      <c r="AP26" s="47">
        <f t="shared" si="27"/>
        <v>0</v>
      </c>
      <c r="AQ26" s="47">
        <f t="shared" si="28"/>
        <v>0</v>
      </c>
      <c r="AR26" s="47">
        <f t="shared" si="29"/>
        <v>0</v>
      </c>
      <c r="AS26" s="47">
        <f>((IF(($F26="34.1"),34.1,((IF(($F26="35.1"),35.1,((IF(($F26=38733),16.1,((IF(($F26=38768),20.2,((IF(($F26=38774),26.2,0)))))))))))))))</f>
        <v>0</v>
      </c>
      <c r="AT26" s="47"/>
      <c r="AU26" s="48">
        <f t="shared" si="46"/>
        <v>15</v>
      </c>
      <c r="AV26" s="49">
        <f t="shared" si="31"/>
        <v>0</v>
      </c>
      <c r="AW26" s="49">
        <f t="shared" si="32"/>
        <v>0</v>
      </c>
      <c r="AX26" s="49">
        <f t="shared" si="33"/>
        <v>0</v>
      </c>
      <c r="AY26" s="49">
        <f t="shared" si="34"/>
        <v>0</v>
      </c>
      <c r="AZ26" s="49">
        <f t="shared" si="35"/>
        <v>0</v>
      </c>
      <c r="BA26" s="49">
        <f>((IF(($G26="34.1"),34.1,((IF(($G26="35.1"),35.1,((IF(($G26=38733),16.1,((IF(($G26=38768),20.2,((IF(($G26=38774),26.2,((IF(($G26=38771),23.2,0))))))))))))))))))</f>
        <v>0</v>
      </c>
      <c r="BB26" s="49"/>
      <c r="BC26" s="50">
        <f t="shared" si="47"/>
        <v>16</v>
      </c>
      <c r="BF26" s="51"/>
      <c r="BG26" s="51"/>
      <c r="BH26" s="51"/>
      <c r="BI26" s="51"/>
      <c r="BJ26" s="51"/>
      <c r="BK26" s="51"/>
    </row>
    <row r="27" spans="1:63" ht="9.9499999999999993" customHeight="1" thickTop="1" thickBot="1">
      <c r="A27" s="18" t="str">
        <f>FREQUENCIAS!X$1</f>
        <v>SE33</v>
      </c>
      <c r="B27" s="57" t="s">
        <v>10</v>
      </c>
      <c r="C27" s="58" t="s">
        <v>10</v>
      </c>
      <c r="D27" s="66"/>
      <c r="E27" s="66"/>
      <c r="F27" s="66"/>
      <c r="G27" s="66"/>
      <c r="H27" s="39">
        <f t="shared" si="0"/>
        <v>0</v>
      </c>
      <c r="I27" s="39">
        <f t="shared" si="1"/>
        <v>0</v>
      </c>
      <c r="J27" s="39">
        <f t="shared" si="2"/>
        <v>0</v>
      </c>
      <c r="K27" s="39">
        <f t="shared" si="3"/>
        <v>0</v>
      </c>
      <c r="L27" s="39">
        <f t="shared" si="4"/>
        <v>0</v>
      </c>
      <c r="M27" s="39">
        <f>((IF(($B27="34.1"),34.1,((IF(($B27="35.1"),35.1,((IF(($B27=38733),16.1,((IF(($B27=38768),20.2,((IF(($B27=38774),26.2,0)))))))))))))))</f>
        <v>0</v>
      </c>
      <c r="N27" s="39"/>
      <c r="O27" s="40" t="str">
        <f t="shared" si="43"/>
        <v>ND</v>
      </c>
      <c r="P27" s="41">
        <f t="shared" si="9"/>
        <v>0</v>
      </c>
      <c r="Q27" s="41">
        <f t="shared" si="10"/>
        <v>0</v>
      </c>
      <c r="R27" s="41">
        <f t="shared" si="11"/>
        <v>0</v>
      </c>
      <c r="S27" s="41">
        <f t="shared" si="12"/>
        <v>0</v>
      </c>
      <c r="T27" s="41">
        <f t="shared" si="13"/>
        <v>0</v>
      </c>
      <c r="U27" s="41">
        <f>((IF(($C27="34.1"),34.1,((IF(($C27="35.1"),35.1,((IF(($C27=38733),16.1,((IF(($C27=38768),20.2,((IF(($C27=38774),26.2,((IF(($C27=38771),23.2,0))))))))))))))))))</f>
        <v>0</v>
      </c>
      <c r="V27" s="41"/>
      <c r="W27" s="42" t="str">
        <f t="shared" si="44"/>
        <v>ND</v>
      </c>
      <c r="X27" s="43">
        <f t="shared" si="14"/>
        <v>0</v>
      </c>
      <c r="Y27" s="43">
        <f t="shared" si="15"/>
        <v>0</v>
      </c>
      <c r="Z27" s="43">
        <f t="shared" si="16"/>
        <v>0</v>
      </c>
      <c r="AA27" s="43">
        <f t="shared" si="17"/>
        <v>0</v>
      </c>
      <c r="AB27" s="43">
        <f t="shared" si="18"/>
        <v>0</v>
      </c>
      <c r="AC27" s="43">
        <f>((IF(($D27="34.1"),34.1,((IF(($D27="35.1"),35.1,((IF(($D27=38733),16.1,((IF(($D27=38768),20.2,((IF(($D27=38774),26.2,0)))))))))))))))</f>
        <v>0</v>
      </c>
      <c r="AD27" s="43"/>
      <c r="AE27" s="44">
        <f t="shared" si="7"/>
        <v>0</v>
      </c>
      <c r="AF27" s="45">
        <f t="shared" si="19"/>
        <v>0</v>
      </c>
      <c r="AG27" s="45">
        <f t="shared" si="20"/>
        <v>0</v>
      </c>
      <c r="AH27" s="45">
        <f t="shared" si="21"/>
        <v>0</v>
      </c>
      <c r="AI27" s="45">
        <f t="shared" si="22"/>
        <v>0</v>
      </c>
      <c r="AJ27" s="45">
        <f t="shared" si="23"/>
        <v>0</v>
      </c>
      <c r="AK27" s="45">
        <f>((IF(($E27="34.1"),34.1,((IF(($E27="35.1"),35.1,((IF(($E27=38733),16.1,((IF(($E27=38768),20.2,((IF(($E27=38774),26.2,((IF(($E27=38771),23.2,0))))))))))))))))))</f>
        <v>0</v>
      </c>
      <c r="AL27" s="45"/>
      <c r="AM27" s="46">
        <f t="shared" si="45"/>
        <v>0</v>
      </c>
      <c r="AN27" s="47">
        <f t="shared" si="25"/>
        <v>0</v>
      </c>
      <c r="AO27" s="47">
        <f t="shared" si="26"/>
        <v>0</v>
      </c>
      <c r="AP27" s="47">
        <f t="shared" si="27"/>
        <v>0</v>
      </c>
      <c r="AQ27" s="47">
        <f t="shared" si="28"/>
        <v>0</v>
      </c>
      <c r="AR27" s="47">
        <f t="shared" si="29"/>
        <v>0</v>
      </c>
      <c r="AS27" s="47">
        <f>((IF(($F27="34.1"),34.1,((IF(($F27="35.1"),35.1,((IF(($F27=38733),16.1,((IF(($F27=38768),20.2,((IF(($F27=38774),26.2,0)))))))))))))))</f>
        <v>0</v>
      </c>
      <c r="AT27" s="47"/>
      <c r="AU27" s="48">
        <f t="shared" si="46"/>
        <v>0</v>
      </c>
      <c r="AV27" s="49">
        <f t="shared" si="31"/>
        <v>0</v>
      </c>
      <c r="AW27" s="49">
        <f t="shared" si="32"/>
        <v>0</v>
      </c>
      <c r="AX27" s="49">
        <f t="shared" si="33"/>
        <v>0</v>
      </c>
      <c r="AY27" s="49">
        <f t="shared" si="34"/>
        <v>0</v>
      </c>
      <c r="AZ27" s="49">
        <f t="shared" si="35"/>
        <v>0</v>
      </c>
      <c r="BA27" s="49">
        <f>((IF(($G27="34.1"),34.1,((IF(($G27="35.1"),35.1,((IF(($G27=38733),16.1,((IF(($G27=38768),20.2,((IF(($G27=38774),26.2,((IF(($G27=38771),23.2,0))))))))))))))))))</f>
        <v>0</v>
      </c>
      <c r="BB27" s="49"/>
      <c r="BC27" s="50">
        <f t="shared" si="47"/>
        <v>0</v>
      </c>
      <c r="BF27" s="51"/>
      <c r="BG27" s="51"/>
      <c r="BH27" s="51"/>
      <c r="BI27" s="51"/>
      <c r="BJ27" s="51"/>
      <c r="BK27" s="51"/>
    </row>
    <row r="28" spans="1:63" ht="9.9499999999999993" hidden="1" customHeight="1" thickTop="1" thickBot="1">
      <c r="A28" s="18">
        <f>FREQUENCIAS!Y$1</f>
        <v>1</v>
      </c>
      <c r="B28" s="57" t="s">
        <v>10</v>
      </c>
      <c r="C28" s="58" t="s">
        <v>10</v>
      </c>
      <c r="D28" s="66"/>
      <c r="E28" s="66"/>
      <c r="F28" s="66"/>
      <c r="G28" s="66"/>
      <c r="H28" s="39"/>
      <c r="I28" s="39"/>
      <c r="J28" s="39"/>
      <c r="K28" s="39"/>
      <c r="L28" s="39"/>
      <c r="M28" s="39"/>
      <c r="N28" s="39"/>
      <c r="O28" s="39"/>
      <c r="P28" s="41"/>
      <c r="Q28" s="41"/>
      <c r="R28" s="41"/>
      <c r="S28" s="41"/>
      <c r="T28" s="41"/>
      <c r="U28" s="41"/>
      <c r="V28" s="41"/>
      <c r="W28" s="41"/>
      <c r="X28" s="43"/>
      <c r="Y28" s="43"/>
      <c r="Z28" s="43"/>
      <c r="AA28" s="43"/>
      <c r="AB28" s="43"/>
      <c r="AC28" s="43"/>
      <c r="AD28" s="43"/>
      <c r="AE28" s="44">
        <f t="shared" ref="AE28:AE38" si="48">(IF((SUM(X28:AD28)&lt;&gt;0),(SUM(X28:AD28)),$D28))</f>
        <v>0</v>
      </c>
      <c r="AF28" s="45">
        <f t="shared" si="19"/>
        <v>0</v>
      </c>
      <c r="AG28" s="45">
        <f t="shared" si="20"/>
        <v>0</v>
      </c>
      <c r="AH28" s="45">
        <f t="shared" si="21"/>
        <v>0</v>
      </c>
      <c r="AI28" s="45">
        <f t="shared" si="22"/>
        <v>0</v>
      </c>
      <c r="AJ28" s="45">
        <f t="shared" si="23"/>
        <v>0</v>
      </c>
      <c r="AK28" s="45">
        <f t="shared" ref="AK28:AK38" si="49">((IF(($E28="34.1"),34.1,((IF(($E28="35.1"),35.1,((IF(($E28=38733),16.1,((IF(($E28=38768),20.2,((IF(($E28=38774),26.2,((IF(($E28=38771),23.2,0))))))))))))))))))</f>
        <v>0</v>
      </c>
      <c r="AL28" s="45"/>
      <c r="AM28" s="46">
        <f t="shared" ref="AM28:AM38" si="50">(IF((SUM(AF28:AL28)&lt;&gt;0),(SUM(AF28:AL28)),$E28))</f>
        <v>0</v>
      </c>
      <c r="AN28" s="47">
        <f t="shared" si="25"/>
        <v>0</v>
      </c>
      <c r="AO28" s="47">
        <f t="shared" si="26"/>
        <v>0</v>
      </c>
      <c r="AP28" s="47">
        <f t="shared" si="27"/>
        <v>0</v>
      </c>
      <c r="AQ28" s="47">
        <f t="shared" si="28"/>
        <v>0</v>
      </c>
      <c r="AR28" s="47">
        <f t="shared" si="29"/>
        <v>0</v>
      </c>
      <c r="AS28" s="47">
        <f t="shared" ref="AS28:AS38" si="51">((IF(($F28="34.1"),34.1,((IF(($F28="35.1"),35.1,((IF(($F28=38733),16.1,((IF(($F28=38768),20.2,((IF(($F28=38774),26.2,0)))))))))))))))</f>
        <v>0</v>
      </c>
      <c r="AT28" s="47"/>
      <c r="AU28" s="48">
        <f t="shared" ref="AU28:AU38" si="52">(IF((SUM(AN28:AT28)&lt;&gt;0),(SUM(AN28:AT28)),$F28))</f>
        <v>0</v>
      </c>
      <c r="AV28" s="49">
        <f t="shared" si="31"/>
        <v>0</v>
      </c>
      <c r="AW28" s="49">
        <f t="shared" si="32"/>
        <v>0</v>
      </c>
      <c r="AX28" s="49">
        <f t="shared" si="33"/>
        <v>0</v>
      </c>
      <c r="AY28" s="49">
        <f t="shared" si="34"/>
        <v>0</v>
      </c>
      <c r="AZ28" s="49">
        <f t="shared" si="35"/>
        <v>0</v>
      </c>
      <c r="BA28" s="49">
        <f t="shared" ref="BA28:BA38" si="53">((IF(($G28="34.1"),34.1,((IF(($G28="35.1"),35.1,((IF(($G28=38733),16.1,((IF(($G28=38768),20.2,((IF(($G28=38774),26.2,((IF(($G28=38771),23.2,0))))))))))))))))))</f>
        <v>0</v>
      </c>
      <c r="BB28" s="49"/>
      <c r="BC28" s="50">
        <f t="shared" ref="BC28:BC38" si="54">(IF((SUM(AV28:BB28)&lt;&gt;0),(SUM(AV28:BB28)),$G28))</f>
        <v>0</v>
      </c>
      <c r="BF28" s="51"/>
      <c r="BG28" s="51"/>
      <c r="BH28" s="51"/>
      <c r="BI28" s="51"/>
      <c r="BJ28" s="51"/>
      <c r="BK28" s="51"/>
    </row>
    <row r="29" spans="1:63" ht="9.9499999999999993" hidden="1" customHeight="1" thickTop="1" thickBot="1">
      <c r="A29" s="18">
        <f>FREQUENCIAS!Z$1</f>
        <v>2</v>
      </c>
      <c r="B29" s="57" t="s">
        <v>10</v>
      </c>
      <c r="C29" s="58" t="s">
        <v>10</v>
      </c>
      <c r="D29" s="66"/>
      <c r="E29" s="66"/>
      <c r="F29" s="66"/>
      <c r="G29" s="66"/>
      <c r="H29" s="39"/>
      <c r="I29" s="39"/>
      <c r="J29" s="39"/>
      <c r="K29" s="39"/>
      <c r="L29" s="39"/>
      <c r="M29" s="39"/>
      <c r="N29" s="39"/>
      <c r="O29" s="39"/>
      <c r="P29" s="41"/>
      <c r="Q29" s="41"/>
      <c r="R29" s="41"/>
      <c r="S29" s="41"/>
      <c r="T29" s="41"/>
      <c r="U29" s="41"/>
      <c r="V29" s="41"/>
      <c r="W29" s="41"/>
      <c r="X29" s="43"/>
      <c r="Y29" s="43"/>
      <c r="Z29" s="43"/>
      <c r="AA29" s="43"/>
      <c r="AB29" s="43"/>
      <c r="AC29" s="43"/>
      <c r="AD29" s="43"/>
      <c r="AE29" s="44">
        <f t="shared" si="48"/>
        <v>0</v>
      </c>
      <c r="AF29" s="45">
        <f t="shared" si="19"/>
        <v>0</v>
      </c>
      <c r="AG29" s="45">
        <f t="shared" si="20"/>
        <v>0</v>
      </c>
      <c r="AH29" s="45">
        <f t="shared" si="21"/>
        <v>0</v>
      </c>
      <c r="AI29" s="45">
        <f t="shared" si="22"/>
        <v>0</v>
      </c>
      <c r="AJ29" s="45">
        <f t="shared" si="23"/>
        <v>0</v>
      </c>
      <c r="AK29" s="45">
        <f t="shared" si="49"/>
        <v>0</v>
      </c>
      <c r="AL29" s="45"/>
      <c r="AM29" s="46">
        <f t="shared" si="50"/>
        <v>0</v>
      </c>
      <c r="AN29" s="47">
        <f t="shared" si="25"/>
        <v>0</v>
      </c>
      <c r="AO29" s="47">
        <f t="shared" si="26"/>
        <v>0</v>
      </c>
      <c r="AP29" s="47">
        <f t="shared" si="27"/>
        <v>0</v>
      </c>
      <c r="AQ29" s="47">
        <f t="shared" si="28"/>
        <v>0</v>
      </c>
      <c r="AR29" s="47">
        <f t="shared" si="29"/>
        <v>0</v>
      </c>
      <c r="AS29" s="47">
        <f t="shared" si="51"/>
        <v>0</v>
      </c>
      <c r="AT29" s="47"/>
      <c r="AU29" s="48">
        <f t="shared" si="52"/>
        <v>0</v>
      </c>
      <c r="AV29" s="49">
        <f t="shared" si="31"/>
        <v>0</v>
      </c>
      <c r="AW29" s="49">
        <f t="shared" si="32"/>
        <v>0</v>
      </c>
      <c r="AX29" s="49">
        <f t="shared" si="33"/>
        <v>0</v>
      </c>
      <c r="AY29" s="49">
        <f t="shared" si="34"/>
        <v>0</v>
      </c>
      <c r="AZ29" s="49">
        <f t="shared" si="35"/>
        <v>0</v>
      </c>
      <c r="BA29" s="49">
        <f t="shared" si="53"/>
        <v>0</v>
      </c>
      <c r="BB29" s="49"/>
      <c r="BC29" s="50">
        <f t="shared" si="54"/>
        <v>0</v>
      </c>
      <c r="BF29" s="51"/>
      <c r="BG29" s="51"/>
      <c r="BH29" s="51"/>
      <c r="BI29" s="51"/>
      <c r="BJ29" s="51"/>
      <c r="BK29" s="51"/>
    </row>
    <row r="30" spans="1:63" ht="9.9499999999999993" hidden="1" customHeight="1" thickTop="1" thickBot="1">
      <c r="A30" s="18">
        <f>FREQUENCIAS!AA$1</f>
        <v>3</v>
      </c>
      <c r="B30" s="57" t="s">
        <v>10</v>
      </c>
      <c r="C30" s="58" t="s">
        <v>10</v>
      </c>
      <c r="D30" s="66"/>
      <c r="E30" s="66"/>
      <c r="F30" s="66"/>
      <c r="G30" s="66"/>
      <c r="H30" s="39"/>
      <c r="I30" s="39"/>
      <c r="J30" s="39"/>
      <c r="K30" s="39"/>
      <c r="L30" s="39"/>
      <c r="M30" s="39"/>
      <c r="N30" s="39"/>
      <c r="O30" s="39"/>
      <c r="P30" s="41"/>
      <c r="Q30" s="41"/>
      <c r="R30" s="41"/>
      <c r="S30" s="41"/>
      <c r="T30" s="41"/>
      <c r="U30" s="41"/>
      <c r="V30" s="41"/>
      <c r="W30" s="41"/>
      <c r="X30" s="43"/>
      <c r="Y30" s="43"/>
      <c r="Z30" s="43"/>
      <c r="AA30" s="43"/>
      <c r="AB30" s="43"/>
      <c r="AC30" s="43"/>
      <c r="AD30" s="43"/>
      <c r="AE30" s="44">
        <f t="shared" si="48"/>
        <v>0</v>
      </c>
      <c r="AF30" s="45">
        <f t="shared" si="19"/>
        <v>0</v>
      </c>
      <c r="AG30" s="45">
        <f t="shared" si="20"/>
        <v>0</v>
      </c>
      <c r="AH30" s="45">
        <f t="shared" si="21"/>
        <v>0</v>
      </c>
      <c r="AI30" s="45">
        <f t="shared" si="22"/>
        <v>0</v>
      </c>
      <c r="AJ30" s="45">
        <f t="shared" si="23"/>
        <v>0</v>
      </c>
      <c r="AK30" s="45">
        <f t="shared" si="49"/>
        <v>0</v>
      </c>
      <c r="AL30" s="45"/>
      <c r="AM30" s="46">
        <f t="shared" si="50"/>
        <v>0</v>
      </c>
      <c r="AN30" s="47">
        <f t="shared" si="25"/>
        <v>0</v>
      </c>
      <c r="AO30" s="47">
        <f t="shared" si="26"/>
        <v>0</v>
      </c>
      <c r="AP30" s="47">
        <f t="shared" si="27"/>
        <v>0</v>
      </c>
      <c r="AQ30" s="47">
        <f t="shared" si="28"/>
        <v>0</v>
      </c>
      <c r="AR30" s="47">
        <f t="shared" si="29"/>
        <v>0</v>
      </c>
      <c r="AS30" s="47">
        <f t="shared" si="51"/>
        <v>0</v>
      </c>
      <c r="AT30" s="47"/>
      <c r="AU30" s="48">
        <f t="shared" si="52"/>
        <v>0</v>
      </c>
      <c r="AV30" s="49">
        <f t="shared" si="31"/>
        <v>0</v>
      </c>
      <c r="AW30" s="49">
        <f t="shared" si="32"/>
        <v>0</v>
      </c>
      <c r="AX30" s="49">
        <f t="shared" si="33"/>
        <v>0</v>
      </c>
      <c r="AY30" s="49">
        <f t="shared" si="34"/>
        <v>0</v>
      </c>
      <c r="AZ30" s="49">
        <f t="shared" si="35"/>
        <v>0</v>
      </c>
      <c r="BA30" s="49">
        <f t="shared" si="53"/>
        <v>0</v>
      </c>
      <c r="BB30" s="49"/>
      <c r="BC30" s="50">
        <f t="shared" si="54"/>
        <v>0</v>
      </c>
      <c r="BF30" s="51"/>
      <c r="BG30" s="51"/>
      <c r="BH30" s="51"/>
      <c r="BI30" s="51"/>
      <c r="BJ30" s="51"/>
      <c r="BK30" s="51"/>
    </row>
    <row r="31" spans="1:63" ht="9.9499999999999993" hidden="1" customHeight="1" thickTop="1" thickBot="1">
      <c r="A31" s="18">
        <f>FREQUENCIAS!AB$1</f>
        <v>4</v>
      </c>
      <c r="B31" s="57" t="s">
        <v>10</v>
      </c>
      <c r="C31" s="58" t="s">
        <v>10</v>
      </c>
      <c r="D31" s="66"/>
      <c r="E31" s="66"/>
      <c r="F31" s="66"/>
      <c r="G31" s="66"/>
      <c r="H31" s="39"/>
      <c r="I31" s="39"/>
      <c r="J31" s="39"/>
      <c r="K31" s="39"/>
      <c r="L31" s="39"/>
      <c r="M31" s="39"/>
      <c r="N31" s="39"/>
      <c r="O31" s="39"/>
      <c r="P31" s="41"/>
      <c r="Q31" s="41"/>
      <c r="R31" s="41"/>
      <c r="S31" s="41"/>
      <c r="T31" s="41"/>
      <c r="U31" s="41"/>
      <c r="V31" s="41"/>
      <c r="W31" s="41"/>
      <c r="X31" s="43"/>
      <c r="Y31" s="43"/>
      <c r="Z31" s="43"/>
      <c r="AA31" s="43"/>
      <c r="AB31" s="43"/>
      <c r="AC31" s="43"/>
      <c r="AD31" s="43"/>
      <c r="AE31" s="44">
        <f t="shared" si="48"/>
        <v>0</v>
      </c>
      <c r="AF31" s="45">
        <f t="shared" si="19"/>
        <v>0</v>
      </c>
      <c r="AG31" s="45">
        <f t="shared" si="20"/>
        <v>0</v>
      </c>
      <c r="AH31" s="45">
        <f t="shared" si="21"/>
        <v>0</v>
      </c>
      <c r="AI31" s="45">
        <f t="shared" si="22"/>
        <v>0</v>
      </c>
      <c r="AJ31" s="45">
        <f t="shared" si="23"/>
        <v>0</v>
      </c>
      <c r="AK31" s="45">
        <f t="shared" si="49"/>
        <v>0</v>
      </c>
      <c r="AL31" s="45"/>
      <c r="AM31" s="46">
        <f t="shared" si="50"/>
        <v>0</v>
      </c>
      <c r="AN31" s="47">
        <f t="shared" si="25"/>
        <v>0</v>
      </c>
      <c r="AO31" s="47">
        <f t="shared" si="26"/>
        <v>0</v>
      </c>
      <c r="AP31" s="47">
        <f t="shared" si="27"/>
        <v>0</v>
      </c>
      <c r="AQ31" s="47">
        <f t="shared" si="28"/>
        <v>0</v>
      </c>
      <c r="AR31" s="47">
        <f t="shared" si="29"/>
        <v>0</v>
      </c>
      <c r="AS31" s="47">
        <f t="shared" si="51"/>
        <v>0</v>
      </c>
      <c r="AT31" s="47"/>
      <c r="AU31" s="48">
        <f t="shared" si="52"/>
        <v>0</v>
      </c>
      <c r="AV31" s="49">
        <f t="shared" si="31"/>
        <v>0</v>
      </c>
      <c r="AW31" s="49">
        <f t="shared" si="32"/>
        <v>0</v>
      </c>
      <c r="AX31" s="49">
        <f t="shared" si="33"/>
        <v>0</v>
      </c>
      <c r="AY31" s="49">
        <f t="shared" si="34"/>
        <v>0</v>
      </c>
      <c r="AZ31" s="49">
        <f t="shared" si="35"/>
        <v>0</v>
      </c>
      <c r="BA31" s="49">
        <f t="shared" si="53"/>
        <v>0</v>
      </c>
      <c r="BB31" s="49"/>
      <c r="BC31" s="50">
        <f t="shared" si="54"/>
        <v>0</v>
      </c>
      <c r="BF31" s="51"/>
      <c r="BG31" s="51"/>
      <c r="BH31" s="51"/>
      <c r="BI31" s="51"/>
      <c r="BJ31" s="51"/>
      <c r="BK31" s="51"/>
    </row>
    <row r="32" spans="1:63" ht="9.9499999999999993" hidden="1" customHeight="1" thickTop="1" thickBot="1">
      <c r="A32" s="18">
        <f>FREQUENCIAS!AC$1</f>
        <v>5</v>
      </c>
      <c r="B32" s="57" t="s">
        <v>10</v>
      </c>
      <c r="C32" s="58" t="s">
        <v>10</v>
      </c>
      <c r="D32" s="66"/>
      <c r="E32" s="66"/>
      <c r="F32" s="66"/>
      <c r="G32" s="66"/>
      <c r="H32" s="39"/>
      <c r="I32" s="39"/>
      <c r="J32" s="39"/>
      <c r="K32" s="39"/>
      <c r="L32" s="39"/>
      <c r="M32" s="39"/>
      <c r="N32" s="39"/>
      <c r="O32" s="39"/>
      <c r="P32" s="41"/>
      <c r="Q32" s="41"/>
      <c r="R32" s="41"/>
      <c r="S32" s="41"/>
      <c r="T32" s="41"/>
      <c r="U32" s="41"/>
      <c r="V32" s="41"/>
      <c r="W32" s="41"/>
      <c r="X32" s="43"/>
      <c r="Y32" s="43"/>
      <c r="Z32" s="43"/>
      <c r="AA32" s="43"/>
      <c r="AB32" s="43"/>
      <c r="AC32" s="43"/>
      <c r="AD32" s="43"/>
      <c r="AE32" s="44">
        <f t="shared" si="48"/>
        <v>0</v>
      </c>
      <c r="AF32" s="45">
        <f t="shared" si="19"/>
        <v>0</v>
      </c>
      <c r="AG32" s="45">
        <f t="shared" si="20"/>
        <v>0</v>
      </c>
      <c r="AH32" s="45">
        <f t="shared" si="21"/>
        <v>0</v>
      </c>
      <c r="AI32" s="45">
        <f t="shared" si="22"/>
        <v>0</v>
      </c>
      <c r="AJ32" s="45">
        <f t="shared" si="23"/>
        <v>0</v>
      </c>
      <c r="AK32" s="45">
        <f t="shared" si="49"/>
        <v>0</v>
      </c>
      <c r="AL32" s="45"/>
      <c r="AM32" s="46">
        <f t="shared" si="50"/>
        <v>0</v>
      </c>
      <c r="AN32" s="47">
        <f t="shared" si="25"/>
        <v>0</v>
      </c>
      <c r="AO32" s="47">
        <f t="shared" si="26"/>
        <v>0</v>
      </c>
      <c r="AP32" s="47">
        <f t="shared" si="27"/>
        <v>0</v>
      </c>
      <c r="AQ32" s="47">
        <f t="shared" si="28"/>
        <v>0</v>
      </c>
      <c r="AR32" s="47">
        <f t="shared" si="29"/>
        <v>0</v>
      </c>
      <c r="AS32" s="47">
        <f t="shared" si="51"/>
        <v>0</v>
      </c>
      <c r="AT32" s="47"/>
      <c r="AU32" s="48">
        <f t="shared" si="52"/>
        <v>0</v>
      </c>
      <c r="AV32" s="49">
        <f t="shared" si="31"/>
        <v>0</v>
      </c>
      <c r="AW32" s="49">
        <f t="shared" si="32"/>
        <v>0</v>
      </c>
      <c r="AX32" s="49">
        <f t="shared" si="33"/>
        <v>0</v>
      </c>
      <c r="AY32" s="49">
        <f t="shared" si="34"/>
        <v>0</v>
      </c>
      <c r="AZ32" s="49">
        <f t="shared" si="35"/>
        <v>0</v>
      </c>
      <c r="BA32" s="49">
        <f t="shared" si="53"/>
        <v>0</v>
      </c>
      <c r="BB32" s="49"/>
      <c r="BC32" s="50">
        <f t="shared" si="54"/>
        <v>0</v>
      </c>
      <c r="BF32" s="51"/>
      <c r="BG32" s="51"/>
      <c r="BH32" s="51"/>
      <c r="BI32" s="51"/>
      <c r="BJ32" s="51"/>
      <c r="BK32" s="51"/>
    </row>
    <row r="33" spans="1:63" ht="9.9499999999999993" hidden="1" customHeight="1" thickTop="1" thickBot="1">
      <c r="A33" s="18">
        <f>FREQUENCIAS!AD$1</f>
        <v>6</v>
      </c>
      <c r="B33" s="57" t="s">
        <v>10</v>
      </c>
      <c r="C33" s="58" t="s">
        <v>10</v>
      </c>
      <c r="D33" s="66"/>
      <c r="E33" s="66"/>
      <c r="F33" s="66"/>
      <c r="G33" s="66"/>
      <c r="H33" s="39"/>
      <c r="I33" s="39"/>
      <c r="J33" s="39"/>
      <c r="K33" s="39"/>
      <c r="L33" s="39"/>
      <c r="M33" s="39"/>
      <c r="N33" s="39"/>
      <c r="O33" s="39"/>
      <c r="P33" s="41"/>
      <c r="Q33" s="41"/>
      <c r="R33" s="41"/>
      <c r="S33" s="41"/>
      <c r="T33" s="41"/>
      <c r="U33" s="41"/>
      <c r="V33" s="41"/>
      <c r="W33" s="41"/>
      <c r="X33" s="43"/>
      <c r="Y33" s="43"/>
      <c r="Z33" s="43"/>
      <c r="AA33" s="43"/>
      <c r="AB33" s="43"/>
      <c r="AC33" s="43"/>
      <c r="AD33" s="43"/>
      <c r="AE33" s="44">
        <f t="shared" si="48"/>
        <v>0</v>
      </c>
      <c r="AF33" s="45">
        <f t="shared" si="19"/>
        <v>0</v>
      </c>
      <c r="AG33" s="45">
        <f t="shared" si="20"/>
        <v>0</v>
      </c>
      <c r="AH33" s="45">
        <f t="shared" si="21"/>
        <v>0</v>
      </c>
      <c r="AI33" s="45">
        <f t="shared" si="22"/>
        <v>0</v>
      </c>
      <c r="AJ33" s="45">
        <f t="shared" si="23"/>
        <v>0</v>
      </c>
      <c r="AK33" s="45">
        <f t="shared" si="49"/>
        <v>0</v>
      </c>
      <c r="AL33" s="45"/>
      <c r="AM33" s="46">
        <f t="shared" si="50"/>
        <v>0</v>
      </c>
      <c r="AN33" s="47">
        <f t="shared" si="25"/>
        <v>0</v>
      </c>
      <c r="AO33" s="47">
        <f t="shared" si="26"/>
        <v>0</v>
      </c>
      <c r="AP33" s="47">
        <f t="shared" si="27"/>
        <v>0</v>
      </c>
      <c r="AQ33" s="47">
        <f t="shared" si="28"/>
        <v>0</v>
      </c>
      <c r="AR33" s="47">
        <f t="shared" si="29"/>
        <v>0</v>
      </c>
      <c r="AS33" s="47">
        <f t="shared" si="51"/>
        <v>0</v>
      </c>
      <c r="AT33" s="47"/>
      <c r="AU33" s="48">
        <f t="shared" si="52"/>
        <v>0</v>
      </c>
      <c r="AV33" s="49">
        <f t="shared" si="31"/>
        <v>0</v>
      </c>
      <c r="AW33" s="49">
        <f t="shared" si="32"/>
        <v>0</v>
      </c>
      <c r="AX33" s="49">
        <f t="shared" si="33"/>
        <v>0</v>
      </c>
      <c r="AY33" s="49">
        <f t="shared" si="34"/>
        <v>0</v>
      </c>
      <c r="AZ33" s="49">
        <f t="shared" si="35"/>
        <v>0</v>
      </c>
      <c r="BA33" s="49">
        <f t="shared" si="53"/>
        <v>0</v>
      </c>
      <c r="BB33" s="49"/>
      <c r="BC33" s="50">
        <f t="shared" si="54"/>
        <v>0</v>
      </c>
      <c r="BF33" s="51"/>
      <c r="BG33" s="51"/>
      <c r="BH33" s="51"/>
      <c r="BI33" s="51"/>
      <c r="BJ33" s="51"/>
      <c r="BK33" s="51"/>
    </row>
    <row r="34" spans="1:63" ht="9.9499999999999993" hidden="1" customHeight="1" thickTop="1" thickBot="1">
      <c r="A34" s="18">
        <f>FREQUENCIAS!AE$1</f>
        <v>7</v>
      </c>
      <c r="B34" s="57" t="s">
        <v>10</v>
      </c>
      <c r="C34" s="58" t="s">
        <v>10</v>
      </c>
      <c r="D34" s="66"/>
      <c r="E34" s="66"/>
      <c r="F34" s="66"/>
      <c r="G34" s="66"/>
      <c r="H34" s="39"/>
      <c r="I34" s="39"/>
      <c r="J34" s="39"/>
      <c r="K34" s="39"/>
      <c r="L34" s="39"/>
      <c r="M34" s="39"/>
      <c r="N34" s="39"/>
      <c r="O34" s="39"/>
      <c r="P34" s="41"/>
      <c r="Q34" s="41"/>
      <c r="R34" s="41"/>
      <c r="S34" s="41"/>
      <c r="T34" s="41"/>
      <c r="U34" s="41"/>
      <c r="V34" s="41"/>
      <c r="W34" s="41"/>
      <c r="X34" s="43"/>
      <c r="Y34" s="43"/>
      <c r="Z34" s="43"/>
      <c r="AA34" s="43"/>
      <c r="AB34" s="43"/>
      <c r="AC34" s="43"/>
      <c r="AD34" s="43"/>
      <c r="AE34" s="44">
        <f t="shared" si="48"/>
        <v>0</v>
      </c>
      <c r="AF34" s="45">
        <f t="shared" si="19"/>
        <v>0</v>
      </c>
      <c r="AG34" s="45">
        <f t="shared" si="20"/>
        <v>0</v>
      </c>
      <c r="AH34" s="45">
        <f t="shared" si="21"/>
        <v>0</v>
      </c>
      <c r="AI34" s="45">
        <f t="shared" si="22"/>
        <v>0</v>
      </c>
      <c r="AJ34" s="45">
        <f t="shared" si="23"/>
        <v>0</v>
      </c>
      <c r="AK34" s="45">
        <f t="shared" si="49"/>
        <v>0</v>
      </c>
      <c r="AL34" s="45"/>
      <c r="AM34" s="46">
        <f t="shared" si="50"/>
        <v>0</v>
      </c>
      <c r="AN34" s="47">
        <f t="shared" si="25"/>
        <v>0</v>
      </c>
      <c r="AO34" s="47">
        <f t="shared" si="26"/>
        <v>0</v>
      </c>
      <c r="AP34" s="47">
        <f t="shared" si="27"/>
        <v>0</v>
      </c>
      <c r="AQ34" s="47">
        <f t="shared" si="28"/>
        <v>0</v>
      </c>
      <c r="AR34" s="47">
        <f t="shared" si="29"/>
        <v>0</v>
      </c>
      <c r="AS34" s="47">
        <f t="shared" si="51"/>
        <v>0</v>
      </c>
      <c r="AT34" s="47"/>
      <c r="AU34" s="48">
        <f t="shared" si="52"/>
        <v>0</v>
      </c>
      <c r="AV34" s="49">
        <f t="shared" si="31"/>
        <v>0</v>
      </c>
      <c r="AW34" s="49">
        <f t="shared" si="32"/>
        <v>0</v>
      </c>
      <c r="AX34" s="49">
        <f t="shared" si="33"/>
        <v>0</v>
      </c>
      <c r="AY34" s="49">
        <f t="shared" si="34"/>
        <v>0</v>
      </c>
      <c r="AZ34" s="49">
        <f t="shared" si="35"/>
        <v>0</v>
      </c>
      <c r="BA34" s="49">
        <f t="shared" si="53"/>
        <v>0</v>
      </c>
      <c r="BB34" s="49"/>
      <c r="BC34" s="50">
        <f t="shared" si="54"/>
        <v>0</v>
      </c>
      <c r="BF34" s="51"/>
      <c r="BG34" s="51"/>
      <c r="BH34" s="51"/>
      <c r="BI34" s="51"/>
      <c r="BJ34" s="51"/>
      <c r="BK34" s="51"/>
    </row>
    <row r="35" spans="1:63" ht="9.9499999999999993" hidden="1" customHeight="1" thickTop="1" thickBot="1">
      <c r="A35" s="18">
        <f>FREQUENCIAS!AF$1</f>
        <v>8</v>
      </c>
      <c r="B35" s="57" t="s">
        <v>10</v>
      </c>
      <c r="C35" s="58" t="s">
        <v>10</v>
      </c>
      <c r="D35" s="66"/>
      <c r="E35" s="66"/>
      <c r="F35" s="66"/>
      <c r="G35" s="66"/>
      <c r="H35" s="39"/>
      <c r="I35" s="39"/>
      <c r="J35" s="39"/>
      <c r="K35" s="39"/>
      <c r="L35" s="39"/>
      <c r="M35" s="39"/>
      <c r="N35" s="39"/>
      <c r="O35" s="39"/>
      <c r="P35" s="41"/>
      <c r="Q35" s="41"/>
      <c r="R35" s="41"/>
      <c r="S35" s="41"/>
      <c r="T35" s="41"/>
      <c r="U35" s="41"/>
      <c r="V35" s="41"/>
      <c r="W35" s="41"/>
      <c r="X35" s="43"/>
      <c r="Y35" s="43"/>
      <c r="Z35" s="43"/>
      <c r="AA35" s="43"/>
      <c r="AB35" s="43"/>
      <c r="AC35" s="43"/>
      <c r="AD35" s="43"/>
      <c r="AE35" s="44">
        <f t="shared" si="48"/>
        <v>0</v>
      </c>
      <c r="AF35" s="45">
        <f t="shared" si="19"/>
        <v>0</v>
      </c>
      <c r="AG35" s="45">
        <f t="shared" si="20"/>
        <v>0</v>
      </c>
      <c r="AH35" s="45">
        <f t="shared" si="21"/>
        <v>0</v>
      </c>
      <c r="AI35" s="45">
        <f t="shared" si="22"/>
        <v>0</v>
      </c>
      <c r="AJ35" s="45">
        <f t="shared" si="23"/>
        <v>0</v>
      </c>
      <c r="AK35" s="45">
        <f t="shared" si="49"/>
        <v>0</v>
      </c>
      <c r="AL35" s="45"/>
      <c r="AM35" s="46">
        <f t="shared" si="50"/>
        <v>0</v>
      </c>
      <c r="AN35" s="47">
        <f t="shared" si="25"/>
        <v>0</v>
      </c>
      <c r="AO35" s="47">
        <f t="shared" si="26"/>
        <v>0</v>
      </c>
      <c r="AP35" s="47">
        <f t="shared" si="27"/>
        <v>0</v>
      </c>
      <c r="AQ35" s="47">
        <f t="shared" si="28"/>
        <v>0</v>
      </c>
      <c r="AR35" s="47">
        <f t="shared" si="29"/>
        <v>0</v>
      </c>
      <c r="AS35" s="47">
        <f t="shared" si="51"/>
        <v>0</v>
      </c>
      <c r="AT35" s="47"/>
      <c r="AU35" s="48">
        <f t="shared" si="52"/>
        <v>0</v>
      </c>
      <c r="AV35" s="49">
        <f t="shared" si="31"/>
        <v>0</v>
      </c>
      <c r="AW35" s="49">
        <f t="shared" si="32"/>
        <v>0</v>
      </c>
      <c r="AX35" s="49">
        <f t="shared" si="33"/>
        <v>0</v>
      </c>
      <c r="AY35" s="49">
        <f t="shared" si="34"/>
        <v>0</v>
      </c>
      <c r="AZ35" s="49">
        <f t="shared" si="35"/>
        <v>0</v>
      </c>
      <c r="BA35" s="49">
        <f t="shared" si="53"/>
        <v>0</v>
      </c>
      <c r="BB35" s="49"/>
      <c r="BC35" s="50">
        <f t="shared" si="54"/>
        <v>0</v>
      </c>
      <c r="BF35" s="51"/>
      <c r="BG35" s="51"/>
      <c r="BH35" s="51"/>
      <c r="BI35" s="51"/>
      <c r="BJ35" s="51"/>
      <c r="BK35" s="51"/>
    </row>
    <row r="36" spans="1:63" ht="9.9499999999999993" hidden="1" customHeight="1" thickTop="1" thickBot="1">
      <c r="A36" s="18">
        <f>FREQUENCIAS!AG$1</f>
        <v>9</v>
      </c>
      <c r="B36" s="57" t="s">
        <v>10</v>
      </c>
      <c r="C36" s="58" t="s">
        <v>10</v>
      </c>
      <c r="D36" s="66"/>
      <c r="E36" s="66"/>
      <c r="F36" s="66"/>
      <c r="G36" s="66"/>
      <c r="H36" s="39"/>
      <c r="I36" s="39"/>
      <c r="J36" s="39"/>
      <c r="K36" s="39"/>
      <c r="L36" s="39"/>
      <c r="M36" s="39"/>
      <c r="N36" s="39"/>
      <c r="O36" s="39"/>
      <c r="P36" s="41"/>
      <c r="Q36" s="41"/>
      <c r="R36" s="41"/>
      <c r="S36" s="41"/>
      <c r="T36" s="41"/>
      <c r="U36" s="41"/>
      <c r="V36" s="41"/>
      <c r="W36" s="41"/>
      <c r="X36" s="43"/>
      <c r="Y36" s="43"/>
      <c r="Z36" s="43"/>
      <c r="AA36" s="43"/>
      <c r="AB36" s="43"/>
      <c r="AC36" s="43"/>
      <c r="AD36" s="43"/>
      <c r="AE36" s="44">
        <f t="shared" si="48"/>
        <v>0</v>
      </c>
      <c r="AF36" s="45">
        <f t="shared" si="19"/>
        <v>0</v>
      </c>
      <c r="AG36" s="45">
        <f t="shared" si="20"/>
        <v>0</v>
      </c>
      <c r="AH36" s="45">
        <f t="shared" si="21"/>
        <v>0</v>
      </c>
      <c r="AI36" s="45">
        <f t="shared" si="22"/>
        <v>0</v>
      </c>
      <c r="AJ36" s="45">
        <f t="shared" si="23"/>
        <v>0</v>
      </c>
      <c r="AK36" s="45">
        <f t="shared" si="49"/>
        <v>0</v>
      </c>
      <c r="AL36" s="45"/>
      <c r="AM36" s="46">
        <f t="shared" si="50"/>
        <v>0</v>
      </c>
      <c r="AN36" s="47">
        <f t="shared" si="25"/>
        <v>0</v>
      </c>
      <c r="AO36" s="47">
        <f t="shared" si="26"/>
        <v>0</v>
      </c>
      <c r="AP36" s="47">
        <f t="shared" si="27"/>
        <v>0</v>
      </c>
      <c r="AQ36" s="47">
        <f t="shared" si="28"/>
        <v>0</v>
      </c>
      <c r="AR36" s="47">
        <f t="shared" si="29"/>
        <v>0</v>
      </c>
      <c r="AS36" s="47">
        <f t="shared" si="51"/>
        <v>0</v>
      </c>
      <c r="AT36" s="47"/>
      <c r="AU36" s="48">
        <f t="shared" si="52"/>
        <v>0</v>
      </c>
      <c r="AV36" s="49">
        <f t="shared" si="31"/>
        <v>0</v>
      </c>
      <c r="AW36" s="49">
        <f t="shared" si="32"/>
        <v>0</v>
      </c>
      <c r="AX36" s="49">
        <f t="shared" si="33"/>
        <v>0</v>
      </c>
      <c r="AY36" s="49">
        <f t="shared" si="34"/>
        <v>0</v>
      </c>
      <c r="AZ36" s="49">
        <f t="shared" si="35"/>
        <v>0</v>
      </c>
      <c r="BA36" s="49">
        <f t="shared" si="53"/>
        <v>0</v>
      </c>
      <c r="BB36" s="49"/>
      <c r="BC36" s="50">
        <f t="shared" si="54"/>
        <v>0</v>
      </c>
      <c r="BF36" s="51"/>
      <c r="BG36" s="51"/>
      <c r="BH36" s="51"/>
      <c r="BI36" s="51"/>
      <c r="BJ36" s="51"/>
      <c r="BK36" s="51"/>
    </row>
    <row r="37" spans="1:63" ht="9.9499999999999993" hidden="1" customHeight="1" thickTop="1" thickBot="1">
      <c r="A37" s="18">
        <f>FREQUENCIAS!AH$1</f>
        <v>10</v>
      </c>
      <c r="B37" s="57" t="s">
        <v>10</v>
      </c>
      <c r="C37" s="58" t="s">
        <v>10</v>
      </c>
      <c r="D37" s="66"/>
      <c r="E37" s="66"/>
      <c r="F37" s="66"/>
      <c r="G37" s="66"/>
      <c r="H37" s="39"/>
      <c r="I37" s="39"/>
      <c r="J37" s="39"/>
      <c r="K37" s="39"/>
      <c r="L37" s="39"/>
      <c r="M37" s="39"/>
      <c r="N37" s="39"/>
      <c r="O37" s="39"/>
      <c r="P37" s="41"/>
      <c r="Q37" s="41"/>
      <c r="R37" s="41"/>
      <c r="S37" s="41"/>
      <c r="T37" s="41"/>
      <c r="U37" s="41"/>
      <c r="V37" s="41"/>
      <c r="W37" s="41"/>
      <c r="X37" s="43"/>
      <c r="Y37" s="43"/>
      <c r="Z37" s="43"/>
      <c r="AA37" s="43"/>
      <c r="AB37" s="43"/>
      <c r="AC37" s="43"/>
      <c r="AD37" s="43"/>
      <c r="AE37" s="44">
        <f t="shared" si="48"/>
        <v>0</v>
      </c>
      <c r="AF37" s="45">
        <f t="shared" si="19"/>
        <v>0</v>
      </c>
      <c r="AG37" s="45">
        <f t="shared" si="20"/>
        <v>0</v>
      </c>
      <c r="AH37" s="45">
        <f t="shared" si="21"/>
        <v>0</v>
      </c>
      <c r="AI37" s="45">
        <f t="shared" si="22"/>
        <v>0</v>
      </c>
      <c r="AJ37" s="45">
        <f t="shared" si="23"/>
        <v>0</v>
      </c>
      <c r="AK37" s="45">
        <f t="shared" si="49"/>
        <v>0</v>
      </c>
      <c r="AL37" s="45"/>
      <c r="AM37" s="46">
        <f t="shared" si="50"/>
        <v>0</v>
      </c>
      <c r="AN37" s="47">
        <f t="shared" si="25"/>
        <v>0</v>
      </c>
      <c r="AO37" s="47">
        <f t="shared" si="26"/>
        <v>0</v>
      </c>
      <c r="AP37" s="47">
        <f t="shared" si="27"/>
        <v>0</v>
      </c>
      <c r="AQ37" s="47">
        <f t="shared" si="28"/>
        <v>0</v>
      </c>
      <c r="AR37" s="47">
        <f t="shared" si="29"/>
        <v>0</v>
      </c>
      <c r="AS37" s="47">
        <f t="shared" si="51"/>
        <v>0</v>
      </c>
      <c r="AT37" s="47"/>
      <c r="AU37" s="48">
        <f t="shared" si="52"/>
        <v>0</v>
      </c>
      <c r="AV37" s="49">
        <f t="shared" si="31"/>
        <v>0</v>
      </c>
      <c r="AW37" s="49">
        <f t="shared" si="32"/>
        <v>0</v>
      </c>
      <c r="AX37" s="49">
        <f t="shared" si="33"/>
        <v>0</v>
      </c>
      <c r="AY37" s="49">
        <f t="shared" si="34"/>
        <v>0</v>
      </c>
      <c r="AZ37" s="49">
        <f t="shared" si="35"/>
        <v>0</v>
      </c>
      <c r="BA37" s="49">
        <f t="shared" si="53"/>
        <v>0</v>
      </c>
      <c r="BB37" s="49"/>
      <c r="BC37" s="50">
        <f t="shared" si="54"/>
        <v>0</v>
      </c>
      <c r="BF37" s="51"/>
      <c r="BG37" s="51"/>
      <c r="BH37" s="51"/>
      <c r="BI37" s="51"/>
      <c r="BJ37" s="51"/>
      <c r="BK37" s="51"/>
    </row>
    <row r="38" spans="1:63" ht="9.9499999999999993" hidden="1" customHeight="1" thickTop="1" thickBot="1">
      <c r="A38" s="18">
        <f>FREQUENCIAS!AI$1</f>
        <v>11</v>
      </c>
      <c r="B38" s="57" t="s">
        <v>10</v>
      </c>
      <c r="C38" s="58" t="s">
        <v>10</v>
      </c>
      <c r="D38" s="66"/>
      <c r="E38" s="66"/>
      <c r="F38" s="66"/>
      <c r="G38" s="66"/>
      <c r="H38" s="39"/>
      <c r="I38" s="39"/>
      <c r="J38" s="39"/>
      <c r="K38" s="39"/>
      <c r="L38" s="39"/>
      <c r="M38" s="39"/>
      <c r="N38" s="39"/>
      <c r="O38" s="39"/>
      <c r="P38" s="41"/>
      <c r="Q38" s="41"/>
      <c r="R38" s="41"/>
      <c r="S38" s="41"/>
      <c r="T38" s="41"/>
      <c r="U38" s="41"/>
      <c r="V38" s="41"/>
      <c r="W38" s="41"/>
      <c r="X38" s="43"/>
      <c r="Y38" s="43"/>
      <c r="Z38" s="43"/>
      <c r="AA38" s="43"/>
      <c r="AB38" s="43"/>
      <c r="AC38" s="43"/>
      <c r="AD38" s="43"/>
      <c r="AE38" s="44">
        <f t="shared" si="48"/>
        <v>0</v>
      </c>
      <c r="AF38" s="45">
        <f t="shared" si="19"/>
        <v>0</v>
      </c>
      <c r="AG38" s="45">
        <f t="shared" si="20"/>
        <v>0</v>
      </c>
      <c r="AH38" s="45">
        <f t="shared" si="21"/>
        <v>0</v>
      </c>
      <c r="AI38" s="45">
        <f t="shared" si="22"/>
        <v>0</v>
      </c>
      <c r="AJ38" s="45">
        <f t="shared" si="23"/>
        <v>0</v>
      </c>
      <c r="AK38" s="45">
        <f t="shared" si="49"/>
        <v>0</v>
      </c>
      <c r="AL38" s="45"/>
      <c r="AM38" s="46">
        <f t="shared" si="50"/>
        <v>0</v>
      </c>
      <c r="AN38" s="47">
        <f t="shared" si="25"/>
        <v>0</v>
      </c>
      <c r="AO38" s="47">
        <f t="shared" si="26"/>
        <v>0</v>
      </c>
      <c r="AP38" s="47">
        <f t="shared" si="27"/>
        <v>0</v>
      </c>
      <c r="AQ38" s="47">
        <f t="shared" si="28"/>
        <v>0</v>
      </c>
      <c r="AR38" s="47">
        <f t="shared" si="29"/>
        <v>0</v>
      </c>
      <c r="AS38" s="47">
        <f t="shared" si="51"/>
        <v>0</v>
      </c>
      <c r="AT38" s="47"/>
      <c r="AU38" s="48">
        <f t="shared" si="52"/>
        <v>0</v>
      </c>
      <c r="AV38" s="49">
        <f t="shared" si="31"/>
        <v>0</v>
      </c>
      <c r="AW38" s="49">
        <f t="shared" si="32"/>
        <v>0</v>
      </c>
      <c r="AX38" s="49">
        <f t="shared" si="33"/>
        <v>0</v>
      </c>
      <c r="AY38" s="49">
        <f t="shared" si="34"/>
        <v>0</v>
      </c>
      <c r="AZ38" s="49">
        <f t="shared" si="35"/>
        <v>0</v>
      </c>
      <c r="BA38" s="49">
        <f t="shared" si="53"/>
        <v>0</v>
      </c>
      <c r="BB38" s="49"/>
      <c r="BC38" s="50">
        <f t="shared" si="54"/>
        <v>0</v>
      </c>
      <c r="BF38" s="51"/>
      <c r="BG38" s="51"/>
      <c r="BH38" s="51"/>
      <c r="BI38" s="51"/>
      <c r="BJ38" s="51"/>
      <c r="BK38" s="51"/>
    </row>
    <row r="39" spans="1:63" ht="9.9499999999999993" customHeight="1" thickTop="1">
      <c r="A39" s="85"/>
      <c r="E39" s="26"/>
      <c r="I39" s="59"/>
      <c r="Q39" s="59"/>
      <c r="X39" s="26"/>
      <c r="Y39" s="59"/>
      <c r="Z39" s="26"/>
      <c r="AA39" s="26"/>
      <c r="AB39" s="26"/>
      <c r="AC39" s="26"/>
      <c r="AD39" s="26"/>
      <c r="AE39" s="26"/>
    </row>
    <row r="40" spans="1:63" ht="12.75" customHeight="1">
      <c r="A40" s="60"/>
      <c r="B40" s="60"/>
      <c r="C40" s="83" t="s">
        <v>6</v>
      </c>
      <c r="D40" s="84" t="str">
        <f>(IF(('DADOS BÁSICOS'!$A$54&lt;&gt;""),'DADOS BÁSICOS'!$A$54,"VERIFICAÇÕES NÃO DESENVOLVIDAS NESTA VERSÃO"))</f>
        <v>VERIFICAÇÕES NÃO DESENVOLVIDAS NESTA VERSÃO</v>
      </c>
      <c r="E40" s="61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</row>
    <row r="41" spans="1:63" ht="9" customHeight="1">
      <c r="A41" s="63"/>
      <c r="B41" s="60"/>
      <c r="C41" s="83" t="s">
        <v>7</v>
      </c>
      <c r="D41" s="84" t="s">
        <v>9</v>
      </c>
      <c r="E41" s="61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222" t="e">
        <f>'DADOS BÁSICOS'!Y46:Z46</f>
        <v>#VALUE!</v>
      </c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</row>
    <row r="42" spans="1:63" ht="10.5" customHeight="1">
      <c r="A42" s="63"/>
      <c r="B42" s="60"/>
      <c r="C42" s="83" t="s">
        <v>8</v>
      </c>
      <c r="D42" s="82" t="str">
        <f>'DADOS BÁSICOS'!$Y$49</f>
        <v>POSITIVO</v>
      </c>
      <c r="E42" s="61"/>
      <c r="F42" s="62"/>
      <c r="G42" s="83" t="s">
        <v>142</v>
      </c>
      <c r="H42" s="62"/>
      <c r="I42" s="62"/>
      <c r="J42" s="62"/>
      <c r="K42" s="62"/>
      <c r="L42" s="62"/>
      <c r="M42" s="62"/>
      <c r="N42" s="62"/>
      <c r="O42" s="221">
        <f>'DADOS BÁSICOS'!$Y$47</f>
        <v>0.99999990995999999</v>
      </c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1"/>
      <c r="BA42" s="221"/>
      <c r="BB42" s="221"/>
      <c r="BC42" s="221"/>
    </row>
    <row r="43" spans="1:63">
      <c r="X43" s="26"/>
      <c r="Y43" s="26"/>
      <c r="Z43" s="26"/>
      <c r="AA43" s="26"/>
      <c r="AB43" s="26"/>
      <c r="AC43" s="26"/>
      <c r="AD43" s="26"/>
      <c r="AE43" s="26"/>
    </row>
    <row r="44" spans="1:63">
      <c r="X44" s="26"/>
      <c r="Y44" s="26"/>
      <c r="Z44" s="26"/>
      <c r="AA44" s="26"/>
      <c r="AB44" s="26"/>
      <c r="AC44" s="26"/>
      <c r="AD44" s="26"/>
      <c r="AE44" s="26"/>
    </row>
    <row r="45" spans="1:63">
      <c r="X45" s="26"/>
      <c r="Y45" s="26"/>
      <c r="Z45" s="26"/>
      <c r="AA45" s="26"/>
      <c r="AB45" s="26"/>
      <c r="AC45" s="26"/>
      <c r="AD45" s="26"/>
      <c r="AE45" s="26"/>
    </row>
    <row r="46" spans="1:63">
      <c r="X46" s="26"/>
      <c r="Y46" s="26"/>
      <c r="Z46" s="26"/>
      <c r="AA46" s="26"/>
      <c r="AB46" s="26"/>
      <c r="AC46" s="26"/>
      <c r="AD46" s="26"/>
      <c r="AE46" s="26"/>
    </row>
    <row r="47" spans="1:63">
      <c r="X47" s="26"/>
      <c r="Y47" s="26"/>
      <c r="Z47" s="26"/>
      <c r="AA47" s="26"/>
      <c r="AB47" s="26"/>
      <c r="AC47" s="26"/>
      <c r="AD47" s="26"/>
      <c r="AE47" s="26"/>
    </row>
    <row r="48" spans="1:63">
      <c r="X48" s="26"/>
      <c r="Y48" s="26"/>
      <c r="Z48" s="26"/>
      <c r="AA48" s="26"/>
      <c r="AB48" s="26"/>
      <c r="AC48" s="26"/>
      <c r="AD48" s="26"/>
      <c r="AE48" s="26"/>
    </row>
    <row r="49" spans="5:5" s="26" customFormat="1">
      <c r="E49" s="64"/>
    </row>
    <row r="50" spans="5:5" s="26" customFormat="1">
      <c r="E50" s="64"/>
    </row>
    <row r="51" spans="5:5" s="26" customFormat="1">
      <c r="E51" s="64"/>
    </row>
    <row r="52" spans="5:5" s="26" customFormat="1">
      <c r="E52" s="64"/>
    </row>
    <row r="53" spans="5:5" s="26" customFormat="1">
      <c r="E53" s="64"/>
    </row>
    <row r="54" spans="5:5" s="26" customFormat="1">
      <c r="E54" s="64"/>
    </row>
    <row r="55" spans="5:5" s="26" customFormat="1">
      <c r="E55" s="64"/>
    </row>
    <row r="56" spans="5:5" s="26" customFormat="1">
      <c r="E56" s="64"/>
    </row>
    <row r="57" spans="5:5" s="26" customFormat="1">
      <c r="E57" s="64"/>
    </row>
    <row r="58" spans="5:5" s="26" customFormat="1">
      <c r="E58" s="64"/>
    </row>
    <row r="59" spans="5:5" s="26" customFormat="1">
      <c r="E59" s="64"/>
    </row>
    <row r="60" spans="5:5" s="26" customFormat="1">
      <c r="E60" s="64"/>
    </row>
    <row r="61" spans="5:5" s="26" customFormat="1">
      <c r="E61" s="64"/>
    </row>
    <row r="62" spans="5:5" s="26" customFormat="1">
      <c r="E62" s="64"/>
    </row>
    <row r="63" spans="5:5" s="26" customFormat="1">
      <c r="E63" s="64"/>
    </row>
    <row r="64" spans="5:5" s="26" customFormat="1">
      <c r="E64" s="64"/>
    </row>
    <row r="65" spans="5:5" s="26" customFormat="1">
      <c r="E65" s="64"/>
    </row>
    <row r="66" spans="5:5" s="26" customFormat="1">
      <c r="E66" s="64"/>
    </row>
    <row r="67" spans="5:5" s="26" customFormat="1">
      <c r="E67" s="64"/>
    </row>
    <row r="68" spans="5:5" s="26" customFormat="1">
      <c r="E68" s="64"/>
    </row>
    <row r="69" spans="5:5" s="26" customFormat="1">
      <c r="E69" s="64"/>
    </row>
    <row r="70" spans="5:5" s="26" customFormat="1">
      <c r="E70" s="64"/>
    </row>
    <row r="71" spans="5:5" s="26" customFormat="1">
      <c r="E71" s="64"/>
    </row>
    <row r="72" spans="5:5" s="26" customFormat="1">
      <c r="E72" s="64"/>
    </row>
    <row r="73" spans="5:5" s="26" customFormat="1">
      <c r="E73" s="64"/>
    </row>
    <row r="74" spans="5:5" s="26" customFormat="1">
      <c r="E74" s="64"/>
    </row>
    <row r="75" spans="5:5" s="26" customFormat="1">
      <c r="E75" s="64"/>
    </row>
    <row r="76" spans="5:5" s="26" customFormat="1">
      <c r="E76" s="64"/>
    </row>
    <row r="77" spans="5:5" s="26" customFormat="1">
      <c r="E77" s="64"/>
    </row>
    <row r="78" spans="5:5" s="26" customFormat="1">
      <c r="E78" s="64"/>
    </row>
    <row r="79" spans="5:5" s="26" customFormat="1">
      <c r="E79" s="64"/>
    </row>
    <row r="80" spans="5:5" s="26" customFormat="1">
      <c r="E80" s="64"/>
    </row>
    <row r="81" spans="5:5" s="26" customFormat="1">
      <c r="E81" s="64"/>
    </row>
    <row r="82" spans="5:5" s="26" customFormat="1">
      <c r="E82" s="64"/>
    </row>
    <row r="83" spans="5:5" s="26" customFormat="1">
      <c r="E83" s="64"/>
    </row>
    <row r="84" spans="5:5" s="26" customFormat="1">
      <c r="E84" s="64"/>
    </row>
    <row r="85" spans="5:5" s="26" customFormat="1">
      <c r="E85" s="64"/>
    </row>
    <row r="86" spans="5:5" s="26" customFormat="1">
      <c r="E86" s="64"/>
    </row>
    <row r="87" spans="5:5" s="26" customFormat="1">
      <c r="E87" s="64"/>
    </row>
    <row r="88" spans="5:5" s="26" customFormat="1">
      <c r="E88" s="64"/>
    </row>
    <row r="89" spans="5:5" s="26" customFormat="1">
      <c r="E89" s="64"/>
    </row>
    <row r="90" spans="5:5" s="26" customFormat="1">
      <c r="E90" s="64"/>
    </row>
    <row r="91" spans="5:5" s="26" customFormat="1">
      <c r="E91" s="64"/>
    </row>
    <row r="92" spans="5:5" s="26" customFormat="1">
      <c r="E92" s="64"/>
    </row>
    <row r="93" spans="5:5" s="26" customFormat="1">
      <c r="E93" s="64"/>
    </row>
    <row r="94" spans="5:5" s="26" customFormat="1">
      <c r="E94" s="64"/>
    </row>
    <row r="95" spans="5:5" s="26" customFormat="1">
      <c r="E95" s="64"/>
    </row>
    <row r="96" spans="5:5" s="26" customFormat="1">
      <c r="E96" s="64"/>
    </row>
    <row r="97" spans="5:5" s="26" customFormat="1">
      <c r="E97" s="64"/>
    </row>
    <row r="98" spans="5:5" s="26" customFormat="1">
      <c r="E98" s="64"/>
    </row>
    <row r="99" spans="5:5" s="26" customFormat="1">
      <c r="E99" s="64"/>
    </row>
    <row r="100" spans="5:5" s="26" customFormat="1">
      <c r="E100" s="64"/>
    </row>
    <row r="101" spans="5:5" s="26" customFormat="1">
      <c r="E101" s="64"/>
    </row>
    <row r="102" spans="5:5" s="26" customFormat="1">
      <c r="E102" s="64"/>
    </row>
    <row r="103" spans="5:5" s="26" customFormat="1">
      <c r="E103" s="64"/>
    </row>
    <row r="104" spans="5:5" s="26" customFormat="1">
      <c r="E104" s="64"/>
    </row>
    <row r="105" spans="5:5" s="26" customFormat="1">
      <c r="E105" s="64"/>
    </row>
    <row r="106" spans="5:5" s="26" customFormat="1">
      <c r="E106" s="64"/>
    </row>
    <row r="107" spans="5:5" s="26" customFormat="1">
      <c r="E107" s="64"/>
    </row>
    <row r="108" spans="5:5" s="26" customFormat="1">
      <c r="E108" s="64"/>
    </row>
    <row r="109" spans="5:5" s="26" customFormat="1">
      <c r="E109" s="64"/>
    </row>
    <row r="110" spans="5:5" s="26" customFormat="1">
      <c r="E110" s="64"/>
    </row>
    <row r="111" spans="5:5" s="26" customFormat="1">
      <c r="E111" s="64"/>
    </row>
    <row r="112" spans="5:5" s="26" customFormat="1">
      <c r="E112" s="64"/>
    </row>
    <row r="113" spans="5:5" s="26" customFormat="1">
      <c r="E113" s="64"/>
    </row>
    <row r="114" spans="5:5" s="26" customFormat="1">
      <c r="E114" s="64"/>
    </row>
    <row r="115" spans="5:5" s="26" customFormat="1">
      <c r="E115" s="64"/>
    </row>
    <row r="116" spans="5:5" s="26" customFormat="1">
      <c r="E116" s="64"/>
    </row>
    <row r="117" spans="5:5" s="26" customFormat="1">
      <c r="E117" s="64"/>
    </row>
    <row r="118" spans="5:5" s="26" customFormat="1">
      <c r="E118" s="64"/>
    </row>
    <row r="119" spans="5:5" s="26" customFormat="1">
      <c r="E119" s="64"/>
    </row>
    <row r="120" spans="5:5" s="26" customFormat="1">
      <c r="E120" s="64"/>
    </row>
    <row r="121" spans="5:5" s="26" customFormat="1">
      <c r="E121" s="64"/>
    </row>
    <row r="122" spans="5:5" s="26" customFormat="1">
      <c r="E122" s="64"/>
    </row>
    <row r="123" spans="5:5" s="26" customFormat="1">
      <c r="E123" s="64"/>
    </row>
    <row r="124" spans="5:5" s="26" customFormat="1">
      <c r="E124" s="64"/>
    </row>
    <row r="125" spans="5:5" s="26" customFormat="1">
      <c r="E125" s="64"/>
    </row>
    <row r="126" spans="5:5" s="26" customFormat="1">
      <c r="E126" s="64"/>
    </row>
    <row r="127" spans="5:5" s="26" customFormat="1">
      <c r="E127" s="64"/>
    </row>
    <row r="128" spans="5:5" s="26" customFormat="1">
      <c r="E128" s="64"/>
    </row>
    <row r="129" spans="5:5" s="26" customFormat="1">
      <c r="E129" s="64"/>
    </row>
    <row r="130" spans="5:5" s="26" customFormat="1">
      <c r="E130" s="64"/>
    </row>
    <row r="131" spans="5:5" s="26" customFormat="1">
      <c r="E131" s="64"/>
    </row>
    <row r="132" spans="5:5" s="26" customFormat="1">
      <c r="E132" s="64"/>
    </row>
    <row r="133" spans="5:5" s="26" customFormat="1">
      <c r="E133" s="64"/>
    </row>
    <row r="134" spans="5:5" s="26" customFormat="1">
      <c r="E134" s="64"/>
    </row>
    <row r="135" spans="5:5" s="26" customFormat="1">
      <c r="E135" s="64"/>
    </row>
    <row r="136" spans="5:5" s="26" customFormat="1">
      <c r="E136" s="64"/>
    </row>
    <row r="137" spans="5:5" s="26" customFormat="1">
      <c r="E137" s="64"/>
    </row>
    <row r="138" spans="5:5" s="26" customFormat="1">
      <c r="E138" s="64"/>
    </row>
    <row r="139" spans="5:5" s="26" customFormat="1">
      <c r="E139" s="64"/>
    </row>
    <row r="140" spans="5:5" s="26" customFormat="1">
      <c r="E140" s="64"/>
    </row>
    <row r="141" spans="5:5" s="26" customFormat="1">
      <c r="E141" s="64"/>
    </row>
    <row r="142" spans="5:5" s="26" customFormat="1">
      <c r="E142" s="64"/>
    </row>
    <row r="143" spans="5:5" s="26" customFormat="1">
      <c r="E143" s="64"/>
    </row>
    <row r="144" spans="5:5" s="26" customFormat="1">
      <c r="E144" s="64"/>
    </row>
    <row r="145" spans="5:5" s="26" customFormat="1">
      <c r="E145" s="64"/>
    </row>
    <row r="146" spans="5:5" s="26" customFormat="1">
      <c r="E146" s="64"/>
    </row>
    <row r="147" spans="5:5" s="26" customFormat="1">
      <c r="E147" s="64"/>
    </row>
    <row r="148" spans="5:5" s="26" customFormat="1">
      <c r="E148" s="64"/>
    </row>
    <row r="149" spans="5:5" s="26" customFormat="1">
      <c r="E149" s="64"/>
    </row>
    <row r="150" spans="5:5" s="26" customFormat="1">
      <c r="E150" s="64"/>
    </row>
    <row r="151" spans="5:5" s="26" customFormat="1">
      <c r="E151" s="64"/>
    </row>
    <row r="152" spans="5:5" s="26" customFormat="1">
      <c r="E152" s="64"/>
    </row>
    <row r="153" spans="5:5" s="26" customFormat="1">
      <c r="E153" s="64"/>
    </row>
    <row r="154" spans="5:5" s="26" customFormat="1">
      <c r="E154" s="64"/>
    </row>
    <row r="155" spans="5:5" s="26" customFormat="1">
      <c r="E155" s="64"/>
    </row>
    <row r="156" spans="5:5" s="26" customFormat="1">
      <c r="E156" s="64"/>
    </row>
    <row r="157" spans="5:5" s="26" customFormat="1">
      <c r="E157" s="64"/>
    </row>
    <row r="158" spans="5:5" s="26" customFormat="1">
      <c r="E158" s="64"/>
    </row>
    <row r="159" spans="5:5" s="26" customFormat="1">
      <c r="E159" s="64"/>
    </row>
    <row r="160" spans="5:5" s="26" customFormat="1">
      <c r="E160" s="64"/>
    </row>
    <row r="161" spans="5:5" s="26" customFormat="1">
      <c r="E161" s="64"/>
    </row>
    <row r="162" spans="5:5" s="26" customFormat="1">
      <c r="E162" s="64"/>
    </row>
    <row r="163" spans="5:5" s="26" customFormat="1">
      <c r="E163" s="64"/>
    </row>
    <row r="164" spans="5:5" s="26" customFormat="1">
      <c r="E164" s="64"/>
    </row>
    <row r="165" spans="5:5" s="26" customFormat="1">
      <c r="E165" s="64"/>
    </row>
    <row r="166" spans="5:5" s="26" customFormat="1">
      <c r="E166" s="64"/>
    </row>
    <row r="167" spans="5:5" s="26" customFormat="1">
      <c r="E167" s="64"/>
    </row>
    <row r="168" spans="5:5" s="26" customFormat="1">
      <c r="E168" s="64"/>
    </row>
    <row r="169" spans="5:5" s="26" customFormat="1">
      <c r="E169" s="64"/>
    </row>
    <row r="170" spans="5:5" s="26" customFormat="1">
      <c r="E170" s="64"/>
    </row>
    <row r="171" spans="5:5" s="26" customFormat="1">
      <c r="E171" s="64"/>
    </row>
    <row r="172" spans="5:5" s="26" customFormat="1">
      <c r="E172" s="64"/>
    </row>
    <row r="173" spans="5:5" s="26" customFormat="1">
      <c r="E173" s="64"/>
    </row>
    <row r="174" spans="5:5" s="26" customFormat="1">
      <c r="E174" s="64"/>
    </row>
    <row r="175" spans="5:5" s="26" customFormat="1">
      <c r="E175" s="64"/>
    </row>
    <row r="176" spans="5:5" s="26" customFormat="1">
      <c r="E176" s="64"/>
    </row>
    <row r="177" spans="5:5" s="26" customFormat="1">
      <c r="E177" s="64"/>
    </row>
    <row r="178" spans="5:5" s="26" customFormat="1">
      <c r="E178" s="64"/>
    </row>
    <row r="179" spans="5:5" s="26" customFormat="1">
      <c r="E179" s="64"/>
    </row>
    <row r="180" spans="5:5" s="26" customFormat="1">
      <c r="E180" s="64"/>
    </row>
    <row r="181" spans="5:5" s="26" customFormat="1">
      <c r="E181" s="64"/>
    </row>
    <row r="182" spans="5:5" s="26" customFormat="1">
      <c r="E182" s="64"/>
    </row>
    <row r="183" spans="5:5" s="26" customFormat="1">
      <c r="E183" s="64"/>
    </row>
    <row r="184" spans="5:5" s="26" customFormat="1">
      <c r="E184" s="64"/>
    </row>
    <row r="185" spans="5:5" s="26" customFormat="1">
      <c r="E185" s="64"/>
    </row>
    <row r="186" spans="5:5" s="26" customFormat="1">
      <c r="E186" s="64"/>
    </row>
    <row r="187" spans="5:5" s="26" customFormat="1">
      <c r="E187" s="64"/>
    </row>
    <row r="188" spans="5:5" s="26" customFormat="1">
      <c r="E188" s="64"/>
    </row>
    <row r="189" spans="5:5" s="26" customFormat="1">
      <c r="E189" s="64"/>
    </row>
    <row r="190" spans="5:5" s="26" customFormat="1">
      <c r="E190" s="64"/>
    </row>
    <row r="191" spans="5:5" s="26" customFormat="1">
      <c r="E191" s="64"/>
    </row>
    <row r="192" spans="5:5" s="26" customFormat="1">
      <c r="E192" s="64"/>
    </row>
    <row r="193" spans="5:5" s="26" customFormat="1">
      <c r="E193" s="64"/>
    </row>
    <row r="194" spans="5:5" s="26" customFormat="1">
      <c r="E194" s="64"/>
    </row>
    <row r="195" spans="5:5" s="26" customFormat="1">
      <c r="E195" s="64"/>
    </row>
    <row r="196" spans="5:5" s="26" customFormat="1">
      <c r="E196" s="64"/>
    </row>
    <row r="197" spans="5:5" s="26" customFormat="1">
      <c r="E197" s="64"/>
    </row>
    <row r="198" spans="5:5" s="26" customFormat="1">
      <c r="E198" s="64"/>
    </row>
    <row r="199" spans="5:5" s="26" customFormat="1">
      <c r="E199" s="64"/>
    </row>
    <row r="200" spans="5:5" s="26" customFormat="1">
      <c r="E200" s="64"/>
    </row>
    <row r="201" spans="5:5" s="26" customFormat="1">
      <c r="E201" s="64"/>
    </row>
    <row r="202" spans="5:5" s="26" customFormat="1">
      <c r="E202" s="64"/>
    </row>
    <row r="203" spans="5:5" s="26" customFormat="1">
      <c r="E203" s="64"/>
    </row>
    <row r="204" spans="5:5" s="26" customFormat="1">
      <c r="E204" s="64"/>
    </row>
    <row r="205" spans="5:5" s="26" customFormat="1">
      <c r="E205" s="64"/>
    </row>
    <row r="206" spans="5:5" s="26" customFormat="1">
      <c r="E206" s="64"/>
    </row>
    <row r="207" spans="5:5" s="26" customFormat="1">
      <c r="E207" s="64"/>
    </row>
    <row r="208" spans="5:5" s="26" customFormat="1">
      <c r="E208" s="64"/>
    </row>
    <row r="209" spans="5:5" s="26" customFormat="1">
      <c r="E209" s="64"/>
    </row>
    <row r="210" spans="5:5" s="26" customFormat="1">
      <c r="E210" s="64"/>
    </row>
    <row r="211" spans="5:5" s="26" customFormat="1">
      <c r="E211" s="64"/>
    </row>
    <row r="212" spans="5:5" s="26" customFormat="1">
      <c r="E212" s="64"/>
    </row>
    <row r="213" spans="5:5" s="26" customFormat="1">
      <c r="E213" s="64"/>
    </row>
    <row r="214" spans="5:5" s="26" customFormat="1">
      <c r="E214" s="64"/>
    </row>
    <row r="215" spans="5:5" s="26" customFormat="1">
      <c r="E215" s="64"/>
    </row>
    <row r="216" spans="5:5" s="26" customFormat="1">
      <c r="E216" s="64"/>
    </row>
    <row r="217" spans="5:5" s="26" customFormat="1">
      <c r="E217" s="64"/>
    </row>
    <row r="218" spans="5:5" s="26" customFormat="1">
      <c r="E218" s="64"/>
    </row>
    <row r="219" spans="5:5" s="26" customFormat="1">
      <c r="E219" s="64"/>
    </row>
    <row r="220" spans="5:5" s="26" customFormat="1">
      <c r="E220" s="64"/>
    </row>
    <row r="221" spans="5:5" s="26" customFormat="1">
      <c r="E221" s="64"/>
    </row>
    <row r="222" spans="5:5" s="26" customFormat="1">
      <c r="E222" s="64"/>
    </row>
    <row r="223" spans="5:5" s="26" customFormat="1">
      <c r="E223" s="64"/>
    </row>
    <row r="224" spans="5:5" s="26" customFormat="1">
      <c r="E224" s="64"/>
    </row>
    <row r="225" spans="5:5" s="26" customFormat="1">
      <c r="E225" s="64"/>
    </row>
    <row r="226" spans="5:5" s="26" customFormat="1">
      <c r="E226" s="64"/>
    </row>
    <row r="227" spans="5:5" s="26" customFormat="1">
      <c r="E227" s="64"/>
    </row>
    <row r="228" spans="5:5" s="26" customFormat="1">
      <c r="E228" s="64"/>
    </row>
    <row r="229" spans="5:5" s="26" customFormat="1">
      <c r="E229" s="64"/>
    </row>
    <row r="230" spans="5:5" s="26" customFormat="1">
      <c r="E230" s="64"/>
    </row>
    <row r="231" spans="5:5" s="26" customFormat="1">
      <c r="E231" s="64"/>
    </row>
    <row r="232" spans="5:5" s="26" customFormat="1">
      <c r="E232" s="64"/>
    </row>
    <row r="233" spans="5:5" s="26" customFormat="1">
      <c r="E233" s="64"/>
    </row>
    <row r="234" spans="5:5" s="26" customFormat="1">
      <c r="E234" s="64"/>
    </row>
    <row r="235" spans="5:5" s="26" customFormat="1">
      <c r="E235" s="64"/>
    </row>
    <row r="236" spans="5:5" s="26" customFormat="1">
      <c r="E236" s="64"/>
    </row>
    <row r="237" spans="5:5" s="26" customFormat="1">
      <c r="E237" s="64"/>
    </row>
    <row r="238" spans="5:5" s="26" customFormat="1">
      <c r="E238" s="64"/>
    </row>
    <row r="239" spans="5:5" s="26" customFormat="1">
      <c r="E239" s="64"/>
    </row>
    <row r="240" spans="5:5" s="26" customFormat="1">
      <c r="E240" s="64"/>
    </row>
    <row r="241" spans="5:5" s="26" customFormat="1">
      <c r="E241" s="64"/>
    </row>
    <row r="242" spans="5:5" s="26" customFormat="1">
      <c r="E242" s="64"/>
    </row>
    <row r="243" spans="5:5" s="26" customFormat="1">
      <c r="E243" s="64"/>
    </row>
    <row r="244" spans="5:5" s="26" customFormat="1">
      <c r="E244" s="64"/>
    </row>
    <row r="245" spans="5:5" s="26" customFormat="1">
      <c r="E245" s="64"/>
    </row>
    <row r="246" spans="5:5" s="26" customFormat="1">
      <c r="E246" s="64"/>
    </row>
    <row r="247" spans="5:5" s="26" customFormat="1">
      <c r="E247" s="64"/>
    </row>
    <row r="248" spans="5:5" s="26" customFormat="1">
      <c r="E248" s="64"/>
    </row>
    <row r="249" spans="5:5" s="26" customFormat="1">
      <c r="E249" s="64"/>
    </row>
    <row r="250" spans="5:5" s="26" customFormat="1">
      <c r="E250" s="64"/>
    </row>
    <row r="251" spans="5:5" s="26" customFormat="1">
      <c r="E251" s="64"/>
    </row>
    <row r="252" spans="5:5" s="26" customFormat="1">
      <c r="E252" s="64"/>
    </row>
    <row r="253" spans="5:5" s="26" customFormat="1">
      <c r="E253" s="64"/>
    </row>
    <row r="254" spans="5:5" s="26" customFormat="1">
      <c r="E254" s="64"/>
    </row>
    <row r="255" spans="5:5" s="26" customFormat="1">
      <c r="E255" s="64"/>
    </row>
    <row r="256" spans="5:5" s="26" customFormat="1">
      <c r="E256" s="64"/>
    </row>
    <row r="257" spans="5:5" s="26" customFormat="1">
      <c r="E257" s="64"/>
    </row>
    <row r="258" spans="5:5" s="26" customFormat="1">
      <c r="E258" s="64"/>
    </row>
    <row r="259" spans="5:5" s="26" customFormat="1">
      <c r="E259" s="64"/>
    </row>
    <row r="260" spans="5:5" s="26" customFormat="1">
      <c r="E260" s="64"/>
    </row>
    <row r="261" spans="5:5" s="26" customFormat="1">
      <c r="E261" s="64"/>
    </row>
    <row r="262" spans="5:5" s="26" customFormat="1">
      <c r="E262" s="64"/>
    </row>
    <row r="263" spans="5:5" s="26" customFormat="1">
      <c r="E263" s="64"/>
    </row>
    <row r="264" spans="5:5" s="26" customFormat="1">
      <c r="E264" s="64"/>
    </row>
    <row r="265" spans="5:5" s="26" customFormat="1">
      <c r="E265" s="64"/>
    </row>
    <row r="266" spans="5:5" s="26" customFormat="1">
      <c r="E266" s="64"/>
    </row>
    <row r="267" spans="5:5" s="26" customFormat="1">
      <c r="E267" s="64"/>
    </row>
    <row r="268" spans="5:5" s="26" customFormat="1">
      <c r="E268" s="64"/>
    </row>
    <row r="269" spans="5:5" s="26" customFormat="1">
      <c r="E269" s="64"/>
    </row>
    <row r="270" spans="5:5" s="26" customFormat="1">
      <c r="E270" s="64"/>
    </row>
    <row r="271" spans="5:5" s="26" customFormat="1">
      <c r="E271" s="64"/>
    </row>
    <row r="272" spans="5:5" s="26" customFormat="1">
      <c r="E272" s="64"/>
    </row>
    <row r="273" spans="5:5" s="26" customFormat="1">
      <c r="E273" s="64"/>
    </row>
    <row r="274" spans="5:5" s="26" customFormat="1">
      <c r="E274" s="64"/>
    </row>
    <row r="275" spans="5:5" s="26" customFormat="1">
      <c r="E275" s="64"/>
    </row>
    <row r="276" spans="5:5" s="26" customFormat="1">
      <c r="E276" s="64"/>
    </row>
    <row r="277" spans="5:5" s="26" customFormat="1">
      <c r="E277" s="64"/>
    </row>
    <row r="278" spans="5:5" s="26" customFormat="1">
      <c r="E278" s="64"/>
    </row>
    <row r="279" spans="5:5" s="26" customFormat="1">
      <c r="E279" s="64"/>
    </row>
    <row r="280" spans="5:5" s="26" customFormat="1">
      <c r="E280" s="64"/>
    </row>
    <row r="281" spans="5:5" s="26" customFormat="1">
      <c r="E281" s="64"/>
    </row>
    <row r="282" spans="5:5" s="26" customFormat="1">
      <c r="E282" s="64"/>
    </row>
    <row r="283" spans="5:5" s="26" customFormat="1">
      <c r="E283" s="64"/>
    </row>
    <row r="284" spans="5:5" s="26" customFormat="1">
      <c r="E284" s="64"/>
    </row>
    <row r="285" spans="5:5" s="26" customFormat="1">
      <c r="E285" s="64"/>
    </row>
    <row r="286" spans="5:5" s="26" customFormat="1">
      <c r="E286" s="64"/>
    </row>
    <row r="287" spans="5:5" s="26" customFormat="1">
      <c r="E287" s="64"/>
    </row>
    <row r="288" spans="5:5" s="26" customFormat="1">
      <c r="E288" s="64"/>
    </row>
    <row r="289" spans="5:5" s="26" customFormat="1">
      <c r="E289" s="64"/>
    </row>
    <row r="290" spans="5:5" s="26" customFormat="1">
      <c r="E290" s="64"/>
    </row>
    <row r="291" spans="5:5" s="26" customFormat="1">
      <c r="E291" s="64"/>
    </row>
    <row r="292" spans="5:5" s="26" customFormat="1">
      <c r="E292" s="64"/>
    </row>
    <row r="293" spans="5:5" s="26" customFormat="1">
      <c r="E293" s="64"/>
    </row>
    <row r="294" spans="5:5" s="26" customFormat="1">
      <c r="E294" s="64"/>
    </row>
    <row r="295" spans="5:5" s="26" customFormat="1">
      <c r="E295" s="64"/>
    </row>
    <row r="296" spans="5:5" s="26" customFormat="1">
      <c r="E296" s="64"/>
    </row>
    <row r="297" spans="5:5" s="26" customFormat="1">
      <c r="E297" s="64"/>
    </row>
    <row r="298" spans="5:5" s="26" customFormat="1">
      <c r="E298" s="64"/>
    </row>
    <row r="299" spans="5:5" s="26" customFormat="1">
      <c r="E299" s="64"/>
    </row>
    <row r="300" spans="5:5" s="26" customFormat="1">
      <c r="E300" s="64"/>
    </row>
    <row r="301" spans="5:5" s="26" customFormat="1">
      <c r="E301" s="64"/>
    </row>
    <row r="302" spans="5:5" s="26" customFormat="1">
      <c r="E302" s="64"/>
    </row>
    <row r="303" spans="5:5" s="26" customFormat="1">
      <c r="E303" s="64"/>
    </row>
    <row r="304" spans="5:5" s="26" customFormat="1">
      <c r="E304" s="64"/>
    </row>
    <row r="305" spans="5:5" s="26" customFormat="1">
      <c r="E305" s="64"/>
    </row>
    <row r="306" spans="5:5" s="26" customFormat="1">
      <c r="E306" s="64"/>
    </row>
    <row r="307" spans="5:5" s="26" customFormat="1">
      <c r="E307" s="64"/>
    </row>
    <row r="308" spans="5:5" s="26" customFormat="1">
      <c r="E308" s="64"/>
    </row>
    <row r="309" spans="5:5" s="26" customFormat="1">
      <c r="E309" s="64"/>
    </row>
    <row r="310" spans="5:5" s="26" customFormat="1">
      <c r="E310" s="64"/>
    </row>
    <row r="311" spans="5:5" s="26" customFormat="1">
      <c r="E311" s="64"/>
    </row>
    <row r="312" spans="5:5" s="26" customFormat="1">
      <c r="E312" s="64"/>
    </row>
    <row r="313" spans="5:5" s="26" customFormat="1">
      <c r="E313" s="64"/>
    </row>
    <row r="314" spans="5:5" s="26" customFormat="1">
      <c r="E314" s="64"/>
    </row>
    <row r="315" spans="5:5" s="26" customFormat="1">
      <c r="E315" s="64"/>
    </row>
    <row r="316" spans="5:5" s="26" customFormat="1">
      <c r="E316" s="64"/>
    </row>
    <row r="317" spans="5:5" s="26" customFormat="1">
      <c r="E317" s="64"/>
    </row>
    <row r="318" spans="5:5" s="26" customFormat="1">
      <c r="E318" s="64"/>
    </row>
    <row r="319" spans="5:5" s="26" customFormat="1">
      <c r="E319" s="64"/>
    </row>
    <row r="320" spans="5:5" s="26" customFormat="1">
      <c r="E320" s="64"/>
    </row>
    <row r="321" spans="5:5" s="26" customFormat="1">
      <c r="E321" s="64"/>
    </row>
    <row r="322" spans="5:5" s="26" customFormat="1">
      <c r="E322" s="64"/>
    </row>
    <row r="323" spans="5:5" s="26" customFormat="1">
      <c r="E323" s="64"/>
    </row>
    <row r="324" spans="5:5" s="26" customFormat="1">
      <c r="E324" s="64"/>
    </row>
    <row r="325" spans="5:5" s="26" customFormat="1">
      <c r="E325" s="64"/>
    </row>
    <row r="326" spans="5:5" s="26" customFormat="1">
      <c r="E326" s="64"/>
    </row>
    <row r="327" spans="5:5" s="26" customFormat="1">
      <c r="E327" s="64"/>
    </row>
    <row r="328" spans="5:5" s="26" customFormat="1">
      <c r="E328" s="64"/>
    </row>
    <row r="329" spans="5:5" s="26" customFormat="1">
      <c r="E329" s="64"/>
    </row>
    <row r="330" spans="5:5" s="26" customFormat="1">
      <c r="E330" s="64"/>
    </row>
    <row r="331" spans="5:5" s="26" customFormat="1">
      <c r="E331" s="64"/>
    </row>
    <row r="332" spans="5:5" s="26" customFormat="1">
      <c r="E332" s="64"/>
    </row>
    <row r="333" spans="5:5" s="26" customFormat="1">
      <c r="E333" s="64"/>
    </row>
    <row r="334" spans="5:5" s="26" customFormat="1">
      <c r="E334" s="64"/>
    </row>
    <row r="335" spans="5:5" s="26" customFormat="1">
      <c r="E335" s="64"/>
    </row>
    <row r="336" spans="5:5" s="26" customFormat="1">
      <c r="E336" s="64"/>
    </row>
    <row r="337" spans="5:5" s="26" customFormat="1">
      <c r="E337" s="64"/>
    </row>
    <row r="338" spans="5:5" s="26" customFormat="1">
      <c r="E338" s="64"/>
    </row>
    <row r="339" spans="5:5" s="26" customFormat="1">
      <c r="E339" s="64"/>
    </row>
    <row r="340" spans="5:5" s="26" customFormat="1">
      <c r="E340" s="64"/>
    </row>
    <row r="341" spans="5:5" s="26" customFormat="1">
      <c r="E341" s="64"/>
    </row>
    <row r="342" spans="5:5" s="26" customFormat="1">
      <c r="E342" s="64"/>
    </row>
    <row r="343" spans="5:5" s="26" customFormat="1">
      <c r="E343" s="64"/>
    </row>
    <row r="344" spans="5:5" s="26" customFormat="1">
      <c r="E344" s="64"/>
    </row>
  </sheetData>
  <sheetProtection algorithmName="SHA-512" hashValue="VN4cBNWf7lRQ4sSLqPNZUaZBHpOJt1/zABtCCP3g7j06RY8eBBw0xHNcFOfWtXWO7ePaCZMBrAp3WqWmI3SO7A==" saltValue="qbogw7OHZkNFQiZ3eQFQDg==" spinCount="100000" sheet="1"/>
  <mergeCells count="4">
    <mergeCell ref="B2:G2"/>
    <mergeCell ref="O2:BC2"/>
    <mergeCell ref="O42:BC42"/>
    <mergeCell ref="AM41:BC41"/>
  </mergeCells>
  <phoneticPr fontId="0" type="noConversion"/>
  <conditionalFormatting sqref="A4:A38">
    <cfRule type="cellIs" dxfId="16" priority="1" stopIfTrue="1" operator="equal">
      <formula>"ERRO-FT"</formula>
    </cfRule>
  </conditionalFormatting>
  <conditionalFormatting sqref="AM41:BC41">
    <cfRule type="cellIs" dxfId="15" priority="4" stopIfTrue="1" operator="lessThan">
      <formula>10000</formula>
    </cfRule>
  </conditionalFormatting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62"/>
  <sheetViews>
    <sheetView showGridLines="0" tabSelected="1" topLeftCell="A11" zoomScaleNormal="100" workbookViewId="0">
      <selection activeCell="A57" sqref="A57:AB57"/>
    </sheetView>
  </sheetViews>
  <sheetFormatPr defaultColWidth="8.85546875" defaultRowHeight="12.75"/>
  <cols>
    <col min="1" max="1" width="10.42578125" style="97" customWidth="1"/>
    <col min="2" max="5" width="6.7109375" style="97" customWidth="1"/>
    <col min="6" max="7" width="7.140625" style="97" hidden="1" customWidth="1"/>
    <col min="8" max="8" width="6.7109375" style="97" hidden="1" customWidth="1"/>
    <col min="9" max="9" width="6.42578125" style="97" hidden="1" customWidth="1"/>
    <col min="10" max="10" width="6.28515625" style="97" hidden="1" customWidth="1"/>
    <col min="11" max="11" width="5.42578125" style="97" hidden="1" customWidth="1"/>
    <col min="12" max="12" width="6.7109375" style="97" hidden="1" customWidth="1"/>
    <col min="13" max="13" width="7.42578125" style="97" hidden="1" customWidth="1"/>
    <col min="14" max="14" width="6.42578125" style="97" hidden="1" customWidth="1"/>
    <col min="15" max="15" width="7.140625" style="97" hidden="1" customWidth="1"/>
    <col min="16" max="16" width="7.7109375" style="97" hidden="1" customWidth="1"/>
    <col min="17" max="17" width="8.42578125" style="97" hidden="1" customWidth="1"/>
    <col min="18" max="18" width="9.140625" style="97" hidden="1" customWidth="1"/>
    <col min="19" max="19" width="7.7109375" style="97" hidden="1" customWidth="1"/>
    <col min="20" max="20" width="8.28515625" style="97" hidden="1" customWidth="1"/>
    <col min="21" max="21" width="9.28515625" style="97" hidden="1" customWidth="1"/>
    <col min="22" max="22" width="10.28515625" style="97" hidden="1" customWidth="1"/>
    <col min="23" max="23" width="3.5703125" style="97" customWidth="1"/>
    <col min="24" max="24" width="10.7109375" style="97" customWidth="1"/>
    <col min="25" max="25" width="9.42578125" style="97" customWidth="1"/>
    <col min="26" max="26" width="12.28515625" style="97" customWidth="1"/>
    <col min="27" max="27" width="11.85546875" style="97" hidden="1" customWidth="1"/>
    <col min="28" max="28" width="9.7109375" style="97" customWidth="1"/>
    <col min="29" max="30" width="9.7109375" style="97" hidden="1" customWidth="1"/>
    <col min="31" max="31" width="12.28515625" style="97" hidden="1" customWidth="1"/>
    <col min="32" max="32" width="14.7109375" style="97" hidden="1" customWidth="1"/>
    <col min="33" max="36" width="14" style="97" hidden="1" customWidth="1"/>
    <col min="37" max="37" width="11.85546875" style="97" hidden="1" customWidth="1"/>
    <col min="38" max="38" width="12.7109375" style="97" hidden="1" customWidth="1"/>
    <col min="39" max="39" width="12.42578125" style="97" hidden="1" customWidth="1"/>
    <col min="40" max="40" width="10.42578125" style="97" hidden="1" customWidth="1"/>
    <col min="41" max="41" width="9.7109375" style="97" hidden="1" customWidth="1"/>
    <col min="42" max="42" width="13" style="97" hidden="1" customWidth="1"/>
    <col min="43" max="43" width="12.28515625" style="97" hidden="1" customWidth="1"/>
    <col min="44" max="44" width="16.28515625" style="97" hidden="1" customWidth="1"/>
    <col min="45" max="45" width="16" style="97" hidden="1" customWidth="1"/>
    <col min="46" max="46" width="16.7109375" style="97" hidden="1" customWidth="1"/>
    <col min="47" max="47" width="14" style="97" hidden="1" customWidth="1"/>
    <col min="48" max="48" width="14.28515625" style="97" hidden="1" customWidth="1"/>
    <col min="49" max="49" width="16.28515625" style="97" hidden="1" customWidth="1"/>
    <col min="50" max="50" width="14.7109375" style="97" hidden="1" customWidth="1"/>
    <col min="51" max="51" width="14.85546875" style="97" hidden="1" customWidth="1"/>
    <col min="52" max="52" width="13" style="97" hidden="1" customWidth="1"/>
    <col min="53" max="53" width="10.42578125" style="97" hidden="1" customWidth="1"/>
    <col min="54" max="54" width="7.85546875" style="97" hidden="1" customWidth="1"/>
    <col min="55" max="55" width="5.7109375" style="97" hidden="1" customWidth="1"/>
    <col min="56" max="56" width="8.85546875" style="97" hidden="1" customWidth="1"/>
    <col min="57" max="57" width="11.28515625" style="97" hidden="1" customWidth="1"/>
    <col min="58" max="58" width="14.140625" style="97" hidden="1" customWidth="1"/>
    <col min="59" max="59" width="12.7109375" style="97" hidden="1" customWidth="1"/>
    <col min="60" max="60" width="11.28515625" style="97" hidden="1" customWidth="1"/>
    <col min="61" max="16384" width="8.85546875" style="97"/>
  </cols>
  <sheetData>
    <row r="1" spans="1:58" ht="17.25" thickTop="1" thickBot="1">
      <c r="A1" s="223" t="s">
        <v>127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5"/>
    </row>
    <row r="2" spans="1:58" ht="11.25" customHeight="1" thickTop="1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100" t="s">
        <v>57</v>
      </c>
      <c r="AC2" s="100"/>
      <c r="AD2" s="100"/>
      <c r="AE2" s="100"/>
      <c r="AF2" s="100"/>
      <c r="AG2" s="100"/>
    </row>
    <row r="3" spans="1:58" ht="13.5" customHeight="1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228">
        <f ca="1">TODAY()</f>
        <v>46049</v>
      </c>
      <c r="Y3" s="228"/>
      <c r="Z3" s="228"/>
      <c r="AA3" s="228"/>
      <c r="AB3" s="229"/>
      <c r="AC3" s="103"/>
      <c r="AD3" s="103"/>
      <c r="AE3" s="103"/>
      <c r="AF3" s="103"/>
      <c r="AG3" s="103"/>
    </row>
    <row r="4" spans="1:58" ht="11.25" customHeight="1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4"/>
      <c r="AC4" s="103"/>
      <c r="AD4" s="103"/>
      <c r="AE4" s="103"/>
      <c r="AF4" s="103"/>
      <c r="AG4" s="103"/>
    </row>
    <row r="5" spans="1:58" ht="18" customHeight="1">
      <c r="A5" s="105" t="s">
        <v>55</v>
      </c>
      <c r="B5" s="227"/>
      <c r="C5" s="227"/>
      <c r="D5" s="227"/>
      <c r="E5" s="227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232" t="s">
        <v>52</v>
      </c>
      <c r="Z5" s="232"/>
      <c r="AB5" s="107"/>
    </row>
    <row r="6" spans="1:58" ht="15" hidden="1">
      <c r="A6" s="108" t="s">
        <v>42</v>
      </c>
      <c r="B6" s="194" t="s">
        <v>43</v>
      </c>
      <c r="C6" s="195"/>
      <c r="D6" s="195"/>
      <c r="E6" s="195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B6" s="109"/>
    </row>
    <row r="7" spans="1:58" ht="18" customHeight="1">
      <c r="A7" s="105" t="s">
        <v>37</v>
      </c>
      <c r="B7" s="194"/>
      <c r="C7" s="195"/>
      <c r="D7" s="195"/>
      <c r="E7" s="195"/>
      <c r="F7" s="106"/>
      <c r="G7" s="106"/>
      <c r="H7" s="106"/>
      <c r="I7" s="106"/>
      <c r="J7" s="106"/>
      <c r="K7" s="106"/>
      <c r="L7" s="106"/>
      <c r="M7" s="106"/>
      <c r="N7" s="106"/>
      <c r="O7" s="110"/>
      <c r="P7" s="110"/>
      <c r="Q7" s="111"/>
      <c r="R7" s="111"/>
      <c r="S7" s="111"/>
      <c r="T7" s="111"/>
      <c r="U7" s="106"/>
      <c r="V7" s="106"/>
      <c r="W7" s="106"/>
      <c r="X7" s="106"/>
      <c r="Y7" s="106"/>
      <c r="Z7" s="79" t="str">
        <f>(IF(('IMPORTAÇÃO GENOTIPER'!AM4="Y"),"XY",(IF(('IMPORTAÇÃO GENOTIPER'!AM4="X"),"XX","ERRO"))))</f>
        <v>XX</v>
      </c>
      <c r="AB7" s="109"/>
    </row>
    <row r="8" spans="1:58" ht="18" customHeight="1">
      <c r="A8" s="105" t="s">
        <v>56</v>
      </c>
      <c r="B8" s="194"/>
      <c r="C8" s="195"/>
      <c r="D8" s="195"/>
      <c r="E8" s="195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12"/>
      <c r="Z8" s="79" t="str">
        <f>(IF(('IMPORTAÇÃO GENOTIPER'!BC4="Y"),"XY",(IF(('IMPORTAÇÃO GENOTIPER'!BC4&lt;&gt;"Y"),"ERRO","ERRO"))))</f>
        <v>XY</v>
      </c>
      <c r="AB8" s="109"/>
    </row>
    <row r="9" spans="1:58" ht="18" customHeight="1">
      <c r="A9" s="113"/>
      <c r="B9" s="114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6"/>
      <c r="Z9" s="117"/>
      <c r="AB9" s="109"/>
    </row>
    <row r="10" spans="1:58" ht="13.5" customHeight="1" thickBot="1">
      <c r="A10" s="118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9"/>
      <c r="S10" s="119"/>
      <c r="T10" s="119"/>
      <c r="U10" s="119"/>
      <c r="V10" s="115"/>
      <c r="W10" s="115"/>
      <c r="X10" s="115"/>
      <c r="Y10" s="120" t="s">
        <v>126</v>
      </c>
      <c r="Z10" s="117">
        <v>0.05</v>
      </c>
      <c r="AB10" s="109"/>
      <c r="AD10" s="97" t="s">
        <v>48</v>
      </c>
      <c r="AH10" s="85" t="s">
        <v>140</v>
      </c>
      <c r="AL10" s="85" t="s">
        <v>141</v>
      </c>
    </row>
    <row r="11" spans="1:58" ht="15" customHeight="1" thickTop="1" thickBot="1">
      <c r="A11" s="76" t="s">
        <v>139</v>
      </c>
      <c r="B11" s="233" t="s">
        <v>11</v>
      </c>
      <c r="C11" s="233"/>
      <c r="D11" s="233" t="s">
        <v>13</v>
      </c>
      <c r="E11" s="234"/>
      <c r="F11" s="240" t="s">
        <v>38</v>
      </c>
      <c r="G11" s="241"/>
      <c r="H11" s="230" t="s">
        <v>39</v>
      </c>
      <c r="I11" s="230"/>
      <c r="J11" s="3" t="s">
        <v>15</v>
      </c>
      <c r="K11" s="3" t="s">
        <v>16</v>
      </c>
      <c r="L11" s="3" t="s">
        <v>17</v>
      </c>
      <c r="M11" s="121" t="s">
        <v>14</v>
      </c>
      <c r="N11" s="230" t="s">
        <v>18</v>
      </c>
      <c r="O11" s="230"/>
      <c r="P11" s="230" t="s">
        <v>19</v>
      </c>
      <c r="Q11" s="230"/>
      <c r="R11" s="3" t="s">
        <v>23</v>
      </c>
      <c r="S11" s="3" t="s">
        <v>25</v>
      </c>
      <c r="T11" s="3" t="s">
        <v>24</v>
      </c>
      <c r="U11" s="3" t="s">
        <v>26</v>
      </c>
      <c r="V11" s="3" t="s">
        <v>36</v>
      </c>
      <c r="W11" s="3" t="s">
        <v>120</v>
      </c>
      <c r="X11" s="3" t="str">
        <f>((IF((OR(($A12="   ERRO-FT"),($A13="   ERRO-FT"),($A14="   ERRO-FT"),($A15="   ERRO-FT"),($A16="   ERRO-FT"),($A17="   ERRO-FT"),($A18="   ERRO-FT"),($A19="   ERRO-FT"),($A20="   ERRO-FT"),($A21="   ERRO-FT"),($A22="   ERRO-FT"),($A23="   ERRO-FT"),($A24="   ERRO-FT"),($A25="   ERRO-FT"),($A26="   ERRO-FT"))),"AL.INF.","FREQ.")))</f>
        <v>FREQ.</v>
      </c>
      <c r="Y11" s="3" t="str">
        <f>((IF((OR(($A12="   ERRO-FT"),($A13="   ERRO-FT"),($A14="   ERRO-FT"),($A15="   ERRO-FT"),($A16="   ERRO-FT"),($A17="   ERRO-FT"),($A18="   ERRO-FT"),($A19="   ERRO-FT"),($A20="   ERRO-FT"),($A21="   ERRO-FT"),($A22="   ERRO-FT"),($A23="   ERRO-FT"),($A24="   ERRO-FT"),($A25="   ERRO-FT"),($A26="   ERRO-FT"))),"AL.SUP.","PI")))</f>
        <v>PI</v>
      </c>
      <c r="Z11" s="3" t="s">
        <v>21</v>
      </c>
      <c r="AA11" s="122"/>
      <c r="AB11" s="123" t="s">
        <v>44</v>
      </c>
      <c r="AD11" s="97" t="s">
        <v>48</v>
      </c>
      <c r="AH11" s="253" t="s">
        <v>49</v>
      </c>
      <c r="AI11" s="254"/>
      <c r="AJ11" s="254"/>
      <c r="AK11" s="255"/>
      <c r="AL11" s="253" t="s">
        <v>50</v>
      </c>
      <c r="AM11" s="254"/>
      <c r="AN11" s="254"/>
      <c r="AO11" s="255"/>
      <c r="AV11" s="85"/>
      <c r="AW11" s="85"/>
      <c r="AX11" s="85"/>
      <c r="AY11" s="85"/>
      <c r="BF11" s="124">
        <f>PRODUCT(BF12:BF33)</f>
        <v>11106580.681599887</v>
      </c>
    </row>
    <row r="12" spans="1:58" ht="15" customHeight="1" thickTop="1" thickBot="1">
      <c r="A12" s="87" t="str">
        <f>'IMPORTAÇÃO GENOTIPER'!A5</f>
        <v>D3S1358</v>
      </c>
      <c r="B12" s="125">
        <f>'IMPORTAÇÃO GENOTIPER'!AE5</f>
        <v>15</v>
      </c>
      <c r="C12" s="126">
        <f>'IMPORTAÇÃO GENOTIPER'!AM5</f>
        <v>17</v>
      </c>
      <c r="D12" s="126">
        <f>'IMPORTAÇÃO GENOTIPER'!AU5</f>
        <v>15</v>
      </c>
      <c r="E12" s="127">
        <f>'IMPORTAÇÃO GENOTIPER'!BC5</f>
        <v>16</v>
      </c>
      <c r="F12" s="70">
        <f t="shared" ref="F12:F26" si="0">IF((B12&gt;C12),C12,B12)</f>
        <v>15</v>
      </c>
      <c r="G12" s="70">
        <f t="shared" ref="G12:G26" si="1">IF((C12&gt;B12),C12,B12)</f>
        <v>17</v>
      </c>
      <c r="H12" s="70">
        <f t="shared" ref="H12:H26" si="2">IF((D12&gt;E12),E12,D12)</f>
        <v>15</v>
      </c>
      <c r="I12" s="70">
        <f t="shared" ref="I12:I26" si="3">IF((E12&gt;D12),E12,D12)</f>
        <v>16</v>
      </c>
      <c r="J12" s="128"/>
      <c r="K12" s="128"/>
      <c r="L12" s="128"/>
      <c r="M12" s="129"/>
      <c r="N12" s="128">
        <f t="shared" ref="N12:N26" si="4">IF(OR((H12=F12),(H12=G12)),H12,0)</f>
        <v>15</v>
      </c>
      <c r="O12" s="128">
        <f t="shared" ref="O12:O26" si="5">IF((H12=I12),0,(IF(OR((I12=G12),(I12=F12)),I12,0)))</f>
        <v>0</v>
      </c>
      <c r="P12" s="130">
        <f t="shared" ref="P12:P26" si="6">(IF(OR((N12=H12),(N12=I12)),N12,0))</f>
        <v>15</v>
      </c>
      <c r="Q12" s="131">
        <f t="shared" ref="Q12:Q26" si="7">(IF((O12&lt;&gt;0),(IF(OR((O12=H12),(O12=I12)),O12,0)),0))</f>
        <v>0</v>
      </c>
      <c r="R12" s="132"/>
      <c r="S12" s="132"/>
      <c r="T12" s="89">
        <f>IF(P12=0,0,VLOOKUP(P12,FREQUENCIAS!1:1048576,(IF(($A12=FREQUENCIAS!$B$1),2,"ERRO")),FREQUENCIAS!1:1048576))</f>
        <v>0.290991</v>
      </c>
      <c r="U12" s="89">
        <f>IF(Q12=0,0,VLOOKUP(Q12,FREQUENCIAS!1:1048576,(IF(($A12=FREQUENCIAS!$B$1),2,"ERRO")),FREQUENCIAS!1:1048576))</f>
        <v>0</v>
      </c>
      <c r="V12" s="133"/>
      <c r="W12" s="134" t="str">
        <f t="shared" ref="W12:W43" si="8">IF(AND((Y12="EXCLUI"),($BE$46=1)),"M?","OK")</f>
        <v>OK</v>
      </c>
      <c r="X12" s="71">
        <f>(IF((A12="   ERRO-FT"),"8",(IF((AND((P12=0),(Q12=0))),0,(IF((R12+S12+T12+U12+V12)&lt;=$Z$10,$Z$10,(R12+S12+T12+U12+V12)))))))</f>
        <v>0.290991</v>
      </c>
      <c r="Y12" s="72">
        <f>IF(SUM(B12:E12)=0,1,(IF((A12="   ERRO-FT"),"19",(IF((AND((P12=0),(Q12=0))),"EXCLUI",(IF(OR((AND(($F12&lt;&gt;$G12),($H12=$I12),(OR(($H12=$F12),($H12=$G12))))),(AND(($F12=$G12),($H12&lt;&gt;$I12),(OR(($F12=$H12),($F12=$I12)))))),(1/(2*$X12)),((IF(((AND(($F12=$H12),($G12=$I12),($F12&lt;&gt;$G12)))),($X12/(4*(IF($R12&lt;&gt;0,$R12,1))*(IF($S12&lt;&gt;0,$S12,1))*(IF($T12&lt;&gt;0,$T12,1))*(IF($U12&lt;&gt;0,$U12,1))*(IF($V12&lt;&gt;0,$V12,1)))),($AC12)))))))))))</f>
        <v>0.85913310033643653</v>
      </c>
      <c r="Z12" s="200">
        <f>IF(SUM(B12:E12)=0,0.5,IF((AND((P12=0),(Q12=0))),0,(Y12/(Y12+1))))</f>
        <v>0.46211489655095928</v>
      </c>
      <c r="AA12" s="135"/>
      <c r="AB12" s="77" t="str">
        <f t="shared" ref="AB12:AB26" si="9">IF((AND((P12=0),(Q12=0))),"EXCLUI",(IF(OR((AND(($F12&lt;&gt;$G12),($H12=$I12),(OR(($H12=$F12),($H12=$G12))))),(AND(($F12=$G12),($H12&lt;&gt;$I12),(OR(($F12=$H12),($F12=$I12)))))),($AD$22),((IF(((AND(($F12=$H12),($G12=$I12),($F12&lt;&gt;$G12)))),($AD$10),($AE12)))))))</f>
        <v>1 / 4F</v>
      </c>
      <c r="AC12" s="97">
        <f t="shared" ref="AC12:AC45" si="10">IF(AND(($F12=$G12),($G12=$H12),($H12=$I12)),(1/$X12),(1/(4*$X12)))</f>
        <v>0.85913310033643653</v>
      </c>
      <c r="AD12" s="97" t="s">
        <v>48</v>
      </c>
      <c r="AE12" s="97" t="str">
        <f t="shared" ref="AE12:AE41" si="11">IF(AND(($F12=$G12),($G12=$H12),($H12=$I12)),($AD$16),($AD$26))</f>
        <v>1 / 4F</v>
      </c>
      <c r="AF12" s="136">
        <f t="shared" ref="AF12:AF26" si="12">(IF((B12=C12),((1-AK12)^2),(1-(AK12+AO12))^2))</f>
        <v>0.25576384436100003</v>
      </c>
      <c r="AH12" s="137">
        <f>IF(B12=0,0,VLOOKUP(B12,FREQUENCIAS!$1:$1048576,(IF(($A12=FREQUENCIAS!$B$1),2,"ERRO")),FREQUENCIAS!$1:$1048576))</f>
        <v>0.290991</v>
      </c>
      <c r="AI12" s="137"/>
      <c r="AJ12" s="137"/>
      <c r="AK12" s="138">
        <f t="shared" ref="AK12:AK26" si="13">SUM(AH12:AJ12)</f>
        <v>0.290991</v>
      </c>
      <c r="AL12" s="137">
        <f>IF(C12=0,0,VLOOKUP(C12,FREQUENCIAS!$1:$1048576,(IF(($A12=FREQUENCIAS!$B$1),2,"ERRO")),FREQUENCIAS!$1:$1048576))</f>
        <v>0.20327799999999999</v>
      </c>
      <c r="AM12" s="137"/>
      <c r="AN12" s="137"/>
      <c r="AO12" s="138">
        <f t="shared" ref="AO12:AO26" si="14">SUM(AL12:AN12)</f>
        <v>0.20327799999999999</v>
      </c>
      <c r="AV12" s="139">
        <f>IF(B12=0,0,VLOOKUP(B12,FREQUENCIAS!$1:$1048576,(IF(($A12=FREQUENCIAS!$B$1),2,"ERRO")),FREQUENCIAS!$1:$1048576))</f>
        <v>0.290991</v>
      </c>
      <c r="AW12" s="139">
        <f>IF(C12=0,0,VLOOKUP(C12,FREQUENCIAS!$1:$1048576,(IF(($A12=FREQUENCIAS!$B$1),2,"ERRO")),FREQUENCIAS!$1:$1048576))</f>
        <v>0.20327799999999999</v>
      </c>
      <c r="AX12" s="139">
        <f>IF(D12=0,0,VLOOKUP(D12,FREQUENCIAS!$1:$1048576,(IF(($A12=FREQUENCIAS!$B$1),2,"ERRO")),FREQUENCIAS!$1:$1048576))</f>
        <v>0.290991</v>
      </c>
      <c r="AY12" s="139">
        <f>IF(E12=0,0,VLOOKUP(E12,FREQUENCIAS!$1:$1048576,(IF(($A12=FREQUENCIAS!$B$1),2,"ERRO")),FREQUENCIAS!$1:$1048576))</f>
        <v>0.27030799999999999</v>
      </c>
      <c r="BD12" s="97">
        <f>IF((AND((F12=H12),(G12=I12))),1,0)</f>
        <v>0</v>
      </c>
      <c r="BE12" s="97">
        <f>IF((Y12="EXCLUI"),1,0)</f>
        <v>0</v>
      </c>
      <c r="BF12" s="140">
        <f t="shared" ref="BF12:BF43" si="15">(IF((AND(($B$46&lt;=1),(Y12&lt;&gt;"EXCLUI"))),Y12,(IF((AND(($B$46&lt;=1),(Y12="EXCLUI"))),$BF$46,0))))</f>
        <v>0.85913310033643653</v>
      </c>
    </row>
    <row r="13" spans="1:58" ht="15" customHeight="1" thickTop="1" thickBot="1">
      <c r="A13" s="88" t="str">
        <f>'IMPORTAÇÃO GENOTIPER'!A6</f>
        <v>D1S1656</v>
      </c>
      <c r="B13" s="125">
        <f>'IMPORTAÇÃO GENOTIPER'!AE6</f>
        <v>15.3</v>
      </c>
      <c r="C13" s="126">
        <f>'IMPORTAÇÃO GENOTIPER'!AM6</f>
        <v>17</v>
      </c>
      <c r="D13" s="126">
        <f>'IMPORTAÇÃO GENOTIPER'!AU6</f>
        <v>16</v>
      </c>
      <c r="E13" s="127">
        <f>'IMPORTAÇÃO GENOTIPER'!BC6</f>
        <v>17</v>
      </c>
      <c r="F13" s="73">
        <f t="shared" si="0"/>
        <v>15.3</v>
      </c>
      <c r="G13" s="73">
        <f t="shared" si="1"/>
        <v>17</v>
      </c>
      <c r="H13" s="73">
        <f t="shared" si="2"/>
        <v>16</v>
      </c>
      <c r="I13" s="73">
        <f t="shared" si="3"/>
        <v>17</v>
      </c>
      <c r="J13" s="141"/>
      <c r="K13" s="141"/>
      <c r="L13" s="141"/>
      <c r="M13" s="142"/>
      <c r="N13" s="141">
        <f t="shared" si="4"/>
        <v>0</v>
      </c>
      <c r="O13" s="141">
        <f t="shared" si="5"/>
        <v>17</v>
      </c>
      <c r="P13" s="143">
        <f t="shared" si="6"/>
        <v>0</v>
      </c>
      <c r="Q13" s="144">
        <f t="shared" si="7"/>
        <v>17</v>
      </c>
      <c r="R13" s="145"/>
      <c r="S13" s="145"/>
      <c r="T13" s="89">
        <f>IF(P13=0,0,VLOOKUP(P13,FREQUENCIAS!1:1048576,(IF(($A13=FREQUENCIAS!$C$1),3,"ERRO")),FREQUENCIAS!1:1048576))</f>
        <v>0</v>
      </c>
      <c r="U13" s="89">
        <f>IF(Q13=0,0,VLOOKUP(Q13,FREQUENCIAS!1:1048576,(IF(($A13=FREQUENCIAS!$C$1),3,"ERRO")),FREQUENCIAS!1:1048576))</f>
        <v>4.1500000000000002E-2</v>
      </c>
      <c r="V13" s="146"/>
      <c r="W13" s="134" t="str">
        <f t="shared" si="8"/>
        <v>OK</v>
      </c>
      <c r="X13" s="74">
        <f>(IF((A13="   ERRO-FT"),"24",(IF((AND((P13=0),(Q13=0))),0,(IF((R13+S13+T13+U13+V13)&lt;=$Z$10,$Z$10,(R13+S13+T13+U13+V13)))))))</f>
        <v>0.05</v>
      </c>
      <c r="Y13" s="75">
        <f t="shared" ref="Y13:Y45" si="16">IF(SUM(B13:E13)=0,1,(IF((A13="   ERRO-FT"),"19",(IF((AND((P13=0),(Q13=0))),"EXCLUI",(IF(OR((AND(($F13&lt;&gt;$G13),($H13=$I13),(OR(($H13=$F13),($H13=$G13))))),(AND(($F13=$G13),($H13&lt;&gt;$I13),(OR(($F13=$H13),($F13=$I13)))))),(1/(2*$X13)),((IF(((AND(($F13=$H13),($G13=$I13),($F13&lt;&gt;$G13)))),($X13/(4*(IF($R13&lt;&gt;0,$R13,1))*(IF($S13&lt;&gt;0,$S13,1))*(IF($T13&lt;&gt;0,$T13,1))*(IF($U13&lt;&gt;0,$U13,1))*(IF($V13&lt;&gt;0,$V13,1)))),($AC13)))))))))))</f>
        <v>5</v>
      </c>
      <c r="Z13" s="200">
        <f t="shared" ref="Z13:Z45" si="17">IF(SUM(B13:E13)=0,0.5,IF((AND((P13=0),(Q13=0))),0,(Y13/(Y13+1))))</f>
        <v>0.83333333333333337</v>
      </c>
      <c r="AA13" s="135"/>
      <c r="AB13" s="78" t="str">
        <f t="shared" si="9"/>
        <v>1 / 4F</v>
      </c>
      <c r="AC13" s="97">
        <f t="shared" si="10"/>
        <v>5</v>
      </c>
      <c r="AE13" s="97" t="str">
        <f t="shared" si="11"/>
        <v>1 / 4F</v>
      </c>
      <c r="AF13" s="136">
        <f t="shared" si="12"/>
        <v>0.83649315999999996</v>
      </c>
      <c r="AH13" s="137">
        <f>IF(B13=0,0,VLOOKUP(B13,FREQUENCIAS!$1:$1048576,(IF(($A13=FREQUENCIAS!$C$1),3,"ERRO")),FREQUENCIAS!$1:$1048576))</f>
        <v>4.3900000000000002E-2</v>
      </c>
      <c r="AI13" s="137"/>
      <c r="AJ13" s="137"/>
      <c r="AK13" s="138">
        <f t="shared" si="13"/>
        <v>4.3900000000000002E-2</v>
      </c>
      <c r="AL13" s="137">
        <f>IF(C13=0,0,VLOOKUP(C13,FREQUENCIAS!$1:$1048576,(IF(($A13=FREQUENCIAS!$C$1),3,"ERRO")),FREQUENCIAS!$1:$1048576))</f>
        <v>4.1500000000000002E-2</v>
      </c>
      <c r="AM13" s="137"/>
      <c r="AN13" s="137"/>
      <c r="AO13" s="138">
        <f t="shared" si="14"/>
        <v>4.1500000000000002E-2</v>
      </c>
      <c r="AV13" s="147">
        <f>IF(B13=0,0,VLOOKUP(B13,FREQUENCIAS!$1:$1048576,(IF(($A13=FREQUENCIAS!$C$1),3,"ERRO")),FREQUENCIAS!$1:$1048576))</f>
        <v>4.3900000000000002E-2</v>
      </c>
      <c r="AW13" s="147">
        <f>IF(C13=0,0,VLOOKUP(C13,FREQUENCIAS!$1:$1048576,(IF(($A13=FREQUENCIAS!$C$1),3,"ERRO")),FREQUENCIAS!$1:$1048576))</f>
        <v>4.1500000000000002E-2</v>
      </c>
      <c r="AX13" s="147">
        <f>IF(D13=0,0,VLOOKUP(D13,FREQUENCIAS!$1:$1048576,(IF(($A13=FREQUENCIAS!$C$1),3,"ERRO")),FREQUENCIAS!$1:$1048576))</f>
        <v>0.1328</v>
      </c>
      <c r="AY13" s="147">
        <f>IF(E13=0,0,VLOOKUP(E13,FREQUENCIAS!$1:$1048576,(IF(($A13=FREQUENCIAS!$C$1),3,"ERRO")),FREQUENCIAS!$1:$1048576))</f>
        <v>4.1500000000000002E-2</v>
      </c>
      <c r="AZ13" s="1">
        <f>IF((B13=35.2),1,0)</f>
        <v>0</v>
      </c>
      <c r="BA13" s="1">
        <f>IF((C13=35.2),1,0)</f>
        <v>0</v>
      </c>
      <c r="BB13" s="1">
        <f>IF((D13=35.2),1,0)</f>
        <v>0</v>
      </c>
      <c r="BC13" s="1">
        <f>IF((E13=35.2),1,0)</f>
        <v>0</v>
      </c>
      <c r="BD13" s="97">
        <f t="shared" ref="BD13:BD45" si="18">IF((AND((F13=H13),(G13=I13))),1,0)</f>
        <v>0</v>
      </c>
      <c r="BE13" s="97">
        <f t="shared" ref="BE13:BE26" si="19">IF((Y13="EXCLUI"),1,0)</f>
        <v>0</v>
      </c>
      <c r="BF13" s="140">
        <f t="shared" si="15"/>
        <v>5</v>
      </c>
    </row>
    <row r="14" spans="1:58" ht="15" customHeight="1" thickTop="1" thickBot="1">
      <c r="A14" s="88" t="str">
        <f>'IMPORTAÇÃO GENOTIPER'!A7</f>
        <v>D2S441</v>
      </c>
      <c r="B14" s="125">
        <f>'IMPORTAÇÃO GENOTIPER'!AE7</f>
        <v>10</v>
      </c>
      <c r="C14" s="126">
        <f>'IMPORTAÇÃO GENOTIPER'!AM7</f>
        <v>11</v>
      </c>
      <c r="D14" s="126">
        <f>'IMPORTAÇÃO GENOTIPER'!AU7</f>
        <v>10</v>
      </c>
      <c r="E14" s="127">
        <f>'IMPORTAÇÃO GENOTIPER'!BC7</f>
        <v>11</v>
      </c>
      <c r="F14" s="73">
        <f t="shared" si="0"/>
        <v>10</v>
      </c>
      <c r="G14" s="73">
        <f t="shared" si="1"/>
        <v>11</v>
      </c>
      <c r="H14" s="73">
        <f t="shared" si="2"/>
        <v>10</v>
      </c>
      <c r="I14" s="73">
        <f t="shared" si="3"/>
        <v>11</v>
      </c>
      <c r="J14" s="141"/>
      <c r="K14" s="141"/>
      <c r="L14" s="141"/>
      <c r="M14" s="142"/>
      <c r="N14" s="141">
        <f t="shared" si="4"/>
        <v>10</v>
      </c>
      <c r="O14" s="141">
        <f t="shared" si="5"/>
        <v>11</v>
      </c>
      <c r="P14" s="143">
        <f t="shared" si="6"/>
        <v>10</v>
      </c>
      <c r="Q14" s="144">
        <f t="shared" si="7"/>
        <v>11</v>
      </c>
      <c r="R14" s="145"/>
      <c r="S14" s="145"/>
      <c r="T14" s="89">
        <f>IF(P14=0,0,VLOOKUP(P14,FREQUENCIAS!1:1048576,(IF(($A14=FREQUENCIAS!$D$1),4,"ERRO")),FREQUENCIAS!1:1048576))</f>
        <v>0.2611</v>
      </c>
      <c r="U14" s="89">
        <f>IF(Q14=0,0,VLOOKUP(Q14,FREQUENCIAS!1:1048576,(IF(($A14=FREQUENCIAS!$D$1),4,"ERRO")),FREQUENCIAS!1:1048576))</f>
        <v>0.28860000000000002</v>
      </c>
      <c r="V14" s="146"/>
      <c r="W14" s="134" t="str">
        <f t="shared" si="8"/>
        <v>OK</v>
      </c>
      <c r="X14" s="74">
        <f>(IF((A14="   ERRO-FT"),"6",(IF((AND((P14=0),(Q14=0))),0,(IF((R14+S14+T14+U14+V14)&lt;=$Z$10,$Z$10,(R14+S14+T14+U14+V14)))))))</f>
        <v>0.54970000000000008</v>
      </c>
      <c r="Y14" s="75">
        <f t="shared" si="16"/>
        <v>1.8237384189126817</v>
      </c>
      <c r="Z14" s="200">
        <f t="shared" si="17"/>
        <v>0.64585954800124035</v>
      </c>
      <c r="AA14" s="135"/>
      <c r="AB14" s="78" t="str">
        <f t="shared" si="9"/>
        <v>F/(4pq)</v>
      </c>
      <c r="AC14" s="97">
        <f t="shared" si="10"/>
        <v>0.45479352374022186</v>
      </c>
      <c r="AE14" s="97" t="str">
        <f t="shared" si="11"/>
        <v>1 / 4F</v>
      </c>
      <c r="AF14" s="136">
        <f t="shared" si="12"/>
        <v>0.20277008999999993</v>
      </c>
      <c r="AH14" s="137">
        <f>IF(B14=0,0,VLOOKUP(B14,FREQUENCIAS!$1:$1048576,(IF(($A14=FREQUENCIAS!$D$1),4,"ERRO")),FREQUENCIAS!$1:$1048576))</f>
        <v>0.2611</v>
      </c>
      <c r="AI14" s="137"/>
      <c r="AJ14" s="137"/>
      <c r="AK14" s="138">
        <f t="shared" si="13"/>
        <v>0.2611</v>
      </c>
      <c r="AL14" s="137">
        <f>IF(C14=0,0,VLOOKUP(C14,FREQUENCIAS!$1:$1048576,(IF(($A14=FREQUENCIAS!$D$1),4,"ERRO")),FREQUENCIAS!$1:$1048576))</f>
        <v>0.28860000000000002</v>
      </c>
      <c r="AM14" s="137"/>
      <c r="AN14" s="137"/>
      <c r="AO14" s="138">
        <f t="shared" si="14"/>
        <v>0.28860000000000002</v>
      </c>
      <c r="AV14" s="147">
        <f>IF(B14=0,0,VLOOKUP(B14,FREQUENCIAS!$1:$1048576,(IF(($A14=FREQUENCIAS!$D$1),4,"ERRO")),FREQUENCIAS!$1:$1048576))</f>
        <v>0.2611</v>
      </c>
      <c r="AW14" s="147">
        <f>IF(C14=0,0,VLOOKUP(C14,FREQUENCIAS!$1:$1048576,(IF(($A14=FREQUENCIAS!$D$1),4,"ERRO")),FREQUENCIAS!$1:$1048576))</f>
        <v>0.28860000000000002</v>
      </c>
      <c r="AX14" s="147">
        <f>IF(D14=0,0,VLOOKUP(D14,FREQUENCIAS!$1:$1048576,(IF(($A14=FREQUENCIAS!$D$1),4,"ERRO")),FREQUENCIAS!$1:$1048576))</f>
        <v>0.2611</v>
      </c>
      <c r="AY14" s="147">
        <f>IF(E14=0,0,VLOOKUP(E14,FREQUENCIAS!$1:$1048576,(IF(($A14=FREQUENCIAS!$D$1),4,"ERRO")),FREQUENCIAS!$1:$1048576))</f>
        <v>0.28860000000000002</v>
      </c>
      <c r="BD14" s="97">
        <f t="shared" si="18"/>
        <v>1</v>
      </c>
      <c r="BE14" s="97">
        <f t="shared" si="19"/>
        <v>0</v>
      </c>
      <c r="BF14" s="140">
        <f t="shared" si="15"/>
        <v>1.8237384189126817</v>
      </c>
    </row>
    <row r="15" spans="1:58" ht="15" customHeight="1" thickTop="1" thickBot="1">
      <c r="A15" s="88" t="str">
        <f>'IMPORTAÇÃO GENOTIPER'!A8</f>
        <v>D10S1248</v>
      </c>
      <c r="B15" s="125">
        <f>'IMPORTAÇÃO GENOTIPER'!AE8</f>
        <v>14</v>
      </c>
      <c r="C15" s="126">
        <f>'IMPORTAÇÃO GENOTIPER'!AM8</f>
        <v>15</v>
      </c>
      <c r="D15" s="126">
        <f>'IMPORTAÇÃO GENOTIPER'!AU8</f>
        <v>13</v>
      </c>
      <c r="E15" s="127">
        <f>'IMPORTAÇÃO GENOTIPER'!BC8</f>
        <v>14</v>
      </c>
      <c r="F15" s="73">
        <f t="shared" si="0"/>
        <v>14</v>
      </c>
      <c r="G15" s="73">
        <f t="shared" si="1"/>
        <v>15</v>
      </c>
      <c r="H15" s="73">
        <f t="shared" si="2"/>
        <v>13</v>
      </c>
      <c r="I15" s="73">
        <f t="shared" si="3"/>
        <v>14</v>
      </c>
      <c r="J15" s="141"/>
      <c r="K15" s="141"/>
      <c r="L15" s="141"/>
      <c r="M15" s="141"/>
      <c r="N15" s="141">
        <f t="shared" si="4"/>
        <v>0</v>
      </c>
      <c r="O15" s="141">
        <f t="shared" si="5"/>
        <v>14</v>
      </c>
      <c r="P15" s="143">
        <f t="shared" si="6"/>
        <v>0</v>
      </c>
      <c r="Q15" s="144">
        <f t="shared" si="7"/>
        <v>14</v>
      </c>
      <c r="R15" s="145"/>
      <c r="S15" s="145"/>
      <c r="T15" s="90">
        <f>IF(P15=0,0,VLOOKUP(P15,FREQUENCIAS!1:1048576,(IF(($A15=FREQUENCIAS!$E$1),5,"ERRO")),FREQUENCIAS!1:1048576))</f>
        <v>0</v>
      </c>
      <c r="U15" s="90">
        <f>IF(Q15=0,0,VLOOKUP(Q15,FREQUENCIAS!1:1048576,(IF(($A15=FREQUENCIAS!$E$1),5,"ERRO")),FREQUENCIAS!1:1048576))</f>
        <v>0.30480000000000002</v>
      </c>
      <c r="V15" s="146"/>
      <c r="W15" s="134" t="str">
        <f t="shared" si="8"/>
        <v>OK</v>
      </c>
      <c r="X15" s="74">
        <f>(IF((A15="   ERRO-FT"),"6",(IF((AND((P15=0),(Q15=0))),0,(IF((R15+S15+T15+U15+V15)&lt;=$Z$10,$Z$10,(R15+S15+T15+U15+V15)))))))</f>
        <v>0.30480000000000002</v>
      </c>
      <c r="Y15" s="75">
        <f t="shared" si="16"/>
        <v>0.82020997375328075</v>
      </c>
      <c r="Z15" s="200">
        <f t="shared" si="17"/>
        <v>0.45061283345349668</v>
      </c>
      <c r="AA15" s="135"/>
      <c r="AB15" s="78" t="str">
        <f t="shared" si="9"/>
        <v>1 / 4F</v>
      </c>
      <c r="AC15" s="97">
        <f t="shared" si="10"/>
        <v>0.82020997375328075</v>
      </c>
      <c r="AE15" s="97" t="str">
        <f t="shared" si="11"/>
        <v>1 / 4F</v>
      </c>
      <c r="AF15" s="136">
        <f t="shared" si="12"/>
        <v>0.23522499999999999</v>
      </c>
      <c r="AH15" s="148">
        <f>IF(B15=0,0,VLOOKUP(B15,FREQUENCIAS!$1:$1048576,(IF(($A15=FREQUENCIAS!$E$1),5,"ERRO")),FREQUENCIAS!$1:$1048576))</f>
        <v>0.30480000000000002</v>
      </c>
      <c r="AI15" s="148"/>
      <c r="AJ15" s="148"/>
      <c r="AK15" s="138">
        <f t="shared" si="13"/>
        <v>0.30480000000000002</v>
      </c>
      <c r="AL15" s="148">
        <f>IF(C15=0,0,VLOOKUP(C15,FREQUENCIAS!$1:$1048576,(IF(($A15=FREQUENCIAS!$E$1),5,"ERRO")),FREQUENCIAS!$1:$1048576))</f>
        <v>0.2102</v>
      </c>
      <c r="AM15" s="148"/>
      <c r="AN15" s="148"/>
      <c r="AO15" s="138">
        <f t="shared" si="14"/>
        <v>0.2102</v>
      </c>
      <c r="AV15" s="147">
        <f>IF(B15=0,0,VLOOKUP(B15,FREQUENCIAS!$1:$1048576,(IF(($A15=FREQUENCIAS!$E$1),5,"ERRO")),FREQUENCIAS!$1:$1048576))</f>
        <v>0.30480000000000002</v>
      </c>
      <c r="AW15" s="147">
        <f>IF(C15=0,0,VLOOKUP(C15,FREQUENCIAS!$1:$1048576,(IF(($A15=FREQUENCIAS!$E$1),5,"ERRO")),FREQUENCIAS!$1:$1048576))</f>
        <v>0.2102</v>
      </c>
      <c r="AX15" s="147">
        <f>IF(D15=0,0,VLOOKUP(D15,FREQUENCIAS!$1:$1048576,(IF(($A15=FREQUENCIAS!$E$1),5,"ERRO")),FREQUENCIAS!$1:$1048576))</f>
        <v>0.27010000000000001</v>
      </c>
      <c r="AY15" s="147">
        <f>IF(E15=0,0,VLOOKUP(E15,FREQUENCIAS!$1:$1048576,(IF(($A15=FREQUENCIAS!$E$1),5,"ERRO")),FREQUENCIAS!$1:$1048576))</f>
        <v>0.30480000000000002</v>
      </c>
      <c r="BD15" s="97">
        <f t="shared" si="18"/>
        <v>0</v>
      </c>
      <c r="BE15" s="97">
        <f t="shared" si="19"/>
        <v>0</v>
      </c>
      <c r="BF15" s="140">
        <f t="shared" si="15"/>
        <v>0.82020997375328075</v>
      </c>
    </row>
    <row r="16" spans="1:58" ht="15" customHeight="1" thickTop="1" thickBot="1">
      <c r="A16" s="88" t="str">
        <f>'IMPORTAÇÃO GENOTIPER'!A9</f>
        <v>D13S317</v>
      </c>
      <c r="B16" s="125">
        <f>'IMPORTAÇÃO GENOTIPER'!AE9</f>
        <v>12</v>
      </c>
      <c r="C16" s="126">
        <f>'IMPORTAÇÃO GENOTIPER'!AM9</f>
        <v>14</v>
      </c>
      <c r="D16" s="126">
        <f>'IMPORTAÇÃO GENOTIPER'!AU9</f>
        <v>13</v>
      </c>
      <c r="E16" s="127">
        <f>'IMPORTAÇÃO GENOTIPER'!BC9</f>
        <v>14</v>
      </c>
      <c r="F16" s="73">
        <f t="shared" si="0"/>
        <v>12</v>
      </c>
      <c r="G16" s="73">
        <f t="shared" si="1"/>
        <v>14</v>
      </c>
      <c r="H16" s="73">
        <f t="shared" si="2"/>
        <v>13</v>
      </c>
      <c r="I16" s="73">
        <f t="shared" si="3"/>
        <v>14</v>
      </c>
      <c r="J16" s="141"/>
      <c r="K16" s="141"/>
      <c r="L16" s="141"/>
      <c r="M16" s="142"/>
      <c r="N16" s="141">
        <f t="shared" si="4"/>
        <v>0</v>
      </c>
      <c r="O16" s="141">
        <f t="shared" si="5"/>
        <v>14</v>
      </c>
      <c r="P16" s="143">
        <f t="shared" si="6"/>
        <v>0</v>
      </c>
      <c r="Q16" s="144">
        <f t="shared" si="7"/>
        <v>14</v>
      </c>
      <c r="R16" s="145"/>
      <c r="S16" s="145"/>
      <c r="T16" s="89">
        <f>IF(P16=0,0,VLOOKUP(P16,FREQUENCIAS!1:1048576,(IF(($A16=FREQUENCIAS!$F$1),6,"ERRO")),FREQUENCIAS!1:1048576))</f>
        <v>0</v>
      </c>
      <c r="U16" s="89">
        <f>IF(Q16=0,0,VLOOKUP(Q16,FREQUENCIAS!1:1048576,(IF(($A16=FREQUENCIAS!$F$1),6,"ERRO")),FREQUENCIAS!1:1048576))</f>
        <v>4.8228E-2</v>
      </c>
      <c r="V16" s="146"/>
      <c r="W16" s="134" t="str">
        <f t="shared" si="8"/>
        <v>OK</v>
      </c>
      <c r="X16" s="74">
        <f>(IF((A16="   ERRO-FT"),"12",(IF((AND((P16=0),(Q16=0))),0,(IF((R16+S16+T16+U16+V16)&lt;=$Z$10,$Z$10,(R16+S16+T16+U16+V16)))))))</f>
        <v>0.05</v>
      </c>
      <c r="Y16" s="75">
        <f t="shared" si="16"/>
        <v>5</v>
      </c>
      <c r="Z16" s="200">
        <f t="shared" si="17"/>
        <v>0.83333333333333337</v>
      </c>
      <c r="AA16" s="135"/>
      <c r="AB16" s="78" t="str">
        <f t="shared" si="9"/>
        <v>1 / 4F</v>
      </c>
      <c r="AC16" s="97">
        <f t="shared" si="10"/>
        <v>5</v>
      </c>
      <c r="AD16" s="97" t="s">
        <v>46</v>
      </c>
      <c r="AE16" s="97" t="str">
        <f t="shared" si="11"/>
        <v>1 / 4F</v>
      </c>
      <c r="AF16" s="136">
        <f t="shared" si="12"/>
        <v>0.43348002566400012</v>
      </c>
      <c r="AH16" s="137">
        <f>IF(B16=0,0,VLOOKUP(B16,FREQUENCIAS!$1:$1048576,(IF(($A16=FREQUENCIAS!$F$1),6,"ERRO")),FREQUENCIAS!$1:$1048576))</f>
        <v>0.29337999999999997</v>
      </c>
      <c r="AI16" s="137"/>
      <c r="AJ16" s="137"/>
      <c r="AK16" s="138">
        <f t="shared" si="13"/>
        <v>0.29337999999999997</v>
      </c>
      <c r="AL16" s="137">
        <f>IF(C16=0,0,VLOOKUP(C16,FREQUENCIAS!$1:$1048576,(IF(($A16=FREQUENCIAS!$F$1),6,"ERRO")),FREQUENCIAS!$1:$1048576))</f>
        <v>4.8228E-2</v>
      </c>
      <c r="AM16" s="137"/>
      <c r="AN16" s="137"/>
      <c r="AO16" s="138">
        <f t="shared" si="14"/>
        <v>4.8228E-2</v>
      </c>
      <c r="AV16" s="147">
        <f>IF(B16=0,0,VLOOKUP(B16,FREQUENCIAS!$1:$1048576,(IF(($A16=FREQUENCIAS!$F$1),6,"ERRO")),FREQUENCIAS!$1:$1048576))</f>
        <v>0.29337999999999997</v>
      </c>
      <c r="AW16" s="147">
        <f>IF(C16=0,0,VLOOKUP(C16,FREQUENCIAS!$1:$1048576,(IF(($A16=FREQUENCIAS!$F$1),6,"ERRO")),FREQUENCIAS!$1:$1048576))</f>
        <v>4.8228E-2</v>
      </c>
      <c r="AX16" s="147">
        <f>IF(D16=0,0,VLOOKUP(D16,FREQUENCIAS!$1:$1048576,(IF(($A16=FREQUENCIAS!$F$1),6,"ERRO")),FREQUENCIAS!$1:$1048576))</f>
        <v>0.12642100000000001</v>
      </c>
      <c r="AY16" s="147">
        <f>IF(E16=0,0,VLOOKUP(E16,FREQUENCIAS!$1:$1048576,(IF(($A16=FREQUENCIAS!$F$1),6,"ERRO")),FREQUENCIAS!$1:$1048576))</f>
        <v>4.8228E-2</v>
      </c>
      <c r="BD16" s="97">
        <f t="shared" si="18"/>
        <v>0</v>
      </c>
      <c r="BE16" s="97">
        <f t="shared" si="19"/>
        <v>0</v>
      </c>
      <c r="BF16" s="140">
        <f t="shared" si="15"/>
        <v>5</v>
      </c>
    </row>
    <row r="17" spans="1:58" ht="15" customHeight="1" thickTop="1" thickBot="1">
      <c r="A17" s="88" t="str">
        <f>'IMPORTAÇÃO GENOTIPER'!A10</f>
        <v>Penta_E</v>
      </c>
      <c r="B17" s="125">
        <f>'IMPORTAÇÃO GENOTIPER'!AE10</f>
        <v>12</v>
      </c>
      <c r="C17" s="126">
        <f>'IMPORTAÇÃO GENOTIPER'!AM10</f>
        <v>13</v>
      </c>
      <c r="D17" s="126">
        <f>'IMPORTAÇÃO GENOTIPER'!AU10</f>
        <v>12</v>
      </c>
      <c r="E17" s="127">
        <f>'IMPORTAÇÃO GENOTIPER'!BC10</f>
        <v>13</v>
      </c>
      <c r="F17" s="73">
        <f t="shared" si="0"/>
        <v>12</v>
      </c>
      <c r="G17" s="73">
        <f t="shared" si="1"/>
        <v>13</v>
      </c>
      <c r="H17" s="73">
        <f t="shared" si="2"/>
        <v>12</v>
      </c>
      <c r="I17" s="73">
        <f t="shared" si="3"/>
        <v>13</v>
      </c>
      <c r="J17" s="141"/>
      <c r="K17" s="141"/>
      <c r="L17" s="141"/>
      <c r="M17" s="142"/>
      <c r="N17" s="141">
        <f t="shared" si="4"/>
        <v>12</v>
      </c>
      <c r="O17" s="141">
        <f t="shared" si="5"/>
        <v>13</v>
      </c>
      <c r="P17" s="143">
        <f t="shared" si="6"/>
        <v>12</v>
      </c>
      <c r="Q17" s="144">
        <f t="shared" si="7"/>
        <v>13</v>
      </c>
      <c r="R17" s="145"/>
      <c r="S17" s="145"/>
      <c r="T17" s="89">
        <f>IF(P17=0,0,VLOOKUP(P17,FREQUENCIAS!1:1048576,(IF(($A17=FREQUENCIAS!$G$1),7,"ERRO")),FREQUENCIAS!1:1048576))</f>
        <v>1.6804900000000001E-2</v>
      </c>
      <c r="U17" s="89">
        <f>IF(Q17=0,0,VLOOKUP(Q17,FREQUENCIAS!1:1048576,(IF(($A17=FREQUENCIAS!$G$1),7,"ERRO")),FREQUENCIAS!1:1048576))</f>
        <v>0.112971</v>
      </c>
      <c r="V17" s="146"/>
      <c r="W17" s="134" t="str">
        <f t="shared" si="8"/>
        <v>OK</v>
      </c>
      <c r="X17" s="74">
        <f>(IF((A17="   ERRO-FT"),"4",(IF((AND((P17=0),(Q17=0))),0,(IF((R17+S17+T17+U17+V17)&lt;=$Z$10,$Z$10,(R17+S17+T17+U17+V17)))))))</f>
        <v>0.1297759</v>
      </c>
      <c r="Y17" s="75">
        <f t="shared" si="16"/>
        <v>17.089570676347456</v>
      </c>
      <c r="Z17" s="200">
        <f t="shared" si="17"/>
        <v>0.94471952829109851</v>
      </c>
      <c r="AA17" s="135"/>
      <c r="AB17" s="78" t="str">
        <f t="shared" si="9"/>
        <v>F/(4pq)</v>
      </c>
      <c r="AC17" s="97">
        <f t="shared" si="10"/>
        <v>1.9263977364056037</v>
      </c>
      <c r="AE17" s="97" t="str">
        <f t="shared" si="11"/>
        <v>1 / 4F</v>
      </c>
      <c r="AF17" s="136">
        <f t="shared" si="12"/>
        <v>0.75728998422080995</v>
      </c>
      <c r="AH17" s="137">
        <f>IF(B17=0,0,VLOOKUP(B17,FREQUENCIAS!$1:$1048576,(IF(($A17=FREQUENCIAS!$G$1),7,"ERRO")),FREQUENCIAS!$1:$1048576))</f>
        <v>1.6804900000000001E-2</v>
      </c>
      <c r="AI17" s="137"/>
      <c r="AJ17" s="137"/>
      <c r="AK17" s="138">
        <f t="shared" si="13"/>
        <v>1.6804900000000001E-2</v>
      </c>
      <c r="AL17" s="137">
        <f>IF(C17=0,0,VLOOKUP(C17,FREQUENCIAS!$1:$1048576,(IF(($A17=FREQUENCIAS!$G$1),7,"ERRO")),FREQUENCIAS!$1:$1048576))</f>
        <v>0.112971</v>
      </c>
      <c r="AM17" s="137"/>
      <c r="AN17" s="137"/>
      <c r="AO17" s="138">
        <f t="shared" si="14"/>
        <v>0.112971</v>
      </c>
      <c r="AV17" s="147">
        <f>IF(B17=0,0,VLOOKUP(B17,FREQUENCIAS!$1:$1048576,(IF(($A17=FREQUENCIAS!$G$1),7,"ERRO")),FREQUENCIAS!$1:$1048576))</f>
        <v>1.6804900000000001E-2</v>
      </c>
      <c r="AW17" s="147">
        <f>IF(C17=0,0,VLOOKUP(C17,FREQUENCIAS!$1:$1048576,(IF(($A17=FREQUENCIAS!$G$1),7,"ERRO")),FREQUENCIAS!$1:$1048576))</f>
        <v>0.112971</v>
      </c>
      <c r="AX17" s="147">
        <f>IF(D17=0,0,VLOOKUP(D17,FREQUENCIAS!$1:$1048576,(IF(($A17=FREQUENCIAS!$G$1),7,"ERRO")),FREQUENCIAS!$1:$1048576))</f>
        <v>1.6804900000000001E-2</v>
      </c>
      <c r="AY17" s="147">
        <f>IF(E17=0,0,VLOOKUP(E17,FREQUENCIAS!$1:$1048576,(IF(($A17=FREQUENCIAS!$G$1),7,"ERRO")),FREQUENCIAS!$1:$1048576))</f>
        <v>0.112971</v>
      </c>
      <c r="BD17" s="97">
        <f t="shared" si="18"/>
        <v>1</v>
      </c>
      <c r="BE17" s="97">
        <f t="shared" si="19"/>
        <v>0</v>
      </c>
      <c r="BF17" s="140">
        <f t="shared" si="15"/>
        <v>17.089570676347456</v>
      </c>
    </row>
    <row r="18" spans="1:58" ht="15" customHeight="1" thickTop="1" thickBot="1">
      <c r="A18" s="88" t="str">
        <f>'IMPORTAÇÃO GENOTIPER'!A11</f>
        <v>D16S539</v>
      </c>
      <c r="B18" s="125">
        <f>'IMPORTAÇÃO GENOTIPER'!AE11</f>
        <v>10</v>
      </c>
      <c r="C18" s="126">
        <f>'IMPORTAÇÃO GENOTIPER'!AM11</f>
        <v>12</v>
      </c>
      <c r="D18" s="126">
        <f>'IMPORTAÇÃO GENOTIPER'!AU11</f>
        <v>9</v>
      </c>
      <c r="E18" s="127">
        <f>'IMPORTAÇÃO GENOTIPER'!BC11</f>
        <v>12</v>
      </c>
      <c r="F18" s="73">
        <f t="shared" si="0"/>
        <v>10</v>
      </c>
      <c r="G18" s="73">
        <f t="shared" si="1"/>
        <v>12</v>
      </c>
      <c r="H18" s="73">
        <f t="shared" si="2"/>
        <v>9</v>
      </c>
      <c r="I18" s="73">
        <f t="shared" si="3"/>
        <v>12</v>
      </c>
      <c r="J18" s="141"/>
      <c r="K18" s="141"/>
      <c r="L18" s="141"/>
      <c r="M18" s="142"/>
      <c r="N18" s="141">
        <f t="shared" si="4"/>
        <v>0</v>
      </c>
      <c r="O18" s="141">
        <f t="shared" si="5"/>
        <v>12</v>
      </c>
      <c r="P18" s="143">
        <f t="shared" si="6"/>
        <v>0</v>
      </c>
      <c r="Q18" s="144">
        <f t="shared" si="7"/>
        <v>12</v>
      </c>
      <c r="R18" s="145"/>
      <c r="S18" s="145"/>
      <c r="T18" s="89">
        <f>IF(P18=0,0,VLOOKUP(P18,FREQUENCIAS!1:1048576,(IF(($A18=FREQUENCIAS!$H$1),8,"ERRO")),FREQUENCIAS!1:1048576))</f>
        <v>0</v>
      </c>
      <c r="U18" s="89">
        <f>IF(Q18=0,0,VLOOKUP(Q18,FREQUENCIAS!1:1048576,(IF(($A18=FREQUENCIAS!$H$1),8,"ERRO")),FREQUENCIAS!1:1048576))</f>
        <v>0.25604300000000002</v>
      </c>
      <c r="V18" s="146"/>
      <c r="W18" s="134" t="str">
        <f t="shared" si="8"/>
        <v>OK</v>
      </c>
      <c r="X18" s="74">
        <f>(IF((A18="   ERRO-FT"),"8",(IF((AND((P18=0),(Q18=0))),0,(IF((R18+S18+T18+U18+V18)&lt;=$Z$10,$Z$10,(R18+S18+T18+U18+V18)))))))</f>
        <v>0.25604300000000002</v>
      </c>
      <c r="Y18" s="75">
        <f t="shared" si="16"/>
        <v>0.97639849556519798</v>
      </c>
      <c r="Z18" s="200">
        <f t="shared" si="17"/>
        <v>0.49402916352958148</v>
      </c>
      <c r="AA18" s="135"/>
      <c r="AB18" s="78" t="str">
        <f t="shared" si="9"/>
        <v>1 / 4F</v>
      </c>
      <c r="AC18" s="97">
        <f t="shared" si="10"/>
        <v>0.97639849556519798</v>
      </c>
      <c r="AE18" s="97" t="str">
        <f t="shared" si="11"/>
        <v>1 / 4F</v>
      </c>
      <c r="AF18" s="136">
        <f t="shared" si="12"/>
        <v>0.42974711360099999</v>
      </c>
      <c r="AH18" s="137">
        <f>IF(B18=0,0,VLOOKUP(B18,FREQUENCIAS!$1:$1048576,(IF(($A18=FREQUENCIAS!$H$1),8,"ERRO")),FREQUENCIAS!$1:$1048576))</f>
        <v>8.8405999999999998E-2</v>
      </c>
      <c r="AI18" s="137"/>
      <c r="AJ18" s="137"/>
      <c r="AK18" s="138">
        <f t="shared" si="13"/>
        <v>8.8405999999999998E-2</v>
      </c>
      <c r="AL18" s="137">
        <f>IF(C18=0,0,VLOOKUP(C18,FREQUENCIAS!$1:$1048576,(IF(($A18=FREQUENCIAS!$H$1),8,"ERRO")),FREQUENCIAS!$1:$1048576))</f>
        <v>0.25604300000000002</v>
      </c>
      <c r="AM18" s="137"/>
      <c r="AN18" s="137"/>
      <c r="AO18" s="138">
        <f t="shared" si="14"/>
        <v>0.25604300000000002</v>
      </c>
      <c r="AV18" s="147">
        <f>IF(B18=0,0,VLOOKUP(B18,FREQUENCIAS!$1:$1048576,(IF(($A18=FREQUENCIAS!$H$1),8,"ERRO")),FREQUENCIAS!$1:$1048576))</f>
        <v>8.8405999999999998E-2</v>
      </c>
      <c r="AW18" s="147">
        <f>IF(C18=0,0,VLOOKUP(C18,FREQUENCIAS!$1:$1048576,(IF(($A18=FREQUENCIAS!$H$1),8,"ERRO")),FREQUENCIAS!$1:$1048576))</f>
        <v>0.25604300000000002</v>
      </c>
      <c r="AX18" s="147">
        <f>IF(D18=0,0,VLOOKUP(D18,FREQUENCIAS!$1:$1048576,(IF(($A18=FREQUENCIAS!$H$1),8,"ERRO")),FREQUENCIAS!$1:$1048576))</f>
        <v>0.160298</v>
      </c>
      <c r="AY18" s="147">
        <f>IF(E18=0,0,VLOOKUP(E18,FREQUENCIAS!$1:$1048576,(IF(($A18=FREQUENCIAS!$H$1),8,"ERRO")),FREQUENCIAS!$1:$1048576))</f>
        <v>0.25604300000000002</v>
      </c>
      <c r="BD18" s="97">
        <f t="shared" si="18"/>
        <v>0</v>
      </c>
      <c r="BE18" s="97">
        <f t="shared" si="19"/>
        <v>0</v>
      </c>
      <c r="BF18" s="140">
        <f t="shared" si="15"/>
        <v>0.97639849556519798</v>
      </c>
    </row>
    <row r="19" spans="1:58" ht="15" customHeight="1" thickTop="1" thickBot="1">
      <c r="A19" s="88" t="str">
        <f>'IMPORTAÇÃO GENOTIPER'!A12</f>
        <v>D18S51</v>
      </c>
      <c r="B19" s="125">
        <f>'IMPORTAÇÃO GENOTIPER'!AE12</f>
        <v>15</v>
      </c>
      <c r="C19" s="126">
        <f>'IMPORTAÇÃO GENOTIPER'!AM12</f>
        <v>16</v>
      </c>
      <c r="D19" s="126">
        <f>'IMPORTAÇÃO GENOTIPER'!AU12</f>
        <v>15</v>
      </c>
      <c r="E19" s="127">
        <f>'IMPORTAÇÃO GENOTIPER'!BC12</f>
        <v>18</v>
      </c>
      <c r="F19" s="73">
        <f t="shared" si="0"/>
        <v>15</v>
      </c>
      <c r="G19" s="73">
        <f t="shared" si="1"/>
        <v>16</v>
      </c>
      <c r="H19" s="73">
        <f t="shared" si="2"/>
        <v>15</v>
      </c>
      <c r="I19" s="73">
        <f t="shared" si="3"/>
        <v>18</v>
      </c>
      <c r="J19" s="141"/>
      <c r="K19" s="141"/>
      <c r="L19" s="141"/>
      <c r="M19" s="142"/>
      <c r="N19" s="141">
        <f t="shared" si="4"/>
        <v>15</v>
      </c>
      <c r="O19" s="141">
        <f t="shared" si="5"/>
        <v>0</v>
      </c>
      <c r="P19" s="143">
        <f t="shared" si="6"/>
        <v>15</v>
      </c>
      <c r="Q19" s="144">
        <f t="shared" si="7"/>
        <v>0</v>
      </c>
      <c r="R19" s="145"/>
      <c r="S19" s="145"/>
      <c r="T19" s="89">
        <f>IF(P19=0,0,VLOOKUP(P19,FREQUENCIAS!1:1048576,(IF(($A19=FREQUENCIAS!$I$1),9,"ERRO")),FREQUENCIAS!1:1048576))</f>
        <v>0.15221299999999999</v>
      </c>
      <c r="U19" s="89">
        <f>IF(Q19=0,0,VLOOKUP(Q19,FREQUENCIAS!1:1048576,(IF(($A19=FREQUENCIAS!$I$1),9,"ERRO")),FREQUENCIAS!1:1048576))</f>
        <v>0</v>
      </c>
      <c r="V19" s="146"/>
      <c r="W19" s="134" t="str">
        <f t="shared" si="8"/>
        <v>OK</v>
      </c>
      <c r="X19" s="74">
        <f>(IF((A19="   ERRO-FT"),"5",(IF((AND((P19=0),(Q19=0))),0,(IF((R19+S19+T19+U19+V19)&lt;=$Z$10,$Z$10,(R19+S19+T19+U19+V19)))))))</f>
        <v>0.15221299999999999</v>
      </c>
      <c r="Y19" s="75">
        <f t="shared" si="16"/>
        <v>1.6424352716259454</v>
      </c>
      <c r="Z19" s="200">
        <f t="shared" si="17"/>
        <v>0.62156121259133834</v>
      </c>
      <c r="AA19" s="135"/>
      <c r="AB19" s="78" t="str">
        <f t="shared" si="9"/>
        <v>1 / 4F</v>
      </c>
      <c r="AC19" s="97">
        <f t="shared" si="10"/>
        <v>1.6424352716259454</v>
      </c>
      <c r="AE19" s="97" t="str">
        <f t="shared" si="11"/>
        <v>1 / 4F</v>
      </c>
      <c r="AF19" s="136">
        <f t="shared" si="12"/>
        <v>0.49463089000000005</v>
      </c>
      <c r="AH19" s="137">
        <f>IF(B19=0,0,VLOOKUP(B19,FREQUENCIAS!$1:$1048576,(IF(($A19=FREQUENCIAS!$I$1),9,"ERRO")),FREQUENCIAS!$1:$1048576))</f>
        <v>0.15221299999999999</v>
      </c>
      <c r="AI19" s="137"/>
      <c r="AJ19" s="137"/>
      <c r="AK19" s="138">
        <f t="shared" si="13"/>
        <v>0.15221299999999999</v>
      </c>
      <c r="AL19" s="137">
        <f>IF(C19=0,0,VLOOKUP(C19,FREQUENCIAS!$1:$1048576,(IF(($A19=FREQUENCIAS!$I$1),9,"ERRO")),FREQUENCIAS!$1:$1048576))</f>
        <v>0.144487</v>
      </c>
      <c r="AM19" s="137"/>
      <c r="AN19" s="137"/>
      <c r="AO19" s="138">
        <f t="shared" si="14"/>
        <v>0.144487</v>
      </c>
      <c r="AV19" s="147">
        <f>IF(B19=0,0,VLOOKUP(B19,FREQUENCIAS!$1:$1048576,(IF(($A19=FREQUENCIAS!$I$1),9,"ERRO")),FREQUENCIAS!$1:$1048576))</f>
        <v>0.15221299999999999</v>
      </c>
      <c r="AW19" s="147">
        <f>IF(C19=0,0,VLOOKUP(C19,FREQUENCIAS!$1:$1048576,(IF(($A19=FREQUENCIAS!$I$1),9,"ERRO")),FREQUENCIAS!$1:$1048576))</f>
        <v>0.144487</v>
      </c>
      <c r="AX19" s="147">
        <f>IF(D19=0,0,VLOOKUP(D19,FREQUENCIAS!$1:$1048576,(IF(($A19=FREQUENCIAS!$I$1),9,"ERRO")),FREQUENCIAS!$1:$1048576))</f>
        <v>0.15221299999999999</v>
      </c>
      <c r="AY19" s="147">
        <f>IF(E19=0,0,VLOOKUP(E19,FREQUENCIAS!$1:$1048576,(IF(($A19=FREQUENCIAS!$I$1),9,"ERRO")),FREQUENCIAS!$1:$1048576))</f>
        <v>7.7560000000000004E-2</v>
      </c>
      <c r="BD19" s="97">
        <f t="shared" si="18"/>
        <v>0</v>
      </c>
      <c r="BE19" s="97">
        <f t="shared" si="19"/>
        <v>0</v>
      </c>
      <c r="BF19" s="140">
        <f t="shared" si="15"/>
        <v>1.6424352716259454</v>
      </c>
    </row>
    <row r="20" spans="1:58" ht="15" customHeight="1" thickTop="1" thickBot="1">
      <c r="A20" s="88" t="str">
        <f>'IMPORTAÇÃO GENOTIPER'!A13</f>
        <v>D2S1338</v>
      </c>
      <c r="B20" s="125">
        <f>'IMPORTAÇÃO GENOTIPER'!AE13</f>
        <v>19</v>
      </c>
      <c r="C20" s="126">
        <f>'IMPORTAÇÃO GENOTIPER'!AM13</f>
        <v>21</v>
      </c>
      <c r="D20" s="126">
        <f>'IMPORTAÇÃO GENOTIPER'!AU13</f>
        <v>19</v>
      </c>
      <c r="E20" s="127">
        <f>'IMPORTAÇÃO GENOTIPER'!BC13</f>
        <v>22</v>
      </c>
      <c r="F20" s="73">
        <f>IF((B20&gt;C20),C20,B20)</f>
        <v>19</v>
      </c>
      <c r="G20" s="73">
        <f>IF((C20&gt;B20),C20,B20)</f>
        <v>21</v>
      </c>
      <c r="H20" s="73">
        <f t="shared" si="2"/>
        <v>19</v>
      </c>
      <c r="I20" s="73">
        <f t="shared" si="3"/>
        <v>22</v>
      </c>
      <c r="J20" s="141"/>
      <c r="K20" s="141"/>
      <c r="L20" s="141"/>
      <c r="M20" s="142"/>
      <c r="N20" s="141">
        <f t="shared" si="4"/>
        <v>19</v>
      </c>
      <c r="O20" s="141">
        <f t="shared" si="5"/>
        <v>0</v>
      </c>
      <c r="P20" s="143">
        <f t="shared" si="6"/>
        <v>19</v>
      </c>
      <c r="Q20" s="144">
        <f t="shared" si="7"/>
        <v>0</v>
      </c>
      <c r="R20" s="145"/>
      <c r="S20" s="145"/>
      <c r="T20" s="89">
        <f>IF(P20=0,0,VLOOKUP(P20,FREQUENCIAS!1:1048576,(IF(($A20=FREQUENCIAS!$J$1),10,"ERRO")),FREQUENCIAS!1:1048576))</f>
        <v>0.12239999999999999</v>
      </c>
      <c r="U20" s="89">
        <f>IF(Q20=0,0,VLOOKUP(Q20,FREQUENCIAS!1:1048576,(IF(($A20=FREQUENCIAS!$J$1),10,"ERRO")),FREQUENCIAS!1:1048576))</f>
        <v>0</v>
      </c>
      <c r="V20" s="146"/>
      <c r="W20" s="134" t="str">
        <f t="shared" si="8"/>
        <v>OK</v>
      </c>
      <c r="X20" s="74">
        <f>(IF((A20="   ERRO-FT"),"15",(IF((AND((P20=0),(Q20=0))),0,(IF((R20+S20+T20+U20+V20)&lt;=$Z$10,$Z$10,(R20+S20+T20+U20+V20)))))))</f>
        <v>0.12239999999999999</v>
      </c>
      <c r="Y20" s="75">
        <f t="shared" si="16"/>
        <v>2.0424836601307192</v>
      </c>
      <c r="Z20" s="200">
        <f t="shared" si="17"/>
        <v>0.6713211600429646</v>
      </c>
      <c r="AA20" s="135"/>
      <c r="AB20" s="78" t="str">
        <f t="shared" si="9"/>
        <v>1 / 4F</v>
      </c>
      <c r="AC20" s="97">
        <f t="shared" si="10"/>
        <v>2.0424836601307192</v>
      </c>
      <c r="AD20" s="97" t="s">
        <v>47</v>
      </c>
      <c r="AE20" s="97" t="str">
        <f t="shared" si="11"/>
        <v>1 / 4F</v>
      </c>
      <c r="AF20" s="136">
        <f t="shared" si="12"/>
        <v>0.66846976000000002</v>
      </c>
      <c r="AH20" s="137">
        <f>IF(B20=0,0,VLOOKUP(B20,FREQUENCIAS!$1:$1048576,(IF(($A20=FREQUENCIAS!$J$1),10,"ERRO")),FREQUENCIAS!$1:$1048576))</f>
        <v>0.12239999999999999</v>
      </c>
      <c r="AI20" s="137"/>
      <c r="AJ20" s="137"/>
      <c r="AK20" s="138">
        <f t="shared" si="13"/>
        <v>0.12239999999999999</v>
      </c>
      <c r="AL20" s="137">
        <f>IF(C20=0,0,VLOOKUP(C20,FREQUENCIAS!$1:$1048576,(IF(($A20=FREQUENCIAS!$J$1),10,"ERRO")),FREQUENCIAS!$1:$1048576))</f>
        <v>0.06</v>
      </c>
      <c r="AM20" s="137"/>
      <c r="AN20" s="137"/>
      <c r="AO20" s="138">
        <f t="shared" si="14"/>
        <v>0.06</v>
      </c>
      <c r="AV20" s="147">
        <f>IF(B20=0,0,VLOOKUP(B20,FREQUENCIAS!$1:$1048576,(IF(($A20=FREQUENCIAS!$J$1),10,"ERRO")),FREQUENCIAS!$1:$1048576))</f>
        <v>0.12239999999999999</v>
      </c>
      <c r="AW20" s="147">
        <f>IF(C20=0,0,VLOOKUP(C20,FREQUENCIAS!$1:$1048576,(IF(($A20=FREQUENCIAS!$J$1),10,"ERRO")),FREQUENCIAS!$1:$1048576))</f>
        <v>0.06</v>
      </c>
      <c r="AX20" s="147">
        <f>IF(D20=0,0,VLOOKUP(D20,FREQUENCIAS!$1:$1048576,(IF(($A20=FREQUENCIAS!$J$1),10,"ERRO")),FREQUENCIAS!$1:$1048576))</f>
        <v>0.12239999999999999</v>
      </c>
      <c r="AY20" s="147">
        <f>IF(E20=0,0,VLOOKUP(E20,FREQUENCIAS!$1:$1048576,(IF(($A20=FREQUENCIAS!$J$1),10,"ERRO")),FREQUENCIAS!$1:$1048576))</f>
        <v>8.14E-2</v>
      </c>
      <c r="BD20" s="97">
        <f t="shared" si="18"/>
        <v>0</v>
      </c>
      <c r="BE20" s="97">
        <f t="shared" si="19"/>
        <v>0</v>
      </c>
      <c r="BF20" s="140">
        <f t="shared" si="15"/>
        <v>2.0424836601307192</v>
      </c>
    </row>
    <row r="21" spans="1:58" ht="15" customHeight="1" thickTop="1" thickBot="1">
      <c r="A21" s="88" t="str">
        <f>'IMPORTAÇÃO GENOTIPER'!A14</f>
        <v>CSF1PO</v>
      </c>
      <c r="B21" s="125">
        <f>'IMPORTAÇÃO GENOTIPER'!AE14</f>
        <v>10</v>
      </c>
      <c r="C21" s="126">
        <f>'IMPORTAÇÃO GENOTIPER'!AM14</f>
        <v>11</v>
      </c>
      <c r="D21" s="126">
        <f>'IMPORTAÇÃO GENOTIPER'!AU14</f>
        <v>11</v>
      </c>
      <c r="E21" s="127">
        <f>'IMPORTAÇÃO GENOTIPER'!BC14</f>
        <v>12</v>
      </c>
      <c r="F21" s="73">
        <f t="shared" si="0"/>
        <v>10</v>
      </c>
      <c r="G21" s="73">
        <f t="shared" si="1"/>
        <v>11</v>
      </c>
      <c r="H21" s="73">
        <f t="shared" si="2"/>
        <v>11</v>
      </c>
      <c r="I21" s="73">
        <f t="shared" si="3"/>
        <v>12</v>
      </c>
      <c r="J21" s="141"/>
      <c r="K21" s="141"/>
      <c r="L21" s="141"/>
      <c r="M21" s="142"/>
      <c r="N21" s="141">
        <f t="shared" si="4"/>
        <v>11</v>
      </c>
      <c r="O21" s="141">
        <f t="shared" si="5"/>
        <v>0</v>
      </c>
      <c r="P21" s="143">
        <f t="shared" si="6"/>
        <v>11</v>
      </c>
      <c r="Q21" s="144">
        <f t="shared" si="7"/>
        <v>0</v>
      </c>
      <c r="R21" s="145"/>
      <c r="S21" s="145"/>
      <c r="T21" s="89">
        <f>IF(P21=0,0,VLOOKUP(P21,FREQUENCIAS!1:1048576,(IF(($A21=FREQUENCIAS!$K$1),11,"ERRO")),FREQUENCIAS!1:1048576))</f>
        <v>0.29358499999999998</v>
      </c>
      <c r="U21" s="89">
        <f>IF(Q21=0,0,VLOOKUP(Q21,FREQUENCIAS!1:1048576,(IF(($A21=FREQUENCIAS!$K$1),11,"ERRO")),FREQUENCIAS!1:1048576))</f>
        <v>0</v>
      </c>
      <c r="V21" s="146"/>
      <c r="W21" s="134" t="str">
        <f t="shared" si="8"/>
        <v>OK</v>
      </c>
      <c r="X21" s="74">
        <f>(IF((A21="   ERRO-FT"),"9",(IF((AND((P21=0),(Q21=0))),0,(IF((R21+S21+T21+U21+V21)&lt;=$Z$10,$Z$10,(R21+S21+T21+U21+V21)))))))</f>
        <v>0.29358499999999998</v>
      </c>
      <c r="Y21" s="75">
        <f t="shared" si="16"/>
        <v>0.85154214282064822</v>
      </c>
      <c r="Z21" s="200">
        <f t="shared" si="17"/>
        <v>0.45990967374007746</v>
      </c>
      <c r="AA21" s="135"/>
      <c r="AB21" s="78" t="str">
        <f t="shared" si="9"/>
        <v>1 / 4F</v>
      </c>
      <c r="AC21" s="97">
        <f t="shared" si="10"/>
        <v>0.85154214282064822</v>
      </c>
      <c r="AE21" s="97" t="str">
        <f t="shared" si="11"/>
        <v>1 / 4F</v>
      </c>
      <c r="AF21" s="136">
        <f t="shared" si="12"/>
        <v>0.19717063352100006</v>
      </c>
      <c r="AH21" s="137">
        <f>IF(B21=0,0,VLOOKUP(B21,FREQUENCIAS!$1:$1048576,(IF(($A21=FREQUENCIAS!$K$1),11,"ERRO")),FREQUENCIAS!$1:$1048576))</f>
        <v>0.262376</v>
      </c>
      <c r="AI21" s="137"/>
      <c r="AJ21" s="137"/>
      <c r="AK21" s="138">
        <f t="shared" si="13"/>
        <v>0.262376</v>
      </c>
      <c r="AL21" s="137">
        <f>IF(C21=0,0,VLOOKUP(C21,FREQUENCIAS!$1:$1048576,(IF(($A21=FREQUENCIAS!$K$1),11,"ERRO")),FREQUENCIAS!$1:$1048576))</f>
        <v>0.29358499999999998</v>
      </c>
      <c r="AM21" s="137"/>
      <c r="AN21" s="137"/>
      <c r="AO21" s="138">
        <f t="shared" si="14"/>
        <v>0.29358499999999998</v>
      </c>
      <c r="AV21" s="147">
        <f>IF(B21=0,0,VLOOKUP(B21,FREQUENCIAS!$1:$1048576,(IF(($A21=FREQUENCIAS!$K$1),11,"ERRO")),FREQUENCIAS!$1:$1048576))</f>
        <v>0.262376</v>
      </c>
      <c r="AW21" s="147">
        <f>IF(C21=0,0,VLOOKUP(C21,FREQUENCIAS!$1:$1048576,(IF(($A21=FREQUENCIAS!$K$1),11,"ERRO")),FREQUENCIAS!$1:$1048576))</f>
        <v>0.29358499999999998</v>
      </c>
      <c r="AX21" s="147">
        <f>IF(D21=0,0,VLOOKUP(D21,FREQUENCIAS!$1:$1048576,(IF(($A21=FREQUENCIAS!$K$1),11,"ERRO")),FREQUENCIAS!$1:$1048576))</f>
        <v>0.29358499999999998</v>
      </c>
      <c r="AY21" s="147">
        <f>IF(E21=0,0,VLOOKUP(E21,FREQUENCIAS!$1:$1048576,(IF(($A21=FREQUENCIAS!$K$1),11,"ERRO")),FREQUENCIAS!$1:$1048576))</f>
        <v>0.30245100000000003</v>
      </c>
      <c r="BD21" s="97">
        <f t="shared" si="18"/>
        <v>0</v>
      </c>
      <c r="BE21" s="97">
        <f t="shared" si="19"/>
        <v>0</v>
      </c>
      <c r="BF21" s="140">
        <f t="shared" si="15"/>
        <v>0.85154214282064822</v>
      </c>
    </row>
    <row r="22" spans="1:58" ht="15" customHeight="1" thickTop="1" thickBot="1">
      <c r="A22" s="88" t="str">
        <f>'IMPORTAÇÃO GENOTIPER'!A15</f>
        <v>Penta_D</v>
      </c>
      <c r="B22" s="125">
        <f>'IMPORTAÇÃO GENOTIPER'!AE15</f>
        <v>10</v>
      </c>
      <c r="C22" s="126">
        <f>'IMPORTAÇÃO GENOTIPER'!AM15</f>
        <v>11</v>
      </c>
      <c r="D22" s="126">
        <f>'IMPORTAÇÃO GENOTIPER'!AU15</f>
        <v>11</v>
      </c>
      <c r="E22" s="127">
        <f>'IMPORTAÇÃO GENOTIPER'!BC15</f>
        <v>12</v>
      </c>
      <c r="F22" s="73">
        <f t="shared" si="0"/>
        <v>10</v>
      </c>
      <c r="G22" s="73">
        <f t="shared" si="1"/>
        <v>11</v>
      </c>
      <c r="H22" s="73">
        <f t="shared" si="2"/>
        <v>11</v>
      </c>
      <c r="I22" s="73">
        <f t="shared" si="3"/>
        <v>12</v>
      </c>
      <c r="J22" s="141"/>
      <c r="K22" s="141"/>
      <c r="L22" s="141"/>
      <c r="M22" s="142"/>
      <c r="N22" s="141">
        <f t="shared" si="4"/>
        <v>11</v>
      </c>
      <c r="O22" s="141">
        <f t="shared" si="5"/>
        <v>0</v>
      </c>
      <c r="P22" s="143">
        <f t="shared" si="6"/>
        <v>11</v>
      </c>
      <c r="Q22" s="144">
        <f t="shared" si="7"/>
        <v>0</v>
      </c>
      <c r="R22" s="145"/>
      <c r="S22" s="145"/>
      <c r="T22" s="89">
        <f>IF(P22=0,0,VLOOKUP(P22,FREQUENCIAS!1:1048576,(IF(($A22=FREQUENCIAS!$L$1),12,"ERRO")),FREQUENCIAS!1:1048576))</f>
        <v>0.15679799999999999</v>
      </c>
      <c r="U22" s="89">
        <f>IF(Q22=0,0,VLOOKUP(Q22,FREQUENCIAS!1:1048576,(IF(($A22=FREQUENCIAS!$L$1),12,"ERRO")),FREQUENCIAS!1:1048576))</f>
        <v>0</v>
      </c>
      <c r="V22" s="146"/>
      <c r="W22" s="134" t="str">
        <f t="shared" si="8"/>
        <v>OK</v>
      </c>
      <c r="X22" s="74">
        <f>(IF((A22="   ERRO-FT"),"11",(IF((AND((P22=0),(Q22=0))),0,(IF((R22+S22+T22+U22+V22)&lt;=$Z$10,$Z$10,(R22+S22+T22+U22+V22)))))))</f>
        <v>0.15679799999999999</v>
      </c>
      <c r="Y22" s="75">
        <f t="shared" si="16"/>
        <v>1.5944080919399484</v>
      </c>
      <c r="Z22" s="200">
        <f t="shared" si="17"/>
        <v>0.61455562711714407</v>
      </c>
      <c r="AA22" s="135"/>
      <c r="AB22" s="78" t="str">
        <f t="shared" si="9"/>
        <v>1 / 4F</v>
      </c>
      <c r="AC22" s="97">
        <f t="shared" si="10"/>
        <v>1.5944080919399484</v>
      </c>
      <c r="AD22" s="97" t="s">
        <v>45</v>
      </c>
      <c r="AE22" s="97" t="str">
        <f t="shared" si="11"/>
        <v>1 / 4F</v>
      </c>
      <c r="AF22" s="136">
        <f t="shared" si="12"/>
        <v>0.49313820864400004</v>
      </c>
      <c r="AH22" s="137">
        <f>IF(B22=0,0,VLOOKUP(B22,FREQUENCIAS!$1:$1048576,(IF(($A22=FREQUENCIAS!$L$1),12,"ERRO")),FREQUENCIAS!$1:$1048576))</f>
        <v>0.14096400000000001</v>
      </c>
      <c r="AI22" s="137"/>
      <c r="AJ22" s="137"/>
      <c r="AK22" s="138">
        <f t="shared" si="13"/>
        <v>0.14096400000000001</v>
      </c>
      <c r="AL22" s="137">
        <f>IF(C22=0,0,VLOOKUP(C22,FREQUENCIAS!$1:$1048576,(IF(($A22=FREQUENCIAS!$L$1),12,"ERRO")),FREQUENCIAS!$1:$1048576))</f>
        <v>0.15679799999999999</v>
      </c>
      <c r="AM22" s="137"/>
      <c r="AN22" s="137"/>
      <c r="AO22" s="138">
        <f t="shared" si="14"/>
        <v>0.15679799999999999</v>
      </c>
      <c r="AV22" s="147">
        <f>IF(B22=0,0,VLOOKUP(B22,FREQUENCIAS!$1:$1048576,(IF(($A22=FREQUENCIAS!$L$1),12,"ERRO")),FREQUENCIAS!$1:$1048576))</f>
        <v>0.14096400000000001</v>
      </c>
      <c r="AW22" s="147">
        <f>IF(C22=0,0,VLOOKUP(C22,FREQUENCIAS!$1:$1048576,(IF(($A22=FREQUENCIAS!$L$1),12,"ERRO")),FREQUENCIAS!$1:$1048576))</f>
        <v>0.15679799999999999</v>
      </c>
      <c r="AX22" s="147">
        <f>IF(D22=0,0,VLOOKUP(D22,FREQUENCIAS!$1:$1048576,(IF(($A22=FREQUENCIAS!$L$1),12,"ERRO")),FREQUENCIAS!$1:$1048576))</f>
        <v>0.15679799999999999</v>
      </c>
      <c r="AY22" s="147">
        <f>IF(E22=0,0,VLOOKUP(E22,FREQUENCIAS!$1:$1048576,(IF(($A22=FREQUENCIAS!$L$1),12,"ERRO")),FREQUENCIAS!$1:$1048576))</f>
        <v>0.16545399999999999</v>
      </c>
      <c r="BD22" s="97">
        <f t="shared" si="18"/>
        <v>0</v>
      </c>
      <c r="BE22" s="97">
        <f t="shared" si="19"/>
        <v>0</v>
      </c>
      <c r="BF22" s="140">
        <f t="shared" si="15"/>
        <v>1.5944080919399484</v>
      </c>
    </row>
    <row r="23" spans="1:58" ht="15" customHeight="1" thickTop="1" thickBot="1">
      <c r="A23" s="88" t="str">
        <f>'IMPORTAÇÃO GENOTIPER'!A16</f>
        <v>TH01</v>
      </c>
      <c r="B23" s="125">
        <f>'IMPORTAÇÃO GENOTIPER'!AE16</f>
        <v>6</v>
      </c>
      <c r="C23" s="126">
        <f>'IMPORTAÇÃO GENOTIPER'!AM16</f>
        <v>7</v>
      </c>
      <c r="D23" s="126">
        <f>'IMPORTAÇÃO GENOTIPER'!AU16</f>
        <v>6</v>
      </c>
      <c r="E23" s="127">
        <f>'IMPORTAÇÃO GENOTIPER'!BC16</f>
        <v>7</v>
      </c>
      <c r="F23" s="73">
        <f t="shared" si="0"/>
        <v>6</v>
      </c>
      <c r="G23" s="73">
        <f t="shared" si="1"/>
        <v>7</v>
      </c>
      <c r="H23" s="73">
        <f t="shared" si="2"/>
        <v>6</v>
      </c>
      <c r="I23" s="73">
        <f t="shared" si="3"/>
        <v>7</v>
      </c>
      <c r="J23" s="141"/>
      <c r="K23" s="141"/>
      <c r="L23" s="141"/>
      <c r="M23" s="142"/>
      <c r="N23" s="141">
        <f t="shared" si="4"/>
        <v>6</v>
      </c>
      <c r="O23" s="141">
        <f t="shared" si="5"/>
        <v>7</v>
      </c>
      <c r="P23" s="143">
        <f t="shared" si="6"/>
        <v>6</v>
      </c>
      <c r="Q23" s="144">
        <f t="shared" si="7"/>
        <v>7</v>
      </c>
      <c r="R23" s="145"/>
      <c r="S23" s="145"/>
      <c r="T23" s="89">
        <f>IF(P23=0,0,VLOOKUP(P23,FREQUENCIAS!1:1048576,(IF(($A23=FREQUENCIAS!$M$1),13,"ERRO")),FREQUENCIAS!1:1048576))</f>
        <v>0.21123800000000001</v>
      </c>
      <c r="U23" s="89">
        <f>IF(Q23=0,0,VLOOKUP(Q23,FREQUENCIAS!1:1048576,(IF(($A23=FREQUENCIAS!$M$1),13,"ERRO")),FREQUENCIAS!1:1048576))</f>
        <v>0.24045900000000001</v>
      </c>
      <c r="V23" s="146"/>
      <c r="W23" s="134" t="str">
        <f t="shared" si="8"/>
        <v>OK</v>
      </c>
      <c r="X23" s="74">
        <f>(IF((A23="   ERRO-FT"),"6",(IF((AND((P23=0),(Q23=0))),0,(IF((R23+S23+T23+U23+V23)&lt;=$Z$10,$Z$10,(R23+S23+T23+U23+V23)))))))</f>
        <v>0.45169700000000002</v>
      </c>
      <c r="Y23" s="75">
        <f t="shared" si="16"/>
        <v>2.2231774629709995</v>
      </c>
      <c r="Z23" s="200">
        <f t="shared" si="17"/>
        <v>0.68974714812065019</v>
      </c>
      <c r="AA23" s="135"/>
      <c r="AB23" s="78" t="str">
        <f t="shared" si="9"/>
        <v>F/(4pq)</v>
      </c>
      <c r="AC23" s="97">
        <f t="shared" si="10"/>
        <v>0.55346836485520157</v>
      </c>
      <c r="AE23" s="97" t="str">
        <f t="shared" si="11"/>
        <v>1 / 4F</v>
      </c>
      <c r="AF23" s="136">
        <f t="shared" si="12"/>
        <v>0.30063617980899998</v>
      </c>
      <c r="AH23" s="137">
        <f>IF(B23=0,0,VLOOKUP(B23,FREQUENCIAS!$1:$1048576,(IF(($A23=FREQUENCIAS!$M$1),13,"ERRO")),FREQUENCIAS!$1:$1048576))</f>
        <v>0.21123800000000001</v>
      </c>
      <c r="AI23" s="137"/>
      <c r="AJ23" s="137"/>
      <c r="AK23" s="138">
        <f t="shared" si="13"/>
        <v>0.21123800000000001</v>
      </c>
      <c r="AL23" s="137">
        <f>IF(C23=0,0,VLOOKUP(C23,FREQUENCIAS!$1:$1048576,(IF(($A23=FREQUENCIAS!$M$1),13,"ERRO")),FREQUENCIAS!$1:$1048576))</f>
        <v>0.24045900000000001</v>
      </c>
      <c r="AM23" s="137"/>
      <c r="AN23" s="137"/>
      <c r="AO23" s="138">
        <f t="shared" si="14"/>
        <v>0.24045900000000001</v>
      </c>
      <c r="AV23" s="147">
        <f>IF(B23=0,0,VLOOKUP(B23,FREQUENCIAS!$1:$1048576,(IF(($A23=FREQUENCIAS!$M$1),13,"ERRO")),FREQUENCIAS!$1:$1048576))</f>
        <v>0.21123800000000001</v>
      </c>
      <c r="AW23" s="147">
        <f>IF(C23=0,0,VLOOKUP(C23,FREQUENCIAS!$1:$1048576,(IF(($A23=FREQUENCIAS!$M$1),13,"ERRO")),FREQUENCIAS!$1:$1048576))</f>
        <v>0.24045900000000001</v>
      </c>
      <c r="AX23" s="147">
        <f>IF(D23=0,0,VLOOKUP(D23,FREQUENCIAS!$1:$1048576,(IF(($A23=FREQUENCIAS!$M$1),13,"ERRO")),FREQUENCIAS!$1:$1048576))</f>
        <v>0.21123800000000001</v>
      </c>
      <c r="AY23" s="147">
        <f>IF(E23=0,0,VLOOKUP(E23,FREQUENCIAS!$1:$1048576,(IF(($A23=FREQUENCIAS!$M$1),13,"ERRO")),FREQUENCIAS!$1:$1048576))</f>
        <v>0.24045900000000001</v>
      </c>
      <c r="BD23" s="97">
        <f t="shared" si="18"/>
        <v>1</v>
      </c>
      <c r="BE23" s="97">
        <f t="shared" si="19"/>
        <v>0</v>
      </c>
      <c r="BF23" s="140">
        <f t="shared" si="15"/>
        <v>2.2231774629709995</v>
      </c>
    </row>
    <row r="24" spans="1:58" ht="15" customHeight="1" thickTop="1" thickBot="1">
      <c r="A24" s="88" t="str">
        <f>'IMPORTAÇÃO GENOTIPER'!A17</f>
        <v>vWA</v>
      </c>
      <c r="B24" s="125">
        <f>'IMPORTAÇÃO GENOTIPER'!AE17</f>
        <v>15</v>
      </c>
      <c r="C24" s="126">
        <f>'IMPORTAÇÃO GENOTIPER'!AM17</f>
        <v>16</v>
      </c>
      <c r="D24" s="126">
        <f>'IMPORTAÇÃO GENOTIPER'!AU17</f>
        <v>16</v>
      </c>
      <c r="E24" s="127">
        <f>'IMPORTAÇÃO GENOTIPER'!BC17</f>
        <v>17</v>
      </c>
      <c r="F24" s="73">
        <f t="shared" si="0"/>
        <v>15</v>
      </c>
      <c r="G24" s="73">
        <f t="shared" si="1"/>
        <v>16</v>
      </c>
      <c r="H24" s="73">
        <f t="shared" si="2"/>
        <v>16</v>
      </c>
      <c r="I24" s="73">
        <f t="shared" si="3"/>
        <v>17</v>
      </c>
      <c r="J24" s="141"/>
      <c r="K24" s="141"/>
      <c r="L24" s="141"/>
      <c r="M24" s="142"/>
      <c r="N24" s="141">
        <f t="shared" si="4"/>
        <v>16</v>
      </c>
      <c r="O24" s="141">
        <f t="shared" si="5"/>
        <v>0</v>
      </c>
      <c r="P24" s="143">
        <f t="shared" si="6"/>
        <v>16</v>
      </c>
      <c r="Q24" s="144">
        <f t="shared" si="7"/>
        <v>0</v>
      </c>
      <c r="R24" s="145"/>
      <c r="S24" s="145"/>
      <c r="T24" s="89">
        <f>IF(P24=0,0,VLOOKUP(P24,FREQUENCIAS!1:1048576,(IF(($A24=FREQUENCIAS!$N$1),14,"ERRO")),FREQUENCIAS!1:1048576))</f>
        <v>0.26001999999999997</v>
      </c>
      <c r="U24" s="89">
        <f>IF(Q24=0,0,VLOOKUP(Q24,FREQUENCIAS!1:1048576,(IF(($A24=FREQUENCIAS!$N$1),14,"ERRO")),FREQUENCIAS!1:1048576))</f>
        <v>0</v>
      </c>
      <c r="V24" s="146"/>
      <c r="W24" s="134" t="str">
        <f t="shared" si="8"/>
        <v>OK</v>
      </c>
      <c r="X24" s="74">
        <f>(IF((A24="   ERRO-FT"),"7",(IF((AND((P24=0),(Q24=0))),0,(IF((R24+S24+T24+U24+V24)&lt;=$Z$10,$Z$10,(R24+S24+T24+U24+V24)))))))</f>
        <v>0.26001999999999997</v>
      </c>
      <c r="Y24" s="75">
        <f t="shared" si="16"/>
        <v>0.96146450273055928</v>
      </c>
      <c r="Z24" s="200">
        <f t="shared" si="17"/>
        <v>0.4901768558095761</v>
      </c>
      <c r="AA24" s="135"/>
      <c r="AB24" s="78" t="str">
        <f t="shared" si="9"/>
        <v>1 / 4F</v>
      </c>
      <c r="AC24" s="97">
        <f t="shared" si="10"/>
        <v>0.96146450273055928</v>
      </c>
      <c r="AE24" s="97" t="str">
        <f t="shared" si="11"/>
        <v>1 / 4F</v>
      </c>
      <c r="AF24" s="136">
        <f t="shared" si="12"/>
        <v>0.36238714419600004</v>
      </c>
      <c r="AH24" s="137">
        <f>IF(B24=0,0,VLOOKUP(B24,FREQUENCIAS!$1:$1048576,(IF(($A24=FREQUENCIAS!$N$1),14,"ERRO")),FREQUENCIAS!$1:$1048576))</f>
        <v>0.13799400000000001</v>
      </c>
      <c r="AI24" s="137"/>
      <c r="AJ24" s="137"/>
      <c r="AK24" s="138">
        <f t="shared" si="13"/>
        <v>0.13799400000000001</v>
      </c>
      <c r="AL24" s="137">
        <f>IF(C24=0,0,VLOOKUP(C24,FREQUENCIAS!$1:$1048576,(IF(($A24=FREQUENCIAS!$N$1),14,"ERRO")),FREQUENCIAS!$1:$1048576))</f>
        <v>0.26001999999999997</v>
      </c>
      <c r="AM24" s="137"/>
      <c r="AN24" s="137"/>
      <c r="AO24" s="138">
        <f t="shared" si="14"/>
        <v>0.26001999999999997</v>
      </c>
      <c r="AV24" s="147">
        <f>IF(B24=0,0,VLOOKUP(B24,FREQUENCIAS!$1:$1048576,(IF(($A24=FREQUENCIAS!$N$1),14,"ERRO")),FREQUENCIAS!$1:$1048576))</f>
        <v>0.13799400000000001</v>
      </c>
      <c r="AW24" s="147">
        <f>IF(C24=0,0,VLOOKUP(C24,FREQUENCIAS!$1:$1048576,(IF(($A24=FREQUENCIAS!$N$1),14,"ERRO")),FREQUENCIAS!$1:$1048576))</f>
        <v>0.26001999999999997</v>
      </c>
      <c r="AX24" s="147">
        <f>IF(D24=0,0,VLOOKUP(D24,FREQUENCIAS!$1:$1048576,(IF(($A24=FREQUENCIAS!$N$1),14,"ERRO")),FREQUENCIAS!$1:$1048576))</f>
        <v>0.26001999999999997</v>
      </c>
      <c r="AY24" s="147">
        <f>IF(E24=0,0,VLOOKUP(E24,FREQUENCIAS!$1:$1048576,(IF(($A24=FREQUENCIAS!$N$1),14,"ERRO")),FREQUENCIAS!$1:$1048576))</f>
        <v>0.25484400000000001</v>
      </c>
      <c r="BD24" s="97">
        <f t="shared" si="18"/>
        <v>0</v>
      </c>
      <c r="BE24" s="97">
        <f t="shared" si="19"/>
        <v>0</v>
      </c>
      <c r="BF24" s="140">
        <f t="shared" si="15"/>
        <v>0.96146450273055928</v>
      </c>
    </row>
    <row r="25" spans="1:58" ht="15" customHeight="1" thickTop="1" thickBot="1">
      <c r="A25" s="88" t="str">
        <f>'IMPORTAÇÃO GENOTIPER'!A18</f>
        <v>D21S11</v>
      </c>
      <c r="B25" s="125">
        <f>'IMPORTAÇÃO GENOTIPER'!AE18</f>
        <v>30</v>
      </c>
      <c r="C25" s="126">
        <f>'IMPORTAÇÃO GENOTIPER'!AM18</f>
        <v>32.200000000000003</v>
      </c>
      <c r="D25" s="126">
        <f>'IMPORTAÇÃO GENOTIPER'!AU18</f>
        <v>32.200000000000003</v>
      </c>
      <c r="E25" s="127">
        <f>'IMPORTAÇÃO GENOTIPER'!BC18</f>
        <v>33.200000000000003</v>
      </c>
      <c r="F25" s="73">
        <f t="shared" si="0"/>
        <v>30</v>
      </c>
      <c r="G25" s="73">
        <f t="shared" si="1"/>
        <v>32.200000000000003</v>
      </c>
      <c r="H25" s="73">
        <f t="shared" si="2"/>
        <v>32.200000000000003</v>
      </c>
      <c r="I25" s="73">
        <f t="shared" si="3"/>
        <v>33.200000000000003</v>
      </c>
      <c r="J25" s="141"/>
      <c r="K25" s="141"/>
      <c r="L25" s="141"/>
      <c r="M25" s="142"/>
      <c r="N25" s="141">
        <f t="shared" si="4"/>
        <v>32.200000000000003</v>
      </c>
      <c r="O25" s="141">
        <f t="shared" si="5"/>
        <v>0</v>
      </c>
      <c r="P25" s="143">
        <f t="shared" si="6"/>
        <v>32.200000000000003</v>
      </c>
      <c r="Q25" s="144">
        <f t="shared" si="7"/>
        <v>0</v>
      </c>
      <c r="R25" s="145"/>
      <c r="S25" s="145"/>
      <c r="T25" s="89">
        <f>IF(P25=0,0,VLOOKUP(P25,FREQUENCIAS!1:1048576,(IF(($A25=FREQUENCIAS!$O$1),15,"ERRO")),FREQUENCIAS!1:1048576))</f>
        <v>7.5126999999999999E-2</v>
      </c>
      <c r="U25" s="89">
        <f>IF(Q25=0,0,VLOOKUP(Q25,FREQUENCIAS!1:1048576,(IF(($A25=FREQUENCIAS!$O$1),15,"ERRO")),FREQUENCIAS!1:1048576))</f>
        <v>0</v>
      </c>
      <c r="V25" s="146"/>
      <c r="W25" s="134" t="str">
        <f t="shared" si="8"/>
        <v>OK</v>
      </c>
      <c r="X25" s="74">
        <f>(IF((A25="   ERRO-FT"),"7",(IF((AND((P25=0),(Q25=0))),0,(IF((R25+S25+T25+U25+V25)&lt;=$Z$10,$Z$10,(R25+S25+T25+U25+V25)))))))</f>
        <v>7.5126999999999999E-2</v>
      </c>
      <c r="Y25" s="75">
        <f t="shared" si="16"/>
        <v>3.3276984306574202</v>
      </c>
      <c r="Z25" s="200">
        <f t="shared" si="17"/>
        <v>0.76893029493090381</v>
      </c>
      <c r="AA25" s="135"/>
      <c r="AB25" s="78" t="str">
        <f t="shared" si="9"/>
        <v>1 / 4F</v>
      </c>
      <c r="AC25" s="97">
        <f t="shared" si="10"/>
        <v>3.3276984306574202</v>
      </c>
      <c r="AE25" s="97" t="str">
        <f t="shared" si="11"/>
        <v>1 / 4F</v>
      </c>
      <c r="AF25" s="136">
        <f t="shared" si="12"/>
        <v>0.48051792163599999</v>
      </c>
      <c r="AH25" s="137">
        <f>IF(B25=0,0,VLOOKUP(B25,FREQUENCIAS!$1:$1048576,(IF(($A25=FREQUENCIAS!$O$1),15,"ERRO")),FREQUENCIAS!$1:$1048576))</f>
        <v>0.231679</v>
      </c>
      <c r="AI25" s="137"/>
      <c r="AJ25" s="137"/>
      <c r="AK25" s="138">
        <f t="shared" si="13"/>
        <v>0.231679</v>
      </c>
      <c r="AL25" s="137">
        <f>IF(C25=0,0,VLOOKUP(C25,FREQUENCIAS!$1:$1048576,(IF(($A25=FREQUENCIAS!$O$1),15,"ERRO")),FREQUENCIAS!$1:$1048576))</f>
        <v>7.5126999999999999E-2</v>
      </c>
      <c r="AM25" s="137"/>
      <c r="AN25" s="137"/>
      <c r="AO25" s="138">
        <f t="shared" si="14"/>
        <v>7.5126999999999999E-2</v>
      </c>
      <c r="AV25" s="147">
        <f>IF(B25=0,0,VLOOKUP(B25,FREQUENCIAS!$1:$1048576,(IF(($A25=FREQUENCIAS!$O$1),15,"ERRO")),FREQUENCIAS!$1:$1048576))</f>
        <v>0.231679</v>
      </c>
      <c r="AW25" s="147">
        <f>IF(C25=0,0,VLOOKUP(C25,FREQUENCIAS!$1:$1048576,(IF(($A25=FREQUENCIAS!$O$1),15,"ERRO")),FREQUENCIAS!$1:$1048576))</f>
        <v>7.5126999999999999E-2</v>
      </c>
      <c r="AX25" s="147">
        <f>IF(D25=0,0,VLOOKUP(D25,FREQUENCIAS!$1:$1048576,(IF(($A25=FREQUENCIAS!$O$1),15,"ERRO")),FREQUENCIAS!$1:$1048576))</f>
        <v>7.5126999999999999E-2</v>
      </c>
      <c r="AY25" s="147">
        <f>IF(E25=0,0,VLOOKUP(E25,FREQUENCIAS!$1:$1048576,(IF(($A25=FREQUENCIAS!$O$1),15,"ERRO")),FREQUENCIAS!$1:$1048576))</f>
        <v>2.8434999999999998E-2</v>
      </c>
      <c r="BD25" s="97">
        <f t="shared" si="18"/>
        <v>0</v>
      </c>
      <c r="BE25" s="97">
        <f t="shared" si="19"/>
        <v>0</v>
      </c>
      <c r="BF25" s="140">
        <f t="shared" si="15"/>
        <v>3.3276984306574202</v>
      </c>
    </row>
    <row r="26" spans="1:58" ht="15" customHeight="1" thickTop="1" thickBot="1">
      <c r="A26" s="88" t="str">
        <f>'IMPORTAÇÃO GENOTIPER'!A19</f>
        <v>D7S820</v>
      </c>
      <c r="B26" s="125">
        <f>'IMPORTAÇÃO GENOTIPER'!AE19</f>
        <v>9</v>
      </c>
      <c r="C26" s="126">
        <f>'IMPORTAÇÃO GENOTIPER'!AM19</f>
        <v>11</v>
      </c>
      <c r="D26" s="126">
        <f>'IMPORTAÇÃO GENOTIPER'!AU19</f>
        <v>9</v>
      </c>
      <c r="E26" s="127">
        <f>'IMPORTAÇÃO GENOTIPER'!BC19</f>
        <v>12</v>
      </c>
      <c r="F26" s="73">
        <f t="shared" si="0"/>
        <v>9</v>
      </c>
      <c r="G26" s="73">
        <f t="shared" si="1"/>
        <v>11</v>
      </c>
      <c r="H26" s="73">
        <f t="shared" si="2"/>
        <v>9</v>
      </c>
      <c r="I26" s="73">
        <f t="shared" si="3"/>
        <v>12</v>
      </c>
      <c r="J26" s="141"/>
      <c r="K26" s="141"/>
      <c r="L26" s="141"/>
      <c r="M26" s="142"/>
      <c r="N26" s="141">
        <f t="shared" si="4"/>
        <v>9</v>
      </c>
      <c r="O26" s="141">
        <f t="shared" si="5"/>
        <v>0</v>
      </c>
      <c r="P26" s="143">
        <f t="shared" si="6"/>
        <v>9</v>
      </c>
      <c r="Q26" s="144">
        <f t="shared" si="7"/>
        <v>0</v>
      </c>
      <c r="R26" s="145"/>
      <c r="S26" s="145"/>
      <c r="T26" s="89">
        <f>IF(P26=0,0,VLOOKUP(P26,FREQUENCIAS!1:1048576,(IF(($A26=FREQUENCIAS!$P$1),16,"ERRO")),FREQUENCIAS!1:1048576))</f>
        <v>0.12053</v>
      </c>
      <c r="U26" s="89">
        <f>IF(Q26=0,0,VLOOKUP(Q26,FREQUENCIAS!1:1048576,(IF(($A26=FREQUENCIAS!$P$1),16,"ERRO")),FREQUENCIAS!1:1048576))</f>
        <v>0</v>
      </c>
      <c r="V26" s="146"/>
      <c r="W26" s="134" t="str">
        <f t="shared" si="8"/>
        <v>OK</v>
      </c>
      <c r="X26" s="74">
        <f>(IF((A26="   ERRO-FT"),"16",(IF((AND((P26=0),(Q26=0))),0,(IF((R26+S26+T26+U26+V26)&lt;=$Z$10,$Z$10,(R26+S26+T26+U26+V26)))))))</f>
        <v>0.12053</v>
      </c>
      <c r="Y26" s="75">
        <f t="shared" si="16"/>
        <v>2.0741724052103212</v>
      </c>
      <c r="Z26" s="200">
        <f t="shared" si="17"/>
        <v>0.67470920033465576</v>
      </c>
      <c r="AA26" s="149"/>
      <c r="AB26" s="78" t="str">
        <f t="shared" si="9"/>
        <v>1 / 4F</v>
      </c>
      <c r="AC26" s="97">
        <f t="shared" si="10"/>
        <v>2.0741724052103212</v>
      </c>
      <c r="AD26" s="97" t="s">
        <v>47</v>
      </c>
      <c r="AE26" s="97" t="str">
        <f t="shared" si="11"/>
        <v>1 / 4F</v>
      </c>
      <c r="AF26" s="136">
        <f t="shared" si="12"/>
        <v>0.41359047210000011</v>
      </c>
      <c r="AH26" s="137">
        <f>IF(B26=0,0,VLOOKUP(B26,FREQUENCIAS!$1:$1048576,(IF(($A26=FREQUENCIAS!$P$1),16,"ERRO")),FREQUENCIAS!$1:$1048576))</f>
        <v>0.12053</v>
      </c>
      <c r="AI26" s="137"/>
      <c r="AJ26" s="137"/>
      <c r="AK26" s="138">
        <f t="shared" si="13"/>
        <v>0.12053</v>
      </c>
      <c r="AL26" s="137">
        <f>IF(C26=0,0,VLOOKUP(C26,FREQUENCIAS!$1:$1048576,(IF(($A26=FREQUENCIAS!$P$1),16,"ERRO")),FREQUENCIAS!$1:$1048576))</f>
        <v>0.23635999999999999</v>
      </c>
      <c r="AM26" s="137"/>
      <c r="AN26" s="137"/>
      <c r="AO26" s="138">
        <f t="shared" si="14"/>
        <v>0.23635999999999999</v>
      </c>
      <c r="AV26" s="147">
        <f>IF(B26=0,0,VLOOKUP(B26,FREQUENCIAS!$1:$1048576,(IF(($A26=FREQUENCIAS!$P$1),16,"ERRO")),FREQUENCIAS!$1:$1048576))</f>
        <v>0.12053</v>
      </c>
      <c r="AW26" s="147">
        <f>IF(C26=0,0,VLOOKUP(C26,FREQUENCIAS!$1:$1048576,(IF(($A26=FREQUENCIAS!$P$1),16,"ERRO")),FREQUENCIAS!$1:$1048576))</f>
        <v>0.23635999999999999</v>
      </c>
      <c r="AX26" s="147">
        <f>IF(D26=0,0,VLOOKUP(D26,FREQUENCIAS!$1:$1048576,(IF(($A26=FREQUENCIAS!$P$1),16,"ERRO")),FREQUENCIAS!$1:$1048576))</f>
        <v>0.12053</v>
      </c>
      <c r="AY26" s="147">
        <f>IF(E26=0,0,VLOOKUP(E26,FREQUENCIAS!$1:$1048576,(IF(($A26=FREQUENCIAS!$P$1),16,"ERRO")),FREQUENCIAS!$1:$1048576))</f>
        <v>0.161387</v>
      </c>
      <c r="AZ26" s="1">
        <f>(IF((OR((B26=22.3),(B26=23.2),(B26=24.2),(B26=25.2),(B26=24.3),(B26=26.2),(B26=34.2),(B26="&gt;42,2"),(B26=42.2),(B26=43.2),(B26=44.2),(B26=45.2),(B26=46.2),(B26=47.2),(B26=48.2),(B26=50.2))),1,0))</f>
        <v>0</v>
      </c>
      <c r="BA26" s="1">
        <f>(IF((OR((C26=22.3),(C26=23.2),(C26=24.2),(C26=25.2),(C26=24.3),(C26=26.2),(C26=34.2),(C26="&gt;42,2"),(C26=42.2),(C26=43.2),(C26=44.2),(C26=45.2),(C26=46.2),(C26=47.2),(C26=48.2),(C26=50.2))),1,0))</f>
        <v>0</v>
      </c>
      <c r="BB26" s="1">
        <f>(IF((OR((D26=22.3),(D26=23.2),(D26=24.2),(D26=25.2),(D26=24.3),(D26=26.2),(D26=34.2),(D26="&gt;42,2"),(D26=42.2),(D26=43.2),(D26=44.2),(D26=45.2),(D26=46.2),(D26=47.2),(D26=48.2),(D26=50.2))),1,0))</f>
        <v>0</v>
      </c>
      <c r="BC26" s="1">
        <f>(IF((OR((E26=22.3),(E26=23.2),(E26=24.2),(E26=25.2),(E26=24.3),(E26=26.2),(E26=34.2),(E26="&gt;42,2"),(E26=42.2),(E26=43.2),(E26=44.2),(E26=45.2),(E26=46.2),(E26=47.2),(E26=48.2),(E26=50.2))),1,0))</f>
        <v>0</v>
      </c>
      <c r="BD26" s="97">
        <f t="shared" si="18"/>
        <v>0</v>
      </c>
      <c r="BE26" s="97">
        <f t="shared" si="19"/>
        <v>0</v>
      </c>
      <c r="BF26" s="140">
        <f t="shared" si="15"/>
        <v>2.0741724052103212</v>
      </c>
    </row>
    <row r="27" spans="1:58" ht="15" customHeight="1" thickTop="1" thickBot="1">
      <c r="A27" s="88" t="str">
        <f>'IMPORTAÇÃO GENOTIPER'!A20</f>
        <v>D5S818</v>
      </c>
      <c r="B27" s="125">
        <f>'IMPORTAÇÃO GENOTIPER'!AE20</f>
        <v>7</v>
      </c>
      <c r="C27" s="126">
        <f>'IMPORTAÇÃO GENOTIPER'!AM20</f>
        <v>11</v>
      </c>
      <c r="D27" s="126">
        <f>'IMPORTAÇÃO GENOTIPER'!AU20</f>
        <v>11</v>
      </c>
      <c r="E27" s="127">
        <f>'IMPORTAÇÃO GENOTIPER'!BC20</f>
        <v>11</v>
      </c>
      <c r="F27" s="73">
        <f t="shared" ref="F27:F33" si="20">IF((B27&gt;C27),C27,B27)</f>
        <v>7</v>
      </c>
      <c r="G27" s="73">
        <f t="shared" ref="G27:G33" si="21">IF((C27&gt;B27),C27,B27)</f>
        <v>11</v>
      </c>
      <c r="H27" s="73">
        <f t="shared" ref="H27:H33" si="22">IF((D27&gt;E27),E27,D27)</f>
        <v>11</v>
      </c>
      <c r="I27" s="73">
        <f t="shared" ref="I27:I33" si="23">IF((E27&gt;D27),E27,D27)</f>
        <v>11</v>
      </c>
      <c r="J27" s="141"/>
      <c r="K27" s="141"/>
      <c r="L27" s="141"/>
      <c r="M27" s="142"/>
      <c r="N27" s="141">
        <f t="shared" ref="N27:N33" si="24">IF(OR((H27=F27),(H27=G27)),H27,0)</f>
        <v>11</v>
      </c>
      <c r="O27" s="141">
        <f t="shared" ref="O27:O33" si="25">IF((H27=I27),0,(IF(OR((I27=G27),(I27=F27)),I27,0)))</f>
        <v>0</v>
      </c>
      <c r="P27" s="143">
        <f t="shared" ref="P27:P33" si="26">(IF(OR((N27=H27),(N27=I27)),N27,0))</f>
        <v>11</v>
      </c>
      <c r="Q27" s="144">
        <f t="shared" ref="Q27:Q33" si="27">(IF((O27&lt;&gt;0),(IF(OR((O27=H27),(O27=I27)),O27,0)),0))</f>
        <v>0</v>
      </c>
      <c r="R27" s="145"/>
      <c r="S27" s="145"/>
      <c r="T27" s="89">
        <f>IF(P27=0,0,VLOOKUP(P27,FREQUENCIAS!1:1048576,(IF(($A27=FREQUENCIAS!$Q$1),17,"ERRO")),FREQUENCIAS!1:1048576))</f>
        <v>0.32906299999999999</v>
      </c>
      <c r="U27" s="89">
        <f>IF(Q27=0,0,VLOOKUP(Q27,FREQUENCIAS!1:1048576,(IF(($A27=FREQUENCIAS!$Q$1),17,"ERRO")),FREQUENCIAS!1:1048576))</f>
        <v>0</v>
      </c>
      <c r="V27" s="146"/>
      <c r="W27" s="134" t="str">
        <f t="shared" si="8"/>
        <v>OK</v>
      </c>
      <c r="X27" s="74">
        <f t="shared" ref="X27:X33" si="28">(IF((A27="   ERRO-FT"),"16",(IF((AND((P27=0),(Q27=0))),0,(IF((R27+S27+T27+U27+V27)&lt;=$Z$10,$Z$10,(R27+S27+T27+U27+V27)))))))</f>
        <v>0.32906299999999999</v>
      </c>
      <c r="Y27" s="75">
        <f t="shared" si="16"/>
        <v>1.5194658773547922</v>
      </c>
      <c r="Z27" s="200">
        <f t="shared" si="17"/>
        <v>0.60309047683951644</v>
      </c>
      <c r="AA27" s="150"/>
      <c r="AB27" s="78" t="str">
        <f t="shared" ref="AB27:AB33" si="29">IF((AND((P27=0),(Q27=0))),"EXCLUI",(IF(OR((AND(($F27&lt;&gt;$G27),($H27=$I27),(OR(($H27=$F27),($H27=$G27))))),(AND(($F27=$G27),($H27&lt;&gt;$I27),(OR(($F27=$H27),($F27=$I27)))))),($AD$22),((IF(((AND(($F27=$H27),($G27=$I27),($F27&lt;&gt;$G27)))),($AD$10),($AE27)))))))</f>
        <v>1 / 2F</v>
      </c>
      <c r="AC27" s="97">
        <f t="shared" si="10"/>
        <v>0.75973293867739611</v>
      </c>
      <c r="AD27" s="97" t="s">
        <v>47</v>
      </c>
      <c r="AE27" s="97" t="str">
        <f t="shared" si="11"/>
        <v>1 / 4F</v>
      </c>
      <c r="AF27" s="136">
        <f t="shared" ref="AF27:AF33" si="30">(IF((B27=C27),((1-AK27)^2),(1-(AK27+AO27))^2))</f>
        <v>0.42703480344100003</v>
      </c>
      <c r="AH27" s="137">
        <f>IF(B27=0,0,VLOOKUP(B27,FREQUENCIAS!$1:$1048576,(IF(($A27=FREQUENCIAS!$Q$1),17,"ERRO")),FREQUENCIAS!$1:$1048576))</f>
        <v>1.7458000000000001E-2</v>
      </c>
      <c r="AI27" s="137"/>
      <c r="AJ27" s="137"/>
      <c r="AK27" s="138">
        <f t="shared" ref="AK27:AK33" si="31">SUM(AH27:AJ27)</f>
        <v>1.7458000000000001E-2</v>
      </c>
      <c r="AL27" s="137">
        <f>IF(C27=0,0,VLOOKUP(C27,FREQUENCIAS!$1:$1048576,(IF(($A27=FREQUENCIAS!$Q$1),17,"ERRO")),FREQUENCIAS!$1:$1048576))</f>
        <v>0.32906299999999999</v>
      </c>
      <c r="AM27" s="137"/>
      <c r="AN27" s="137"/>
      <c r="AO27" s="138">
        <f t="shared" ref="AO27:AO33" si="32">SUM(AL27:AN27)</f>
        <v>0.32906299999999999</v>
      </c>
      <c r="AV27" s="147">
        <f>IF(B27=0,0,VLOOKUP(B27,FREQUENCIAS!$1:$1048576,(IF(($A27=FREQUENCIAS!$Q$1),17,"ERRO")),FREQUENCIAS!$1:$1048576))</f>
        <v>1.7458000000000001E-2</v>
      </c>
      <c r="AW27" s="147">
        <f>IF(C27=0,0,VLOOKUP(C27,FREQUENCIAS!$1:$1048576,(IF(($A27=FREQUENCIAS!$Q$1),17,"ERRO")),FREQUENCIAS!$1:$1048576))</f>
        <v>0.32906299999999999</v>
      </c>
      <c r="AX27" s="147">
        <f>IF(D27=0,0,VLOOKUP(D27,FREQUENCIAS!$1:$1048576,(IF(($A27=FREQUENCIAS!$Q$1),17,"ERRO")),FREQUENCIAS!$1:$1048576))</f>
        <v>0.32906299999999999</v>
      </c>
      <c r="AY27" s="147">
        <f>IF(E27=0,0,VLOOKUP(E27,FREQUENCIAS!$1:$1048576,(IF(($A27=FREQUENCIAS!$Q$1),17,"ERRO")),FREQUENCIAS!$1:$1048576))</f>
        <v>0.32906299999999999</v>
      </c>
      <c r="AZ27" s="1">
        <f t="shared" ref="AZ27:AZ33" si="33">(IF((OR((B27=22.3),(B27=23.2),(B27=24.2),(B27=25.2),(B27=24.3),(B27=26.2),(B27=34.2),(B27="&gt;42,2"),(B27=42.2),(B27=43.2),(B27=44.2),(B27=45.2),(B27=46.2),(B27=47.2),(B27=48.2),(B27=50.2))),1,0))</f>
        <v>0</v>
      </c>
      <c r="BA27" s="1">
        <f t="shared" ref="BA27:BA33" si="34">(IF((OR((C27=22.3),(C27=23.2),(C27=24.2),(C27=25.2),(C27=24.3),(C27=26.2),(C27=34.2),(C27="&gt;42,2"),(C27=42.2),(C27=43.2),(C27=44.2),(C27=45.2),(C27=46.2),(C27=47.2),(C27=48.2),(C27=50.2))),1,0))</f>
        <v>0</v>
      </c>
      <c r="BB27" s="1">
        <f t="shared" ref="BB27:BB33" si="35">(IF((OR((D27=22.3),(D27=23.2),(D27=24.2),(D27=25.2),(D27=24.3),(D27=26.2),(D27=34.2),(D27="&gt;42,2"),(D27=42.2),(D27=43.2),(D27=44.2),(D27=45.2),(D27=46.2),(D27=47.2),(D27=48.2),(D27=50.2))),1,0))</f>
        <v>0</v>
      </c>
      <c r="BC27" s="1">
        <f t="shared" ref="BC27:BC33" si="36">(IF((OR((E27=22.3),(E27=23.2),(E27=24.2),(E27=25.2),(E27=24.3),(E27=26.2),(E27=34.2),(E27="&gt;42,2"),(E27=42.2),(E27=43.2),(E27=44.2),(E27=45.2),(E27=46.2),(E27=47.2),(E27=48.2),(E27=50.2))),1,0))</f>
        <v>0</v>
      </c>
      <c r="BD27" s="97">
        <f t="shared" si="18"/>
        <v>0</v>
      </c>
      <c r="BE27" s="97">
        <f t="shared" ref="BE27:BE33" si="37">IF((Y27="EXCLUI"),1,0)</f>
        <v>0</v>
      </c>
      <c r="BF27" s="140">
        <f t="shared" si="15"/>
        <v>1.5194658773547922</v>
      </c>
    </row>
    <row r="28" spans="1:58" ht="15" customHeight="1" thickTop="1" thickBot="1">
      <c r="A28" s="88" t="str">
        <f>'IMPORTAÇÃO GENOTIPER'!A21</f>
        <v>TPOX</v>
      </c>
      <c r="B28" s="125">
        <f>'IMPORTAÇÃO GENOTIPER'!AE21</f>
        <v>8</v>
      </c>
      <c r="C28" s="126">
        <f>'IMPORTAÇÃO GENOTIPER'!AM21</f>
        <v>11</v>
      </c>
      <c r="D28" s="126">
        <f>'IMPORTAÇÃO GENOTIPER'!AU21</f>
        <v>8</v>
      </c>
      <c r="E28" s="127">
        <f>'IMPORTAÇÃO GENOTIPER'!BC21</f>
        <v>11</v>
      </c>
      <c r="F28" s="73">
        <f t="shared" si="20"/>
        <v>8</v>
      </c>
      <c r="G28" s="73">
        <f t="shared" si="21"/>
        <v>11</v>
      </c>
      <c r="H28" s="73">
        <f t="shared" si="22"/>
        <v>8</v>
      </c>
      <c r="I28" s="73">
        <f t="shared" si="23"/>
        <v>11</v>
      </c>
      <c r="J28" s="141"/>
      <c r="K28" s="141"/>
      <c r="L28" s="141"/>
      <c r="M28" s="142"/>
      <c r="N28" s="141">
        <f t="shared" si="24"/>
        <v>8</v>
      </c>
      <c r="O28" s="141">
        <f t="shared" si="25"/>
        <v>11</v>
      </c>
      <c r="P28" s="143">
        <f t="shared" si="26"/>
        <v>8</v>
      </c>
      <c r="Q28" s="144">
        <f t="shared" si="27"/>
        <v>11</v>
      </c>
      <c r="R28" s="145"/>
      <c r="S28" s="145"/>
      <c r="T28" s="89">
        <f>IF(P28=0,0,VLOOKUP(P28,FREQUENCIAS!1:1048576,(IF(($A28=FREQUENCIAS!$R$1),18,"ERRO")),FREQUENCIAS!1:1048576))</f>
        <v>0.45586199999999999</v>
      </c>
      <c r="U28" s="89">
        <f>IF(Q28=0,0,VLOOKUP(Q28,FREQUENCIAS!1:1048576,(IF(($A28=FREQUENCIAS!$R$1),18,"ERRO")),FREQUENCIAS!1:1048576))</f>
        <v>0.275532</v>
      </c>
      <c r="V28" s="146"/>
      <c r="W28" s="134" t="str">
        <f t="shared" si="8"/>
        <v>OK</v>
      </c>
      <c r="X28" s="74">
        <f t="shared" si="28"/>
        <v>0.73139399999999999</v>
      </c>
      <c r="Y28" s="75">
        <f t="shared" si="16"/>
        <v>1.4557472077754661</v>
      </c>
      <c r="Z28" s="200">
        <f t="shared" si="17"/>
        <v>0.59279196293748493</v>
      </c>
      <c r="AA28" s="150"/>
      <c r="AB28" s="78" t="str">
        <f t="shared" si="29"/>
        <v>F/(4pq)</v>
      </c>
      <c r="AC28" s="97">
        <f t="shared" si="10"/>
        <v>0.3418130310065437</v>
      </c>
      <c r="AD28" s="97" t="s">
        <v>47</v>
      </c>
      <c r="AE28" s="97" t="str">
        <f t="shared" si="11"/>
        <v>1 / 4F</v>
      </c>
      <c r="AF28" s="136">
        <f t="shared" si="30"/>
        <v>7.2149183236000003E-2</v>
      </c>
      <c r="AH28" s="137">
        <f>IF(B28=0,0,VLOOKUP(B28,FREQUENCIAS!$1:$1048576,(IF(($A28=FREQUENCIAS!$R$1),18,"ERRO")),FREQUENCIAS!$1:$1048576))</f>
        <v>0.45586199999999999</v>
      </c>
      <c r="AI28" s="137"/>
      <c r="AJ28" s="137"/>
      <c r="AK28" s="138">
        <f t="shared" si="31"/>
        <v>0.45586199999999999</v>
      </c>
      <c r="AL28" s="137">
        <f>IF(C28=0,0,VLOOKUP(C28,FREQUENCIAS!$1:$1048576,(IF(($A28=FREQUENCIAS!$R$1),18,"ERRO")),FREQUENCIAS!$1:$1048576))</f>
        <v>0.275532</v>
      </c>
      <c r="AM28" s="137"/>
      <c r="AN28" s="137"/>
      <c r="AO28" s="138">
        <f t="shared" si="32"/>
        <v>0.275532</v>
      </c>
      <c r="AV28" s="147">
        <f>IF(B28=0,0,VLOOKUP(B28,FREQUENCIAS!$1:$1048576,(IF(($A28=FREQUENCIAS!$R$1),18,"ERRO")),FREQUENCIAS!$1:$1048576))</f>
        <v>0.45586199999999999</v>
      </c>
      <c r="AW28" s="147">
        <f>IF(C28=0,0,VLOOKUP(C28,FREQUENCIAS!$1:$1048576,(IF(($A28=FREQUENCIAS!$R$1),18,"ERRO")),FREQUENCIAS!$1:$1048576))</f>
        <v>0.275532</v>
      </c>
      <c r="AX28" s="147">
        <f>IF(D28=0,0,VLOOKUP(D28,FREQUENCIAS!$1:$1048576,(IF(($A28=FREQUENCIAS!$R$1),18,"ERRO")),FREQUENCIAS!$1:$1048576))</f>
        <v>0.45586199999999999</v>
      </c>
      <c r="AY28" s="147">
        <f>IF(E28=0,0,VLOOKUP(E28,FREQUENCIAS!$1:$1048576,(IF(($A28=FREQUENCIAS!$R$1),18,"ERRO")),FREQUENCIAS!$1:$1048576))</f>
        <v>0.275532</v>
      </c>
      <c r="AZ28" s="1">
        <f t="shared" si="33"/>
        <v>0</v>
      </c>
      <c r="BA28" s="1">
        <f t="shared" si="34"/>
        <v>0</v>
      </c>
      <c r="BB28" s="1">
        <f t="shared" si="35"/>
        <v>0</v>
      </c>
      <c r="BC28" s="1">
        <f t="shared" si="36"/>
        <v>0</v>
      </c>
      <c r="BD28" s="97">
        <f t="shared" si="18"/>
        <v>1</v>
      </c>
      <c r="BE28" s="97">
        <f t="shared" si="37"/>
        <v>0</v>
      </c>
      <c r="BF28" s="140">
        <f t="shared" si="15"/>
        <v>1.4557472077754661</v>
      </c>
    </row>
    <row r="29" spans="1:58" ht="15" customHeight="1" thickTop="1" thickBot="1">
      <c r="A29" s="88" t="str">
        <f>'IMPORTAÇÃO GENOTIPER'!A22</f>
        <v>D8S1179</v>
      </c>
      <c r="B29" s="125">
        <f>'IMPORTAÇÃO GENOTIPER'!AE22</f>
        <v>15</v>
      </c>
      <c r="C29" s="126">
        <f>'IMPORTAÇÃO GENOTIPER'!AM22</f>
        <v>15</v>
      </c>
      <c r="D29" s="126">
        <f>'IMPORTAÇÃO GENOTIPER'!AU22</f>
        <v>14</v>
      </c>
      <c r="E29" s="127">
        <f>'IMPORTAÇÃO GENOTIPER'!BC22</f>
        <v>15</v>
      </c>
      <c r="F29" s="73">
        <f t="shared" si="20"/>
        <v>15</v>
      </c>
      <c r="G29" s="73">
        <f t="shared" si="21"/>
        <v>15</v>
      </c>
      <c r="H29" s="73">
        <f t="shared" si="22"/>
        <v>14</v>
      </c>
      <c r="I29" s="73">
        <f t="shared" si="23"/>
        <v>15</v>
      </c>
      <c r="J29" s="141"/>
      <c r="K29" s="141"/>
      <c r="L29" s="141"/>
      <c r="M29" s="142"/>
      <c r="N29" s="141">
        <f t="shared" si="24"/>
        <v>0</v>
      </c>
      <c r="O29" s="141">
        <f t="shared" si="25"/>
        <v>15</v>
      </c>
      <c r="P29" s="143">
        <f t="shared" si="26"/>
        <v>0</v>
      </c>
      <c r="Q29" s="144">
        <f t="shared" si="27"/>
        <v>15</v>
      </c>
      <c r="R29" s="145"/>
      <c r="S29" s="145"/>
      <c r="T29" s="89">
        <f>IF(P29=0,0,VLOOKUP(P29,FREQUENCIAS!1:1048576,(IF(($A29=FREQUENCIAS!$S$1),19,"ERRO")),FREQUENCIAS!1:1048576))</f>
        <v>0</v>
      </c>
      <c r="U29" s="89">
        <f>IF(Q29=0,0,VLOOKUP(Q29,FREQUENCIAS!1:1048576,(IF(($A29=FREQUENCIAS!$S$1),19,"ERRO")),FREQUENCIAS!1:1048576))</f>
        <v>0.13833100000000001</v>
      </c>
      <c r="V29" s="146"/>
      <c r="W29" s="134" t="str">
        <f t="shared" si="8"/>
        <v>OK</v>
      </c>
      <c r="X29" s="74">
        <f t="shared" si="28"/>
        <v>0.13833100000000001</v>
      </c>
      <c r="Y29" s="75">
        <f t="shared" si="16"/>
        <v>3.614518799112274</v>
      </c>
      <c r="Z29" s="200">
        <f t="shared" si="17"/>
        <v>0.78329268044321843</v>
      </c>
      <c r="AA29" s="150"/>
      <c r="AB29" s="78" t="str">
        <f t="shared" si="29"/>
        <v>1 / 2F</v>
      </c>
      <c r="AC29" s="97">
        <f t="shared" si="10"/>
        <v>1.807259399556137</v>
      </c>
      <c r="AD29" s="97" t="s">
        <v>47</v>
      </c>
      <c r="AE29" s="97" t="str">
        <f t="shared" si="11"/>
        <v>1 / 4F</v>
      </c>
      <c r="AF29" s="136">
        <f t="shared" si="30"/>
        <v>0.74247346556100002</v>
      </c>
      <c r="AH29" s="137">
        <f>IF(B29=0,0,VLOOKUP(B29,FREQUENCIAS!$1:$1048576,(IF(($A29=FREQUENCIAS!$S$1),19,"ERRO")),FREQUENCIAS!$1:$1048576))</f>
        <v>0.13833100000000001</v>
      </c>
      <c r="AI29" s="137"/>
      <c r="AJ29" s="137"/>
      <c r="AK29" s="138">
        <f t="shared" si="31"/>
        <v>0.13833100000000001</v>
      </c>
      <c r="AL29" s="137">
        <f>IF(C29=0,0,VLOOKUP(C29,FREQUENCIAS!$1:$1048576,(IF(($A29=FREQUENCIAS!$S$1),19,"ERRO")),FREQUENCIAS!$1:$1048576))</f>
        <v>0.13833100000000001</v>
      </c>
      <c r="AM29" s="137"/>
      <c r="AN29" s="137"/>
      <c r="AO29" s="138">
        <f t="shared" si="32"/>
        <v>0.13833100000000001</v>
      </c>
      <c r="AV29" s="147">
        <f>IF(B29=0,0,VLOOKUP(B29,FREQUENCIAS!$1:$1048576,(IF(($A29=FREQUENCIAS!$S$1),19,"ERRO")),FREQUENCIAS!$1:$1048576))</f>
        <v>0.13833100000000001</v>
      </c>
      <c r="AW29" s="147">
        <f>IF(C29=0,0,VLOOKUP(C29,FREQUENCIAS!$1:$1048576,(IF(($A29=FREQUENCIAS!$S$1),19,"ERRO")),FREQUENCIAS!$1:$1048576))</f>
        <v>0.13833100000000001</v>
      </c>
      <c r="AX29" s="147">
        <f>IF(D29=0,0,VLOOKUP(D29,FREQUENCIAS!$1:$1048576,(IF(($A29=FREQUENCIAS!$S$1),19,"ERRO")),FREQUENCIAS!$1:$1048576))</f>
        <v>0.25086999999999998</v>
      </c>
      <c r="AY29" s="147">
        <f>IF(E29=0,0,VLOOKUP(E29,FREQUENCIAS!$1:$1048576,(IF(($A29=FREQUENCIAS!$S$1),19,"ERRO")),FREQUENCIAS!$1:$1048576))</f>
        <v>0.13833100000000001</v>
      </c>
      <c r="AZ29" s="1">
        <f t="shared" si="33"/>
        <v>0</v>
      </c>
      <c r="BA29" s="1">
        <f t="shared" si="34"/>
        <v>0</v>
      </c>
      <c r="BB29" s="1">
        <f t="shared" si="35"/>
        <v>0</v>
      </c>
      <c r="BC29" s="1">
        <f t="shared" si="36"/>
        <v>0</v>
      </c>
      <c r="BD29" s="97">
        <f t="shared" si="18"/>
        <v>0</v>
      </c>
      <c r="BE29" s="97">
        <f t="shared" si="37"/>
        <v>0</v>
      </c>
      <c r="BF29" s="140">
        <f t="shared" si="15"/>
        <v>3.614518799112274</v>
      </c>
    </row>
    <row r="30" spans="1:58" ht="15" customHeight="1" thickTop="1" thickBot="1">
      <c r="A30" s="88" t="str">
        <f>'IMPORTAÇÃO GENOTIPER'!A23</f>
        <v>D12S391</v>
      </c>
      <c r="B30" s="125">
        <f>'IMPORTAÇÃO GENOTIPER'!AE23</f>
        <v>18</v>
      </c>
      <c r="C30" s="126">
        <f>'IMPORTAÇÃO GENOTIPER'!AM23</f>
        <v>20</v>
      </c>
      <c r="D30" s="126">
        <f>'IMPORTAÇÃO GENOTIPER'!AU23</f>
        <v>18</v>
      </c>
      <c r="E30" s="127">
        <f>'IMPORTAÇÃO GENOTIPER'!BC23</f>
        <v>18</v>
      </c>
      <c r="F30" s="73">
        <f t="shared" si="20"/>
        <v>18</v>
      </c>
      <c r="G30" s="73">
        <f t="shared" si="21"/>
        <v>20</v>
      </c>
      <c r="H30" s="73">
        <f t="shared" si="22"/>
        <v>18</v>
      </c>
      <c r="I30" s="73">
        <f t="shared" si="23"/>
        <v>18</v>
      </c>
      <c r="J30" s="141"/>
      <c r="K30" s="141"/>
      <c r="L30" s="141"/>
      <c r="M30" s="142"/>
      <c r="N30" s="141">
        <f t="shared" si="24"/>
        <v>18</v>
      </c>
      <c r="O30" s="141">
        <f t="shared" si="25"/>
        <v>0</v>
      </c>
      <c r="P30" s="143">
        <f t="shared" si="26"/>
        <v>18</v>
      </c>
      <c r="Q30" s="144">
        <f t="shared" si="27"/>
        <v>0</v>
      </c>
      <c r="R30" s="145"/>
      <c r="S30" s="145"/>
      <c r="T30" s="89">
        <f>IF(P30=0,0,VLOOKUP(P30,FREQUENCIAS!1:1048576,(IF(($A30=FREQUENCIAS!$T$1),20,"ERRO")),FREQUENCIAS!1:1048576))</f>
        <v>0.18790000000000001</v>
      </c>
      <c r="U30" s="89">
        <f>IF(Q30=0,0,VLOOKUP(Q30,FREQUENCIAS!1:1048576,(IF(($A30=FREQUENCIAS!$T$1),20,"ERRO")),FREQUENCIAS!1:1048576))</f>
        <v>0</v>
      </c>
      <c r="V30" s="146"/>
      <c r="W30" s="134" t="str">
        <f t="shared" si="8"/>
        <v>OK</v>
      </c>
      <c r="X30" s="74">
        <f t="shared" si="28"/>
        <v>0.18790000000000001</v>
      </c>
      <c r="Y30" s="75">
        <f t="shared" si="16"/>
        <v>2.6609898882384244</v>
      </c>
      <c r="Z30" s="200">
        <f t="shared" si="17"/>
        <v>0.72684983282453841</v>
      </c>
      <c r="AA30" s="150"/>
      <c r="AB30" s="78" t="str">
        <f t="shared" si="29"/>
        <v>1 / 2F</v>
      </c>
      <c r="AC30" s="97">
        <f t="shared" si="10"/>
        <v>1.3304949441192122</v>
      </c>
      <c r="AD30" s="97" t="s">
        <v>47</v>
      </c>
      <c r="AE30" s="97" t="str">
        <f t="shared" si="11"/>
        <v>1 / 4F</v>
      </c>
      <c r="AF30" s="136">
        <f t="shared" si="30"/>
        <v>0.43744995999999997</v>
      </c>
      <c r="AH30" s="137">
        <f>IF(B30=0,0,VLOOKUP(B30,FREQUENCIAS!$1:$1048576,(IF(($A30=FREQUENCIAS!$T$1),20,"ERRO")),FREQUENCIAS!$1:$1048576))</f>
        <v>0.18790000000000001</v>
      </c>
      <c r="AI30" s="137"/>
      <c r="AJ30" s="137"/>
      <c r="AK30" s="138">
        <f t="shared" si="31"/>
        <v>0.18790000000000001</v>
      </c>
      <c r="AL30" s="137">
        <f>IF(C30=0,0,VLOOKUP(C30,FREQUENCIAS!$1:$1048576,(IF(($A30=FREQUENCIAS!$T$1),20,"ERRO")),FREQUENCIAS!$1:$1048576))</f>
        <v>0.1507</v>
      </c>
      <c r="AM30" s="137"/>
      <c r="AN30" s="137"/>
      <c r="AO30" s="138">
        <f t="shared" si="32"/>
        <v>0.1507</v>
      </c>
      <c r="AV30" s="147">
        <f>IF(B30=0,0,VLOOKUP(B30,FREQUENCIAS!$1:$1048576,(IF(($A30=FREQUENCIAS!$T$1),20,"ERRO")),FREQUENCIAS!$1:$1048576))</f>
        <v>0.18790000000000001</v>
      </c>
      <c r="AW30" s="147">
        <f>IF(C30=0,0,VLOOKUP(C30,FREQUENCIAS!$1:$1048576,(IF(($A30=FREQUENCIAS!$T$1),20,"ERRO")),FREQUENCIAS!$1:$1048576))</f>
        <v>0.1507</v>
      </c>
      <c r="AX30" s="147">
        <f>IF(D30=0,0,VLOOKUP(D30,FREQUENCIAS!$1:$1048576,(IF(($A30=FREQUENCIAS!$T$1),20,"ERRO")),FREQUENCIAS!$1:$1048576))</f>
        <v>0.18790000000000001</v>
      </c>
      <c r="AY30" s="147">
        <f>IF(E30=0,0,VLOOKUP(E30,FREQUENCIAS!$1:$1048576,(IF(($A30=FREQUENCIAS!$T$1),20,"ERRO")),FREQUENCIAS!$1:$1048576))</f>
        <v>0.18790000000000001</v>
      </c>
      <c r="AZ30" s="1">
        <f t="shared" si="33"/>
        <v>0</v>
      </c>
      <c r="BA30" s="1">
        <f t="shared" si="34"/>
        <v>0</v>
      </c>
      <c r="BB30" s="1">
        <f t="shared" si="35"/>
        <v>0</v>
      </c>
      <c r="BC30" s="1">
        <f t="shared" si="36"/>
        <v>0</v>
      </c>
      <c r="BD30" s="97">
        <f t="shared" si="18"/>
        <v>0</v>
      </c>
      <c r="BE30" s="97">
        <f t="shared" si="37"/>
        <v>0</v>
      </c>
      <c r="BF30" s="140">
        <f t="shared" si="15"/>
        <v>2.6609898882384244</v>
      </c>
    </row>
    <row r="31" spans="1:58" ht="15" customHeight="1" thickTop="1" thickBot="1">
      <c r="A31" s="88" t="str">
        <f>'IMPORTAÇÃO GENOTIPER'!A24</f>
        <v>D19S433</v>
      </c>
      <c r="B31" s="125">
        <f>'IMPORTAÇÃO GENOTIPER'!AE24</f>
        <v>13</v>
      </c>
      <c r="C31" s="126">
        <f>'IMPORTAÇÃO GENOTIPER'!AM24</f>
        <v>14</v>
      </c>
      <c r="D31" s="126">
        <f>'IMPORTAÇÃO GENOTIPER'!AU24</f>
        <v>13</v>
      </c>
      <c r="E31" s="127">
        <f>'IMPORTAÇÃO GENOTIPER'!BC24</f>
        <v>14</v>
      </c>
      <c r="F31" s="73">
        <f t="shared" si="20"/>
        <v>13</v>
      </c>
      <c r="G31" s="73">
        <f t="shared" si="21"/>
        <v>14</v>
      </c>
      <c r="H31" s="73">
        <f t="shared" si="22"/>
        <v>13</v>
      </c>
      <c r="I31" s="73">
        <f t="shared" si="23"/>
        <v>14</v>
      </c>
      <c r="J31" s="141"/>
      <c r="K31" s="141"/>
      <c r="L31" s="141"/>
      <c r="M31" s="142"/>
      <c r="N31" s="141">
        <f t="shared" si="24"/>
        <v>13</v>
      </c>
      <c r="O31" s="141">
        <f t="shared" si="25"/>
        <v>14</v>
      </c>
      <c r="P31" s="143">
        <f t="shared" si="26"/>
        <v>13</v>
      </c>
      <c r="Q31" s="144">
        <f t="shared" si="27"/>
        <v>14</v>
      </c>
      <c r="R31" s="145"/>
      <c r="S31" s="145"/>
      <c r="T31" s="89">
        <f>IF(P31=0,0,VLOOKUP(P31,FREQUENCIAS!1:1048576,(IF(($A31=FREQUENCIAS!$U$1),21,"ERRO")),FREQUENCIAS!1:1048576))</f>
        <v>0.2369</v>
      </c>
      <c r="U31" s="89">
        <f>IF(Q31=0,0,VLOOKUP(Q31,FREQUENCIAS!1:1048576,(IF(($A31=FREQUENCIAS!$U$1),21,"ERRO")),FREQUENCIAS!1:1048576))</f>
        <v>0.29409999999999997</v>
      </c>
      <c r="V31" s="146"/>
      <c r="W31" s="134" t="str">
        <f t="shared" si="8"/>
        <v>OK</v>
      </c>
      <c r="X31" s="74">
        <f t="shared" si="28"/>
        <v>0.53099999999999992</v>
      </c>
      <c r="Y31" s="75">
        <f t="shared" si="16"/>
        <v>1.9053485969816693</v>
      </c>
      <c r="Z31" s="200">
        <f t="shared" si="17"/>
        <v>0.65580722360170896</v>
      </c>
      <c r="AA31" s="150"/>
      <c r="AB31" s="78" t="str">
        <f t="shared" si="29"/>
        <v>F/(4pq)</v>
      </c>
      <c r="AC31" s="97">
        <f t="shared" si="10"/>
        <v>0.47080979284369123</v>
      </c>
      <c r="AD31" s="97" t="s">
        <v>47</v>
      </c>
      <c r="AE31" s="97" t="str">
        <f t="shared" si="11"/>
        <v>1 / 4F</v>
      </c>
      <c r="AF31" s="136">
        <f t="shared" si="30"/>
        <v>0.21996100000000007</v>
      </c>
      <c r="AH31" s="137">
        <f>IF(B31=0,0,VLOOKUP(B31,FREQUENCIAS!$1:$1048576,(IF(($A31=FREQUENCIAS!$U$1),21,"ERRO")),FREQUENCIAS!$1:$1048576))</f>
        <v>0.2369</v>
      </c>
      <c r="AI31" s="137"/>
      <c r="AJ31" s="137"/>
      <c r="AK31" s="138">
        <f t="shared" si="31"/>
        <v>0.2369</v>
      </c>
      <c r="AL31" s="137">
        <f>IF(C31=0,0,VLOOKUP(C31,FREQUENCIAS!$1:$1048576,(IF(($A31=FREQUENCIAS!$U$1),21,"ERRO")),FREQUENCIAS!$1:$1048576))</f>
        <v>0.29409999999999997</v>
      </c>
      <c r="AM31" s="137"/>
      <c r="AN31" s="137"/>
      <c r="AO31" s="138">
        <f t="shared" si="32"/>
        <v>0.29409999999999997</v>
      </c>
      <c r="AV31" s="147">
        <f>IF(B31=0,0,VLOOKUP(B31,FREQUENCIAS!$1:$1048576,(IF(($A31=FREQUENCIAS!$U$1),21,"ERRO")),FREQUENCIAS!$1:$1048576))</f>
        <v>0.2369</v>
      </c>
      <c r="AW31" s="147">
        <f>IF(C31=0,0,VLOOKUP(C31,FREQUENCIAS!$1:$1048576,(IF(($A31=FREQUENCIAS!$U$1),21,"ERRO")),FREQUENCIAS!$1:$1048576))</f>
        <v>0.29409999999999997</v>
      </c>
      <c r="AX31" s="147">
        <f>IF(D31=0,0,VLOOKUP(D31,FREQUENCIAS!$1:$1048576,(IF(($A31=FREQUENCIAS!$U$1),21,"ERRO")),FREQUENCIAS!$1:$1048576))</f>
        <v>0.2369</v>
      </c>
      <c r="AY31" s="147">
        <f>IF(E31=0,0,VLOOKUP(E31,FREQUENCIAS!$1:$1048576,(IF(($A31=FREQUENCIAS!$U$1),21,"ERRO")),FREQUENCIAS!$1:$1048576))</f>
        <v>0.29409999999999997</v>
      </c>
      <c r="AZ31" s="1">
        <f t="shared" si="33"/>
        <v>0</v>
      </c>
      <c r="BA31" s="1">
        <f t="shared" si="34"/>
        <v>0</v>
      </c>
      <c r="BB31" s="1">
        <f t="shared" si="35"/>
        <v>0</v>
      </c>
      <c r="BC31" s="1">
        <f t="shared" si="36"/>
        <v>0</v>
      </c>
      <c r="BD31" s="97">
        <f t="shared" si="18"/>
        <v>1</v>
      </c>
      <c r="BE31" s="97">
        <f t="shared" si="37"/>
        <v>0</v>
      </c>
      <c r="BF31" s="140">
        <f t="shared" si="15"/>
        <v>1.9053485969816693</v>
      </c>
    </row>
    <row r="32" spans="1:58" ht="15" customHeight="1" thickTop="1" thickBot="1">
      <c r="A32" s="88" t="str">
        <f>'IMPORTAÇÃO GENOTIPER'!A25</f>
        <v>FGA</v>
      </c>
      <c r="B32" s="125">
        <f>'IMPORTAÇÃO GENOTIPER'!AE25</f>
        <v>26</v>
      </c>
      <c r="C32" s="126">
        <f>'IMPORTAÇÃO GENOTIPER'!AM25</f>
        <v>27</v>
      </c>
      <c r="D32" s="126">
        <f>'IMPORTAÇÃO GENOTIPER'!AU25</f>
        <v>22</v>
      </c>
      <c r="E32" s="127">
        <f>'IMPORTAÇÃO GENOTIPER'!BC25</f>
        <v>26</v>
      </c>
      <c r="F32" s="73">
        <f t="shared" si="20"/>
        <v>26</v>
      </c>
      <c r="G32" s="73">
        <f t="shared" si="21"/>
        <v>27</v>
      </c>
      <c r="H32" s="73">
        <f t="shared" si="22"/>
        <v>22</v>
      </c>
      <c r="I32" s="73">
        <f t="shared" si="23"/>
        <v>26</v>
      </c>
      <c r="J32" s="141"/>
      <c r="K32" s="141"/>
      <c r="L32" s="141"/>
      <c r="M32" s="142"/>
      <c r="N32" s="141">
        <f t="shared" si="24"/>
        <v>0</v>
      </c>
      <c r="O32" s="141">
        <f t="shared" si="25"/>
        <v>26</v>
      </c>
      <c r="P32" s="143">
        <f t="shared" si="26"/>
        <v>0</v>
      </c>
      <c r="Q32" s="144">
        <f t="shared" si="27"/>
        <v>26</v>
      </c>
      <c r="R32" s="145"/>
      <c r="S32" s="145"/>
      <c r="T32" s="89">
        <f>IF(P32=0,0,VLOOKUP(P32,FREQUENCIAS!1:1048576,(IF(($A32=FREQUENCIAS!$V$1),22,"ERRO")),FREQUENCIAS!1:1048576))</f>
        <v>0</v>
      </c>
      <c r="U32" s="89">
        <f>IF(Q32=0,0,VLOOKUP(Q32,FREQUENCIAS!1:1048576,(IF(($A32=FREQUENCIAS!$V$1),22,"ERRO")),FREQUENCIAS!1:1048576))</f>
        <v>4.7419999999999997E-2</v>
      </c>
      <c r="V32" s="146"/>
      <c r="W32" s="134" t="str">
        <f t="shared" si="8"/>
        <v>OK</v>
      </c>
      <c r="X32" s="74">
        <f t="shared" si="28"/>
        <v>0.05</v>
      </c>
      <c r="Y32" s="75">
        <f t="shared" si="16"/>
        <v>5</v>
      </c>
      <c r="Z32" s="200">
        <f t="shared" si="17"/>
        <v>0.83333333333333337</v>
      </c>
      <c r="AA32" s="150"/>
      <c r="AB32" s="78" t="str">
        <f t="shared" si="29"/>
        <v>1 / 4F</v>
      </c>
      <c r="AC32" s="97">
        <f t="shared" si="10"/>
        <v>5</v>
      </c>
      <c r="AD32" s="97" t="s">
        <v>47</v>
      </c>
      <c r="AE32" s="97" t="str">
        <f t="shared" si="11"/>
        <v>1 / 4F</v>
      </c>
      <c r="AF32" s="136">
        <f t="shared" si="30"/>
        <v>0.87727013712899993</v>
      </c>
      <c r="AH32" s="137">
        <f>IF(B32=0,0,VLOOKUP(B32,FREQUENCIAS!$1:$1048576,(IF(($A32=FREQUENCIAS!$V$1),22,"ERRO")),FREQUENCIAS!$1:$1048576))</f>
        <v>4.7419999999999997E-2</v>
      </c>
      <c r="AI32" s="137"/>
      <c r="AJ32" s="137"/>
      <c r="AK32" s="138">
        <f t="shared" si="31"/>
        <v>4.7419999999999997E-2</v>
      </c>
      <c r="AL32" s="137">
        <f>IF(C32=0,0,VLOOKUP(C32,FREQUENCIAS!$1:$1048576,(IF(($A32=FREQUENCIAS!$V$1),22,"ERRO")),FREQUENCIAS!$1:$1048576))</f>
        <v>1.5952999999999998E-2</v>
      </c>
      <c r="AM32" s="137"/>
      <c r="AN32" s="137"/>
      <c r="AO32" s="138">
        <f t="shared" si="32"/>
        <v>1.5952999999999998E-2</v>
      </c>
      <c r="AV32" s="147">
        <f>IF(B32=0,0,VLOOKUP(B32,FREQUENCIAS!$1:$1048576,(IF(($A32=FREQUENCIAS!$V$1),22,"ERRO")),FREQUENCIAS!$1:$1048576))</f>
        <v>4.7419999999999997E-2</v>
      </c>
      <c r="AW32" s="147">
        <f>IF(C32=0,0,VLOOKUP(C32,FREQUENCIAS!$1:$1048576,(IF(($A32=FREQUENCIAS!$V$1),22,"ERRO")),FREQUENCIAS!$1:$1048576))</f>
        <v>1.5952999999999998E-2</v>
      </c>
      <c r="AX32" s="147">
        <f>IF(D32=0,0,VLOOKUP(D32,FREQUENCIAS!$1:$1048576,(IF(($A32=FREQUENCIAS!$V$1),22,"ERRO")),FREQUENCIAS!$1:$1048576))</f>
        <v>0.161658</v>
      </c>
      <c r="AY32" s="147">
        <f>IF(E32=0,0,VLOOKUP(E32,FREQUENCIAS!$1:$1048576,(IF(($A32=FREQUENCIAS!$V$1),22,"ERRO")),FREQUENCIAS!$1:$1048576))</f>
        <v>4.7419999999999997E-2</v>
      </c>
      <c r="AZ32" s="1">
        <f t="shared" si="33"/>
        <v>0</v>
      </c>
      <c r="BA32" s="1">
        <f t="shared" si="34"/>
        <v>0</v>
      </c>
      <c r="BB32" s="1">
        <f t="shared" si="35"/>
        <v>0</v>
      </c>
      <c r="BC32" s="1">
        <f t="shared" si="36"/>
        <v>0</v>
      </c>
      <c r="BD32" s="97">
        <f t="shared" si="18"/>
        <v>0</v>
      </c>
      <c r="BE32" s="97">
        <f t="shared" si="37"/>
        <v>0</v>
      </c>
      <c r="BF32" s="140">
        <f t="shared" si="15"/>
        <v>5</v>
      </c>
    </row>
    <row r="33" spans="1:60" ht="15" customHeight="1" thickTop="1" thickBot="1">
      <c r="A33" s="88" t="str">
        <f>'IMPORTAÇÃO GENOTIPER'!A26</f>
        <v>D22S1045</v>
      </c>
      <c r="B33" s="125">
        <f>'IMPORTAÇÃO GENOTIPER'!AE26</f>
        <v>16</v>
      </c>
      <c r="C33" s="126">
        <f>'IMPORTAÇÃO GENOTIPER'!AM26</f>
        <v>16</v>
      </c>
      <c r="D33" s="126">
        <f>'IMPORTAÇÃO GENOTIPER'!AU26</f>
        <v>15</v>
      </c>
      <c r="E33" s="127">
        <f>'IMPORTAÇÃO GENOTIPER'!BC26</f>
        <v>16</v>
      </c>
      <c r="F33" s="73">
        <f t="shared" si="20"/>
        <v>16</v>
      </c>
      <c r="G33" s="73">
        <f t="shared" si="21"/>
        <v>16</v>
      </c>
      <c r="H33" s="73">
        <f t="shared" si="22"/>
        <v>15</v>
      </c>
      <c r="I33" s="73">
        <f t="shared" si="23"/>
        <v>16</v>
      </c>
      <c r="J33" s="141"/>
      <c r="K33" s="141"/>
      <c r="L33" s="141"/>
      <c r="M33" s="142"/>
      <c r="N33" s="141">
        <f t="shared" si="24"/>
        <v>0</v>
      </c>
      <c r="O33" s="141">
        <f t="shared" si="25"/>
        <v>16</v>
      </c>
      <c r="P33" s="143">
        <f t="shared" si="26"/>
        <v>0</v>
      </c>
      <c r="Q33" s="144">
        <f t="shared" si="27"/>
        <v>16</v>
      </c>
      <c r="R33" s="145"/>
      <c r="S33" s="145"/>
      <c r="T33" s="89">
        <f>IF(P33=0,0,VLOOKUP(P33,FREQUENCIAS!1:1048576,(IF(($A33=FREQUENCIAS!$W$1),23,"ERRO")),FREQUENCIAS!1:1048576))</f>
        <v>0</v>
      </c>
      <c r="U33" s="89">
        <f>IF(Q33=0,0,VLOOKUP(Q33,FREQUENCIAS!1:1048576,(IF(($A33=FREQUENCIAS!$W$1),23,"ERRO")),FREQUENCIAS!1:1048576))</f>
        <v>0.32869999999999999</v>
      </c>
      <c r="V33" s="146"/>
      <c r="W33" s="134" t="str">
        <f t="shared" si="8"/>
        <v>OK</v>
      </c>
      <c r="X33" s="74">
        <f t="shared" si="28"/>
        <v>0.32869999999999999</v>
      </c>
      <c r="Y33" s="75">
        <f t="shared" si="16"/>
        <v>1.5211439002129601</v>
      </c>
      <c r="Z33" s="200">
        <f t="shared" si="17"/>
        <v>0.60335465186436588</v>
      </c>
      <c r="AA33" s="150"/>
      <c r="AB33" s="78" t="str">
        <f t="shared" si="29"/>
        <v>1 / 2F</v>
      </c>
      <c r="AC33" s="97">
        <f t="shared" si="10"/>
        <v>0.76057195010648004</v>
      </c>
      <c r="AD33" s="97" t="s">
        <v>47</v>
      </c>
      <c r="AE33" s="97" t="str">
        <f t="shared" si="11"/>
        <v>1 / 4F</v>
      </c>
      <c r="AF33" s="136">
        <f t="shared" si="30"/>
        <v>0.45064368999999999</v>
      </c>
      <c r="AH33" s="137">
        <f>IF(B33=0,0,VLOOKUP(B33,FREQUENCIAS!$1:$1048576,(IF(($A33=FREQUENCIAS!$W$1),23,"ERRO")),FREQUENCIAS!$1:$1048576))</f>
        <v>0.32869999999999999</v>
      </c>
      <c r="AI33" s="137"/>
      <c r="AJ33" s="137"/>
      <c r="AK33" s="138">
        <f t="shared" si="31"/>
        <v>0.32869999999999999</v>
      </c>
      <c r="AL33" s="137">
        <f>IF(C33=0,0,VLOOKUP(C33,FREQUENCIAS!$1:$1048576,(IF(($A33=FREQUENCIAS!$W$1),23,"ERRO")),FREQUENCIAS!$1:$1048576))</f>
        <v>0.32869999999999999</v>
      </c>
      <c r="AM33" s="137"/>
      <c r="AN33" s="137"/>
      <c r="AO33" s="138">
        <f t="shared" si="32"/>
        <v>0.32869999999999999</v>
      </c>
      <c r="AV33" s="147">
        <f>IF(B33=0,0,VLOOKUP(B33,FREQUENCIAS!$1:$1048576,(IF(($A33=FREQUENCIAS!$W$1),23,"ERRO")),FREQUENCIAS!$1:$1048576))</f>
        <v>0.32869999999999999</v>
      </c>
      <c r="AW33" s="147">
        <f>IF(C33=0,0,VLOOKUP(C33,FREQUENCIAS!$1:$1048576,(IF(($A33=FREQUENCIAS!$W$1),23,"ERRO")),FREQUENCIAS!$1:$1048576))</f>
        <v>0.32869999999999999</v>
      </c>
      <c r="AX33" s="147">
        <f>IF(D33=0,0,VLOOKUP(D33,FREQUENCIAS!$1:$1048576,(IF(($A33=FREQUENCIAS!$W$1),23,"ERRO")),FREQUENCIAS!$1:$1048576))</f>
        <v>0.36049999999999999</v>
      </c>
      <c r="AY33" s="147">
        <f>IF(E33=0,0,VLOOKUP(E33,FREQUENCIAS!$1:$1048576,(IF(($A33=FREQUENCIAS!$W$1),23,"ERRO")),FREQUENCIAS!$1:$1048576))</f>
        <v>0.32869999999999999</v>
      </c>
      <c r="AZ33" s="1">
        <f t="shared" si="33"/>
        <v>0</v>
      </c>
      <c r="BA33" s="1">
        <f t="shared" si="34"/>
        <v>0</v>
      </c>
      <c r="BB33" s="1">
        <f t="shared" si="35"/>
        <v>0</v>
      </c>
      <c r="BC33" s="1">
        <f t="shared" si="36"/>
        <v>0</v>
      </c>
      <c r="BD33" s="97">
        <f t="shared" si="18"/>
        <v>0</v>
      </c>
      <c r="BE33" s="97">
        <f t="shared" si="37"/>
        <v>0</v>
      </c>
      <c r="BF33" s="140">
        <f t="shared" si="15"/>
        <v>1.5211439002129601</v>
      </c>
    </row>
    <row r="34" spans="1:60" ht="15" hidden="1" customHeight="1" thickTop="1" thickBot="1">
      <c r="A34" s="88" t="str">
        <f>'IMPORTAÇÃO GENOTIPER'!A27</f>
        <v>SE33</v>
      </c>
      <c r="B34" s="125">
        <f>'IMPORTAÇÃO GENOTIPER'!AE27</f>
        <v>0</v>
      </c>
      <c r="C34" s="126">
        <f>'IMPORTAÇÃO GENOTIPER'!AM27</f>
        <v>0</v>
      </c>
      <c r="D34" s="126">
        <f>'IMPORTAÇÃO GENOTIPER'!AU27</f>
        <v>0</v>
      </c>
      <c r="E34" s="127">
        <f>'IMPORTAÇÃO GENOTIPER'!BC27</f>
        <v>0</v>
      </c>
      <c r="F34" s="91">
        <f t="shared" ref="F34:F41" si="38">IF((B34&gt;C34),C34,B34)</f>
        <v>0</v>
      </c>
      <c r="G34" s="91">
        <f t="shared" ref="G34:G41" si="39">IF((C34&gt;B34),C34,B34)</f>
        <v>0</v>
      </c>
      <c r="H34" s="91">
        <f t="shared" ref="H34:H41" si="40">IF((D34&gt;E34),E34,D34)</f>
        <v>0</v>
      </c>
      <c r="I34" s="91">
        <f t="shared" ref="I34:I41" si="41">IF((E34&gt;D34),E34,D34)</f>
        <v>0</v>
      </c>
      <c r="J34" s="151"/>
      <c r="K34" s="151"/>
      <c r="L34" s="151"/>
      <c r="M34" s="151"/>
      <c r="N34" s="151">
        <f t="shared" ref="N34:N41" si="42">IF(OR((H34=F34),(H34=G34)),H34,0)</f>
        <v>0</v>
      </c>
      <c r="O34" s="151">
        <f t="shared" ref="O34:O41" si="43">IF((H34=I34),0,(IF(OR((I34=G34),(I34=F34)),I34,0)))</f>
        <v>0</v>
      </c>
      <c r="P34" s="152">
        <f t="shared" ref="P34:P41" si="44">(IF(OR((N34=H34),(N34=I34)),N34,0))</f>
        <v>0</v>
      </c>
      <c r="Q34" s="153">
        <f t="shared" ref="Q34:Q41" si="45">(IF((O34&lt;&gt;0),(IF(OR((O34=H34),(O34=I34)),O34,0)),0))</f>
        <v>0</v>
      </c>
      <c r="R34" s="154"/>
      <c r="S34" s="154"/>
      <c r="T34" s="92">
        <f>IF(P34=0,0,VLOOKUP(P34,FREQUENCIAS!1:1048576,(IF(($A34=FREQUENCIAS!$X$1),24,"ERRO")),FREQUENCIAS!1:1048576))</f>
        <v>0</v>
      </c>
      <c r="U34" s="92">
        <f>IF(Q34=0,0,VLOOKUP(Q34,FREQUENCIAS!1:1048576,(IF(($A34=FREQUENCIAS!$X$1),24,"ERRO")),FREQUENCIAS!1:1048576))</f>
        <v>0</v>
      </c>
      <c r="V34" s="155"/>
      <c r="W34" s="134" t="str">
        <f t="shared" si="8"/>
        <v>OK</v>
      </c>
      <c r="X34" s="74">
        <f t="shared" ref="X34:X41" si="46">(IF((A34="   ERRO-FT"),"16",(IF((AND((P34=0),(Q34=0))),0,(IF((R34+S34+T34+U34+V34)&lt;=$Z$10,$Z$10,(R34+S34+T34+U34+V34)))))))</f>
        <v>0</v>
      </c>
      <c r="Y34" s="75">
        <f t="shared" si="16"/>
        <v>1</v>
      </c>
      <c r="Z34" s="200">
        <f t="shared" si="17"/>
        <v>0.5</v>
      </c>
      <c r="AA34" s="150"/>
      <c r="AB34" s="78" t="str">
        <f t="shared" ref="AB34:AB41" si="47">IF((AND((P34=0),(Q34=0))),"EXCLUI",(IF(OR((AND(($F34&lt;&gt;$G34),($H34=$I34),(OR(($H34=$F34),($H34=$G34))))),(AND(($F34=$G34),($H34&lt;&gt;$I34),(OR(($F34=$H34),($F34=$I34)))))),($AD$22),((IF(((AND(($F34=$H34),($G34=$I34),($F34&lt;&gt;$G34)))),($AD$10),($AE34)))))))</f>
        <v>EXCLUI</v>
      </c>
      <c r="AC34" s="97" t="e">
        <f t="shared" si="10"/>
        <v>#DIV/0!</v>
      </c>
      <c r="AD34" s="97" t="s">
        <v>47</v>
      </c>
      <c r="AE34" s="97" t="str">
        <f t="shared" si="11"/>
        <v>1 / F</v>
      </c>
      <c r="AF34" s="136">
        <f t="shared" ref="AF34:AF41" si="48">(IF((B34=C34),((1-AK34)^2),(1-(AK34+AO34))^2))</f>
        <v>1</v>
      </c>
      <c r="AH34" s="137">
        <f>IF(B34=0,0,VLOOKUP(B34,FREQUENCIAS!$1:$1048576,(IF(($A34=FREQUENCIAS!$W$1),23,"ERRO")),FREQUENCIAS!$1:$1048576))</f>
        <v>0</v>
      </c>
      <c r="AI34" s="137"/>
      <c r="AJ34" s="137"/>
      <c r="AK34" s="138">
        <f t="shared" ref="AK34:AK41" si="49">SUM(AH34:AJ34)</f>
        <v>0</v>
      </c>
      <c r="AL34" s="137">
        <f>IF(C34=0,0,VLOOKUP(C34,FREQUENCIAS!$1:$1048576,(IF(($A34=FREQUENCIAS!$W$1),23,"ERRO")),FREQUENCIAS!$1:$1048576))</f>
        <v>0</v>
      </c>
      <c r="AM34" s="137"/>
      <c r="AN34" s="137"/>
      <c r="AO34" s="138">
        <f t="shared" ref="AO34:AO41" si="50">SUM(AL34:AN34)</f>
        <v>0</v>
      </c>
      <c r="AV34" s="147">
        <f>IF(B34=0,0,VLOOKUP(B34,FREQUENCIAS!$1:$1048576,(IF(($A34=FREQUENCIAS!$W$1),23,"ERRO")),FREQUENCIAS!$1:$1048576))</f>
        <v>0</v>
      </c>
      <c r="AW34" s="147">
        <f>IF(C34=0,0,VLOOKUP(C34,FREQUENCIAS!$1:$1048576,(IF(($A34=FREQUENCIAS!$W$1),23,"ERRO")),FREQUENCIAS!$1:$1048576))</f>
        <v>0</v>
      </c>
      <c r="AX34" s="147">
        <f>IF(D34=0,0,VLOOKUP(D34,FREQUENCIAS!$1:$1048576,(IF(($A34=FREQUENCIAS!$W$1),23,"ERRO")),FREQUENCIAS!$1:$1048576))</f>
        <v>0</v>
      </c>
      <c r="AY34" s="147">
        <f>IF(E34=0,0,VLOOKUP(E34,FREQUENCIAS!$1:$1048576,(IF(($A34=FREQUENCIAS!$W$1),23,"ERRO")),FREQUENCIAS!$1:$1048576))</f>
        <v>0</v>
      </c>
      <c r="AZ34" s="1">
        <f t="shared" ref="AZ34:AZ41" si="51">(IF((OR((B34=22.3),(B34=23.2),(B34=24.2),(B34=25.2),(B34=24.3),(B34=26.2),(B34=34.2),(B34="&gt;42,2"),(B34=42.2),(B34=43.2),(B34=44.2),(B34=45.2),(B34=46.2),(B34=47.2),(B34=48.2),(B34=50.2))),1,0))</f>
        <v>0</v>
      </c>
      <c r="BA34" s="1">
        <f t="shared" ref="BA34:BA41" si="52">(IF((OR((C34=22.3),(C34=23.2),(C34=24.2),(C34=25.2),(C34=24.3),(C34=26.2),(C34=34.2),(C34="&gt;42,2"),(C34=42.2),(C34=43.2),(C34=44.2),(C34=45.2),(C34=46.2),(C34=47.2),(C34=48.2),(C34=50.2))),1,0))</f>
        <v>0</v>
      </c>
      <c r="BB34" s="1">
        <f t="shared" ref="BB34:BB41" si="53">(IF((OR((D34=22.3),(D34=23.2),(D34=24.2),(D34=25.2),(D34=24.3),(D34=26.2),(D34=34.2),(D34="&gt;42,2"),(D34=42.2),(D34=43.2),(D34=44.2),(D34=45.2),(D34=46.2),(D34=47.2),(D34=48.2),(D34=50.2))),1,0))</f>
        <v>0</v>
      </c>
      <c r="BC34" s="1">
        <f t="shared" ref="BC34:BC41" si="54">(IF((OR((E34=22.3),(E34=23.2),(E34=24.2),(E34=25.2),(E34=24.3),(E34=26.2),(E34=34.2),(E34="&gt;42,2"),(E34=42.2),(E34=43.2),(E34=44.2),(E34=45.2),(E34=46.2),(E34=47.2),(E34=48.2),(E34=50.2))),1,0))</f>
        <v>0</v>
      </c>
      <c r="BD34" s="97">
        <f t="shared" si="18"/>
        <v>1</v>
      </c>
      <c r="BE34" s="97">
        <f t="shared" ref="BE34:BE41" si="55">IF((Y34="EXCLUI"),1,0)</f>
        <v>0</v>
      </c>
      <c r="BF34" s="140">
        <f t="shared" si="15"/>
        <v>1</v>
      </c>
    </row>
    <row r="35" spans="1:60" ht="15" hidden="1" customHeight="1" thickTop="1" thickBot="1">
      <c r="A35" s="196">
        <f>'IMPORTAÇÃO GENOTIPER'!A28</f>
        <v>1</v>
      </c>
      <c r="B35" s="125">
        <f>'IMPORTAÇÃO GENOTIPER'!AE28</f>
        <v>0</v>
      </c>
      <c r="C35" s="126">
        <f>'IMPORTAÇÃO GENOTIPER'!AM28</f>
        <v>0</v>
      </c>
      <c r="D35" s="126">
        <f>'IMPORTAÇÃO GENOTIPER'!AU28</f>
        <v>0</v>
      </c>
      <c r="E35" s="127">
        <f>'IMPORTAÇÃO GENOTIPER'!BC28</f>
        <v>0</v>
      </c>
      <c r="F35" s="70">
        <f t="shared" si="38"/>
        <v>0</v>
      </c>
      <c r="G35" s="70">
        <f t="shared" si="39"/>
        <v>0</v>
      </c>
      <c r="H35" s="70">
        <f t="shared" si="40"/>
        <v>0</v>
      </c>
      <c r="I35" s="70">
        <f t="shared" si="41"/>
        <v>0</v>
      </c>
      <c r="J35" s="128"/>
      <c r="K35" s="128"/>
      <c r="L35" s="128"/>
      <c r="M35" s="129"/>
      <c r="N35" s="128">
        <f t="shared" si="42"/>
        <v>0</v>
      </c>
      <c r="O35" s="128">
        <f t="shared" si="43"/>
        <v>0</v>
      </c>
      <c r="P35" s="130">
        <f t="shared" si="44"/>
        <v>0</v>
      </c>
      <c r="Q35" s="131">
        <f t="shared" si="45"/>
        <v>0</v>
      </c>
      <c r="R35" s="132"/>
      <c r="S35" s="132"/>
      <c r="T35" s="197">
        <f>IF(P35=0,0,VLOOKUP(P35,FREQUENCIAS!1:1048576,(IF(($A35=FREQUENCIAS!$Y$1),24,"ERRO")),FREQUENCIAS!1:1048576))</f>
        <v>0</v>
      </c>
      <c r="U35" s="197">
        <f>IF(Q35=0,0,VLOOKUP(Q35,FREQUENCIAS!1:1048576,(IF(($A35=FREQUENCIAS!$Y$1),24,"ERRO")),FREQUENCIAS!1:1048576))</f>
        <v>0</v>
      </c>
      <c r="V35" s="133"/>
      <c r="W35" s="198" t="str">
        <f t="shared" si="8"/>
        <v>OK</v>
      </c>
      <c r="X35" s="199">
        <f t="shared" si="46"/>
        <v>0</v>
      </c>
      <c r="Y35" s="75">
        <f t="shared" si="16"/>
        <v>1</v>
      </c>
      <c r="Z35" s="200">
        <f t="shared" si="17"/>
        <v>0.5</v>
      </c>
      <c r="AA35" s="149"/>
      <c r="AB35" s="201" t="str">
        <f t="shared" si="47"/>
        <v>EXCLUI</v>
      </c>
      <c r="AC35" s="97" t="e">
        <f t="shared" si="10"/>
        <v>#DIV/0!</v>
      </c>
      <c r="AD35" s="97" t="s">
        <v>47</v>
      </c>
      <c r="AE35" s="97" t="str">
        <f t="shared" si="11"/>
        <v>1 / F</v>
      </c>
      <c r="AF35" s="136">
        <f t="shared" si="48"/>
        <v>1</v>
      </c>
      <c r="AH35" s="137">
        <f>IF(B35=0,0,VLOOKUP(B35,FREQUENCIAS!$1:$1048576,(IF(($A35=FREQUENCIAS!$W$1),23,"ERRO")),FREQUENCIAS!$1:$1048576))</f>
        <v>0</v>
      </c>
      <c r="AI35" s="137"/>
      <c r="AJ35" s="137"/>
      <c r="AK35" s="138">
        <f t="shared" si="49"/>
        <v>0</v>
      </c>
      <c r="AL35" s="137">
        <f>IF(C35=0,0,VLOOKUP(C35,FREQUENCIAS!$1:$1048576,(IF(($A35=FREQUENCIAS!$W$1),23,"ERRO")),FREQUENCIAS!$1:$1048576))</f>
        <v>0</v>
      </c>
      <c r="AM35" s="137"/>
      <c r="AN35" s="137"/>
      <c r="AO35" s="138">
        <f t="shared" si="50"/>
        <v>0</v>
      </c>
      <c r="AV35" s="147">
        <f>IF(B35=0,0,VLOOKUP(B35,FREQUENCIAS!$1:$1048576,(IF(($A35=FREQUENCIAS!$W$1),23,"ERRO")),FREQUENCIAS!$1:$1048576))</f>
        <v>0</v>
      </c>
      <c r="AW35" s="147">
        <f>IF(C35=0,0,VLOOKUP(C35,FREQUENCIAS!$1:$1048576,(IF(($A35=FREQUENCIAS!$W$1),23,"ERRO")),FREQUENCIAS!$1:$1048576))</f>
        <v>0</v>
      </c>
      <c r="AX35" s="147">
        <f>IF(D35=0,0,VLOOKUP(D35,FREQUENCIAS!$1:$1048576,(IF(($A35=FREQUENCIAS!$W$1),23,"ERRO")),FREQUENCIAS!$1:$1048576))</f>
        <v>0</v>
      </c>
      <c r="AY35" s="147">
        <f>IF(E35=0,0,VLOOKUP(E35,FREQUENCIAS!$1:$1048576,(IF(($A35=FREQUENCIAS!$W$1),23,"ERRO")),FREQUENCIAS!$1:$1048576))</f>
        <v>0</v>
      </c>
      <c r="AZ35" s="1">
        <f t="shared" si="51"/>
        <v>0</v>
      </c>
      <c r="BA35" s="1">
        <f t="shared" si="52"/>
        <v>0</v>
      </c>
      <c r="BB35" s="1">
        <f t="shared" si="53"/>
        <v>0</v>
      </c>
      <c r="BC35" s="1">
        <f t="shared" si="54"/>
        <v>0</v>
      </c>
      <c r="BD35" s="97">
        <f t="shared" si="18"/>
        <v>1</v>
      </c>
      <c r="BE35" s="97">
        <f t="shared" si="55"/>
        <v>0</v>
      </c>
      <c r="BF35" s="140">
        <f t="shared" si="15"/>
        <v>1</v>
      </c>
    </row>
    <row r="36" spans="1:60" ht="15" hidden="1" customHeight="1" thickTop="1" thickBot="1">
      <c r="A36" s="88">
        <f>'IMPORTAÇÃO GENOTIPER'!A29</f>
        <v>2</v>
      </c>
      <c r="B36" s="125">
        <f>'IMPORTAÇÃO GENOTIPER'!AE29</f>
        <v>0</v>
      </c>
      <c r="C36" s="126">
        <f>'IMPORTAÇÃO GENOTIPER'!AM29</f>
        <v>0</v>
      </c>
      <c r="D36" s="126">
        <f>'IMPORTAÇÃO GENOTIPER'!AU29</f>
        <v>0</v>
      </c>
      <c r="E36" s="127">
        <f>'IMPORTAÇÃO GENOTIPER'!BC29</f>
        <v>0</v>
      </c>
      <c r="F36" s="73">
        <f t="shared" si="38"/>
        <v>0</v>
      </c>
      <c r="G36" s="73">
        <f t="shared" si="39"/>
        <v>0</v>
      </c>
      <c r="H36" s="73">
        <f t="shared" si="40"/>
        <v>0</v>
      </c>
      <c r="I36" s="73">
        <f t="shared" si="41"/>
        <v>0</v>
      </c>
      <c r="J36" s="141"/>
      <c r="K36" s="141"/>
      <c r="L36" s="141"/>
      <c r="M36" s="142"/>
      <c r="N36" s="141">
        <f t="shared" si="42"/>
        <v>0</v>
      </c>
      <c r="O36" s="141">
        <f t="shared" si="43"/>
        <v>0</v>
      </c>
      <c r="P36" s="143">
        <f t="shared" si="44"/>
        <v>0</v>
      </c>
      <c r="Q36" s="144">
        <f t="shared" si="45"/>
        <v>0</v>
      </c>
      <c r="R36" s="145"/>
      <c r="S36" s="145"/>
      <c r="T36" s="89">
        <f>IF(P36=0,0,VLOOKUP(P36,FREQUENCIAS!1:1048576,(IF(($A36=FREQUENCIAS!$Z$1),25,"ERRO")),FREQUENCIAS!1:1048576))</f>
        <v>0</v>
      </c>
      <c r="U36" s="89">
        <f>IF(Q36=0,0,VLOOKUP(Q36,FREQUENCIAS!1:1048576,(IF(($A36=FREQUENCIAS!$Z$1),25,"ERRO")),FREQUENCIAS!1:1048576))</f>
        <v>0</v>
      </c>
      <c r="V36" s="146"/>
      <c r="W36" s="134" t="str">
        <f t="shared" si="8"/>
        <v>OK</v>
      </c>
      <c r="X36" s="74">
        <f t="shared" si="46"/>
        <v>0</v>
      </c>
      <c r="Y36" s="75">
        <f t="shared" si="16"/>
        <v>1</v>
      </c>
      <c r="Z36" s="200">
        <f t="shared" si="17"/>
        <v>0.5</v>
      </c>
      <c r="AA36" s="150"/>
      <c r="AB36" s="78" t="str">
        <f t="shared" si="47"/>
        <v>EXCLUI</v>
      </c>
      <c r="AC36" s="97" t="e">
        <f t="shared" si="10"/>
        <v>#DIV/0!</v>
      </c>
      <c r="AD36" s="97" t="s">
        <v>47</v>
      </c>
      <c r="AE36" s="97" t="str">
        <f t="shared" si="11"/>
        <v>1 / F</v>
      </c>
      <c r="AF36" s="136">
        <f t="shared" si="48"/>
        <v>1</v>
      </c>
      <c r="AH36" s="137">
        <f>IF(B36=0,0,VLOOKUP(B36,FREQUENCIAS!$1:$1048576,(IF(($A36=FREQUENCIAS!$W$1),23,"ERRO")),FREQUENCIAS!$1:$1048576))</f>
        <v>0</v>
      </c>
      <c r="AI36" s="137"/>
      <c r="AJ36" s="137"/>
      <c r="AK36" s="138">
        <f t="shared" si="49"/>
        <v>0</v>
      </c>
      <c r="AL36" s="137">
        <f>IF(C36=0,0,VLOOKUP(C36,FREQUENCIAS!$1:$1048576,(IF(($A36=FREQUENCIAS!$W$1),23,"ERRO")),FREQUENCIAS!$1:$1048576))</f>
        <v>0</v>
      </c>
      <c r="AM36" s="137"/>
      <c r="AN36" s="137"/>
      <c r="AO36" s="138">
        <f t="shared" si="50"/>
        <v>0</v>
      </c>
      <c r="AV36" s="147">
        <f>IF(B36=0,0,VLOOKUP(B36,FREQUENCIAS!$1:$1048576,(IF(($A36=FREQUENCIAS!$W$1),23,"ERRO")),FREQUENCIAS!$1:$1048576))</f>
        <v>0</v>
      </c>
      <c r="AW36" s="147">
        <f>IF(C36=0,0,VLOOKUP(C36,FREQUENCIAS!$1:$1048576,(IF(($A36=FREQUENCIAS!$W$1),23,"ERRO")),FREQUENCIAS!$1:$1048576))</f>
        <v>0</v>
      </c>
      <c r="AX36" s="147">
        <f>IF(D36=0,0,VLOOKUP(D36,FREQUENCIAS!$1:$1048576,(IF(($A36=FREQUENCIAS!$W$1),23,"ERRO")),FREQUENCIAS!$1:$1048576))</f>
        <v>0</v>
      </c>
      <c r="AY36" s="147">
        <f>IF(E36=0,0,VLOOKUP(E36,FREQUENCIAS!$1:$1048576,(IF(($A36=FREQUENCIAS!$W$1),23,"ERRO")),FREQUENCIAS!$1:$1048576))</f>
        <v>0</v>
      </c>
      <c r="AZ36" s="1">
        <f t="shared" si="51"/>
        <v>0</v>
      </c>
      <c r="BA36" s="1">
        <f t="shared" si="52"/>
        <v>0</v>
      </c>
      <c r="BB36" s="1">
        <f t="shared" si="53"/>
        <v>0</v>
      </c>
      <c r="BC36" s="1">
        <f t="shared" si="54"/>
        <v>0</v>
      </c>
      <c r="BD36" s="97">
        <f t="shared" si="18"/>
        <v>1</v>
      </c>
      <c r="BE36" s="97">
        <f t="shared" si="55"/>
        <v>0</v>
      </c>
      <c r="BF36" s="140">
        <f t="shared" si="15"/>
        <v>1</v>
      </c>
    </row>
    <row r="37" spans="1:60" ht="15" hidden="1" customHeight="1" thickTop="1" thickBot="1">
      <c r="A37" s="88">
        <f>'IMPORTAÇÃO GENOTIPER'!A30</f>
        <v>3</v>
      </c>
      <c r="B37" s="125">
        <f>'IMPORTAÇÃO GENOTIPER'!AE30</f>
        <v>0</v>
      </c>
      <c r="C37" s="126">
        <f>'IMPORTAÇÃO GENOTIPER'!AM30</f>
        <v>0</v>
      </c>
      <c r="D37" s="126">
        <f>'IMPORTAÇÃO GENOTIPER'!AU30</f>
        <v>0</v>
      </c>
      <c r="E37" s="127">
        <f>'IMPORTAÇÃO GENOTIPER'!BC30</f>
        <v>0</v>
      </c>
      <c r="F37" s="73">
        <f t="shared" si="38"/>
        <v>0</v>
      </c>
      <c r="G37" s="73">
        <f t="shared" si="39"/>
        <v>0</v>
      </c>
      <c r="H37" s="73">
        <f t="shared" si="40"/>
        <v>0</v>
      </c>
      <c r="I37" s="73">
        <f t="shared" si="41"/>
        <v>0</v>
      </c>
      <c r="J37" s="141"/>
      <c r="K37" s="141"/>
      <c r="L37" s="141"/>
      <c r="M37" s="142"/>
      <c r="N37" s="141">
        <f t="shared" si="42"/>
        <v>0</v>
      </c>
      <c r="O37" s="141">
        <f t="shared" si="43"/>
        <v>0</v>
      </c>
      <c r="P37" s="143">
        <f t="shared" si="44"/>
        <v>0</v>
      </c>
      <c r="Q37" s="144">
        <f t="shared" si="45"/>
        <v>0</v>
      </c>
      <c r="R37" s="145"/>
      <c r="S37" s="145"/>
      <c r="T37" s="89">
        <f>IF(P37=0,0,VLOOKUP(P37,FREQUENCIAS!1:1048576,(IF(($A37=FREQUENCIAS!$AA$1),27,"ERRO")),FREQUENCIAS!1:1048576))</f>
        <v>0</v>
      </c>
      <c r="U37" s="89">
        <f>IF(Q37=0,0,VLOOKUP(Q37,FREQUENCIAS!1:1048576,(IF(($A37=FREQUENCIAS!$AA$1),27,"ERRO")),FREQUENCIAS!1:1048576))</f>
        <v>0</v>
      </c>
      <c r="V37" s="146"/>
      <c r="W37" s="134" t="str">
        <f t="shared" si="8"/>
        <v>OK</v>
      </c>
      <c r="X37" s="74">
        <f t="shared" si="46"/>
        <v>0</v>
      </c>
      <c r="Y37" s="75">
        <f t="shared" si="16"/>
        <v>1</v>
      </c>
      <c r="Z37" s="200">
        <f t="shared" si="17"/>
        <v>0.5</v>
      </c>
      <c r="AA37" s="150"/>
      <c r="AB37" s="78" t="str">
        <f t="shared" si="47"/>
        <v>EXCLUI</v>
      </c>
      <c r="AC37" s="97" t="e">
        <f t="shared" si="10"/>
        <v>#DIV/0!</v>
      </c>
      <c r="AD37" s="97" t="s">
        <v>47</v>
      </c>
      <c r="AE37" s="97" t="str">
        <f t="shared" si="11"/>
        <v>1 / F</v>
      </c>
      <c r="AF37" s="136">
        <f t="shared" si="48"/>
        <v>1</v>
      </c>
      <c r="AH37" s="137">
        <f>IF(B37=0,0,VLOOKUP(B37,FREQUENCIAS!$1:$1048576,(IF(($A37=FREQUENCIAS!$W$1),23,"ERRO")),FREQUENCIAS!$1:$1048576))</f>
        <v>0</v>
      </c>
      <c r="AI37" s="137"/>
      <c r="AJ37" s="137"/>
      <c r="AK37" s="138">
        <f t="shared" si="49"/>
        <v>0</v>
      </c>
      <c r="AL37" s="137">
        <f>IF(C37=0,0,VLOOKUP(C37,FREQUENCIAS!$1:$1048576,(IF(($A37=FREQUENCIAS!$W$1),23,"ERRO")),FREQUENCIAS!$1:$1048576))</f>
        <v>0</v>
      </c>
      <c r="AM37" s="137"/>
      <c r="AN37" s="137"/>
      <c r="AO37" s="138">
        <f t="shared" si="50"/>
        <v>0</v>
      </c>
      <c r="AV37" s="147">
        <f>IF(B37=0,0,VLOOKUP(B37,FREQUENCIAS!$1:$1048576,(IF(($A37=FREQUENCIAS!$W$1),23,"ERRO")),FREQUENCIAS!$1:$1048576))</f>
        <v>0</v>
      </c>
      <c r="AW37" s="147">
        <f>IF(C37=0,0,VLOOKUP(C37,FREQUENCIAS!$1:$1048576,(IF(($A37=FREQUENCIAS!$W$1),23,"ERRO")),FREQUENCIAS!$1:$1048576))</f>
        <v>0</v>
      </c>
      <c r="AX37" s="147">
        <f>IF(D37=0,0,VLOOKUP(D37,FREQUENCIAS!$1:$1048576,(IF(($A37=FREQUENCIAS!$W$1),23,"ERRO")),FREQUENCIAS!$1:$1048576))</f>
        <v>0</v>
      </c>
      <c r="AY37" s="147">
        <f>IF(E37=0,0,VLOOKUP(E37,FREQUENCIAS!$1:$1048576,(IF(($A37=FREQUENCIAS!$W$1),23,"ERRO")),FREQUENCIAS!$1:$1048576))</f>
        <v>0</v>
      </c>
      <c r="AZ37" s="1">
        <f t="shared" si="51"/>
        <v>0</v>
      </c>
      <c r="BA37" s="1">
        <f t="shared" si="52"/>
        <v>0</v>
      </c>
      <c r="BB37" s="1">
        <f t="shared" si="53"/>
        <v>0</v>
      </c>
      <c r="BC37" s="1">
        <f t="shared" si="54"/>
        <v>0</v>
      </c>
      <c r="BD37" s="97">
        <f t="shared" si="18"/>
        <v>1</v>
      </c>
      <c r="BE37" s="97">
        <f t="shared" si="55"/>
        <v>0</v>
      </c>
      <c r="BF37" s="140">
        <f t="shared" si="15"/>
        <v>1</v>
      </c>
    </row>
    <row r="38" spans="1:60" ht="15" hidden="1" customHeight="1" thickTop="1" thickBot="1">
      <c r="A38" s="88">
        <f>'IMPORTAÇÃO GENOTIPER'!A31</f>
        <v>4</v>
      </c>
      <c r="B38" s="125">
        <f>'IMPORTAÇÃO GENOTIPER'!AE31</f>
        <v>0</v>
      </c>
      <c r="C38" s="126">
        <f>'IMPORTAÇÃO GENOTIPER'!AM31</f>
        <v>0</v>
      </c>
      <c r="D38" s="126">
        <f>'IMPORTAÇÃO GENOTIPER'!AU31</f>
        <v>0</v>
      </c>
      <c r="E38" s="127">
        <f>'IMPORTAÇÃO GENOTIPER'!BC31</f>
        <v>0</v>
      </c>
      <c r="F38" s="73">
        <f t="shared" si="38"/>
        <v>0</v>
      </c>
      <c r="G38" s="73">
        <f t="shared" si="39"/>
        <v>0</v>
      </c>
      <c r="H38" s="73">
        <f t="shared" si="40"/>
        <v>0</v>
      </c>
      <c r="I38" s="73">
        <f t="shared" si="41"/>
        <v>0</v>
      </c>
      <c r="J38" s="141"/>
      <c r="K38" s="141"/>
      <c r="L38" s="141"/>
      <c r="M38" s="142"/>
      <c r="N38" s="141">
        <f t="shared" si="42"/>
        <v>0</v>
      </c>
      <c r="O38" s="141">
        <f t="shared" si="43"/>
        <v>0</v>
      </c>
      <c r="P38" s="143">
        <f t="shared" si="44"/>
        <v>0</v>
      </c>
      <c r="Q38" s="144">
        <f t="shared" si="45"/>
        <v>0</v>
      </c>
      <c r="R38" s="145"/>
      <c r="S38" s="145"/>
      <c r="T38" s="89">
        <f>IF(P38=0,0,VLOOKUP(P38,FREQUENCIAS!1:1048576,(IF(($A38=FREQUENCIAS!$AB$1),28,"ERRO")),FREQUENCIAS!1:1048576))</f>
        <v>0</v>
      </c>
      <c r="U38" s="89">
        <f>IF(Q38=0,0,VLOOKUP(Q38,FREQUENCIAS!1:1048576,(IF(($A38=FREQUENCIAS!$AB$1),28,"ERRO")),FREQUENCIAS!1:1048576))</f>
        <v>0</v>
      </c>
      <c r="V38" s="146"/>
      <c r="W38" s="134" t="str">
        <f t="shared" si="8"/>
        <v>OK</v>
      </c>
      <c r="X38" s="74">
        <f t="shared" si="46"/>
        <v>0</v>
      </c>
      <c r="Y38" s="75">
        <f t="shared" si="16"/>
        <v>1</v>
      </c>
      <c r="Z38" s="200">
        <f t="shared" si="17"/>
        <v>0.5</v>
      </c>
      <c r="AA38" s="150"/>
      <c r="AB38" s="78" t="str">
        <f t="shared" si="47"/>
        <v>EXCLUI</v>
      </c>
      <c r="AC38" s="97" t="e">
        <f t="shared" si="10"/>
        <v>#DIV/0!</v>
      </c>
      <c r="AD38" s="97" t="s">
        <v>47</v>
      </c>
      <c r="AE38" s="97" t="str">
        <f t="shared" si="11"/>
        <v>1 / F</v>
      </c>
      <c r="AF38" s="136">
        <f t="shared" si="48"/>
        <v>1</v>
      </c>
      <c r="AH38" s="137">
        <f>IF(B38=0,0,VLOOKUP(B38,FREQUENCIAS!$1:$1048576,(IF(($A38=FREQUENCIAS!$W$1),23,"ERRO")),FREQUENCIAS!$1:$1048576))</f>
        <v>0</v>
      </c>
      <c r="AI38" s="137"/>
      <c r="AJ38" s="137"/>
      <c r="AK38" s="138">
        <f t="shared" si="49"/>
        <v>0</v>
      </c>
      <c r="AL38" s="137">
        <f>IF(C38=0,0,VLOOKUP(C38,FREQUENCIAS!$1:$1048576,(IF(($A38=FREQUENCIAS!$W$1),23,"ERRO")),FREQUENCIAS!$1:$1048576))</f>
        <v>0</v>
      </c>
      <c r="AM38" s="137"/>
      <c r="AN38" s="137"/>
      <c r="AO38" s="138">
        <f t="shared" si="50"/>
        <v>0</v>
      </c>
      <c r="AV38" s="147">
        <f>IF(B38=0,0,VLOOKUP(B38,FREQUENCIAS!$1:$1048576,(IF(($A38=FREQUENCIAS!$W$1),23,"ERRO")),FREQUENCIAS!$1:$1048576))</f>
        <v>0</v>
      </c>
      <c r="AW38" s="147">
        <f>IF(C38=0,0,VLOOKUP(C38,FREQUENCIAS!$1:$1048576,(IF(($A38=FREQUENCIAS!$W$1),23,"ERRO")),FREQUENCIAS!$1:$1048576))</f>
        <v>0</v>
      </c>
      <c r="AX38" s="147">
        <f>IF(D38=0,0,VLOOKUP(D38,FREQUENCIAS!$1:$1048576,(IF(($A38=FREQUENCIAS!$W$1),23,"ERRO")),FREQUENCIAS!$1:$1048576))</f>
        <v>0</v>
      </c>
      <c r="AY38" s="147">
        <f>IF(E38=0,0,VLOOKUP(E38,FREQUENCIAS!$1:$1048576,(IF(($A38=FREQUENCIAS!$W$1),23,"ERRO")),FREQUENCIAS!$1:$1048576))</f>
        <v>0</v>
      </c>
      <c r="AZ38" s="1">
        <f t="shared" si="51"/>
        <v>0</v>
      </c>
      <c r="BA38" s="1">
        <f t="shared" si="52"/>
        <v>0</v>
      </c>
      <c r="BB38" s="1">
        <f t="shared" si="53"/>
        <v>0</v>
      </c>
      <c r="BC38" s="1">
        <f t="shared" si="54"/>
        <v>0</v>
      </c>
      <c r="BD38" s="97">
        <f t="shared" si="18"/>
        <v>1</v>
      </c>
      <c r="BE38" s="97">
        <f t="shared" si="55"/>
        <v>0</v>
      </c>
      <c r="BF38" s="140">
        <f t="shared" si="15"/>
        <v>1</v>
      </c>
    </row>
    <row r="39" spans="1:60" ht="15" hidden="1" customHeight="1" thickTop="1" thickBot="1">
      <c r="A39" s="88">
        <f>'IMPORTAÇÃO GENOTIPER'!A32</f>
        <v>5</v>
      </c>
      <c r="B39" s="125">
        <f>'IMPORTAÇÃO GENOTIPER'!AE32</f>
        <v>0</v>
      </c>
      <c r="C39" s="126">
        <f>'IMPORTAÇÃO GENOTIPER'!AM32</f>
        <v>0</v>
      </c>
      <c r="D39" s="126">
        <f>'IMPORTAÇÃO GENOTIPER'!AU32</f>
        <v>0</v>
      </c>
      <c r="E39" s="127">
        <f>'IMPORTAÇÃO GENOTIPER'!BC32</f>
        <v>0</v>
      </c>
      <c r="F39" s="73">
        <f t="shared" si="38"/>
        <v>0</v>
      </c>
      <c r="G39" s="73">
        <f t="shared" si="39"/>
        <v>0</v>
      </c>
      <c r="H39" s="73">
        <f t="shared" si="40"/>
        <v>0</v>
      </c>
      <c r="I39" s="73">
        <f t="shared" si="41"/>
        <v>0</v>
      </c>
      <c r="J39" s="141"/>
      <c r="K39" s="141"/>
      <c r="L39" s="141"/>
      <c r="M39" s="142"/>
      <c r="N39" s="141">
        <f t="shared" si="42"/>
        <v>0</v>
      </c>
      <c r="O39" s="141">
        <f t="shared" si="43"/>
        <v>0</v>
      </c>
      <c r="P39" s="143">
        <f t="shared" si="44"/>
        <v>0</v>
      </c>
      <c r="Q39" s="144">
        <f t="shared" si="45"/>
        <v>0</v>
      </c>
      <c r="R39" s="145"/>
      <c r="S39" s="145"/>
      <c r="T39" s="89">
        <f>IF(P39=0,0,VLOOKUP(P39,FREQUENCIAS!1:1048576,(IF(($A39=FREQUENCIAS!$AC$1),29,"ERRO")),FREQUENCIAS!1:1048576))</f>
        <v>0</v>
      </c>
      <c r="U39" s="89">
        <f>IF(Q39=0,0,VLOOKUP(Q39,FREQUENCIAS!1:1048576,(IF(($A39=FREQUENCIAS!$AC$1),29,"ERRO")),FREQUENCIAS!1:1048576))</f>
        <v>0</v>
      </c>
      <c r="V39" s="146"/>
      <c r="W39" s="134" t="str">
        <f t="shared" si="8"/>
        <v>OK</v>
      </c>
      <c r="X39" s="74">
        <f t="shared" si="46"/>
        <v>0</v>
      </c>
      <c r="Y39" s="75">
        <f t="shared" si="16"/>
        <v>1</v>
      </c>
      <c r="Z39" s="200">
        <f t="shared" si="17"/>
        <v>0.5</v>
      </c>
      <c r="AA39" s="150"/>
      <c r="AB39" s="78" t="str">
        <f t="shared" si="47"/>
        <v>EXCLUI</v>
      </c>
      <c r="AC39" s="97" t="e">
        <f t="shared" si="10"/>
        <v>#DIV/0!</v>
      </c>
      <c r="AD39" s="97" t="s">
        <v>47</v>
      </c>
      <c r="AE39" s="97" t="str">
        <f t="shared" si="11"/>
        <v>1 / F</v>
      </c>
      <c r="AF39" s="136">
        <f t="shared" si="48"/>
        <v>1</v>
      </c>
      <c r="AH39" s="137">
        <f>IF(B39=0,0,VLOOKUP(B39,FREQUENCIAS!$1:$1048576,(IF(($A39=FREQUENCIAS!$W$1),23,"ERRO")),FREQUENCIAS!$1:$1048576))</f>
        <v>0</v>
      </c>
      <c r="AI39" s="137"/>
      <c r="AJ39" s="137"/>
      <c r="AK39" s="138">
        <f t="shared" si="49"/>
        <v>0</v>
      </c>
      <c r="AL39" s="137">
        <f>IF(C39=0,0,VLOOKUP(C39,FREQUENCIAS!$1:$1048576,(IF(($A39=FREQUENCIAS!$W$1),23,"ERRO")),FREQUENCIAS!$1:$1048576))</f>
        <v>0</v>
      </c>
      <c r="AM39" s="137"/>
      <c r="AN39" s="137"/>
      <c r="AO39" s="138">
        <f t="shared" si="50"/>
        <v>0</v>
      </c>
      <c r="AV39" s="147">
        <f>IF(B39=0,0,VLOOKUP(B39,FREQUENCIAS!$1:$1048576,(IF(($A39=FREQUENCIAS!$W$1),23,"ERRO")),FREQUENCIAS!$1:$1048576))</f>
        <v>0</v>
      </c>
      <c r="AW39" s="147">
        <f>IF(C39=0,0,VLOOKUP(C39,FREQUENCIAS!$1:$1048576,(IF(($A39=FREQUENCIAS!$W$1),23,"ERRO")),FREQUENCIAS!$1:$1048576))</f>
        <v>0</v>
      </c>
      <c r="AX39" s="147">
        <f>IF(D39=0,0,VLOOKUP(D39,FREQUENCIAS!$1:$1048576,(IF(($A39=FREQUENCIAS!$W$1),23,"ERRO")),FREQUENCIAS!$1:$1048576))</f>
        <v>0</v>
      </c>
      <c r="AY39" s="147">
        <f>IF(E39=0,0,VLOOKUP(E39,FREQUENCIAS!$1:$1048576,(IF(($A39=FREQUENCIAS!$W$1),23,"ERRO")),FREQUENCIAS!$1:$1048576))</f>
        <v>0</v>
      </c>
      <c r="AZ39" s="1">
        <f t="shared" si="51"/>
        <v>0</v>
      </c>
      <c r="BA39" s="1">
        <f t="shared" si="52"/>
        <v>0</v>
      </c>
      <c r="BB39" s="1">
        <f t="shared" si="53"/>
        <v>0</v>
      </c>
      <c r="BC39" s="1">
        <f t="shared" si="54"/>
        <v>0</v>
      </c>
      <c r="BD39" s="97">
        <f t="shared" si="18"/>
        <v>1</v>
      </c>
      <c r="BE39" s="97">
        <f t="shared" si="55"/>
        <v>0</v>
      </c>
      <c r="BF39" s="140">
        <f t="shared" si="15"/>
        <v>1</v>
      </c>
    </row>
    <row r="40" spans="1:60" ht="15" hidden="1" customHeight="1" thickTop="1" thickBot="1">
      <c r="A40" s="88">
        <f>'IMPORTAÇÃO GENOTIPER'!A33</f>
        <v>6</v>
      </c>
      <c r="B40" s="125">
        <f>'IMPORTAÇÃO GENOTIPER'!AE33</f>
        <v>0</v>
      </c>
      <c r="C40" s="126">
        <f>'IMPORTAÇÃO GENOTIPER'!AM33</f>
        <v>0</v>
      </c>
      <c r="D40" s="126">
        <f>'IMPORTAÇÃO GENOTIPER'!AU33</f>
        <v>0</v>
      </c>
      <c r="E40" s="127">
        <f>'IMPORTAÇÃO GENOTIPER'!BC33</f>
        <v>0</v>
      </c>
      <c r="F40" s="73">
        <f t="shared" si="38"/>
        <v>0</v>
      </c>
      <c r="G40" s="73">
        <f t="shared" si="39"/>
        <v>0</v>
      </c>
      <c r="H40" s="73">
        <f t="shared" si="40"/>
        <v>0</v>
      </c>
      <c r="I40" s="73">
        <f t="shared" si="41"/>
        <v>0</v>
      </c>
      <c r="J40" s="141"/>
      <c r="K40" s="141"/>
      <c r="L40" s="141"/>
      <c r="M40" s="142"/>
      <c r="N40" s="141">
        <f t="shared" si="42"/>
        <v>0</v>
      </c>
      <c r="O40" s="141">
        <f t="shared" si="43"/>
        <v>0</v>
      </c>
      <c r="P40" s="143">
        <f t="shared" si="44"/>
        <v>0</v>
      </c>
      <c r="Q40" s="144">
        <f t="shared" si="45"/>
        <v>0</v>
      </c>
      <c r="R40" s="145"/>
      <c r="S40" s="145"/>
      <c r="T40" s="89">
        <f>IF(P40=0,0,VLOOKUP(P40,FREQUENCIAS!1:1048576,(IF(($A40=FREQUENCIAS!$AD$1),30,"ERRO")),FREQUENCIAS!1:1048576))</f>
        <v>0</v>
      </c>
      <c r="U40" s="89">
        <f>IF(Q40=0,0,VLOOKUP(Q40,FREQUENCIAS!1:1048576,(IF(($A40=FREQUENCIAS!$AD$1),30,"ERRO")),FREQUENCIAS!1:1048576))</f>
        <v>0</v>
      </c>
      <c r="V40" s="146"/>
      <c r="W40" s="134" t="str">
        <f t="shared" si="8"/>
        <v>OK</v>
      </c>
      <c r="X40" s="74">
        <f t="shared" si="46"/>
        <v>0</v>
      </c>
      <c r="Y40" s="75">
        <f t="shared" si="16"/>
        <v>1</v>
      </c>
      <c r="Z40" s="200">
        <f t="shared" si="17"/>
        <v>0.5</v>
      </c>
      <c r="AA40" s="150"/>
      <c r="AB40" s="78" t="str">
        <f t="shared" si="47"/>
        <v>EXCLUI</v>
      </c>
      <c r="AC40" s="97" t="e">
        <f t="shared" si="10"/>
        <v>#DIV/0!</v>
      </c>
      <c r="AD40" s="97" t="s">
        <v>47</v>
      </c>
      <c r="AE40" s="97" t="str">
        <f t="shared" si="11"/>
        <v>1 / F</v>
      </c>
      <c r="AF40" s="136">
        <f t="shared" si="48"/>
        <v>1</v>
      </c>
      <c r="AH40" s="137">
        <f>IF(B40=0,0,VLOOKUP(B40,FREQUENCIAS!$1:$1048576,(IF(($A40=FREQUENCIAS!$W$1),23,"ERRO")),FREQUENCIAS!$1:$1048576))</f>
        <v>0</v>
      </c>
      <c r="AI40" s="137"/>
      <c r="AJ40" s="137"/>
      <c r="AK40" s="138">
        <f t="shared" si="49"/>
        <v>0</v>
      </c>
      <c r="AL40" s="137">
        <f>IF(C40=0,0,VLOOKUP(C40,FREQUENCIAS!$1:$1048576,(IF(($A40=FREQUENCIAS!$W$1),23,"ERRO")),FREQUENCIAS!$1:$1048576))</f>
        <v>0</v>
      </c>
      <c r="AM40" s="137"/>
      <c r="AN40" s="137"/>
      <c r="AO40" s="138">
        <f t="shared" si="50"/>
        <v>0</v>
      </c>
      <c r="AV40" s="147">
        <f>IF(B40=0,0,VLOOKUP(B40,FREQUENCIAS!$1:$1048576,(IF(($A40=FREQUENCIAS!$W$1),23,"ERRO")),FREQUENCIAS!$1:$1048576))</f>
        <v>0</v>
      </c>
      <c r="AW40" s="147">
        <f>IF(C40=0,0,VLOOKUP(C40,FREQUENCIAS!$1:$1048576,(IF(($A40=FREQUENCIAS!$W$1),23,"ERRO")),FREQUENCIAS!$1:$1048576))</f>
        <v>0</v>
      </c>
      <c r="AX40" s="147">
        <f>IF(D40=0,0,VLOOKUP(D40,FREQUENCIAS!$1:$1048576,(IF(($A40=FREQUENCIAS!$W$1),23,"ERRO")),FREQUENCIAS!$1:$1048576))</f>
        <v>0</v>
      </c>
      <c r="AY40" s="147">
        <f>IF(E40=0,0,VLOOKUP(E40,FREQUENCIAS!$1:$1048576,(IF(($A40=FREQUENCIAS!$W$1),23,"ERRO")),FREQUENCIAS!$1:$1048576))</f>
        <v>0</v>
      </c>
      <c r="AZ40" s="1">
        <f t="shared" si="51"/>
        <v>0</v>
      </c>
      <c r="BA40" s="1">
        <f t="shared" si="52"/>
        <v>0</v>
      </c>
      <c r="BB40" s="1">
        <f t="shared" si="53"/>
        <v>0</v>
      </c>
      <c r="BC40" s="1">
        <f t="shared" si="54"/>
        <v>0</v>
      </c>
      <c r="BD40" s="97">
        <f t="shared" si="18"/>
        <v>1</v>
      </c>
      <c r="BE40" s="97">
        <f t="shared" si="55"/>
        <v>0</v>
      </c>
      <c r="BF40" s="140">
        <f t="shared" si="15"/>
        <v>1</v>
      </c>
    </row>
    <row r="41" spans="1:60" ht="15" hidden="1" customHeight="1" thickTop="1" thickBot="1">
      <c r="A41" s="88">
        <f>'IMPORTAÇÃO GENOTIPER'!A34</f>
        <v>7</v>
      </c>
      <c r="B41" s="125">
        <f>'IMPORTAÇÃO GENOTIPER'!AE34</f>
        <v>0</v>
      </c>
      <c r="C41" s="126">
        <f>'IMPORTAÇÃO GENOTIPER'!AM34</f>
        <v>0</v>
      </c>
      <c r="D41" s="126">
        <f>'IMPORTAÇÃO GENOTIPER'!AU34</f>
        <v>0</v>
      </c>
      <c r="E41" s="127">
        <f>'IMPORTAÇÃO GENOTIPER'!BC34</f>
        <v>0</v>
      </c>
      <c r="F41" s="73">
        <f t="shared" si="38"/>
        <v>0</v>
      </c>
      <c r="G41" s="73">
        <f t="shared" si="39"/>
        <v>0</v>
      </c>
      <c r="H41" s="73">
        <f t="shared" si="40"/>
        <v>0</v>
      </c>
      <c r="I41" s="73">
        <f t="shared" si="41"/>
        <v>0</v>
      </c>
      <c r="J41" s="141"/>
      <c r="K41" s="141"/>
      <c r="L41" s="141"/>
      <c r="M41" s="142"/>
      <c r="N41" s="141">
        <f t="shared" si="42"/>
        <v>0</v>
      </c>
      <c r="O41" s="141">
        <f t="shared" si="43"/>
        <v>0</v>
      </c>
      <c r="P41" s="143">
        <f t="shared" si="44"/>
        <v>0</v>
      </c>
      <c r="Q41" s="144">
        <f t="shared" si="45"/>
        <v>0</v>
      </c>
      <c r="R41" s="145"/>
      <c r="S41" s="145"/>
      <c r="T41" s="89">
        <f>IF(P41=0,0,VLOOKUP(P41,FREQUENCIAS!1:1048576,(IF(($A41=FREQUENCIAS!$AE$1),31,"ERRO")),FREQUENCIAS!1:1048576))</f>
        <v>0</v>
      </c>
      <c r="U41" s="89">
        <f>IF(Q41=0,0,VLOOKUP(Q41,FREQUENCIAS!1:1048576,(IF(($A41=FREQUENCIAS!$AE$1),31,"ERRO")),FREQUENCIAS!1:1048576))</f>
        <v>0</v>
      </c>
      <c r="V41" s="146"/>
      <c r="W41" s="134" t="str">
        <f t="shared" si="8"/>
        <v>OK</v>
      </c>
      <c r="X41" s="74">
        <f t="shared" si="46"/>
        <v>0</v>
      </c>
      <c r="Y41" s="75">
        <f t="shared" si="16"/>
        <v>1</v>
      </c>
      <c r="Z41" s="200">
        <f t="shared" si="17"/>
        <v>0.5</v>
      </c>
      <c r="AA41" s="150"/>
      <c r="AB41" s="78" t="str">
        <f t="shared" si="47"/>
        <v>EXCLUI</v>
      </c>
      <c r="AC41" s="97" t="e">
        <f t="shared" si="10"/>
        <v>#DIV/0!</v>
      </c>
      <c r="AD41" s="97" t="s">
        <v>47</v>
      </c>
      <c r="AE41" s="97" t="str">
        <f t="shared" si="11"/>
        <v>1 / F</v>
      </c>
      <c r="AF41" s="136">
        <f t="shared" si="48"/>
        <v>1</v>
      </c>
      <c r="AH41" s="137">
        <f>IF(B41=0,0,VLOOKUP(B41,FREQUENCIAS!$1:$1048576,(IF(($A41=FREQUENCIAS!$W$1),23,"ERRO")),FREQUENCIAS!$1:$1048576))</f>
        <v>0</v>
      </c>
      <c r="AI41" s="137"/>
      <c r="AJ41" s="137"/>
      <c r="AK41" s="138">
        <f t="shared" si="49"/>
        <v>0</v>
      </c>
      <c r="AL41" s="137">
        <f>IF(C41=0,0,VLOOKUP(C41,FREQUENCIAS!$1:$1048576,(IF(($A41=FREQUENCIAS!$W$1),23,"ERRO")),FREQUENCIAS!$1:$1048576))</f>
        <v>0</v>
      </c>
      <c r="AM41" s="137"/>
      <c r="AN41" s="137"/>
      <c r="AO41" s="138">
        <f t="shared" si="50"/>
        <v>0</v>
      </c>
      <c r="AV41" s="147">
        <f>IF(B41=0,0,VLOOKUP(B41,FREQUENCIAS!$1:$1048576,(IF(($A41=FREQUENCIAS!$W$1),23,"ERRO")),FREQUENCIAS!$1:$1048576))</f>
        <v>0</v>
      </c>
      <c r="AW41" s="147">
        <f>IF(C41=0,0,VLOOKUP(C41,FREQUENCIAS!$1:$1048576,(IF(($A41=FREQUENCIAS!$W$1),23,"ERRO")),FREQUENCIAS!$1:$1048576))</f>
        <v>0</v>
      </c>
      <c r="AX41" s="147">
        <f>IF(D41=0,0,VLOOKUP(D41,FREQUENCIAS!$1:$1048576,(IF(($A41=FREQUENCIAS!$W$1),23,"ERRO")),FREQUENCIAS!$1:$1048576))</f>
        <v>0</v>
      </c>
      <c r="AY41" s="147">
        <f>IF(E41=0,0,VLOOKUP(E41,FREQUENCIAS!$1:$1048576,(IF(($A41=FREQUENCIAS!$W$1),23,"ERRO")),FREQUENCIAS!$1:$1048576))</f>
        <v>0</v>
      </c>
      <c r="AZ41" s="1">
        <f t="shared" si="51"/>
        <v>0</v>
      </c>
      <c r="BA41" s="1">
        <f t="shared" si="52"/>
        <v>0</v>
      </c>
      <c r="BB41" s="1">
        <f t="shared" si="53"/>
        <v>0</v>
      </c>
      <c r="BC41" s="1">
        <f t="shared" si="54"/>
        <v>0</v>
      </c>
      <c r="BD41" s="97">
        <f t="shared" si="18"/>
        <v>1</v>
      </c>
      <c r="BE41" s="97">
        <f t="shared" si="55"/>
        <v>0</v>
      </c>
      <c r="BF41" s="140">
        <f t="shared" si="15"/>
        <v>1</v>
      </c>
    </row>
    <row r="42" spans="1:60" ht="15" hidden="1" customHeight="1" thickTop="1" thickBot="1">
      <c r="A42" s="88">
        <f>'IMPORTAÇÃO GENOTIPER'!A35</f>
        <v>8</v>
      </c>
      <c r="B42" s="125">
        <f>'IMPORTAÇÃO GENOTIPER'!AE35</f>
        <v>0</v>
      </c>
      <c r="C42" s="126">
        <f>'IMPORTAÇÃO GENOTIPER'!AM35</f>
        <v>0</v>
      </c>
      <c r="D42" s="126">
        <f>'IMPORTAÇÃO GENOTIPER'!AU35</f>
        <v>0</v>
      </c>
      <c r="E42" s="127">
        <f>'IMPORTAÇÃO GENOTIPER'!BC35</f>
        <v>0</v>
      </c>
      <c r="F42" s="91">
        <f t="shared" ref="F42" si="56">IF((B42&gt;C42),C42,B42)</f>
        <v>0</v>
      </c>
      <c r="G42" s="91">
        <f t="shared" ref="G42" si="57">IF((C42&gt;B42),C42,B42)</f>
        <v>0</v>
      </c>
      <c r="H42" s="91">
        <f t="shared" ref="H42" si="58">IF((D42&gt;E42),E42,D42)</f>
        <v>0</v>
      </c>
      <c r="I42" s="91">
        <f t="shared" ref="I42" si="59">IF((E42&gt;D42),E42,D42)</f>
        <v>0</v>
      </c>
      <c r="J42" s="151"/>
      <c r="K42" s="151"/>
      <c r="L42" s="151"/>
      <c r="M42" s="151"/>
      <c r="N42" s="151">
        <f t="shared" ref="N42" si="60">IF(OR((H42=F42),(H42=G42)),H42,0)</f>
        <v>0</v>
      </c>
      <c r="O42" s="151">
        <f t="shared" ref="O42" si="61">IF((H42=I42),0,(IF(OR((I42=G42),(I42=F42)),I42,0)))</f>
        <v>0</v>
      </c>
      <c r="P42" s="152">
        <f t="shared" ref="P42" si="62">(IF(OR((N42=H42),(N42=I42)),N42,0))</f>
        <v>0</v>
      </c>
      <c r="Q42" s="153">
        <f t="shared" ref="Q42" si="63">(IF((O42&lt;&gt;0),(IF(OR((O42=H42),(O42=I42)),O42,0)),0))</f>
        <v>0</v>
      </c>
      <c r="R42" s="154"/>
      <c r="S42" s="154"/>
      <c r="T42" s="92">
        <f>IF(P42=0,0,VLOOKUP(P42,FREQUENCIAS!1:1048576,(IF(($A42=FREQUENCIAS!$AF$1),32,"ERRO")),FREQUENCIAS!1:1048576))</f>
        <v>0</v>
      </c>
      <c r="U42" s="92">
        <f>IF(Q42=0,0,VLOOKUP(Q42,FREQUENCIAS!1:1048576,(IF(($A42=FREQUENCIAS!$AF$1),32,"ERRO")),FREQUENCIAS!1:1048576))</f>
        <v>0</v>
      </c>
      <c r="V42" s="155"/>
      <c r="W42" s="134" t="str">
        <f t="shared" si="8"/>
        <v>OK</v>
      </c>
      <c r="X42" s="74">
        <f t="shared" ref="X42" si="64">(IF((A42="   ERRO-FT"),"16",(IF((AND((P42=0),(Q42=0))),0,(IF((R42+S42+T42+U42+V42)&lt;=$Z$10,$Z$10,(R42+S42+T42+U42+V42)))))))</f>
        <v>0</v>
      </c>
      <c r="Y42" s="75">
        <f t="shared" si="16"/>
        <v>1</v>
      </c>
      <c r="Z42" s="200">
        <f t="shared" si="17"/>
        <v>0.5</v>
      </c>
      <c r="AA42" s="150"/>
      <c r="AB42" s="78" t="str">
        <f t="shared" ref="AB42" si="65">IF((AND((P42=0),(Q42=0))),"EXCLUI",(IF(OR((AND(($F42&lt;&gt;$G42),($H42=$I42),(OR(($H42=$F42),($H42=$G42))))),(AND(($F42=$G42),($H42&lt;&gt;$I42),(OR(($F42=$H42),($F42=$I42)))))),($AD$22),((IF(((AND(($F42=$H42),($G42=$I42),($F42&lt;&gt;$G42)))),($AD$10),($AE42)))))))</f>
        <v>EXCLUI</v>
      </c>
      <c r="AC42" s="97" t="e">
        <f t="shared" si="10"/>
        <v>#DIV/0!</v>
      </c>
      <c r="AD42" s="97" t="s">
        <v>47</v>
      </c>
      <c r="AE42" s="97" t="str">
        <f t="shared" ref="AE42:AE45" si="66">IF(AND(($F42=$G42),($G42=$H42),($H42=$I42)),($AD$16),($AD$26))</f>
        <v>1 / F</v>
      </c>
      <c r="AF42" s="136">
        <f t="shared" ref="AF42" si="67">(IF((B42=C42),((1-AK42)^2),(1-(AK42+AO42))^2))</f>
        <v>1</v>
      </c>
      <c r="AH42" s="137">
        <f>IF(B42=0,0,VLOOKUP(B42,FREQUENCIAS!$1:$1048576,(IF(($A42=FREQUENCIAS!$W$1),23,"ERRO")),FREQUENCIAS!$1:$1048576))</f>
        <v>0</v>
      </c>
      <c r="AI42" s="137"/>
      <c r="AJ42" s="137"/>
      <c r="AK42" s="138">
        <f t="shared" ref="AK42" si="68">SUM(AH42:AJ42)</f>
        <v>0</v>
      </c>
      <c r="AL42" s="137">
        <f>IF(C42=0,0,VLOOKUP(C42,FREQUENCIAS!$1:$1048576,(IF(($A42=FREQUENCIAS!$W$1),23,"ERRO")),FREQUENCIAS!$1:$1048576))</f>
        <v>0</v>
      </c>
      <c r="AM42" s="137"/>
      <c r="AN42" s="137"/>
      <c r="AO42" s="138">
        <f t="shared" ref="AO42" si="69">SUM(AL42:AN42)</f>
        <v>0</v>
      </c>
      <c r="AV42" s="147">
        <f>IF(B42=0,0,VLOOKUP(B42,FREQUENCIAS!$1:$1048576,(IF(($A42=FREQUENCIAS!$W$1),23,"ERRO")),FREQUENCIAS!$1:$1048576))</f>
        <v>0</v>
      </c>
      <c r="AW42" s="147">
        <f>IF(C42=0,0,VLOOKUP(C42,FREQUENCIAS!$1:$1048576,(IF(($A42=FREQUENCIAS!$W$1),23,"ERRO")),FREQUENCIAS!$1:$1048576))</f>
        <v>0</v>
      </c>
      <c r="AX42" s="147">
        <f>IF(D42=0,0,VLOOKUP(D42,FREQUENCIAS!$1:$1048576,(IF(($A42=FREQUENCIAS!$W$1),23,"ERRO")),FREQUENCIAS!$1:$1048576))</f>
        <v>0</v>
      </c>
      <c r="AY42" s="147">
        <f>IF(E42=0,0,VLOOKUP(E42,FREQUENCIAS!$1:$1048576,(IF(($A42=FREQUENCIAS!$W$1),23,"ERRO")),FREQUENCIAS!$1:$1048576))</f>
        <v>0</v>
      </c>
      <c r="AZ42" s="1">
        <f t="shared" ref="AZ42" si="70">(IF((OR((B42=22.3),(B42=23.2),(B42=24.2),(B42=25.2),(B42=24.3),(B42=26.2),(B42=34.2),(B42="&gt;42,2"),(B42=42.2),(B42=43.2),(B42=44.2),(B42=45.2),(B42=46.2),(B42=47.2),(B42=48.2),(B42=50.2))),1,0))</f>
        <v>0</v>
      </c>
      <c r="BA42" s="1">
        <f t="shared" ref="BA42" si="71">(IF((OR((C42=22.3),(C42=23.2),(C42=24.2),(C42=25.2),(C42=24.3),(C42=26.2),(C42=34.2),(C42="&gt;42,2"),(C42=42.2),(C42=43.2),(C42=44.2),(C42=45.2),(C42=46.2),(C42=47.2),(C42=48.2),(C42=50.2))),1,0))</f>
        <v>0</v>
      </c>
      <c r="BB42" s="1">
        <f t="shared" ref="BB42" si="72">(IF((OR((D42=22.3),(D42=23.2),(D42=24.2),(D42=25.2),(D42=24.3),(D42=26.2),(D42=34.2),(D42="&gt;42,2"),(D42=42.2),(D42=43.2),(D42=44.2),(D42=45.2),(D42=46.2),(D42=47.2),(D42=48.2),(D42=50.2))),1,0))</f>
        <v>0</v>
      </c>
      <c r="BC42" s="1">
        <f t="shared" ref="BC42" si="73">(IF((OR((E42=22.3),(E42=23.2),(E42=24.2),(E42=25.2),(E42=24.3),(E42=26.2),(E42=34.2),(E42="&gt;42,2"),(E42=42.2),(E42=43.2),(E42=44.2),(E42=45.2),(E42=46.2),(E42=47.2),(E42=48.2),(E42=50.2))),1,0))</f>
        <v>0</v>
      </c>
      <c r="BD42" s="97">
        <f t="shared" si="18"/>
        <v>1</v>
      </c>
      <c r="BE42" s="97">
        <f t="shared" ref="BE42" si="74">IF((Y42="EXCLUI"),1,0)</f>
        <v>0</v>
      </c>
      <c r="BF42" s="140">
        <f t="shared" si="15"/>
        <v>1</v>
      </c>
    </row>
    <row r="43" spans="1:60" ht="15" hidden="1" customHeight="1" thickTop="1" thickBot="1">
      <c r="A43" s="88">
        <f>'IMPORTAÇÃO GENOTIPER'!A36</f>
        <v>9</v>
      </c>
      <c r="B43" s="125">
        <f>'IMPORTAÇÃO GENOTIPER'!AE36</f>
        <v>0</v>
      </c>
      <c r="C43" s="126">
        <f>'IMPORTAÇÃO GENOTIPER'!AM36</f>
        <v>0</v>
      </c>
      <c r="D43" s="126">
        <f>'IMPORTAÇÃO GENOTIPER'!AU36</f>
        <v>0</v>
      </c>
      <c r="E43" s="127">
        <f>'IMPORTAÇÃO GENOTIPER'!BC36</f>
        <v>0</v>
      </c>
      <c r="F43" s="93">
        <f t="shared" ref="F43" si="75">IF((B43&gt;C43),C43,B43)</f>
        <v>0</v>
      </c>
      <c r="G43" s="93">
        <f t="shared" ref="G43" si="76">IF((C43&gt;B43),C43,B43)</f>
        <v>0</v>
      </c>
      <c r="H43" s="93">
        <f t="shared" ref="H43" si="77">IF((D43&gt;E43),E43,D43)</f>
        <v>0</v>
      </c>
      <c r="I43" s="93">
        <f t="shared" ref="I43" si="78">IF((E43&gt;D43),E43,D43)</f>
        <v>0</v>
      </c>
      <c r="J43" s="156"/>
      <c r="K43" s="156"/>
      <c r="L43" s="156"/>
      <c r="M43" s="156"/>
      <c r="N43" s="156">
        <f t="shared" ref="N43" si="79">IF(OR((H43=F43),(H43=G43)),H43,0)</f>
        <v>0</v>
      </c>
      <c r="O43" s="156">
        <f t="shared" ref="O43" si="80">IF((H43=I43),0,(IF(OR((I43=G43),(I43=F43)),I43,0)))</f>
        <v>0</v>
      </c>
      <c r="P43" s="157">
        <f t="shared" ref="P43" si="81">(IF(OR((N43=H43),(N43=I43)),N43,0))</f>
        <v>0</v>
      </c>
      <c r="Q43" s="158">
        <f t="shared" ref="Q43" si="82">(IF((O43&lt;&gt;0),(IF(OR((O43=H43),(O43=I43)),O43,0)),0))</f>
        <v>0</v>
      </c>
      <c r="R43" s="159"/>
      <c r="S43" s="159"/>
      <c r="T43" s="94">
        <f>IF(P43=0,0,VLOOKUP(P43,FREQUENCIAS!1:1048576,(IF(($A43=FREQUENCIAS!$AG$1),33,"ERRO")),FREQUENCIAS!1:1048576))</f>
        <v>0</v>
      </c>
      <c r="U43" s="94">
        <f>IF(Q43=0,0,VLOOKUP(Q43,FREQUENCIAS!1:1048576,(IF(($A43=FREQUENCIAS!$AG$1),33,"ERRO")),FREQUENCIAS!1:1048576))</f>
        <v>0</v>
      </c>
      <c r="V43" s="160"/>
      <c r="W43" s="134" t="str">
        <f t="shared" si="8"/>
        <v>OK</v>
      </c>
      <c r="X43" s="74">
        <f t="shared" ref="X43" si="83">(IF((A43="   ERRO-FT"),"16",(IF((AND((P43=0),(Q43=0))),0,(IF((R43+S43+T43+U43+V43)&lt;=$Z$10,$Z$10,(R43+S43+T43+U43+V43)))))))</f>
        <v>0</v>
      </c>
      <c r="Y43" s="75">
        <f t="shared" si="16"/>
        <v>1</v>
      </c>
      <c r="Z43" s="200">
        <f t="shared" si="17"/>
        <v>0.5</v>
      </c>
      <c r="AA43" s="150"/>
      <c r="AB43" s="78" t="str">
        <f t="shared" ref="AB43" si="84">IF((AND((P43=0),(Q43=0))),"EXCLUI",(IF(OR((AND(($F43&lt;&gt;$G43),($H43=$I43),(OR(($H43=$F43),($H43=$G43))))),(AND(($F43=$G43),($H43&lt;&gt;$I43),(OR(($F43=$H43),($F43=$I43)))))),($AD$22),((IF(((AND(($F43=$H43),($G43=$I43),($F43&lt;&gt;$G43)))),($AD$10),($AE43)))))))</f>
        <v>EXCLUI</v>
      </c>
      <c r="AC43" s="97" t="e">
        <f t="shared" si="10"/>
        <v>#DIV/0!</v>
      </c>
      <c r="AD43" s="97" t="s">
        <v>47</v>
      </c>
      <c r="AE43" s="97" t="str">
        <f t="shared" si="66"/>
        <v>1 / F</v>
      </c>
      <c r="AF43" s="136">
        <f t="shared" ref="AF43" si="85">(IF((B43=C43),((1-AK43)^2),(1-(AK43+AO43))^2))</f>
        <v>1</v>
      </c>
      <c r="AH43" s="137">
        <f>IF(B43=0,0,VLOOKUP(B43,FREQUENCIAS!$1:$1048576,(IF(($A43=FREQUENCIAS!$W$1),23,"ERRO")),FREQUENCIAS!$1:$1048576))</f>
        <v>0</v>
      </c>
      <c r="AI43" s="137"/>
      <c r="AJ43" s="137"/>
      <c r="AK43" s="138">
        <f t="shared" ref="AK43" si="86">SUM(AH43:AJ43)</f>
        <v>0</v>
      </c>
      <c r="AL43" s="137">
        <f>IF(C43=0,0,VLOOKUP(C43,FREQUENCIAS!$1:$1048576,(IF(($A43=FREQUENCIAS!$W$1),23,"ERRO")),FREQUENCIAS!$1:$1048576))</f>
        <v>0</v>
      </c>
      <c r="AM43" s="137"/>
      <c r="AN43" s="137"/>
      <c r="AO43" s="138">
        <f t="shared" ref="AO43" si="87">SUM(AL43:AN43)</f>
        <v>0</v>
      </c>
      <c r="AV43" s="147">
        <f>IF(B43=0,0,VLOOKUP(B43,FREQUENCIAS!$1:$1048576,(IF(($A43=FREQUENCIAS!$W$1),23,"ERRO")),FREQUENCIAS!$1:$1048576))</f>
        <v>0</v>
      </c>
      <c r="AW43" s="147">
        <f>IF(C43=0,0,VLOOKUP(C43,FREQUENCIAS!$1:$1048576,(IF(($A43=FREQUENCIAS!$W$1),23,"ERRO")),FREQUENCIAS!$1:$1048576))</f>
        <v>0</v>
      </c>
      <c r="AX43" s="147">
        <f>IF(D43=0,0,VLOOKUP(D43,FREQUENCIAS!$1:$1048576,(IF(($A43=FREQUENCIAS!$W$1),23,"ERRO")),FREQUENCIAS!$1:$1048576))</f>
        <v>0</v>
      </c>
      <c r="AY43" s="147">
        <f>IF(E43=0,0,VLOOKUP(E43,FREQUENCIAS!$1:$1048576,(IF(($A43=FREQUENCIAS!$W$1),23,"ERRO")),FREQUENCIAS!$1:$1048576))</f>
        <v>0</v>
      </c>
      <c r="AZ43" s="1">
        <f t="shared" ref="AZ43" si="88">(IF((OR((B43=22.3),(B43=23.2),(B43=24.2),(B43=25.2),(B43=24.3),(B43=26.2),(B43=34.2),(B43="&gt;42,2"),(B43=42.2),(B43=43.2),(B43=44.2),(B43=45.2),(B43=46.2),(B43=47.2),(B43=48.2),(B43=50.2))),1,0))</f>
        <v>0</v>
      </c>
      <c r="BA43" s="1">
        <f t="shared" ref="BA43" si="89">(IF((OR((C43=22.3),(C43=23.2),(C43=24.2),(C43=25.2),(C43=24.3),(C43=26.2),(C43=34.2),(C43="&gt;42,2"),(C43=42.2),(C43=43.2),(C43=44.2),(C43=45.2),(C43=46.2),(C43=47.2),(C43=48.2),(C43=50.2))),1,0))</f>
        <v>0</v>
      </c>
      <c r="BB43" s="1">
        <f t="shared" ref="BB43" si="90">(IF((OR((D43=22.3),(D43=23.2),(D43=24.2),(D43=25.2),(D43=24.3),(D43=26.2),(D43=34.2),(D43="&gt;42,2"),(D43=42.2),(D43=43.2),(D43=44.2),(D43=45.2),(D43=46.2),(D43=47.2),(D43=48.2),(D43=50.2))),1,0))</f>
        <v>0</v>
      </c>
      <c r="BC43" s="1">
        <f t="shared" ref="BC43" si="91">(IF((OR((E43=22.3),(E43=23.2),(E43=24.2),(E43=25.2),(E43=24.3),(E43=26.2),(E43=34.2),(E43="&gt;42,2"),(E43=42.2),(E43=43.2),(E43=44.2),(E43=45.2),(E43=46.2),(E43=47.2),(E43=48.2),(E43=50.2))),1,0))</f>
        <v>0</v>
      </c>
      <c r="BD43" s="97">
        <f t="shared" si="18"/>
        <v>1</v>
      </c>
      <c r="BE43" s="97">
        <f t="shared" ref="BE43" si="92">IF((Y43="EXCLUI"),1,0)</f>
        <v>0</v>
      </c>
      <c r="BF43" s="140">
        <f t="shared" si="15"/>
        <v>1</v>
      </c>
    </row>
    <row r="44" spans="1:60" ht="15" hidden="1" customHeight="1" thickTop="1" thickBot="1">
      <c r="A44" s="88">
        <f>'IMPORTAÇÃO GENOTIPER'!A37</f>
        <v>10</v>
      </c>
      <c r="B44" s="125">
        <f>'IMPORTAÇÃO GENOTIPER'!AE37</f>
        <v>0</v>
      </c>
      <c r="C44" s="126">
        <f>'IMPORTAÇÃO GENOTIPER'!AM37</f>
        <v>0</v>
      </c>
      <c r="D44" s="126">
        <f>'IMPORTAÇÃO GENOTIPER'!AU37</f>
        <v>0</v>
      </c>
      <c r="E44" s="127">
        <f>'IMPORTAÇÃO GENOTIPER'!BC37</f>
        <v>0</v>
      </c>
      <c r="F44" s="93">
        <f t="shared" ref="F44:F45" si="93">IF((B44&gt;C44),C44,B44)</f>
        <v>0</v>
      </c>
      <c r="G44" s="93">
        <f t="shared" ref="G44:G45" si="94">IF((C44&gt;B44),C44,B44)</f>
        <v>0</v>
      </c>
      <c r="H44" s="93">
        <f t="shared" ref="H44:H45" si="95">IF((D44&gt;E44),E44,D44)</f>
        <v>0</v>
      </c>
      <c r="I44" s="93">
        <f t="shared" ref="I44:I45" si="96">IF((E44&gt;D44),E44,D44)</f>
        <v>0</v>
      </c>
      <c r="J44" s="156"/>
      <c r="K44" s="156"/>
      <c r="L44" s="156"/>
      <c r="M44" s="156"/>
      <c r="N44" s="156">
        <f t="shared" ref="N44:N45" si="97">IF(OR((H44=F44),(H44=G44)),H44,0)</f>
        <v>0</v>
      </c>
      <c r="O44" s="156">
        <f t="shared" ref="O44:O45" si="98">IF((H44=I44),0,(IF(OR((I44=G44),(I44=F44)),I44,0)))</f>
        <v>0</v>
      </c>
      <c r="P44" s="157">
        <f t="shared" ref="P44:P45" si="99">(IF(OR((N44=H44),(N44=I44)),N44,0))</f>
        <v>0</v>
      </c>
      <c r="Q44" s="158">
        <f t="shared" ref="Q44:Q45" si="100">(IF((O44&lt;&gt;0),(IF(OR((O44=H44),(O44=I44)),O44,0)),0))</f>
        <v>0</v>
      </c>
      <c r="R44" s="159"/>
      <c r="S44" s="159"/>
      <c r="T44" s="94">
        <f>IF(P44=0,0,VLOOKUP(P44,FREQUENCIAS!1:1048576,(IF(($A44=FREQUENCIAS!$AH$1),34,"ERRO")),FREQUENCIAS!1:1048576))</f>
        <v>0</v>
      </c>
      <c r="U44" s="94">
        <f>IF(Q44=0,0,VLOOKUP(Q44,FREQUENCIAS!1:1048576,(IF(($A44=FREQUENCIAS!$AH$1),34,"ERRO")),FREQUENCIAS!1:1048576))</f>
        <v>0</v>
      </c>
      <c r="V44" s="160"/>
      <c r="W44" s="134" t="str">
        <f t="shared" ref="W44:W45" si="101">IF(AND((Y44="EXCLUI"),($BE$46=1)),"M?","OK")</f>
        <v>OK</v>
      </c>
      <c r="X44" s="74">
        <f t="shared" ref="X44:X45" si="102">(IF((A44="   ERRO-FT"),"16",(IF((AND((P44=0),(Q44=0))),0,(IF((R44+S44+T44+U44+V44)&lt;=$Z$10,$Z$10,(R44+S44+T44+U44+V44)))))))</f>
        <v>0</v>
      </c>
      <c r="Y44" s="75">
        <f t="shared" si="16"/>
        <v>1</v>
      </c>
      <c r="Z44" s="200">
        <f t="shared" si="17"/>
        <v>0.5</v>
      </c>
      <c r="AA44" s="150"/>
      <c r="AB44" s="78" t="str">
        <f t="shared" ref="AB44:AB45" si="103">IF((AND((P44=0),(Q44=0))),"EXCLUI",(IF(OR((AND(($F44&lt;&gt;$G44),($H44=$I44),(OR(($H44=$F44),($H44=$G44))))),(AND(($F44=$G44),($H44&lt;&gt;$I44),(OR(($F44=$H44),($F44=$I44)))))),($AD$22),((IF(((AND(($F44=$H44),($G44=$I44),($F44&lt;&gt;$G44)))),($AD$10),($AE44)))))))</f>
        <v>EXCLUI</v>
      </c>
      <c r="AC44" s="97" t="e">
        <f t="shared" si="10"/>
        <v>#DIV/0!</v>
      </c>
      <c r="AD44" s="97" t="s">
        <v>47</v>
      </c>
      <c r="AE44" s="97" t="str">
        <f t="shared" si="66"/>
        <v>1 / F</v>
      </c>
      <c r="AF44" s="136">
        <f t="shared" ref="AF44:AF45" si="104">(IF((B44=C44),((1-AK44)^2),(1-(AK44+AO44))^2))</f>
        <v>1</v>
      </c>
      <c r="AH44" s="137">
        <f>IF(B44=0,0,VLOOKUP(B44,FREQUENCIAS!$1:$1048576,(IF(($A44=FREQUENCIAS!$W$1),23,"ERRO")),FREQUENCIAS!$1:$1048576))</f>
        <v>0</v>
      </c>
      <c r="AI44" s="137"/>
      <c r="AJ44" s="137"/>
      <c r="AK44" s="138">
        <f t="shared" ref="AK44:AK45" si="105">SUM(AH44:AJ44)</f>
        <v>0</v>
      </c>
      <c r="AL44" s="137">
        <f>IF(C44=0,0,VLOOKUP(C44,FREQUENCIAS!$1:$1048576,(IF(($A44=FREQUENCIAS!$W$1),23,"ERRO")),FREQUENCIAS!$1:$1048576))</f>
        <v>0</v>
      </c>
      <c r="AM44" s="137"/>
      <c r="AN44" s="137"/>
      <c r="AO44" s="138">
        <f t="shared" ref="AO44:AO45" si="106">SUM(AL44:AN44)</f>
        <v>0</v>
      </c>
      <c r="AV44" s="147">
        <f>IF(B44=0,0,VLOOKUP(B44,FREQUENCIAS!$1:$1048576,(IF(($A44=FREQUENCIAS!$W$1),23,"ERRO")),FREQUENCIAS!$1:$1048576))</f>
        <v>0</v>
      </c>
      <c r="AW44" s="147">
        <f>IF(C44=0,0,VLOOKUP(C44,FREQUENCIAS!$1:$1048576,(IF(($A44=FREQUENCIAS!$W$1),23,"ERRO")),FREQUENCIAS!$1:$1048576))</f>
        <v>0</v>
      </c>
      <c r="AX44" s="147">
        <f>IF(D44=0,0,VLOOKUP(D44,FREQUENCIAS!$1:$1048576,(IF(($A44=FREQUENCIAS!$W$1),23,"ERRO")),FREQUENCIAS!$1:$1048576))</f>
        <v>0</v>
      </c>
      <c r="AY44" s="147">
        <f>IF(E44=0,0,VLOOKUP(E44,FREQUENCIAS!$1:$1048576,(IF(($A44=FREQUENCIAS!$W$1),23,"ERRO")),FREQUENCIAS!$1:$1048576))</f>
        <v>0</v>
      </c>
      <c r="AZ44" s="1">
        <f t="shared" ref="AZ44:AZ45" si="107">(IF((OR((B44=22.3),(B44=23.2),(B44=24.2),(B44=25.2),(B44=24.3),(B44=26.2),(B44=34.2),(B44="&gt;42,2"),(B44=42.2),(B44=43.2),(B44=44.2),(B44=45.2),(B44=46.2),(B44=47.2),(B44=48.2),(B44=50.2))),1,0))</f>
        <v>0</v>
      </c>
      <c r="BA44" s="1">
        <f t="shared" ref="BA44:BA45" si="108">(IF((OR((C44=22.3),(C44=23.2),(C44=24.2),(C44=25.2),(C44=24.3),(C44=26.2),(C44=34.2),(C44="&gt;42,2"),(C44=42.2),(C44=43.2),(C44=44.2),(C44=45.2),(C44=46.2),(C44=47.2),(C44=48.2),(C44=50.2))),1,0))</f>
        <v>0</v>
      </c>
      <c r="BB44" s="1">
        <f t="shared" ref="BB44:BB45" si="109">(IF((OR((D44=22.3),(D44=23.2),(D44=24.2),(D44=25.2),(D44=24.3),(D44=26.2),(D44=34.2),(D44="&gt;42,2"),(D44=42.2),(D44=43.2),(D44=44.2),(D44=45.2),(D44=46.2),(D44=47.2),(D44=48.2),(D44=50.2))),1,0))</f>
        <v>0</v>
      </c>
      <c r="BC44" s="1">
        <f t="shared" ref="BC44:BC45" si="110">(IF((OR((E44=22.3),(E44=23.2),(E44=24.2),(E44=25.2),(E44=24.3),(E44=26.2),(E44=34.2),(E44="&gt;42,2"),(E44=42.2),(E44=43.2),(E44=44.2),(E44=45.2),(E44=46.2),(E44=47.2),(E44=48.2),(E44=50.2))),1,0))</f>
        <v>0</v>
      </c>
      <c r="BD44" s="97">
        <f t="shared" si="18"/>
        <v>1</v>
      </c>
      <c r="BE44" s="97">
        <f t="shared" ref="BE44:BE45" si="111">IF((Y44="EXCLUI"),1,0)</f>
        <v>0</v>
      </c>
      <c r="BF44" s="140">
        <f t="shared" ref="BF44:BF45" si="112">(IF((AND(($B$46&lt;=1),(Y44&lt;&gt;"EXCLUI"))),Y44,(IF((AND(($B$46&lt;=1),(Y44="EXCLUI"))),$BF$46,0))))</f>
        <v>1</v>
      </c>
    </row>
    <row r="45" spans="1:60" ht="15" hidden="1" customHeight="1" thickTop="1" thickBot="1">
      <c r="A45" s="205">
        <f>'IMPORTAÇÃO GENOTIPER'!A38</f>
        <v>11</v>
      </c>
      <c r="B45" s="125">
        <f>'IMPORTAÇÃO GENOTIPER'!AE38</f>
        <v>0</v>
      </c>
      <c r="C45" s="126">
        <f>'IMPORTAÇÃO GENOTIPER'!AM38</f>
        <v>0</v>
      </c>
      <c r="D45" s="126">
        <f>'IMPORTAÇÃO GENOTIPER'!AU38</f>
        <v>0</v>
      </c>
      <c r="E45" s="127">
        <f>'IMPORTAÇÃO GENOTIPER'!BC38</f>
        <v>0</v>
      </c>
      <c r="F45" s="95">
        <f t="shared" si="93"/>
        <v>0</v>
      </c>
      <c r="G45" s="95">
        <f t="shared" si="94"/>
        <v>0</v>
      </c>
      <c r="H45" s="95">
        <f t="shared" si="95"/>
        <v>0</v>
      </c>
      <c r="I45" s="95">
        <f t="shared" si="96"/>
        <v>0</v>
      </c>
      <c r="J45" s="161"/>
      <c r="K45" s="161"/>
      <c r="L45" s="161"/>
      <c r="M45" s="162"/>
      <c r="N45" s="161">
        <f t="shared" si="97"/>
        <v>0</v>
      </c>
      <c r="O45" s="161">
        <f t="shared" si="98"/>
        <v>0</v>
      </c>
      <c r="P45" s="163">
        <f t="shared" si="99"/>
        <v>0</v>
      </c>
      <c r="Q45" s="164">
        <f t="shared" si="100"/>
        <v>0</v>
      </c>
      <c r="R45" s="165"/>
      <c r="S45" s="165"/>
      <c r="T45" s="96">
        <f>IF(P45=0,0,VLOOKUP(P45,FREQUENCIAS!1:1048576,(IF(($A45=FREQUENCIAS!$AI$1),35,"ERRO")),FREQUENCIAS!1:1048576))</f>
        <v>0</v>
      </c>
      <c r="U45" s="96">
        <f>IF(Q45=0,0,VLOOKUP(Q45,FREQUENCIAS!1:1048576,(IF(($A45=FREQUENCIAS!$AI$1),35,"ERRO")),FREQUENCIAS!1:1048576))</f>
        <v>0</v>
      </c>
      <c r="V45" s="166"/>
      <c r="W45" s="207" t="str">
        <f t="shared" si="101"/>
        <v>OK</v>
      </c>
      <c r="X45" s="208">
        <f t="shared" si="102"/>
        <v>0</v>
      </c>
      <c r="Y45" s="209">
        <f t="shared" si="16"/>
        <v>1</v>
      </c>
      <c r="Z45" s="200">
        <f t="shared" si="17"/>
        <v>0.5</v>
      </c>
      <c r="AA45" s="167"/>
      <c r="AB45" s="210" t="str">
        <f t="shared" si="103"/>
        <v>EXCLUI</v>
      </c>
      <c r="AC45" s="97" t="e">
        <f t="shared" si="10"/>
        <v>#DIV/0!</v>
      </c>
      <c r="AD45" s="97" t="s">
        <v>47</v>
      </c>
      <c r="AE45" s="97" t="str">
        <f t="shared" si="66"/>
        <v>1 / F</v>
      </c>
      <c r="AF45" s="136">
        <f t="shared" si="104"/>
        <v>1</v>
      </c>
      <c r="AH45" s="137">
        <f>IF(B45=0,0,VLOOKUP(B45,FREQUENCIAS!$1:$1048576,(IF(($A45=FREQUENCIAS!$W$1),23,"ERRO")),FREQUENCIAS!$1:$1048576))</f>
        <v>0</v>
      </c>
      <c r="AI45" s="137"/>
      <c r="AJ45" s="137"/>
      <c r="AK45" s="138">
        <f t="shared" si="105"/>
        <v>0</v>
      </c>
      <c r="AL45" s="137">
        <f>IF(C45=0,0,VLOOKUP(C45,FREQUENCIAS!$1:$1048576,(IF(($A45=FREQUENCIAS!$W$1),23,"ERRO")),FREQUENCIAS!$1:$1048576))</f>
        <v>0</v>
      </c>
      <c r="AM45" s="137"/>
      <c r="AN45" s="137"/>
      <c r="AO45" s="138">
        <f t="shared" si="106"/>
        <v>0</v>
      </c>
      <c r="AV45" s="147">
        <f>IF(B45=0,0,VLOOKUP(B45,FREQUENCIAS!$1:$1048576,(IF(($A45=FREQUENCIAS!$W$1),23,"ERRO")),FREQUENCIAS!$1:$1048576))</f>
        <v>0</v>
      </c>
      <c r="AW45" s="147">
        <f>IF(C45=0,0,VLOOKUP(C45,FREQUENCIAS!$1:$1048576,(IF(($A45=FREQUENCIAS!$W$1),23,"ERRO")),FREQUENCIAS!$1:$1048576))</f>
        <v>0</v>
      </c>
      <c r="AX45" s="147">
        <f>IF(D45=0,0,VLOOKUP(D45,FREQUENCIAS!$1:$1048576,(IF(($A45=FREQUENCIAS!$W$1),23,"ERRO")),FREQUENCIAS!$1:$1048576))</f>
        <v>0</v>
      </c>
      <c r="AY45" s="147">
        <f>IF(E45=0,0,VLOOKUP(E45,FREQUENCIAS!$1:$1048576,(IF(($A45=FREQUENCIAS!$W$1),23,"ERRO")),FREQUENCIAS!$1:$1048576))</f>
        <v>0</v>
      </c>
      <c r="AZ45" s="1">
        <f t="shared" si="107"/>
        <v>0</v>
      </c>
      <c r="BA45" s="1">
        <f t="shared" si="108"/>
        <v>0</v>
      </c>
      <c r="BB45" s="1">
        <f t="shared" si="109"/>
        <v>0</v>
      </c>
      <c r="BC45" s="1">
        <f t="shared" si="110"/>
        <v>0</v>
      </c>
      <c r="BD45" s="97">
        <f t="shared" si="18"/>
        <v>1</v>
      </c>
      <c r="BE45" s="97">
        <f t="shared" si="111"/>
        <v>0</v>
      </c>
      <c r="BF45" s="140">
        <f t="shared" si="112"/>
        <v>1</v>
      </c>
    </row>
    <row r="46" spans="1:60" ht="12" customHeight="1" thickTop="1">
      <c r="A46" s="206"/>
      <c r="B46" s="202"/>
      <c r="C46" s="203"/>
      <c r="D46" s="203"/>
      <c r="E46" s="204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211"/>
      <c r="X46" s="212" t="s">
        <v>40</v>
      </c>
      <c r="Y46" s="231">
        <f>(IF((AND(($BE$46=1),($Z$52="SIM"))),($BF$11),(IF((PRODUCT(Z12:Z45)&lt;&gt;0),PRODUCT(Y12:Y45),"NIHIL"))))</f>
        <v>11106580.681599887</v>
      </c>
      <c r="Z46" s="231"/>
      <c r="AA46" s="213"/>
      <c r="AB46" s="214"/>
      <c r="AF46" s="256">
        <f>(IF(($Y$46&lt;&gt;0),((1-AF12)*(1-AF13)*(1-AF14)*(1-AF15)*(1-AF16)*(1-AF17)*(1-AF18)*(1-AF19)*(1-AF20)*(1-AF21)*(1-AF22)*(1-AF23)*(1-AF24)*(1-AF25)*(1-AF26)*(1-AF27)*(1-AF28)*(1-AF29)*(1-AF30)*(1-AF31)*(1-AF32)*(1-AF33)),$AE$26))</f>
        <v>2.1823331825119978E-7</v>
      </c>
      <c r="AG46" s="256"/>
      <c r="BD46" s="97">
        <f>SUM(BD12:BD33)</f>
        <v>5</v>
      </c>
      <c r="BE46" s="97">
        <f>SUM(BE12:BE45)</f>
        <v>0</v>
      </c>
      <c r="BF46" s="170">
        <v>2.7E-2</v>
      </c>
      <c r="BG46" s="171" t="s">
        <v>113</v>
      </c>
      <c r="BH46" s="171"/>
    </row>
    <row r="47" spans="1:60" ht="12" customHeight="1">
      <c r="A47" s="86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67" t="s">
        <v>41</v>
      </c>
      <c r="Y47" s="226">
        <f>(IF(AND((Y46&lt;&gt;"NIHIL"),(Y46&lt;&gt;0)),(ROUNDDOWN((Y46/(Y46+1)),11)),"EXCLUSÃO"))</f>
        <v>0.99999990995999999</v>
      </c>
      <c r="Z47" s="226"/>
      <c r="AB47" s="172"/>
      <c r="BF47" s="173" t="s">
        <v>117</v>
      </c>
    </row>
    <row r="48" spans="1:60" ht="12" customHeight="1">
      <c r="A48" s="118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67" t="s">
        <v>51</v>
      </c>
      <c r="Y48" s="226">
        <f>(IF(AND((Y46&lt;&gt;"NIHIL"),(Y46&lt;&gt;0)),(ROUNDDOWN((1-$AF46),11)),"EXCLUSÃO"))</f>
        <v>0.99999978176000004</v>
      </c>
      <c r="Z48" s="226"/>
      <c r="AB48" s="169"/>
      <c r="BF48" s="97" t="s">
        <v>115</v>
      </c>
    </row>
    <row r="49" spans="1:58" ht="12" customHeight="1" thickBot="1">
      <c r="A49" s="174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68" t="str">
        <f>(IF(AND(($BE$46=1),($Z$52="SIM")),"RESULTADO CONSIDERANDO 1 MUTAÇÃO:     ","RESULTADO:     "))</f>
        <v xml:space="preserve">RESULTADO:     </v>
      </c>
      <c r="Y49" s="69" t="str">
        <f>(IF(AND(($BE$46=1),($Z$52="SIM")),"PATERNIDADE POSSÍVEL",(IF(AND((Y46&lt;&gt;"NIHIL"),(Y46&lt;&gt;0)),"POSITIVO","EXCLUSÃO"))))</f>
        <v>POSITIVO</v>
      </c>
      <c r="Z49" s="69"/>
      <c r="AA49" s="176"/>
      <c r="AB49" s="177"/>
      <c r="BF49" s="97" t="s">
        <v>116</v>
      </c>
    </row>
    <row r="50" spans="1:58" ht="14.25" hidden="1" thickTop="1" thickBot="1">
      <c r="A50" s="174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B50" s="109"/>
    </row>
    <row r="51" spans="1:58" ht="14.25" hidden="1" thickTop="1" thickBot="1">
      <c r="A51" s="118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B51" s="109"/>
    </row>
    <row r="52" spans="1:58" s="184" customFormat="1" ht="15.75" customHeight="1" thickTop="1">
      <c r="A52" s="11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9"/>
      <c r="Y52" s="180" t="s">
        <v>114</v>
      </c>
      <c r="Z52" s="181" t="s">
        <v>115</v>
      </c>
      <c r="AA52" s="182"/>
      <c r="AB52" s="183"/>
    </row>
    <row r="53" spans="1:58" s="184" customFormat="1" ht="15" hidden="1" customHeight="1">
      <c r="A53" s="18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7"/>
    </row>
    <row r="54" spans="1:58" s="184" customFormat="1" ht="9.75" customHeight="1">
      <c r="A54" s="80" t="str">
        <f>(IF(AND(($BE$46=1),($Z$52="SIM")),"Aconselhável a genotipagem dos materiais da Genitora do(a) Investigante",""))</f>
        <v/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/>
    </row>
    <row r="55" spans="1:58" ht="9" customHeight="1">
      <c r="A55" s="81" t="str">
        <f>(IF(AND(($BE$46=1),($Z$52="SIM")),"Taxa de mutação empregada nos cálculos: 0,027",""))</f>
        <v/>
      </c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B55" s="109"/>
    </row>
    <row r="56" spans="1:58" ht="38.25" customHeight="1">
      <c r="A56" s="118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B56" s="109"/>
    </row>
    <row r="57" spans="1:58" ht="11.1" customHeight="1">
      <c r="A57" s="247" t="s">
        <v>147</v>
      </c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9"/>
      <c r="AC57" s="186"/>
      <c r="AD57" s="186"/>
      <c r="AE57" s="187"/>
      <c r="AF57" s="188"/>
      <c r="AG57" s="238" t="s">
        <v>111</v>
      </c>
      <c r="AH57" s="238"/>
      <c r="AI57" s="238"/>
      <c r="AJ57" s="238"/>
      <c r="AK57" s="238"/>
      <c r="AL57" s="238"/>
      <c r="AM57" s="238"/>
      <c r="AN57" s="239"/>
      <c r="AO57" s="189"/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90"/>
    </row>
    <row r="58" spans="1:58" ht="11.1" customHeight="1">
      <c r="A58" s="244" t="s">
        <v>143</v>
      </c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6"/>
      <c r="AC58" s="188"/>
      <c r="AD58" s="188"/>
      <c r="AE58" s="191"/>
      <c r="AF58" s="188"/>
      <c r="AG58" s="242" t="s">
        <v>112</v>
      </c>
      <c r="AH58" s="242"/>
      <c r="AI58" s="242"/>
      <c r="AJ58" s="242"/>
      <c r="AK58" s="242"/>
      <c r="AL58" s="242"/>
      <c r="AM58" s="242"/>
      <c r="AN58" s="243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90"/>
    </row>
    <row r="59" spans="1:58" ht="11.1" customHeight="1" thickBot="1">
      <c r="A59" s="250" t="s">
        <v>144</v>
      </c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2"/>
      <c r="AC59" s="188"/>
      <c r="AD59" s="188"/>
      <c r="AE59" s="191"/>
      <c r="AF59" s="188"/>
      <c r="AG59" s="242" t="s">
        <v>128</v>
      </c>
      <c r="AH59" s="242"/>
      <c r="AI59" s="242"/>
      <c r="AJ59" s="242"/>
      <c r="AK59" s="242"/>
      <c r="AL59" s="242"/>
      <c r="AM59" s="242"/>
      <c r="AN59" s="243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90"/>
    </row>
    <row r="60" spans="1:58" ht="9.75" hidden="1" customHeight="1" thickBot="1">
      <c r="A60" s="235"/>
      <c r="B60" s="236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7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5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89"/>
      <c r="BD60" s="190"/>
    </row>
    <row r="61" spans="1:58" ht="25.5" customHeight="1" thickTop="1">
      <c r="B61" s="192" t="s">
        <v>121</v>
      </c>
      <c r="C61" s="192" t="s">
        <v>122</v>
      </c>
      <c r="D61" s="192" t="s">
        <v>123</v>
      </c>
      <c r="E61" s="192" t="s">
        <v>124</v>
      </c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 t="s">
        <v>125</v>
      </c>
      <c r="Y61" s="192"/>
      <c r="AB61" s="193" t="s">
        <v>118</v>
      </c>
    </row>
    <row r="62" spans="1:58" ht="11.25" customHeight="1">
      <c r="A62" s="192" t="s">
        <v>118</v>
      </c>
      <c r="AB62" s="2" t="s">
        <v>119</v>
      </c>
    </row>
  </sheetData>
  <mergeCells count="23">
    <mergeCell ref="A60:AB60"/>
    <mergeCell ref="AG57:AN57"/>
    <mergeCell ref="F11:G11"/>
    <mergeCell ref="AG58:AN58"/>
    <mergeCell ref="A58:AB58"/>
    <mergeCell ref="A57:AB57"/>
    <mergeCell ref="A59:AB59"/>
    <mergeCell ref="AH11:AK11"/>
    <mergeCell ref="AL11:AO11"/>
    <mergeCell ref="AF46:AG46"/>
    <mergeCell ref="AG59:AN59"/>
    <mergeCell ref="A1:AB1"/>
    <mergeCell ref="Y47:Z47"/>
    <mergeCell ref="Y48:Z48"/>
    <mergeCell ref="B5:E5"/>
    <mergeCell ref="X3:AB3"/>
    <mergeCell ref="P11:Q11"/>
    <mergeCell ref="Y46:Z46"/>
    <mergeCell ref="Y5:Z5"/>
    <mergeCell ref="B11:C11"/>
    <mergeCell ref="D11:E11"/>
    <mergeCell ref="N11:O11"/>
    <mergeCell ref="H11:I11"/>
  </mergeCells>
  <phoneticPr fontId="0" type="noConversion"/>
  <conditionalFormatting sqref="A12:A46">
    <cfRule type="cellIs" dxfId="14" priority="3" stopIfTrue="1" operator="equal">
      <formula>"ERRO-FT"</formula>
    </cfRule>
  </conditionalFormatting>
  <conditionalFormatting sqref="W12:W45">
    <cfRule type="cellIs" dxfId="13" priority="2" stopIfTrue="1" operator="equal">
      <formula>"M?"</formula>
    </cfRule>
  </conditionalFormatting>
  <conditionalFormatting sqref="X12:X45">
    <cfRule type="expression" dxfId="12" priority="4" stopIfTrue="1">
      <formula>(A12="   ERRO-FT")</formula>
    </cfRule>
  </conditionalFormatting>
  <conditionalFormatting sqref="X52">
    <cfRule type="expression" dxfId="11" priority="59" stopIfTrue="1">
      <formula>$BE$46=1</formula>
    </cfRule>
    <cfRule type="expression" dxfId="10" priority="60" stopIfTrue="1">
      <formula>$BE$46&lt;&gt;1</formula>
    </cfRule>
  </conditionalFormatting>
  <conditionalFormatting sqref="X11:Y11">
    <cfRule type="cellIs" dxfId="9" priority="48" stopIfTrue="1" operator="equal">
      <formula>"AL.INF."</formula>
    </cfRule>
  </conditionalFormatting>
  <conditionalFormatting sqref="Y12:Y45">
    <cfRule type="cellIs" dxfId="8" priority="50" stopIfTrue="1" operator="equal">
      <formula>"EXCLUI"</formula>
    </cfRule>
    <cfRule type="expression" dxfId="7" priority="51" stopIfTrue="1">
      <formula>(A12="   ERRO-FT")</formula>
    </cfRule>
  </conditionalFormatting>
  <conditionalFormatting sqref="Y52">
    <cfRule type="expression" dxfId="6" priority="64" stopIfTrue="1">
      <formula>$BE$46=1</formula>
    </cfRule>
    <cfRule type="expression" dxfId="5" priority="65" stopIfTrue="1">
      <formula>$BE$46&lt;&gt;1</formula>
    </cfRule>
  </conditionalFormatting>
  <conditionalFormatting sqref="Y47:Z47">
    <cfRule type="cellIs" dxfId="4" priority="63" stopIfTrue="1" operator="equal">
      <formula>"EXCLUSÃO"</formula>
    </cfRule>
  </conditionalFormatting>
  <conditionalFormatting sqref="Y48:Z49 A54:A55">
    <cfRule type="cellIs" dxfId="3" priority="47" stopIfTrue="1" operator="equal">
      <formula>"EXCLUSÃO"</formula>
    </cfRule>
  </conditionalFormatting>
  <conditionalFormatting sqref="Z52">
    <cfRule type="expression" dxfId="2" priority="61" stopIfTrue="1">
      <formula>$BE$46=1</formula>
    </cfRule>
    <cfRule type="expression" dxfId="1" priority="62" stopIfTrue="1">
      <formula>$BE$46&lt;&gt;1</formula>
    </cfRule>
  </conditionalFormatting>
  <conditionalFormatting sqref="AB12:AB45">
    <cfRule type="cellIs" dxfId="0" priority="1" stopIfTrue="1" operator="equal">
      <formula>"EXCLUI"</formula>
    </cfRule>
  </conditionalFormatting>
  <dataValidations count="3">
    <dataValidation type="list" allowBlank="1" showInputMessage="1" showErrorMessage="1" sqref="Z52" xr:uid="{00000000-0002-0000-0100-000000000000}">
      <formula1>$BF$48:$BF$49</formula1>
    </dataValidation>
    <dataValidation type="list" allowBlank="1" showInputMessage="1" showErrorMessage="1" sqref="AB61" xr:uid="{00000000-0002-0000-0100-000001000000}">
      <formula1>$A$61:$W$61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12:E46" xr:uid="{00000000-0002-0000-0100-000002000000}">
      <formula1>(AQ12=1)</formula1>
    </dataValidation>
  </dataValidations>
  <pageMargins left="1.1458333333333333" right="0.27559055118110237" top="2.0472440944881889" bottom="0.19685039370078741" header="0.28125" footer="0.39370078740157483"/>
  <pageSetup paperSize="9" orientation="portrait" verticalDpi="300" r:id="rId1"/>
  <headerFooter alignWithMargins="0">
    <oddHeader xml:space="preserve">&amp;L           &amp;G&amp;R
Rua da Paz, 185 - Jardim dos Estados
Campo Grande – MS
CEP:79002-190 | (67) 3041-0000
dna@ipcms.com.br | ipcms.com.br |facebook/IPCMS
</oddHeader>
  </headerFooter>
  <drawing r:id="rId2"/>
  <legacyDrawingHF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99"/>
  <sheetViews>
    <sheetView workbookViewId="0">
      <selection sqref="A1:IV65536"/>
    </sheetView>
  </sheetViews>
  <sheetFormatPr defaultRowHeight="15"/>
  <cols>
    <col min="1" max="1" width="6.5703125" style="12" customWidth="1"/>
    <col min="2" max="3" width="9.7109375" style="10" customWidth="1"/>
    <col min="4" max="4" width="9.5703125" style="10" customWidth="1"/>
    <col min="5" max="5" width="10.85546875" style="9" customWidth="1"/>
    <col min="6" max="6" width="9.7109375" style="9" customWidth="1"/>
    <col min="7" max="7" width="9.5703125" style="10" customWidth="1"/>
    <col min="8" max="8" width="9.7109375" style="9" customWidth="1"/>
    <col min="9" max="9" width="9.5703125" style="9" customWidth="1"/>
    <col min="10" max="10" width="9.7109375" style="10" customWidth="1"/>
    <col min="11" max="11" width="9.5703125" style="9" customWidth="1"/>
    <col min="12" max="12" width="9.5703125" style="10" customWidth="1"/>
    <col min="13" max="15" width="9.5703125" style="9" customWidth="1"/>
    <col min="16" max="17" width="9.5703125" style="10" customWidth="1"/>
    <col min="18" max="18" width="9.5703125" style="9" customWidth="1"/>
    <col min="19" max="21" width="9.7109375" style="10" customWidth="1"/>
    <col min="22" max="22" width="9.5703125" style="9" customWidth="1"/>
    <col min="23" max="23" width="10.85546875" style="10" customWidth="1"/>
    <col min="24" max="28" width="9.5703125" style="10" customWidth="1"/>
    <col min="29" max="33" width="9.5703125" style="13" customWidth="1"/>
    <col min="34" max="34" width="10.7109375" style="13" customWidth="1"/>
    <col min="35" max="16384" width="9.140625" style="13"/>
  </cols>
  <sheetData>
    <row r="1" spans="1:39" s="11" customFormat="1">
      <c r="A1" s="8" t="s">
        <v>129</v>
      </c>
      <c r="B1" s="9" t="s">
        <v>27</v>
      </c>
      <c r="C1" s="9" t="s">
        <v>130</v>
      </c>
      <c r="D1" s="9" t="s">
        <v>131</v>
      </c>
      <c r="E1" s="9" t="s">
        <v>132</v>
      </c>
      <c r="F1" s="9" t="s">
        <v>33</v>
      </c>
      <c r="G1" s="10" t="s">
        <v>145</v>
      </c>
      <c r="H1" s="9" t="s">
        <v>35</v>
      </c>
      <c r="I1" s="9" t="s">
        <v>31</v>
      </c>
      <c r="J1" s="9" t="s">
        <v>54</v>
      </c>
      <c r="K1" s="9" t="s">
        <v>12</v>
      </c>
      <c r="L1" s="9" t="s">
        <v>146</v>
      </c>
      <c r="M1" s="9" t="s">
        <v>22</v>
      </c>
      <c r="N1" s="9" t="s">
        <v>109</v>
      </c>
      <c r="O1" s="9" t="s">
        <v>30</v>
      </c>
      <c r="P1" s="9" t="s">
        <v>34</v>
      </c>
      <c r="Q1" s="9" t="s">
        <v>32</v>
      </c>
      <c r="R1" s="9" t="s">
        <v>20</v>
      </c>
      <c r="S1" s="9" t="s">
        <v>29</v>
      </c>
      <c r="T1" s="9" t="s">
        <v>133</v>
      </c>
      <c r="U1" s="9" t="s">
        <v>53</v>
      </c>
      <c r="V1" s="9" t="s">
        <v>28</v>
      </c>
      <c r="W1" s="9" t="s">
        <v>134</v>
      </c>
      <c r="X1" s="9" t="s">
        <v>135</v>
      </c>
      <c r="Y1" s="9">
        <v>1</v>
      </c>
      <c r="Z1" s="9">
        <v>2</v>
      </c>
      <c r="AA1" s="9">
        <v>3</v>
      </c>
      <c r="AB1" s="9">
        <v>4</v>
      </c>
      <c r="AC1" s="9">
        <v>5</v>
      </c>
      <c r="AD1" s="9">
        <v>6</v>
      </c>
      <c r="AE1" s="9">
        <v>7</v>
      </c>
      <c r="AF1" s="9">
        <v>8</v>
      </c>
      <c r="AG1" s="9">
        <v>9</v>
      </c>
      <c r="AH1" s="9">
        <v>10</v>
      </c>
      <c r="AI1" s="9">
        <v>11</v>
      </c>
      <c r="AJ1" s="9"/>
      <c r="AK1" s="9"/>
      <c r="AL1" s="9"/>
      <c r="AM1" s="9"/>
    </row>
    <row r="2" spans="1:39">
      <c r="A2" s="12" t="s">
        <v>136</v>
      </c>
      <c r="B2" s="10">
        <v>0.54900000000000004</v>
      </c>
      <c r="C2" s="10">
        <v>0.75900000000000001</v>
      </c>
      <c r="D2" s="10">
        <v>0.51300000000000001</v>
      </c>
      <c r="E2" s="9">
        <v>0.54300000000000004</v>
      </c>
      <c r="F2" s="9">
        <v>0.56899999999999995</v>
      </c>
      <c r="G2" s="10">
        <v>0.79</v>
      </c>
      <c r="H2" s="9">
        <v>0.754</v>
      </c>
      <c r="I2" s="9">
        <v>0.754</v>
      </c>
      <c r="J2" s="10">
        <v>0.71479999999999999</v>
      </c>
      <c r="K2" s="9">
        <v>0.46500000000000002</v>
      </c>
      <c r="L2" s="10">
        <v>0.70199999999999996</v>
      </c>
      <c r="M2" s="9">
        <v>0.58299999999999996</v>
      </c>
      <c r="N2" s="9">
        <v>0.61899999999999999</v>
      </c>
      <c r="O2" s="9">
        <v>0.68100000000000005</v>
      </c>
      <c r="P2" s="10">
        <v>0.59599999999999997</v>
      </c>
      <c r="Q2" s="10">
        <v>0.48</v>
      </c>
      <c r="R2" s="9">
        <v>0.40300000000000002</v>
      </c>
      <c r="S2" s="10">
        <v>0.61299999999999999</v>
      </c>
      <c r="T2" s="10">
        <v>0.74</v>
      </c>
      <c r="U2" s="10">
        <v>0.55600000000000005</v>
      </c>
      <c r="V2" s="9">
        <v>0.73599999999999999</v>
      </c>
      <c r="W2" s="10">
        <v>0.45400000000000001</v>
      </c>
      <c r="Y2" s="10">
        <v>0.54400000000000004</v>
      </c>
      <c r="Z2" s="10">
        <v>0.51200000000000001</v>
      </c>
      <c r="AA2" s="10">
        <v>0.42799999999999999</v>
      </c>
      <c r="AB2" s="10">
        <v>0.53300000000000003</v>
      </c>
    </row>
    <row r="3" spans="1:39">
      <c r="A3" s="12" t="s">
        <v>137</v>
      </c>
      <c r="B3" s="10">
        <v>1.1999999999999999E-3</v>
      </c>
      <c r="F3" s="9">
        <v>1.4E-3</v>
      </c>
      <c r="G3" s="10">
        <v>1.6000000000000001E-3</v>
      </c>
      <c r="H3" s="9">
        <v>1.1000000000000001E-3</v>
      </c>
      <c r="I3" s="9">
        <v>2.2000000000000001E-3</v>
      </c>
      <c r="J3" s="10">
        <v>1.1999999999999999E-3</v>
      </c>
      <c r="K3" s="9">
        <v>1.6000000000000001E-3</v>
      </c>
      <c r="L3" s="10">
        <v>1.4E-3</v>
      </c>
      <c r="M3" s="9">
        <v>1E-4</v>
      </c>
      <c r="N3" s="9">
        <v>1.6999999999999999E-3</v>
      </c>
      <c r="O3" s="9">
        <v>1.9E-3</v>
      </c>
      <c r="P3" s="10">
        <v>1E-3</v>
      </c>
      <c r="Q3" s="10">
        <v>1.1000000000000001E-3</v>
      </c>
      <c r="R3" s="9">
        <v>1E-4</v>
      </c>
      <c r="S3" s="10">
        <v>1.4E-3</v>
      </c>
      <c r="U3" s="10">
        <v>1.1000000000000001E-3</v>
      </c>
      <c r="V3" s="9">
        <v>2.8E-3</v>
      </c>
      <c r="X3" s="10">
        <v>6.4000000000000003E-3</v>
      </c>
    </row>
    <row r="4" spans="1:39">
      <c r="A4" s="12">
        <v>1</v>
      </c>
      <c r="L4" s="10">
        <v>5.0000000000000004E-6</v>
      </c>
    </row>
    <row r="5" spans="1:39">
      <c r="A5" s="12">
        <v>1.1000000000000001</v>
      </c>
    </row>
    <row r="6" spans="1:39">
      <c r="A6" s="12">
        <v>1.2</v>
      </c>
    </row>
    <row r="7" spans="1:39">
      <c r="A7" s="12">
        <v>1.3</v>
      </c>
    </row>
    <row r="8" spans="1:39">
      <c r="A8" s="12">
        <v>2</v>
      </c>
      <c r="G8" s="10">
        <v>3.9999999999999998E-6</v>
      </c>
      <c r="H8" s="9">
        <v>3.9999999999999998E-6</v>
      </c>
    </row>
    <row r="9" spans="1:39">
      <c r="A9" s="12">
        <v>2.1</v>
      </c>
    </row>
    <row r="10" spans="1:39">
      <c r="A10" s="12">
        <v>2.2000000000000002</v>
      </c>
      <c r="L10" s="10">
        <v>3.3499000000000001E-2</v>
      </c>
    </row>
    <row r="11" spans="1:39">
      <c r="A11" s="12">
        <v>2.2999999999999998</v>
      </c>
      <c r="L11" s="10">
        <v>5.0000000000000004E-6</v>
      </c>
    </row>
    <row r="12" spans="1:39">
      <c r="A12" s="12">
        <v>3</v>
      </c>
      <c r="G12" s="10">
        <v>7.9999999999999996E-6</v>
      </c>
      <c r="L12" s="10">
        <v>1.8E-5</v>
      </c>
      <c r="S12" s="10">
        <v>3.9999999999999998E-6</v>
      </c>
    </row>
    <row r="13" spans="1:39">
      <c r="A13" s="12">
        <v>3.1</v>
      </c>
    </row>
    <row r="14" spans="1:39">
      <c r="A14" s="12">
        <v>3.2</v>
      </c>
      <c r="L14" s="10">
        <v>2.529E-3</v>
      </c>
      <c r="AB14" s="10">
        <v>8.5000000000000006E-2</v>
      </c>
    </row>
    <row r="15" spans="1:39">
      <c r="A15" s="12">
        <v>3.3</v>
      </c>
    </row>
    <row r="16" spans="1:39">
      <c r="A16" s="12">
        <v>4</v>
      </c>
      <c r="F16" s="9">
        <v>3.9999999999999998E-6</v>
      </c>
      <c r="G16" s="10">
        <v>3.1000000000000001E-5</v>
      </c>
      <c r="I16" s="9">
        <v>6.9999999999999999E-6</v>
      </c>
      <c r="M16" s="9">
        <v>5.8E-5</v>
      </c>
      <c r="R16" s="9">
        <v>3.9999999999999998E-6</v>
      </c>
      <c r="S16" s="10">
        <v>6.9999999999999999E-6</v>
      </c>
      <c r="AB16" s="10">
        <v>4.1000000000000002E-2</v>
      </c>
    </row>
    <row r="17" spans="1:28" s="10" customFormat="1" ht="14.25">
      <c r="A17" s="12">
        <v>4.0999999999999996</v>
      </c>
      <c r="E17" s="9"/>
      <c r="F17" s="9"/>
      <c r="H17" s="9"/>
      <c r="I17" s="9"/>
      <c r="K17" s="9"/>
      <c r="M17" s="9"/>
      <c r="N17" s="9"/>
      <c r="O17" s="9"/>
      <c r="R17" s="9"/>
      <c r="V17" s="9"/>
    </row>
    <row r="18" spans="1:28" s="10" customFormat="1" ht="14.25">
      <c r="A18" s="12">
        <v>4.2</v>
      </c>
      <c r="E18" s="9"/>
      <c r="F18" s="9"/>
      <c r="H18" s="9"/>
      <c r="I18" s="9"/>
      <c r="K18" s="9"/>
      <c r="M18" s="9"/>
      <c r="N18" s="9"/>
      <c r="O18" s="9"/>
      <c r="R18" s="9"/>
      <c r="V18" s="9"/>
    </row>
    <row r="19" spans="1:28" s="10" customFormat="1" ht="14.25">
      <c r="A19" s="12">
        <v>4.3</v>
      </c>
      <c r="E19" s="9"/>
      <c r="F19" s="9"/>
      <c r="H19" s="9"/>
      <c r="I19" s="9"/>
      <c r="K19" s="9"/>
      <c r="M19" s="9"/>
      <c r="N19" s="9"/>
      <c r="O19" s="9"/>
      <c r="R19" s="9"/>
      <c r="V19" s="9"/>
    </row>
    <row r="20" spans="1:28" s="10" customFormat="1" ht="14.25">
      <c r="A20" s="12">
        <v>5</v>
      </c>
      <c r="E20" s="9"/>
      <c r="F20" s="9">
        <v>1.1E-5</v>
      </c>
      <c r="G20" s="10">
        <v>6.0622000000000002E-2</v>
      </c>
      <c r="H20" s="9">
        <v>5.1099999999999995E-4</v>
      </c>
      <c r="I20" s="9">
        <v>6.9999999999999999E-6</v>
      </c>
      <c r="K20" s="9">
        <v>2.1999999999999999E-5</v>
      </c>
      <c r="L20" s="10">
        <v>1.2716E-2</v>
      </c>
      <c r="M20" s="9">
        <v>1.562E-3</v>
      </c>
      <c r="N20" s="9"/>
      <c r="O20" s="9"/>
      <c r="P20" s="10">
        <v>2.5999999999999998E-5</v>
      </c>
      <c r="Q20" s="10">
        <v>3.9999999999999998E-6</v>
      </c>
      <c r="R20" s="9">
        <v>5.5199999999999997E-4</v>
      </c>
      <c r="S20" s="10">
        <v>1.1E-5</v>
      </c>
      <c r="V20" s="9"/>
      <c r="AB20" s="10">
        <v>0.20799999999999999</v>
      </c>
    </row>
    <row r="21" spans="1:28" s="10" customFormat="1" ht="14.25">
      <c r="A21" s="12">
        <v>5.0999999999999996</v>
      </c>
      <c r="E21" s="9"/>
      <c r="F21" s="9"/>
      <c r="H21" s="9"/>
      <c r="I21" s="9"/>
      <c r="K21" s="9"/>
      <c r="M21" s="9"/>
      <c r="N21" s="9"/>
      <c r="O21" s="9"/>
      <c r="R21" s="9"/>
      <c r="V21" s="9"/>
    </row>
    <row r="22" spans="1:28" s="10" customFormat="1" ht="14.25">
      <c r="A22" s="12">
        <v>5.2</v>
      </c>
      <c r="E22" s="9"/>
      <c r="F22" s="9"/>
      <c r="H22" s="9"/>
      <c r="I22" s="9"/>
      <c r="K22" s="9"/>
      <c r="L22" s="10">
        <v>5.0000000000000004E-6</v>
      </c>
      <c r="M22" s="9"/>
      <c r="N22" s="9"/>
      <c r="O22" s="9"/>
      <c r="R22" s="9"/>
      <c r="V22" s="9"/>
    </row>
    <row r="23" spans="1:28" s="10" customFormat="1" ht="14.25">
      <c r="A23" s="12">
        <v>5.3</v>
      </c>
      <c r="E23" s="9"/>
      <c r="F23" s="9"/>
      <c r="H23" s="9"/>
      <c r="I23" s="9"/>
      <c r="K23" s="9"/>
      <c r="M23" s="9"/>
      <c r="N23" s="9"/>
      <c r="O23" s="9"/>
      <c r="R23" s="9"/>
      <c r="V23" s="9"/>
    </row>
    <row r="24" spans="1:28" s="10" customFormat="1" ht="14.25">
      <c r="A24" s="12">
        <v>6</v>
      </c>
      <c r="B24" s="10">
        <v>1.9000000000000001E-5</v>
      </c>
      <c r="E24" s="9"/>
      <c r="F24" s="9">
        <v>5.8E-5</v>
      </c>
      <c r="G24" s="10">
        <v>7.6689999999999996E-3</v>
      </c>
      <c r="H24" s="9">
        <v>2.9599999999999998E-4</v>
      </c>
      <c r="I24" s="9">
        <v>1.1E-5</v>
      </c>
      <c r="K24" s="9">
        <v>8.1899999999999996E-4</v>
      </c>
      <c r="L24" s="10">
        <v>1.1559999999999999E-3</v>
      </c>
      <c r="M24" s="9">
        <v>0.21123800000000001</v>
      </c>
      <c r="N24" s="9"/>
      <c r="O24" s="9"/>
      <c r="P24" s="10">
        <v>2.7E-4</v>
      </c>
      <c r="Q24" s="10">
        <v>5.5000000000000002E-5</v>
      </c>
      <c r="R24" s="9">
        <v>1.7713E-2</v>
      </c>
      <c r="S24" s="10">
        <v>1.15E-4</v>
      </c>
      <c r="V24" s="9"/>
      <c r="Z24" s="10">
        <v>0.1</v>
      </c>
      <c r="AB24" s="10">
        <v>0.28699999999999998</v>
      </c>
    </row>
    <row r="25" spans="1:28" s="10" customFormat="1" ht="14.25">
      <c r="A25" s="12">
        <v>6.1</v>
      </c>
      <c r="E25" s="9"/>
      <c r="F25" s="9"/>
      <c r="H25" s="9"/>
      <c r="I25" s="9"/>
      <c r="K25" s="9"/>
      <c r="M25" s="9"/>
      <c r="N25" s="9"/>
      <c r="O25" s="9"/>
      <c r="R25" s="9"/>
      <c r="V25" s="9"/>
    </row>
    <row r="26" spans="1:28" s="10" customFormat="1" ht="14.25">
      <c r="A26" s="12">
        <v>6.2</v>
      </c>
      <c r="E26" s="9"/>
      <c r="F26" s="9"/>
      <c r="H26" s="9"/>
      <c r="I26" s="9"/>
      <c r="K26" s="9"/>
      <c r="M26" s="9"/>
      <c r="N26" s="9"/>
      <c r="O26" s="9"/>
      <c r="P26" s="10">
        <v>3.9999999999999998E-6</v>
      </c>
      <c r="R26" s="9"/>
      <c r="V26" s="9"/>
    </row>
    <row r="27" spans="1:28" s="10" customFormat="1" ht="14.25">
      <c r="A27" s="12">
        <v>6.3</v>
      </c>
      <c r="E27" s="9"/>
      <c r="F27" s="9"/>
      <c r="H27" s="9"/>
      <c r="I27" s="9"/>
      <c r="K27" s="9"/>
      <c r="M27" s="9"/>
      <c r="N27" s="9"/>
      <c r="O27" s="9"/>
      <c r="R27" s="9"/>
      <c r="V27" s="9"/>
    </row>
    <row r="28" spans="1:28" s="10" customFormat="1" ht="14.25">
      <c r="A28" s="12">
        <v>7</v>
      </c>
      <c r="B28" s="10">
        <v>3.3000000000000003E-5</v>
      </c>
      <c r="E28" s="9"/>
      <c r="F28" s="9">
        <v>1.0859999999999999E-3</v>
      </c>
      <c r="G28" s="10">
        <v>0.10938299999999999</v>
      </c>
      <c r="H28" s="9">
        <v>3.8000000000000002E-4</v>
      </c>
      <c r="I28" s="9">
        <v>1.5E-5</v>
      </c>
      <c r="K28" s="9">
        <v>1.3376000000000001E-2</v>
      </c>
      <c r="L28" s="10">
        <v>1.3686E-2</v>
      </c>
      <c r="M28" s="9">
        <v>0.24045900000000001</v>
      </c>
      <c r="N28" s="9"/>
      <c r="O28" s="9"/>
      <c r="P28" s="10">
        <v>1.5032999999999999E-2</v>
      </c>
      <c r="Q28" s="10">
        <v>1.7458000000000001E-2</v>
      </c>
      <c r="R28" s="9">
        <v>8.404E-3</v>
      </c>
      <c r="S28" s="10">
        <v>3.4600000000000001E-4</v>
      </c>
      <c r="V28" s="9">
        <v>3.9999999999999998E-6</v>
      </c>
      <c r="Y28" s="10">
        <v>0</v>
      </c>
      <c r="Z28" s="10">
        <v>0.02</v>
      </c>
      <c r="AA28" s="10">
        <v>0</v>
      </c>
      <c r="AB28" s="10">
        <v>0.32900000000000001</v>
      </c>
    </row>
    <row r="29" spans="1:28" s="10" customFormat="1" ht="14.25">
      <c r="A29" s="12">
        <v>7.1</v>
      </c>
      <c r="E29" s="9"/>
      <c r="F29" s="9"/>
      <c r="H29" s="9"/>
      <c r="I29" s="9"/>
      <c r="K29" s="9"/>
      <c r="M29" s="9"/>
      <c r="N29" s="9"/>
      <c r="O29" s="9"/>
      <c r="R29" s="9"/>
      <c r="V29" s="9"/>
    </row>
    <row r="30" spans="1:28" s="10" customFormat="1" ht="14.25">
      <c r="A30" s="12">
        <v>7.2</v>
      </c>
      <c r="E30" s="9"/>
      <c r="F30" s="9"/>
      <c r="H30" s="9"/>
      <c r="I30" s="9"/>
      <c r="K30" s="9"/>
      <c r="M30" s="9"/>
      <c r="N30" s="9"/>
      <c r="O30" s="9"/>
      <c r="R30" s="9"/>
      <c r="V30" s="9"/>
    </row>
    <row r="31" spans="1:28" s="10" customFormat="1" ht="14.25">
      <c r="A31" s="12">
        <v>7.3</v>
      </c>
      <c r="E31" s="9"/>
      <c r="F31" s="9"/>
      <c r="H31" s="9"/>
      <c r="I31" s="9"/>
      <c r="K31" s="9"/>
      <c r="M31" s="9"/>
      <c r="N31" s="9"/>
      <c r="O31" s="9"/>
      <c r="R31" s="9"/>
      <c r="V31" s="9"/>
    </row>
    <row r="32" spans="1:28" s="10" customFormat="1" ht="14.25">
      <c r="A32" s="12">
        <v>8</v>
      </c>
      <c r="B32" s="10">
        <v>2.1999999999999999E-5</v>
      </c>
      <c r="E32" s="9"/>
      <c r="F32" s="9">
        <v>9.9838999999999997E-2</v>
      </c>
      <c r="G32" s="10">
        <v>5.7986999999999997E-2</v>
      </c>
      <c r="H32" s="9">
        <v>2.4126999999999999E-2</v>
      </c>
      <c r="I32" s="9">
        <v>9.1000000000000003E-5</v>
      </c>
      <c r="K32" s="9">
        <v>2.0035000000000001E-2</v>
      </c>
      <c r="L32" s="10">
        <v>5.0805000000000003E-2</v>
      </c>
      <c r="M32" s="9">
        <v>0.14935399999999999</v>
      </c>
      <c r="N32" s="9">
        <v>7.9999999999999996E-6</v>
      </c>
      <c r="O32" s="9"/>
      <c r="P32" s="10">
        <v>0.157085</v>
      </c>
      <c r="Q32" s="10">
        <v>1.7610000000000001E-2</v>
      </c>
      <c r="R32" s="9">
        <v>0.45586199999999999</v>
      </c>
      <c r="S32" s="10">
        <v>8.2439999999999996E-3</v>
      </c>
      <c r="V32" s="9">
        <v>6.9999999999999999E-6</v>
      </c>
      <c r="Y32" s="10">
        <v>2E-3</v>
      </c>
      <c r="Z32" s="10">
        <v>0.25900000000000001</v>
      </c>
      <c r="AA32" s="10">
        <v>1.4E-2</v>
      </c>
      <c r="AB32" s="10">
        <v>1.7000000000000001E-2</v>
      </c>
    </row>
    <row r="33" spans="1:28">
      <c r="A33" s="12">
        <v>8.1</v>
      </c>
    </row>
    <row r="34" spans="1:28">
      <c r="A34" s="12">
        <v>8.1999999999999993</v>
      </c>
      <c r="M34" s="9">
        <v>9.0000000000000002E-6</v>
      </c>
    </row>
    <row r="35" spans="1:28">
      <c r="A35" s="12">
        <v>8.3000000000000007</v>
      </c>
    </row>
    <row r="36" spans="1:28">
      <c r="A36" s="12">
        <v>9</v>
      </c>
      <c r="B36" s="10">
        <v>1E-4</v>
      </c>
      <c r="C36" s="10">
        <v>5.9999999999999995E-4</v>
      </c>
      <c r="D36" s="10">
        <v>1.1999999999999999E-3</v>
      </c>
      <c r="F36" s="9">
        <v>8.1736000000000003E-2</v>
      </c>
      <c r="G36" s="10">
        <v>2.3213000000000001E-2</v>
      </c>
      <c r="H36" s="9">
        <v>0.160298</v>
      </c>
      <c r="I36" s="9">
        <v>1.199E-3</v>
      </c>
      <c r="K36" s="9">
        <v>3.286E-2</v>
      </c>
      <c r="L36" s="10">
        <v>0.18413299999999999</v>
      </c>
      <c r="M36" s="9">
        <v>0.16256300000000001</v>
      </c>
      <c r="P36" s="10">
        <v>0.12053</v>
      </c>
      <c r="Q36" s="10">
        <v>3.8122999999999997E-2</v>
      </c>
      <c r="R36" s="9">
        <v>0.12411700000000001</v>
      </c>
      <c r="S36" s="10">
        <v>9.4289999999999999E-3</v>
      </c>
      <c r="U36" s="10">
        <v>8.0000000000000004E-4</v>
      </c>
      <c r="V36" s="9">
        <v>1.8E-5</v>
      </c>
      <c r="Y36" s="10">
        <v>4.7E-2</v>
      </c>
      <c r="Z36" s="10">
        <v>0.215</v>
      </c>
      <c r="AA36" s="10">
        <v>7.0000000000000001E-3</v>
      </c>
      <c r="AB36" s="10">
        <v>0</v>
      </c>
    </row>
    <row r="37" spans="1:28">
      <c r="A37" s="12">
        <v>9.1</v>
      </c>
    </row>
    <row r="38" spans="1:28">
      <c r="A38" s="12">
        <v>9.1999999999999993</v>
      </c>
      <c r="H38" s="9">
        <v>6.9999999999999999E-6</v>
      </c>
      <c r="L38" s="10">
        <v>2.5799999999999998E-4</v>
      </c>
      <c r="M38" s="9">
        <v>3.9999999999999998E-6</v>
      </c>
    </row>
    <row r="39" spans="1:28">
      <c r="A39" s="12">
        <v>9.3000000000000007</v>
      </c>
      <c r="G39" s="10">
        <v>7.9999999999999996E-6</v>
      </c>
      <c r="L39" s="10">
        <v>1.8E-5</v>
      </c>
      <c r="M39" s="9">
        <v>0.226159</v>
      </c>
      <c r="P39" s="10">
        <v>1.1E-5</v>
      </c>
    </row>
    <row r="40" spans="1:28">
      <c r="A40" s="12">
        <v>10</v>
      </c>
      <c r="B40" s="10">
        <v>1.0399999999999999E-4</v>
      </c>
      <c r="C40" s="10">
        <v>4.7999999999999996E-3</v>
      </c>
      <c r="D40" s="10">
        <v>0.2611</v>
      </c>
      <c r="E40" s="9">
        <v>1.8E-3</v>
      </c>
      <c r="F40" s="9">
        <v>5.2623999999999997E-2</v>
      </c>
      <c r="G40" s="10">
        <v>7.2113999999999998E-2</v>
      </c>
      <c r="H40" s="9">
        <v>8.8405999999999998E-2</v>
      </c>
      <c r="I40" s="9">
        <v>9.8840000000000004E-3</v>
      </c>
      <c r="K40" s="9">
        <v>0.262376</v>
      </c>
      <c r="L40" s="10">
        <v>0.14096400000000001</v>
      </c>
      <c r="M40" s="9">
        <v>8.0389999999999993E-3</v>
      </c>
      <c r="N40" s="9">
        <v>4.3000000000000002E-5</v>
      </c>
      <c r="P40" s="10">
        <v>0.275034</v>
      </c>
      <c r="Q40" s="10">
        <v>6.1853999999999999E-2</v>
      </c>
      <c r="R40" s="9">
        <v>6.7302000000000001E-2</v>
      </c>
      <c r="S40" s="10">
        <v>6.8212999999999996E-2</v>
      </c>
      <c r="U40" s="10">
        <v>1.6000000000000001E-3</v>
      </c>
      <c r="V40" s="9">
        <v>1.8E-5</v>
      </c>
      <c r="W40" s="10">
        <v>1.7399999999999999E-2</v>
      </c>
      <c r="Y40" s="10">
        <v>0.41199999999999998</v>
      </c>
      <c r="Z40" s="10">
        <v>0.40200000000000002</v>
      </c>
      <c r="AA40" s="10">
        <v>0.28399999999999997</v>
      </c>
      <c r="AB40" s="10">
        <v>0</v>
      </c>
    </row>
    <row r="41" spans="1:28">
      <c r="A41" s="12">
        <v>10.1</v>
      </c>
    </row>
    <row r="42" spans="1:28">
      <c r="A42" s="12">
        <v>10.199999999999999</v>
      </c>
      <c r="H42" s="9">
        <v>3.9999999999999998E-6</v>
      </c>
      <c r="I42" s="9">
        <v>5.5900000000000004E-4</v>
      </c>
      <c r="L42" s="10">
        <v>9.0000000000000002E-6</v>
      </c>
      <c r="P42" s="10">
        <v>3.9999999999999998E-6</v>
      </c>
      <c r="U42" s="10">
        <v>0</v>
      </c>
    </row>
    <row r="43" spans="1:28">
      <c r="A43" s="12">
        <v>10.3</v>
      </c>
    </row>
    <row r="44" spans="1:28">
      <c r="A44" s="12">
        <v>11</v>
      </c>
      <c r="B44" s="10">
        <v>6.0700000000000001E-4</v>
      </c>
      <c r="C44" s="10">
        <v>4.2099999999999999E-2</v>
      </c>
      <c r="D44" s="10">
        <v>0.28860000000000002</v>
      </c>
      <c r="E44" s="9">
        <v>8.9999999999999993E-3</v>
      </c>
      <c r="F44" s="9">
        <v>2.95179E-2</v>
      </c>
      <c r="G44" s="10">
        <v>1.10308E-2</v>
      </c>
      <c r="H44" s="9">
        <v>0.28868100000000002</v>
      </c>
      <c r="I44" s="9">
        <v>1.0769000000000001E-2</v>
      </c>
      <c r="K44" s="9">
        <v>0.29358499999999998</v>
      </c>
      <c r="L44" s="10">
        <v>0.15679799999999999</v>
      </c>
      <c r="M44" s="9">
        <v>4.84E-4</v>
      </c>
      <c r="N44" s="9">
        <v>3.8059999999999999E-3</v>
      </c>
      <c r="P44" s="10">
        <v>0.23635999999999999</v>
      </c>
      <c r="Q44" s="10">
        <v>0.32906299999999999</v>
      </c>
      <c r="R44" s="9">
        <v>0.275532</v>
      </c>
      <c r="S44" s="10">
        <v>7.7105999999999994E-2</v>
      </c>
      <c r="U44" s="10">
        <v>1.7500000000000002E-2</v>
      </c>
      <c r="V44" s="9">
        <v>1.5E-5</v>
      </c>
      <c r="W44" s="10">
        <v>0.1012</v>
      </c>
      <c r="X44" s="10">
        <v>1E-3</v>
      </c>
      <c r="Y44" s="10">
        <v>0.28699999999999998</v>
      </c>
      <c r="Z44" s="10">
        <v>2E-3</v>
      </c>
      <c r="AA44" s="10">
        <v>0.439</v>
      </c>
      <c r="AB44" s="10">
        <v>0</v>
      </c>
    </row>
    <row r="45" spans="1:28">
      <c r="A45" s="12">
        <v>11.1</v>
      </c>
    </row>
    <row r="46" spans="1:28">
      <c r="A46" s="12">
        <v>11.2</v>
      </c>
      <c r="L46" s="10">
        <v>9.0000000000000002E-6</v>
      </c>
      <c r="U46" s="10">
        <v>8.0000000000000004E-4</v>
      </c>
    </row>
    <row r="47" spans="1:28">
      <c r="A47" s="12">
        <v>11.3</v>
      </c>
      <c r="D47" s="10">
        <v>4.5499999999999999E-2</v>
      </c>
    </row>
    <row r="48" spans="1:28">
      <c r="A48" s="12">
        <v>12</v>
      </c>
      <c r="B48" s="10">
        <v>2.4420000000000002E-3</v>
      </c>
      <c r="C48" s="10">
        <v>9.98E-2</v>
      </c>
      <c r="D48" s="10">
        <v>7.3099999999999998E-2</v>
      </c>
      <c r="E48" s="9">
        <v>6.0499999999999998E-2</v>
      </c>
      <c r="F48" s="9">
        <v>0.29337999999999997</v>
      </c>
      <c r="G48" s="10">
        <v>1.6804900000000001E-2</v>
      </c>
      <c r="H48" s="9">
        <v>0.25604300000000002</v>
      </c>
      <c r="I48" s="9">
        <v>0.121118</v>
      </c>
      <c r="K48" s="9">
        <v>0.30245100000000003</v>
      </c>
      <c r="L48" s="10">
        <v>0.16545399999999999</v>
      </c>
      <c r="M48" s="9">
        <v>9.0000000000000002E-6</v>
      </c>
      <c r="N48" s="9">
        <v>6.5499999999999998E-4</v>
      </c>
      <c r="O48" s="9">
        <v>3.9999999999999998E-6</v>
      </c>
      <c r="P48" s="10">
        <v>0.161387</v>
      </c>
      <c r="Q48" s="10">
        <v>0.34637600000000002</v>
      </c>
      <c r="R48" s="9">
        <v>4.8122999999999999E-2</v>
      </c>
      <c r="S48" s="10">
        <v>0.12992999999999999</v>
      </c>
      <c r="U48" s="10">
        <v>0.10100000000000001</v>
      </c>
      <c r="V48" s="9">
        <v>1.5E-5</v>
      </c>
      <c r="W48" s="10">
        <v>1.38E-2</v>
      </c>
      <c r="X48" s="10">
        <v>5.0000000000000001E-3</v>
      </c>
      <c r="Y48" s="10">
        <v>0.20300000000000001</v>
      </c>
      <c r="Z48" s="10">
        <v>2E-3</v>
      </c>
      <c r="AA48" s="10">
        <v>0.22500000000000001</v>
      </c>
      <c r="AB48" s="10">
        <v>2E-3</v>
      </c>
    </row>
    <row r="49" spans="1:28">
      <c r="A49" s="12">
        <v>12.1</v>
      </c>
    </row>
    <row r="50" spans="1:28">
      <c r="A50" s="12">
        <v>12.2</v>
      </c>
      <c r="G50" s="10">
        <v>7.9999999999999996E-6</v>
      </c>
      <c r="I50" s="9">
        <v>1.4E-5</v>
      </c>
      <c r="L50" s="10">
        <v>5.3999999999999998E-5</v>
      </c>
      <c r="U50" s="10">
        <v>9.4999999999999998E-3</v>
      </c>
    </row>
    <row r="51" spans="1:28">
      <c r="A51" s="12">
        <v>12.3</v>
      </c>
      <c r="D51" s="10">
        <v>4.7999999999999996E-3</v>
      </c>
      <c r="I51" s="9">
        <v>3.9999999999999998E-6</v>
      </c>
    </row>
    <row r="52" spans="1:28">
      <c r="A52" s="12">
        <v>13</v>
      </c>
      <c r="B52" s="10">
        <v>4.2180000000000004E-3</v>
      </c>
      <c r="C52" s="10">
        <v>8.5300000000000001E-2</v>
      </c>
      <c r="D52" s="10">
        <v>3.4099999999999998E-2</v>
      </c>
      <c r="E52" s="9">
        <v>0.27010000000000001</v>
      </c>
      <c r="F52" s="9">
        <v>0.12642100000000001</v>
      </c>
      <c r="G52" s="10">
        <v>0.112971</v>
      </c>
      <c r="H52" s="9">
        <v>0.15450700000000001</v>
      </c>
      <c r="I52" s="9">
        <v>0.108532</v>
      </c>
      <c r="J52" s="10">
        <v>2.3999999999999998E-3</v>
      </c>
      <c r="K52" s="9">
        <v>6.3686000000000006E-2</v>
      </c>
      <c r="L52" s="10">
        <v>0.15434600000000001</v>
      </c>
      <c r="M52" s="9">
        <v>1.8E-5</v>
      </c>
      <c r="N52" s="9">
        <v>5.7840000000000001E-3</v>
      </c>
      <c r="P52" s="10">
        <v>3.0415000000000001E-2</v>
      </c>
      <c r="Q52" s="10">
        <v>0.17447299999999999</v>
      </c>
      <c r="R52" s="9">
        <v>2.173E-3</v>
      </c>
      <c r="S52" s="10">
        <v>0.27866200000000002</v>
      </c>
      <c r="U52" s="10">
        <v>0.2369</v>
      </c>
      <c r="V52" s="9">
        <v>1.5E-5</v>
      </c>
      <c r="W52" s="10">
        <v>1.1999999999999999E-3</v>
      </c>
      <c r="X52" s="10">
        <v>1.6E-2</v>
      </c>
      <c r="Y52" s="10">
        <v>4.9000000000000002E-2</v>
      </c>
      <c r="AA52" s="10">
        <v>2.8000000000000001E-2</v>
      </c>
      <c r="AB52" s="10">
        <v>5.0000000000000001E-3</v>
      </c>
    </row>
    <row r="53" spans="1:28">
      <c r="A53" s="12">
        <v>13.1</v>
      </c>
    </row>
    <row r="54" spans="1:28">
      <c r="A54" s="12">
        <v>13.2</v>
      </c>
      <c r="I54" s="9">
        <v>4.7609999999999996E-3</v>
      </c>
      <c r="U54" s="10">
        <v>3.2599999999999997E-2</v>
      </c>
    </row>
    <row r="55" spans="1:28">
      <c r="A55" s="12">
        <v>13.3</v>
      </c>
      <c r="D55" s="10">
        <v>1.1999999999999999E-3</v>
      </c>
      <c r="I55" s="9">
        <v>3.9999999999999998E-6</v>
      </c>
      <c r="M55" s="9">
        <v>3.9999999999999998E-6</v>
      </c>
    </row>
    <row r="56" spans="1:28">
      <c r="A56" s="12">
        <v>14</v>
      </c>
      <c r="B56" s="10">
        <v>9.3156000000000003E-2</v>
      </c>
      <c r="C56" s="10">
        <v>0.1358</v>
      </c>
      <c r="D56" s="10">
        <v>0.26050000000000001</v>
      </c>
      <c r="E56" s="9">
        <v>0.30480000000000002</v>
      </c>
      <c r="F56" s="9">
        <v>4.8228E-2</v>
      </c>
      <c r="G56" s="10">
        <v>6.9455000000000003E-2</v>
      </c>
      <c r="H56" s="9">
        <v>2.4974E-2</v>
      </c>
      <c r="I56" s="9">
        <v>0.14722199999999999</v>
      </c>
      <c r="J56" s="10">
        <v>1.6000000000000001E-3</v>
      </c>
      <c r="K56" s="9">
        <v>9.5090000000000001E-3</v>
      </c>
      <c r="L56" s="10">
        <v>5.9928000000000002E-2</v>
      </c>
      <c r="M56" s="9">
        <v>1.2999999999999999E-5</v>
      </c>
      <c r="N56" s="9">
        <v>8.4447999999999995E-2</v>
      </c>
      <c r="P56" s="10">
        <v>3.7850000000000002E-3</v>
      </c>
      <c r="Q56" s="10">
        <v>1.3070999999999999E-2</v>
      </c>
      <c r="R56" s="9">
        <v>1.22E-4</v>
      </c>
      <c r="S56" s="10">
        <v>0.25086999999999998</v>
      </c>
      <c r="U56" s="10">
        <v>0.29409999999999997</v>
      </c>
      <c r="V56" s="9">
        <v>2.1999999999999999E-5</v>
      </c>
      <c r="W56" s="10">
        <v>4.8500000000000001E-2</v>
      </c>
      <c r="X56" s="10">
        <v>2.5000000000000001E-2</v>
      </c>
      <c r="Y56" s="10">
        <v>0</v>
      </c>
      <c r="AA56" s="10">
        <v>2E-3</v>
      </c>
      <c r="AB56" s="10">
        <v>1.7000000000000001E-2</v>
      </c>
    </row>
    <row r="57" spans="1:28">
      <c r="A57" s="12">
        <v>14.1</v>
      </c>
      <c r="E57" s="9">
        <v>0</v>
      </c>
    </row>
    <row r="58" spans="1:28">
      <c r="A58" s="12">
        <v>14.2</v>
      </c>
      <c r="I58" s="9">
        <v>1.06E-4</v>
      </c>
      <c r="U58" s="10">
        <v>3.1800000000000002E-2</v>
      </c>
      <c r="X58" s="10">
        <v>4.0000000000000001E-3</v>
      </c>
    </row>
    <row r="59" spans="1:28">
      <c r="A59" s="12">
        <v>14.3</v>
      </c>
      <c r="C59" s="10">
        <v>8.9999999999999993E-3</v>
      </c>
      <c r="I59" s="9">
        <v>6.9999999999999999E-6</v>
      </c>
    </row>
    <row r="60" spans="1:28">
      <c r="A60" s="12">
        <v>15</v>
      </c>
      <c r="B60" s="10">
        <v>0.290991</v>
      </c>
      <c r="C60" s="10">
        <v>0.15870000000000001</v>
      </c>
      <c r="D60" s="10">
        <v>2.69E-2</v>
      </c>
      <c r="E60" s="9">
        <v>0.2102</v>
      </c>
      <c r="F60" s="9">
        <v>1.6900000000000001E-3</v>
      </c>
      <c r="G60" s="10">
        <v>6.1957999999999999E-2</v>
      </c>
      <c r="H60" s="9">
        <v>1.6900000000000001E-3</v>
      </c>
      <c r="I60" s="9">
        <v>0.15221299999999999</v>
      </c>
      <c r="J60" s="10">
        <v>1.6000000000000001E-3</v>
      </c>
      <c r="K60" s="9">
        <v>1.2329999999999999E-3</v>
      </c>
      <c r="L60" s="10">
        <v>1.9278E-2</v>
      </c>
      <c r="M60" s="9">
        <v>3.9999999999999998E-6</v>
      </c>
      <c r="N60" s="9">
        <v>0.13799400000000001</v>
      </c>
      <c r="P60" s="10">
        <v>5.5000000000000002E-5</v>
      </c>
      <c r="Q60" s="10">
        <v>1.6459999999999999E-3</v>
      </c>
      <c r="R60" s="9">
        <v>5.3000000000000001E-5</v>
      </c>
      <c r="S60" s="10">
        <v>0.13833100000000001</v>
      </c>
      <c r="T60" s="10">
        <v>4.5600000000000002E-2</v>
      </c>
      <c r="U60" s="10">
        <v>0.15179999999999999</v>
      </c>
      <c r="V60" s="9">
        <v>2.5999999999999998E-5</v>
      </c>
      <c r="W60" s="10">
        <v>0.36049999999999999</v>
      </c>
      <c r="X60" s="10">
        <v>3.9E-2</v>
      </c>
      <c r="AB60" s="10">
        <v>0.01</v>
      </c>
    </row>
    <row r="61" spans="1:28">
      <c r="A61" s="12">
        <v>15.1</v>
      </c>
      <c r="G61" s="10">
        <v>3.9999999999999998E-6</v>
      </c>
    </row>
    <row r="62" spans="1:28">
      <c r="A62" s="12">
        <v>15.2</v>
      </c>
      <c r="B62" s="10">
        <v>6.9999999999999994E-5</v>
      </c>
      <c r="I62" s="9">
        <v>1.17E-4</v>
      </c>
      <c r="N62" s="9">
        <v>3.9999999999999998E-6</v>
      </c>
      <c r="U62" s="10">
        <v>5.8799999999999998E-2</v>
      </c>
    </row>
    <row r="63" spans="1:28">
      <c r="A63" s="12">
        <v>15.3</v>
      </c>
      <c r="C63" s="10">
        <v>4.3900000000000002E-2</v>
      </c>
    </row>
    <row r="64" spans="1:28">
      <c r="A64" s="12">
        <v>16</v>
      </c>
      <c r="B64" s="10">
        <v>0.27030799999999999</v>
      </c>
      <c r="C64" s="10">
        <v>0.1328</v>
      </c>
      <c r="D64" s="10">
        <v>3.0000000000000001E-3</v>
      </c>
      <c r="E64" s="9">
        <v>0.11559999999999999</v>
      </c>
      <c r="F64" s="9">
        <v>5.5000000000000002E-5</v>
      </c>
      <c r="G64" s="10">
        <v>4.7588999999999999E-2</v>
      </c>
      <c r="H64" s="9">
        <v>5.5000000000000002E-5</v>
      </c>
      <c r="I64" s="9">
        <v>0.144487</v>
      </c>
      <c r="J64" s="10">
        <v>4.4999999999999998E-2</v>
      </c>
      <c r="K64" s="9">
        <v>4.0000000000000003E-5</v>
      </c>
      <c r="L64" s="10">
        <v>2.9589999999999998E-3</v>
      </c>
      <c r="M64" s="9">
        <v>3.9999999999999998E-6</v>
      </c>
      <c r="N64" s="9">
        <v>0.26001999999999997</v>
      </c>
      <c r="Q64" s="10">
        <v>1.8900000000000001E-4</v>
      </c>
      <c r="R64" s="9">
        <v>2.8E-5</v>
      </c>
      <c r="S64" s="10">
        <v>3.363E-2</v>
      </c>
      <c r="T64" s="10">
        <v>3.5400000000000001E-2</v>
      </c>
      <c r="U64" s="10">
        <v>3.5000000000000003E-2</v>
      </c>
      <c r="V64" s="9">
        <v>5.4799999999999998E-4</v>
      </c>
      <c r="W64" s="10">
        <v>0.32869999999999999</v>
      </c>
      <c r="X64" s="10">
        <v>0.04</v>
      </c>
      <c r="AB64" s="10">
        <v>0</v>
      </c>
    </row>
    <row r="65" spans="1:24">
      <c r="A65" s="12">
        <v>16.100000000000001</v>
      </c>
    </row>
    <row r="66" spans="1:24">
      <c r="A66" s="14">
        <v>16.2</v>
      </c>
      <c r="B66" s="10">
        <v>6.9999999999999999E-6</v>
      </c>
      <c r="E66" s="15"/>
      <c r="G66" s="10">
        <v>3.9999999999999998E-6</v>
      </c>
      <c r="I66" s="9">
        <v>1.8E-5</v>
      </c>
      <c r="N66" s="9">
        <v>3.9999999999999998E-6</v>
      </c>
      <c r="U66" s="10">
        <v>2.1499999999999998E-2</v>
      </c>
      <c r="X66" s="10">
        <v>1E-3</v>
      </c>
    </row>
    <row r="67" spans="1:24">
      <c r="A67" s="12">
        <v>16.3</v>
      </c>
      <c r="B67" s="10">
        <v>3.9999999999999998E-6</v>
      </c>
      <c r="C67" s="10">
        <v>5.0500000000000003E-2</v>
      </c>
    </row>
    <row r="68" spans="1:24">
      <c r="A68" s="12">
        <v>17</v>
      </c>
      <c r="B68" s="10">
        <v>0.20327799999999999</v>
      </c>
      <c r="C68" s="10">
        <v>4.1500000000000002E-2</v>
      </c>
      <c r="E68" s="9">
        <v>2.46E-2</v>
      </c>
      <c r="F68" s="9">
        <v>1.8E-5</v>
      </c>
      <c r="G68" s="10">
        <v>3.9604E-2</v>
      </c>
      <c r="H68" s="9">
        <v>1.8E-5</v>
      </c>
      <c r="I68" s="9">
        <v>0.121915</v>
      </c>
      <c r="J68" s="10">
        <v>0.2077</v>
      </c>
      <c r="L68" s="10">
        <v>1.323E-3</v>
      </c>
      <c r="N68" s="9">
        <v>0.25484400000000001</v>
      </c>
      <c r="P68" s="10">
        <v>3.9999999999999998E-6</v>
      </c>
      <c r="Q68" s="10">
        <v>5.8999999999999998E-5</v>
      </c>
      <c r="R68" s="9">
        <v>7.9999999999999996E-6</v>
      </c>
      <c r="S68" s="10">
        <v>4.4260000000000002E-3</v>
      </c>
      <c r="T68" s="10">
        <v>9.6000000000000002E-2</v>
      </c>
      <c r="U68" s="10">
        <v>4.0000000000000001E-3</v>
      </c>
      <c r="V68" s="9">
        <v>1.5020000000000001E-3</v>
      </c>
      <c r="W68" s="10">
        <v>0.12039999999999999</v>
      </c>
      <c r="X68" s="10">
        <v>6.2E-2</v>
      </c>
    </row>
    <row r="69" spans="1:24">
      <c r="A69" s="12">
        <v>17.100000000000001</v>
      </c>
      <c r="T69" s="10">
        <v>1.1999999999999999E-3</v>
      </c>
    </row>
    <row r="70" spans="1:24">
      <c r="A70" s="12">
        <v>17.2</v>
      </c>
      <c r="N70" s="9">
        <v>3.9999999999999998E-6</v>
      </c>
      <c r="U70" s="10">
        <v>1.6000000000000001E-3</v>
      </c>
      <c r="V70" s="9">
        <v>2.5999999999999998E-5</v>
      </c>
    </row>
    <row r="71" spans="1:24">
      <c r="A71" s="12">
        <v>17.3</v>
      </c>
      <c r="B71" s="10">
        <v>1.5E-5</v>
      </c>
      <c r="C71" s="10">
        <v>0.1376</v>
      </c>
      <c r="N71" s="9">
        <v>1.2E-5</v>
      </c>
      <c r="T71" s="10">
        <v>1.9199999999999998E-2</v>
      </c>
      <c r="X71" s="10">
        <v>2E-3</v>
      </c>
    </row>
    <row r="72" spans="1:24">
      <c r="A72" s="12">
        <v>18</v>
      </c>
      <c r="B72" s="10">
        <v>0.12392599999999999</v>
      </c>
      <c r="C72" s="10">
        <v>6.0000000000000001E-3</v>
      </c>
      <c r="E72" s="9">
        <v>3.0000000000000001E-3</v>
      </c>
      <c r="G72" s="10">
        <v>2.2190000000000001E-2</v>
      </c>
      <c r="I72" s="9">
        <v>7.7560000000000004E-2</v>
      </c>
      <c r="J72" s="10">
        <v>7.4200000000000002E-2</v>
      </c>
      <c r="L72" s="10">
        <v>3.6000000000000001E-5</v>
      </c>
      <c r="M72" s="9">
        <v>1.2999999999999999E-5</v>
      </c>
      <c r="N72" s="9">
        <v>0.170153</v>
      </c>
      <c r="Q72" s="10">
        <v>1.5E-5</v>
      </c>
      <c r="R72" s="9">
        <v>7.9999999999999996E-6</v>
      </c>
      <c r="S72" s="10">
        <v>5.6999999999999998E-4</v>
      </c>
      <c r="T72" s="10">
        <v>0.18790000000000001</v>
      </c>
      <c r="V72" s="9">
        <v>9.3460000000000001E-3</v>
      </c>
      <c r="W72" s="10">
        <v>7.1999999999999998E-3</v>
      </c>
      <c r="X72" s="10">
        <v>7.1999999999999995E-2</v>
      </c>
    </row>
    <row r="73" spans="1:24">
      <c r="A73" s="12">
        <v>18.100000000000001</v>
      </c>
    </row>
    <row r="74" spans="1:24">
      <c r="A74" s="12">
        <v>18.2</v>
      </c>
      <c r="I74" s="9">
        <v>1.8E-5</v>
      </c>
      <c r="U74" s="10">
        <v>8.0000000000000004E-4</v>
      </c>
      <c r="V74" s="9">
        <v>2.359E-3</v>
      </c>
    </row>
    <row r="75" spans="1:24">
      <c r="A75" s="12">
        <v>18.3</v>
      </c>
      <c r="C75" s="10">
        <v>4.5100000000000001E-2</v>
      </c>
      <c r="T75" s="10">
        <v>1.44E-2</v>
      </c>
      <c r="V75" s="9">
        <v>3.9999999999999998E-6</v>
      </c>
      <c r="X75" s="10">
        <v>1E-3</v>
      </c>
    </row>
    <row r="76" spans="1:24">
      <c r="A76" s="12">
        <v>19</v>
      </c>
      <c r="B76" s="10">
        <v>9.8569999999999994E-3</v>
      </c>
      <c r="G76" s="10">
        <v>1.4130999999999999E-2</v>
      </c>
      <c r="I76" s="9">
        <v>4.8621999999999999E-2</v>
      </c>
      <c r="J76" s="10">
        <v>0.12239999999999999</v>
      </c>
      <c r="L76" s="10">
        <v>5.0000000000000004E-6</v>
      </c>
      <c r="N76" s="9">
        <v>6.5726000000000007E-2</v>
      </c>
      <c r="Q76" s="10">
        <v>3.9999999999999998E-6</v>
      </c>
      <c r="S76" s="10">
        <v>7.7999999999999999E-5</v>
      </c>
      <c r="T76" s="10">
        <v>0.1699</v>
      </c>
      <c r="V76" s="9">
        <v>7.5357999999999994E-2</v>
      </c>
      <c r="W76" s="10">
        <v>1.1999999999999999E-3</v>
      </c>
      <c r="X76" s="10">
        <v>6.6000000000000003E-2</v>
      </c>
    </row>
    <row r="77" spans="1:24">
      <c r="A77" s="12">
        <v>19.100000000000001</v>
      </c>
      <c r="T77" s="10">
        <v>4.1999999999999997E-3</v>
      </c>
    </row>
    <row r="78" spans="1:24">
      <c r="A78" s="12">
        <v>19.2</v>
      </c>
      <c r="I78" s="9">
        <v>1.5E-5</v>
      </c>
      <c r="V78" s="9">
        <v>5.9599999999999996E-4</v>
      </c>
      <c r="X78" s="10">
        <v>4.0000000000000001E-3</v>
      </c>
    </row>
    <row r="79" spans="1:24">
      <c r="A79" s="12">
        <v>19.3</v>
      </c>
      <c r="C79" s="10">
        <v>3.5999999999999999E-3</v>
      </c>
      <c r="T79" s="10">
        <v>1.26E-2</v>
      </c>
    </row>
    <row r="80" spans="1:24">
      <c r="A80" s="12">
        <v>20</v>
      </c>
      <c r="B80" s="10">
        <v>8.0699999999999999E-4</v>
      </c>
      <c r="E80" s="9">
        <v>5.9999999999999995E-4</v>
      </c>
      <c r="G80" s="10">
        <v>9.9220000000000003E-3</v>
      </c>
      <c r="I80" s="9">
        <v>2.9085E-2</v>
      </c>
      <c r="J80" s="10">
        <v>0.13669999999999999</v>
      </c>
      <c r="N80" s="9">
        <v>1.4139000000000001E-2</v>
      </c>
      <c r="S80" s="10">
        <v>1.1E-5</v>
      </c>
      <c r="T80" s="10">
        <v>0.1507</v>
      </c>
      <c r="V80" s="9">
        <v>0.11390699999999999</v>
      </c>
      <c r="X80" s="10">
        <v>5.3999999999999999E-2</v>
      </c>
    </row>
    <row r="81" spans="1:24">
      <c r="A81" s="12">
        <v>20.100000000000001</v>
      </c>
    </row>
    <row r="82" spans="1:24">
      <c r="A82" s="12">
        <v>20.2</v>
      </c>
      <c r="I82" s="9">
        <v>1.8E-5</v>
      </c>
      <c r="V82" s="9">
        <v>2.3900000000000001E-4</v>
      </c>
      <c r="X82" s="10">
        <v>1.0999999999999999E-2</v>
      </c>
    </row>
    <row r="83" spans="1:24">
      <c r="A83" s="12">
        <v>20.3</v>
      </c>
      <c r="C83" s="10">
        <v>3.0000000000000001E-3</v>
      </c>
      <c r="T83" s="10">
        <v>1.8E-3</v>
      </c>
    </row>
    <row r="84" spans="1:24">
      <c r="A84" s="12">
        <v>21</v>
      </c>
      <c r="B84" s="10">
        <v>3.3000000000000003E-5</v>
      </c>
      <c r="G84" s="10">
        <v>6.3879999999999996E-3</v>
      </c>
      <c r="I84" s="9">
        <v>1.3039E-2</v>
      </c>
      <c r="J84" s="10">
        <v>0.06</v>
      </c>
      <c r="N84" s="9">
        <v>2.1740000000000002E-3</v>
      </c>
      <c r="S84" s="10">
        <v>3.9999999999999998E-6</v>
      </c>
      <c r="T84" s="10">
        <v>8.3400000000000002E-2</v>
      </c>
      <c r="V84" s="9">
        <v>0.15107999999999999</v>
      </c>
      <c r="X84" s="10">
        <v>2.4E-2</v>
      </c>
    </row>
    <row r="85" spans="1:24">
      <c r="A85" s="12">
        <v>21.1</v>
      </c>
    </row>
    <row r="86" spans="1:24">
      <c r="A86" s="12">
        <v>21.2</v>
      </c>
      <c r="I86" s="9">
        <v>3.9999999999999998E-6</v>
      </c>
      <c r="V86" s="9">
        <v>1.3439999999999999E-3</v>
      </c>
    </row>
    <row r="87" spans="1:24">
      <c r="A87" s="12">
        <v>21.3</v>
      </c>
    </row>
    <row r="88" spans="1:24">
      <c r="A88" s="12">
        <v>22</v>
      </c>
      <c r="G88" s="10">
        <v>4.463E-3</v>
      </c>
      <c r="I88" s="9">
        <v>5.5319999999999996E-3</v>
      </c>
      <c r="J88" s="10">
        <v>8.14E-2</v>
      </c>
      <c r="K88" s="9">
        <v>3.9999999999999998E-6</v>
      </c>
      <c r="L88" s="10">
        <v>5.0000000000000004E-6</v>
      </c>
      <c r="N88" s="9">
        <v>1.7699999999999999E-4</v>
      </c>
      <c r="O88" s="9">
        <v>3.9999999999999998E-6</v>
      </c>
      <c r="S88" s="10">
        <v>1.1E-5</v>
      </c>
      <c r="T88" s="10">
        <v>6.3E-2</v>
      </c>
      <c r="V88" s="9">
        <v>0.161658</v>
      </c>
      <c r="X88" s="10">
        <v>1.4999999999999999E-2</v>
      </c>
    </row>
    <row r="89" spans="1:24">
      <c r="A89" s="12">
        <v>22.1</v>
      </c>
    </row>
    <row r="90" spans="1:24">
      <c r="A90" s="12">
        <v>22.2</v>
      </c>
      <c r="V90" s="9">
        <v>2.4369999999999999E-3</v>
      </c>
      <c r="X90" s="10">
        <v>3.7999999999999999E-2</v>
      </c>
    </row>
    <row r="91" spans="1:24">
      <c r="A91" s="12">
        <v>22.3</v>
      </c>
    </row>
    <row r="92" spans="1:24">
      <c r="A92" s="12">
        <v>23</v>
      </c>
      <c r="G92" s="10">
        <v>1.3630000000000001E-3</v>
      </c>
      <c r="I92" s="9">
        <v>1.379E-3</v>
      </c>
      <c r="J92" s="10">
        <v>0.1169</v>
      </c>
      <c r="K92" s="9">
        <v>3.9999999999999998E-6</v>
      </c>
      <c r="N92" s="9">
        <v>3.9999999999999998E-6</v>
      </c>
      <c r="O92" s="9">
        <v>3.9999999999999998E-6</v>
      </c>
      <c r="T92" s="10">
        <v>6.8400000000000002E-2</v>
      </c>
      <c r="V92" s="9">
        <v>0.149283</v>
      </c>
      <c r="X92" s="10">
        <v>2E-3</v>
      </c>
    </row>
    <row r="93" spans="1:24">
      <c r="A93" s="12">
        <v>23.1</v>
      </c>
    </row>
    <row r="94" spans="1:24">
      <c r="A94" s="12">
        <v>23.2</v>
      </c>
      <c r="I94" s="9">
        <v>3.9999999999999998E-6</v>
      </c>
      <c r="V94" s="9">
        <v>1.09E-3</v>
      </c>
      <c r="X94" s="10">
        <v>4.3999999999999997E-2</v>
      </c>
    </row>
    <row r="95" spans="1:24">
      <c r="A95" s="12">
        <v>23.3</v>
      </c>
    </row>
    <row r="96" spans="1:24">
      <c r="A96" s="12">
        <v>24</v>
      </c>
      <c r="G96" s="10">
        <v>4.6099999999999998E-4</v>
      </c>
      <c r="I96" s="9">
        <v>1.3799999999999999E-4</v>
      </c>
      <c r="J96" s="10">
        <v>7.5800000000000006E-2</v>
      </c>
      <c r="O96" s="9">
        <v>1.3799999999999999E-4</v>
      </c>
      <c r="T96" s="10">
        <v>3.4799999999999998E-2</v>
      </c>
      <c r="V96" s="9">
        <v>0.15093200000000001</v>
      </c>
      <c r="X96" s="10">
        <v>1E-3</v>
      </c>
    </row>
    <row r="97" spans="1:24">
      <c r="A97" s="12">
        <v>24.1</v>
      </c>
    </row>
    <row r="98" spans="1:24">
      <c r="A98" s="12">
        <v>24.2</v>
      </c>
      <c r="O98" s="9">
        <v>2.1189999999999998E-3</v>
      </c>
      <c r="V98" s="9">
        <v>3.3100000000000002E-4</v>
      </c>
      <c r="X98" s="10">
        <v>2.1999999999999999E-2</v>
      </c>
    </row>
    <row r="99" spans="1:24">
      <c r="A99" s="12">
        <v>24.3</v>
      </c>
    </row>
    <row r="100" spans="1:24">
      <c r="A100" s="12">
        <v>25</v>
      </c>
      <c r="G100" s="10">
        <v>7.3999999999999999E-4</v>
      </c>
      <c r="I100" s="9">
        <v>3.7300000000000001E-4</v>
      </c>
      <c r="J100" s="10">
        <v>5.5300000000000002E-2</v>
      </c>
      <c r="O100" s="9">
        <v>9.7599999999999998E-4</v>
      </c>
      <c r="T100" s="10">
        <v>8.9999999999999993E-3</v>
      </c>
      <c r="V100" s="9">
        <v>0.10340199999999999</v>
      </c>
    </row>
    <row r="101" spans="1:24">
      <c r="A101" s="12">
        <v>25.1</v>
      </c>
    </row>
    <row r="102" spans="1:24">
      <c r="A102" s="12">
        <v>25.2</v>
      </c>
      <c r="O102" s="9">
        <v>5.9199999999999997E-4</v>
      </c>
      <c r="V102" s="9">
        <v>2.1000000000000001E-4</v>
      </c>
      <c r="X102" s="10">
        <v>0.04</v>
      </c>
    </row>
    <row r="103" spans="1:24">
      <c r="A103" s="12">
        <v>25.3</v>
      </c>
    </row>
    <row r="104" spans="1:24">
      <c r="A104" s="12">
        <v>26</v>
      </c>
      <c r="G104" s="10">
        <v>1.5999999999999999E-5</v>
      </c>
      <c r="I104" s="9">
        <v>1.8599999999999999E-4</v>
      </c>
      <c r="J104" s="10">
        <v>1.7399999999999999E-2</v>
      </c>
      <c r="O104" s="9">
        <v>1.127E-3</v>
      </c>
      <c r="T104" s="10">
        <v>1.1999999999999999E-3</v>
      </c>
      <c r="V104" s="9">
        <v>4.7419999999999997E-2</v>
      </c>
    </row>
    <row r="105" spans="1:24">
      <c r="A105" s="12">
        <v>26.1</v>
      </c>
    </row>
    <row r="106" spans="1:24">
      <c r="A106" s="12">
        <v>26.2</v>
      </c>
      <c r="O106" s="9">
        <v>3.1000000000000001E-5</v>
      </c>
      <c r="V106" s="9">
        <v>2.9E-5</v>
      </c>
      <c r="X106" s="10">
        <v>4.3999999999999997E-2</v>
      </c>
    </row>
    <row r="107" spans="1:24">
      <c r="A107" s="12">
        <v>26.3</v>
      </c>
    </row>
    <row r="108" spans="1:24">
      <c r="A108" s="12">
        <v>27</v>
      </c>
      <c r="G108" s="10">
        <v>3.9999999999999998E-6</v>
      </c>
      <c r="I108" s="9">
        <v>2.8499999999999999E-4</v>
      </c>
      <c r="J108" s="10">
        <v>1.6000000000000001E-3</v>
      </c>
      <c r="O108" s="9">
        <v>3.0043E-2</v>
      </c>
      <c r="T108" s="10">
        <v>1.1999999999999999E-3</v>
      </c>
      <c r="V108" s="9">
        <v>1.5952999999999998E-2</v>
      </c>
    </row>
    <row r="109" spans="1:24">
      <c r="A109" s="12">
        <v>27.1</v>
      </c>
    </row>
    <row r="110" spans="1:24">
      <c r="A110" s="12">
        <v>27.2</v>
      </c>
      <c r="O110" s="9">
        <v>7.7000000000000001E-5</v>
      </c>
      <c r="X110" s="10">
        <v>9.5000000000000001E-2</v>
      </c>
    </row>
    <row r="111" spans="1:24">
      <c r="A111" s="12">
        <v>27.3</v>
      </c>
    </row>
    <row r="112" spans="1:24">
      <c r="A112" s="12">
        <v>28</v>
      </c>
      <c r="G112" s="10">
        <v>3.9999999999999998E-6</v>
      </c>
      <c r="I112" s="9">
        <v>2.9E-5</v>
      </c>
      <c r="O112" s="9">
        <v>0.15936700000000001</v>
      </c>
      <c r="V112" s="9">
        <v>5.0610000000000004E-3</v>
      </c>
    </row>
    <row r="113" spans="1:24">
      <c r="A113" s="12">
        <v>28.1</v>
      </c>
    </row>
    <row r="114" spans="1:24">
      <c r="A114" s="12">
        <v>28.2</v>
      </c>
      <c r="O114" s="9">
        <v>2.6189999999999998E-3</v>
      </c>
      <c r="V114" s="9">
        <v>6.9999999999999999E-6</v>
      </c>
      <c r="X114" s="10">
        <v>7.3999999999999996E-2</v>
      </c>
    </row>
    <row r="115" spans="1:24">
      <c r="A115" s="12">
        <v>28.3</v>
      </c>
      <c r="X115" s="10">
        <v>1E-3</v>
      </c>
    </row>
    <row r="116" spans="1:24">
      <c r="A116" s="12">
        <v>29</v>
      </c>
      <c r="O116" s="9">
        <v>0.20807800000000001</v>
      </c>
      <c r="V116" s="9">
        <v>1.807E-3</v>
      </c>
    </row>
    <row r="117" spans="1:24">
      <c r="A117" s="12">
        <v>29.1</v>
      </c>
    </row>
    <row r="118" spans="1:24">
      <c r="A118" s="12">
        <v>29.2</v>
      </c>
      <c r="O118" s="9">
        <v>4.934E-3</v>
      </c>
      <c r="V118" s="9">
        <v>2.1999999999999999E-5</v>
      </c>
      <c r="X118" s="10">
        <v>6.3E-2</v>
      </c>
    </row>
    <row r="119" spans="1:24">
      <c r="A119" s="12">
        <v>29.3</v>
      </c>
    </row>
    <row r="120" spans="1:24">
      <c r="A120" s="12">
        <v>30</v>
      </c>
      <c r="O120" s="9">
        <v>0.231679</v>
      </c>
      <c r="V120" s="9">
        <v>7.1000000000000002E-4</v>
      </c>
    </row>
    <row r="121" spans="1:24">
      <c r="A121" s="12">
        <v>30.1</v>
      </c>
    </row>
    <row r="122" spans="1:24">
      <c r="A122" s="12">
        <v>30.2</v>
      </c>
      <c r="O122" s="9">
        <v>2.8434999999999998E-2</v>
      </c>
      <c r="V122" s="9">
        <v>1.73E-4</v>
      </c>
      <c r="X122" s="10">
        <v>0.57999999999999996</v>
      </c>
    </row>
    <row r="123" spans="1:24">
      <c r="A123" s="12">
        <v>30.3</v>
      </c>
    </row>
    <row r="124" spans="1:24">
      <c r="A124" s="12">
        <v>31</v>
      </c>
      <c r="O124" s="9">
        <v>7.6919000000000001E-2</v>
      </c>
      <c r="V124" s="9">
        <v>1.07E-4</v>
      </c>
      <c r="X124" s="10">
        <v>2E-3</v>
      </c>
    </row>
    <row r="125" spans="1:24">
      <c r="A125" s="12">
        <v>31.1</v>
      </c>
    </row>
    <row r="126" spans="1:24">
      <c r="A126" s="12">
        <v>31.2</v>
      </c>
      <c r="O126" s="9">
        <v>8.9885999999999994E-2</v>
      </c>
      <c r="V126" s="9">
        <v>1.134E-3</v>
      </c>
      <c r="X126" s="10">
        <v>2.1999999999999999E-2</v>
      </c>
    </row>
    <row r="127" spans="1:24">
      <c r="A127" s="12">
        <v>31.3</v>
      </c>
    </row>
    <row r="128" spans="1:24">
      <c r="A128" s="12">
        <v>32</v>
      </c>
      <c r="O128" s="9">
        <v>2.8482E-2</v>
      </c>
      <c r="V128" s="9">
        <v>6.9999999999999994E-5</v>
      </c>
      <c r="X128" s="10">
        <v>1E-3</v>
      </c>
    </row>
    <row r="129" spans="1:24">
      <c r="A129" s="12">
        <v>32.1</v>
      </c>
    </row>
    <row r="130" spans="1:24">
      <c r="A130" s="12">
        <v>32.200000000000003</v>
      </c>
      <c r="O130" s="9">
        <v>7.5126999999999999E-2</v>
      </c>
      <c r="V130" s="9">
        <v>1.5100000000000001E-4</v>
      </c>
      <c r="X130" s="10">
        <v>1.2999999999999999E-2</v>
      </c>
    </row>
    <row r="131" spans="1:24">
      <c r="A131" s="12">
        <v>32.299999999999997</v>
      </c>
    </row>
    <row r="132" spans="1:24">
      <c r="A132" s="12">
        <v>33</v>
      </c>
      <c r="O132" s="9">
        <v>1.1826E-2</v>
      </c>
      <c r="V132" s="9">
        <v>3.6999999999999998E-5</v>
      </c>
      <c r="X132" s="10">
        <v>1E-3</v>
      </c>
    </row>
    <row r="133" spans="1:24">
      <c r="A133" s="12">
        <v>33.1</v>
      </c>
    </row>
    <row r="134" spans="1:24">
      <c r="A134" s="12">
        <v>33.200000000000003</v>
      </c>
      <c r="O134" s="9">
        <v>2.8434999999999998E-2</v>
      </c>
      <c r="V134" s="9">
        <v>1.8E-5</v>
      </c>
      <c r="X134" s="10">
        <v>5.0000000000000001E-3</v>
      </c>
    </row>
    <row r="135" spans="1:24">
      <c r="A135" s="12">
        <v>33.299999999999997</v>
      </c>
      <c r="O135" s="9">
        <v>7.9999999999999996E-6</v>
      </c>
    </row>
    <row r="136" spans="1:24">
      <c r="A136" s="12">
        <v>34</v>
      </c>
      <c r="O136" s="9">
        <v>4.5880000000000001E-3</v>
      </c>
      <c r="X136" s="10">
        <v>7.0000000000000001E-3</v>
      </c>
    </row>
    <row r="137" spans="1:24">
      <c r="A137" s="12">
        <v>34.1</v>
      </c>
    </row>
    <row r="138" spans="1:24">
      <c r="A138" s="12">
        <v>34.200000000000003</v>
      </c>
      <c r="O138" s="9">
        <v>3.7690000000000002E-3</v>
      </c>
      <c r="X138" s="10">
        <v>1E-3</v>
      </c>
    </row>
    <row r="139" spans="1:24">
      <c r="A139" s="12">
        <v>34.299999999999997</v>
      </c>
    </row>
    <row r="140" spans="1:24">
      <c r="A140" s="12">
        <v>35</v>
      </c>
      <c r="O140" s="9">
        <v>6.4419999999999998E-3</v>
      </c>
    </row>
    <row r="141" spans="1:24">
      <c r="A141" s="12">
        <v>35.1</v>
      </c>
      <c r="O141" s="9">
        <v>3.9999999999999998E-6</v>
      </c>
    </row>
    <row r="142" spans="1:24">
      <c r="A142" s="12">
        <v>35.200000000000003</v>
      </c>
      <c r="O142" s="9">
        <v>1.323E-3</v>
      </c>
    </row>
    <row r="143" spans="1:24">
      <c r="A143" s="12">
        <v>35.299999999999997</v>
      </c>
    </row>
    <row r="144" spans="1:24">
      <c r="A144" s="12">
        <v>36</v>
      </c>
      <c r="O144" s="9">
        <v>2.261E-3</v>
      </c>
    </row>
    <row r="145" spans="1:22" s="10" customFormat="1" ht="14.25">
      <c r="A145" s="12">
        <v>36.1</v>
      </c>
      <c r="E145" s="9"/>
      <c r="F145" s="9"/>
      <c r="H145" s="9"/>
      <c r="I145" s="9"/>
      <c r="K145" s="9"/>
      <c r="M145" s="9"/>
      <c r="N145" s="9"/>
      <c r="O145" s="9"/>
      <c r="R145" s="9"/>
      <c r="V145" s="9"/>
    </row>
    <row r="146" spans="1:22" s="10" customFormat="1" ht="14.25">
      <c r="A146" s="12">
        <v>36.200000000000003</v>
      </c>
      <c r="E146" s="9"/>
      <c r="F146" s="9"/>
      <c r="H146" s="9"/>
      <c r="I146" s="9"/>
      <c r="K146" s="9"/>
      <c r="M146" s="9"/>
      <c r="N146" s="9"/>
      <c r="O146" s="9">
        <v>2.6999999999999999E-5</v>
      </c>
      <c r="R146" s="9"/>
      <c r="V146" s="9"/>
    </row>
    <row r="147" spans="1:22" s="10" customFormat="1" ht="14.25">
      <c r="A147" s="12">
        <v>36.299999999999997</v>
      </c>
      <c r="E147" s="9"/>
      <c r="F147" s="9"/>
      <c r="H147" s="9"/>
      <c r="I147" s="9"/>
      <c r="K147" s="9"/>
      <c r="M147" s="9"/>
      <c r="N147" s="9"/>
      <c r="O147" s="9"/>
      <c r="R147" s="9"/>
      <c r="V147" s="9"/>
    </row>
    <row r="148" spans="1:22" s="10" customFormat="1" ht="14.25">
      <c r="A148" s="12">
        <v>37</v>
      </c>
      <c r="E148" s="9"/>
      <c r="F148" s="9"/>
      <c r="H148" s="9"/>
      <c r="I148" s="9"/>
      <c r="K148" s="9"/>
      <c r="M148" s="9"/>
      <c r="N148" s="9"/>
      <c r="O148" s="9">
        <v>5.6099999999999998E-4</v>
      </c>
      <c r="R148" s="9"/>
      <c r="V148" s="9"/>
    </row>
    <row r="149" spans="1:22" s="10" customFormat="1" ht="14.25">
      <c r="A149" s="12">
        <v>37.1</v>
      </c>
      <c r="E149" s="9"/>
      <c r="F149" s="9"/>
      <c r="H149" s="9"/>
      <c r="I149" s="9"/>
      <c r="K149" s="9"/>
      <c r="M149" s="9"/>
      <c r="N149" s="9"/>
      <c r="O149" s="9"/>
      <c r="R149" s="9"/>
      <c r="V149" s="9"/>
    </row>
    <row r="150" spans="1:22" s="10" customFormat="1" ht="14.25">
      <c r="A150" s="12">
        <v>37.200000000000003</v>
      </c>
      <c r="E150" s="9"/>
      <c r="F150" s="9"/>
      <c r="H150" s="9"/>
      <c r="I150" s="9"/>
      <c r="K150" s="9"/>
      <c r="M150" s="9"/>
      <c r="N150" s="9"/>
      <c r="O150" s="9"/>
      <c r="R150" s="9"/>
      <c r="V150" s="9"/>
    </row>
    <row r="151" spans="1:22" s="10" customFormat="1" ht="14.25">
      <c r="A151" s="12">
        <v>37.299999999999997</v>
      </c>
      <c r="E151" s="9"/>
      <c r="F151" s="9"/>
      <c r="H151" s="9"/>
      <c r="I151" s="9"/>
      <c r="K151" s="9"/>
      <c r="M151" s="9"/>
      <c r="N151" s="9"/>
      <c r="O151" s="9"/>
      <c r="R151" s="9"/>
      <c r="V151" s="9"/>
    </row>
    <row r="152" spans="1:22" s="10" customFormat="1" ht="14.25">
      <c r="A152" s="12">
        <v>38</v>
      </c>
      <c r="E152" s="9"/>
      <c r="F152" s="9"/>
      <c r="H152" s="9"/>
      <c r="I152" s="9"/>
      <c r="K152" s="9"/>
      <c r="M152" s="9"/>
      <c r="N152" s="9"/>
      <c r="O152" s="9">
        <v>2.6499999999999999E-4</v>
      </c>
      <c r="R152" s="9"/>
      <c r="V152" s="9"/>
    </row>
    <row r="153" spans="1:22" s="10" customFormat="1" ht="14.25">
      <c r="A153" s="12">
        <v>38.1</v>
      </c>
      <c r="E153" s="9"/>
      <c r="F153" s="9"/>
      <c r="H153" s="9"/>
      <c r="I153" s="9"/>
      <c r="K153" s="9"/>
      <c r="M153" s="9"/>
      <c r="N153" s="9"/>
      <c r="O153" s="9"/>
      <c r="R153" s="9"/>
      <c r="V153" s="9"/>
    </row>
    <row r="154" spans="1:22" s="10" customFormat="1" ht="14.25">
      <c r="A154" s="12">
        <v>38.200000000000003</v>
      </c>
      <c r="E154" s="9"/>
      <c r="F154" s="9"/>
      <c r="H154" s="9"/>
      <c r="I154" s="9"/>
      <c r="K154" s="9"/>
      <c r="M154" s="9"/>
      <c r="N154" s="9"/>
      <c r="O154" s="9"/>
      <c r="R154" s="9"/>
      <c r="V154" s="9"/>
    </row>
    <row r="155" spans="1:22" s="10" customFormat="1" ht="14.25">
      <c r="A155" s="12">
        <v>38.299999999999997</v>
      </c>
      <c r="E155" s="9"/>
      <c r="F155" s="9"/>
      <c r="H155" s="9"/>
      <c r="I155" s="9"/>
      <c r="K155" s="9"/>
      <c r="M155" s="9"/>
      <c r="N155" s="9"/>
      <c r="O155" s="9"/>
      <c r="R155" s="9"/>
      <c r="V155" s="9"/>
    </row>
    <row r="156" spans="1:22" s="10" customFormat="1" ht="14.25">
      <c r="A156" s="12">
        <v>39</v>
      </c>
      <c r="E156" s="9"/>
      <c r="F156" s="9"/>
      <c r="H156" s="9"/>
      <c r="I156" s="9"/>
      <c r="K156" s="9"/>
      <c r="M156" s="9"/>
      <c r="N156" s="9"/>
      <c r="O156" s="9">
        <v>3.1000000000000001E-5</v>
      </c>
      <c r="R156" s="9"/>
      <c r="V156" s="9"/>
    </row>
    <row r="157" spans="1:22" s="10" customFormat="1" ht="14.25">
      <c r="A157" s="12">
        <v>39.1</v>
      </c>
      <c r="E157" s="9"/>
      <c r="F157" s="9"/>
      <c r="H157" s="9"/>
      <c r="I157" s="9"/>
      <c r="K157" s="9"/>
      <c r="M157" s="9"/>
      <c r="N157" s="9"/>
      <c r="O157" s="9"/>
      <c r="R157" s="9"/>
      <c r="V157" s="9"/>
    </row>
    <row r="158" spans="1:22" s="10" customFormat="1" ht="14.25">
      <c r="A158" s="12">
        <v>39.200000000000003</v>
      </c>
      <c r="E158" s="9"/>
      <c r="F158" s="9"/>
      <c r="H158" s="9"/>
      <c r="I158" s="9"/>
      <c r="K158" s="9"/>
      <c r="M158" s="9"/>
      <c r="N158" s="9"/>
      <c r="O158" s="9"/>
      <c r="R158" s="9"/>
      <c r="V158" s="9">
        <v>3.9999999999999998E-6</v>
      </c>
    </row>
    <row r="159" spans="1:22" s="10" customFormat="1" ht="14.25">
      <c r="A159" s="12">
        <v>39.299999999999997</v>
      </c>
      <c r="E159" s="9"/>
      <c r="F159" s="9"/>
      <c r="H159" s="9"/>
      <c r="I159" s="9"/>
      <c r="K159" s="9"/>
      <c r="M159" s="9"/>
      <c r="N159" s="9"/>
      <c r="O159" s="9"/>
      <c r="R159" s="9"/>
      <c r="V159" s="9"/>
    </row>
    <row r="160" spans="1:22" s="10" customFormat="1" ht="14.25">
      <c r="A160" s="12">
        <v>40</v>
      </c>
      <c r="E160" s="9"/>
      <c r="F160" s="9"/>
      <c r="H160" s="9"/>
      <c r="I160" s="9"/>
      <c r="K160" s="9"/>
      <c r="M160" s="9"/>
      <c r="N160" s="9"/>
      <c r="O160" s="9"/>
      <c r="R160" s="9"/>
      <c r="V160" s="9">
        <v>6.9999999999999999E-6</v>
      </c>
    </row>
    <row r="161" spans="1:22" s="10" customFormat="1" ht="14.25">
      <c r="A161" s="12">
        <v>40.1</v>
      </c>
      <c r="E161" s="9"/>
      <c r="F161" s="9"/>
      <c r="H161" s="9"/>
      <c r="I161" s="9"/>
      <c r="K161" s="9"/>
      <c r="M161" s="9"/>
      <c r="N161" s="9"/>
      <c r="O161" s="9"/>
      <c r="R161" s="9"/>
      <c r="V161" s="9"/>
    </row>
    <row r="162" spans="1:22" s="10" customFormat="1" ht="14.25">
      <c r="A162" s="12">
        <v>40.200000000000003</v>
      </c>
      <c r="E162" s="9"/>
      <c r="F162" s="9"/>
      <c r="H162" s="9"/>
      <c r="I162" s="9"/>
      <c r="K162" s="9"/>
      <c r="M162" s="9"/>
      <c r="N162" s="9"/>
      <c r="O162" s="9"/>
      <c r="R162" s="9"/>
      <c r="V162" s="9"/>
    </row>
    <row r="163" spans="1:22" s="10" customFormat="1" ht="14.25">
      <c r="A163" s="12">
        <v>40.299999999999997</v>
      </c>
      <c r="E163" s="9"/>
      <c r="F163" s="9"/>
      <c r="H163" s="9"/>
      <c r="I163" s="9"/>
      <c r="K163" s="9"/>
      <c r="M163" s="9"/>
      <c r="N163" s="9"/>
      <c r="O163" s="9"/>
      <c r="R163" s="9"/>
      <c r="V163" s="9"/>
    </row>
    <row r="164" spans="1:22" s="10" customFormat="1" ht="14.25">
      <c r="A164" s="12">
        <v>41</v>
      </c>
      <c r="E164" s="9"/>
      <c r="F164" s="9"/>
      <c r="H164" s="9"/>
      <c r="I164" s="9"/>
      <c r="K164" s="9"/>
      <c r="M164" s="9"/>
      <c r="N164" s="9"/>
      <c r="O164" s="9"/>
      <c r="R164" s="9"/>
      <c r="V164" s="9"/>
    </row>
    <row r="165" spans="1:22" s="10" customFormat="1" ht="14.25">
      <c r="A165" s="12">
        <v>41.1</v>
      </c>
      <c r="E165" s="9"/>
      <c r="F165" s="9"/>
      <c r="H165" s="9"/>
      <c r="I165" s="9"/>
      <c r="K165" s="9"/>
      <c r="M165" s="9"/>
      <c r="N165" s="9"/>
      <c r="O165" s="9"/>
      <c r="R165" s="9"/>
      <c r="V165" s="9"/>
    </row>
    <row r="166" spans="1:22" s="10" customFormat="1" ht="14.25">
      <c r="A166" s="12">
        <v>41.2</v>
      </c>
      <c r="E166" s="9"/>
      <c r="F166" s="9"/>
      <c r="H166" s="9"/>
      <c r="I166" s="9"/>
      <c r="K166" s="9"/>
      <c r="M166" s="9"/>
      <c r="N166" s="9"/>
      <c r="O166" s="9"/>
      <c r="R166" s="9"/>
      <c r="V166" s="9">
        <v>3.9999999999999998E-6</v>
      </c>
    </row>
    <row r="167" spans="1:22" s="10" customFormat="1" ht="14.25">
      <c r="A167" s="12">
        <v>41.3</v>
      </c>
      <c r="E167" s="9"/>
      <c r="F167" s="9"/>
      <c r="H167" s="9"/>
      <c r="I167" s="9"/>
      <c r="K167" s="9"/>
      <c r="M167" s="9"/>
      <c r="N167" s="9"/>
      <c r="O167" s="9"/>
      <c r="R167" s="9"/>
      <c r="V167" s="9"/>
    </row>
    <row r="168" spans="1:22" s="10" customFormat="1" ht="14.25">
      <c r="A168" s="12">
        <v>42</v>
      </c>
      <c r="E168" s="9"/>
      <c r="F168" s="9"/>
      <c r="H168" s="9"/>
      <c r="I168" s="9"/>
      <c r="K168" s="9"/>
      <c r="M168" s="9"/>
      <c r="N168" s="9"/>
      <c r="O168" s="9"/>
      <c r="R168" s="9"/>
      <c r="V168" s="9">
        <v>6.9999999999999999E-6</v>
      </c>
    </row>
    <row r="169" spans="1:22" s="10" customFormat="1" ht="14.25">
      <c r="A169" s="12">
        <v>42.1</v>
      </c>
      <c r="E169" s="9"/>
      <c r="F169" s="9"/>
      <c r="H169" s="9"/>
      <c r="I169" s="9"/>
      <c r="K169" s="9"/>
      <c r="M169" s="9"/>
      <c r="N169" s="9"/>
      <c r="O169" s="9"/>
      <c r="R169" s="9"/>
      <c r="V169" s="9"/>
    </row>
    <row r="170" spans="1:22" s="10" customFormat="1" ht="14.25">
      <c r="A170" s="12">
        <v>42.2</v>
      </c>
      <c r="E170" s="9"/>
      <c r="F170" s="9"/>
      <c r="H170" s="9"/>
      <c r="I170" s="9"/>
      <c r="K170" s="9"/>
      <c r="M170" s="9"/>
      <c r="N170" s="9"/>
      <c r="O170" s="9"/>
      <c r="R170" s="9"/>
      <c r="V170" s="9">
        <v>4.8000000000000001E-5</v>
      </c>
    </row>
    <row r="171" spans="1:22" s="10" customFormat="1" ht="14.25">
      <c r="A171" s="12">
        <v>42.3</v>
      </c>
      <c r="E171" s="9"/>
      <c r="F171" s="9"/>
      <c r="H171" s="9"/>
      <c r="I171" s="9"/>
      <c r="K171" s="9"/>
      <c r="M171" s="9"/>
      <c r="N171" s="9"/>
      <c r="O171" s="9"/>
      <c r="R171" s="9"/>
      <c r="V171" s="9"/>
    </row>
    <row r="172" spans="1:22" s="10" customFormat="1" ht="14.25">
      <c r="A172" s="12">
        <v>43</v>
      </c>
      <c r="E172" s="9"/>
      <c r="F172" s="9"/>
      <c r="H172" s="9"/>
      <c r="I172" s="9"/>
      <c r="K172" s="9"/>
      <c r="M172" s="9"/>
      <c r="N172" s="9"/>
      <c r="O172" s="9"/>
      <c r="R172" s="9"/>
      <c r="V172" s="9">
        <v>3.9999999999999998E-6</v>
      </c>
    </row>
    <row r="173" spans="1:22" s="10" customFormat="1" ht="14.25">
      <c r="A173" s="12">
        <v>43.1</v>
      </c>
      <c r="E173" s="9"/>
      <c r="F173" s="9"/>
      <c r="H173" s="9"/>
      <c r="I173" s="9"/>
      <c r="K173" s="9"/>
      <c r="M173" s="9"/>
      <c r="N173" s="9"/>
      <c r="O173" s="9"/>
      <c r="R173" s="9"/>
      <c r="V173" s="9"/>
    </row>
    <row r="174" spans="1:22" s="10" customFormat="1" ht="14.25">
      <c r="A174" s="12">
        <v>43.2</v>
      </c>
      <c r="E174" s="9"/>
      <c r="F174" s="9"/>
      <c r="H174" s="9"/>
      <c r="I174" s="9"/>
      <c r="K174" s="9"/>
      <c r="M174" s="9"/>
      <c r="N174" s="9"/>
      <c r="O174" s="9"/>
      <c r="R174" s="9"/>
      <c r="V174" s="9">
        <v>5.7799999999999995E-4</v>
      </c>
    </row>
    <row r="175" spans="1:22" s="10" customFormat="1" ht="14.25">
      <c r="A175" s="12">
        <v>43.3</v>
      </c>
      <c r="E175" s="9"/>
      <c r="F175" s="9"/>
      <c r="H175" s="9"/>
      <c r="I175" s="9"/>
      <c r="K175" s="9"/>
      <c r="M175" s="9"/>
      <c r="N175" s="9"/>
      <c r="O175" s="9"/>
      <c r="R175" s="9"/>
      <c r="V175" s="9"/>
    </row>
    <row r="176" spans="1:22" s="10" customFormat="1" ht="14.25">
      <c r="A176" s="12">
        <v>44</v>
      </c>
      <c r="E176" s="9"/>
      <c r="F176" s="9"/>
      <c r="H176" s="9"/>
      <c r="I176" s="9"/>
      <c r="K176" s="9"/>
      <c r="M176" s="9"/>
      <c r="N176" s="9"/>
      <c r="O176" s="9"/>
      <c r="R176" s="9"/>
      <c r="V176" s="9"/>
    </row>
    <row r="177" spans="1:22" s="10" customFormat="1" ht="14.25">
      <c r="A177" s="12">
        <v>44.1</v>
      </c>
      <c r="E177" s="9"/>
      <c r="F177" s="9"/>
      <c r="H177" s="9"/>
      <c r="I177" s="9"/>
      <c r="K177" s="9"/>
      <c r="M177" s="9"/>
      <c r="N177" s="9"/>
      <c r="O177" s="9"/>
      <c r="R177" s="9"/>
      <c r="V177" s="9"/>
    </row>
    <row r="178" spans="1:22" s="10" customFormat="1" ht="14.25">
      <c r="A178" s="12">
        <v>44.2</v>
      </c>
      <c r="E178" s="9"/>
      <c r="F178" s="9"/>
      <c r="H178" s="9"/>
      <c r="I178" s="9"/>
      <c r="K178" s="9"/>
      <c r="M178" s="9"/>
      <c r="N178" s="9"/>
      <c r="O178" s="9"/>
      <c r="R178" s="9"/>
      <c r="V178" s="9">
        <v>2.6899999999999998E-4</v>
      </c>
    </row>
    <row r="179" spans="1:22" s="10" customFormat="1" ht="14.25">
      <c r="A179" s="12">
        <v>44.3</v>
      </c>
      <c r="E179" s="9"/>
      <c r="F179" s="9"/>
      <c r="H179" s="9"/>
      <c r="I179" s="9"/>
      <c r="K179" s="9"/>
      <c r="M179" s="9"/>
      <c r="N179" s="9"/>
      <c r="O179" s="9"/>
      <c r="R179" s="9"/>
      <c r="V179" s="9"/>
    </row>
    <row r="180" spans="1:22" s="10" customFormat="1" ht="14.25">
      <c r="A180" s="12">
        <v>45</v>
      </c>
      <c r="E180" s="9"/>
      <c r="F180" s="9"/>
      <c r="H180" s="9"/>
      <c r="I180" s="9"/>
      <c r="K180" s="9"/>
      <c r="M180" s="9"/>
      <c r="N180" s="9"/>
      <c r="O180" s="9"/>
      <c r="R180" s="9"/>
      <c r="V180" s="9"/>
    </row>
    <row r="181" spans="1:22" s="10" customFormat="1" ht="14.25">
      <c r="A181" s="12">
        <v>45.1</v>
      </c>
      <c r="E181" s="9"/>
      <c r="F181" s="9"/>
      <c r="H181" s="9"/>
      <c r="I181" s="9"/>
      <c r="K181" s="9"/>
      <c r="M181" s="9"/>
      <c r="N181" s="9"/>
      <c r="O181" s="9"/>
      <c r="R181" s="9"/>
      <c r="V181" s="9"/>
    </row>
    <row r="182" spans="1:22" s="10" customFormat="1" ht="14.25">
      <c r="A182" s="12">
        <v>45.2</v>
      </c>
      <c r="E182" s="9"/>
      <c r="F182" s="9"/>
      <c r="H182" s="9"/>
      <c r="I182" s="9"/>
      <c r="K182" s="9"/>
      <c r="M182" s="9"/>
      <c r="N182" s="9"/>
      <c r="O182" s="9"/>
      <c r="R182" s="9"/>
      <c r="V182" s="9">
        <v>2.7599999999999999E-4</v>
      </c>
    </row>
    <row r="183" spans="1:22" s="10" customFormat="1" ht="14.25">
      <c r="A183" s="12">
        <v>45.3</v>
      </c>
      <c r="E183" s="9"/>
      <c r="F183" s="9"/>
      <c r="H183" s="9"/>
      <c r="I183" s="9"/>
      <c r="K183" s="9"/>
      <c r="M183" s="9"/>
      <c r="N183" s="9"/>
      <c r="O183" s="9"/>
      <c r="R183" s="9"/>
      <c r="V183" s="9"/>
    </row>
    <row r="184" spans="1:22" s="10" customFormat="1" ht="14.25">
      <c r="A184" s="12">
        <v>46</v>
      </c>
      <c r="E184" s="9"/>
      <c r="F184" s="9"/>
      <c r="H184" s="9"/>
      <c r="I184" s="9"/>
      <c r="K184" s="9"/>
      <c r="M184" s="9"/>
      <c r="N184" s="9"/>
      <c r="O184" s="9"/>
      <c r="R184" s="9"/>
      <c r="V184" s="9"/>
    </row>
    <row r="185" spans="1:22" s="10" customFormat="1" ht="14.25">
      <c r="A185" s="12">
        <v>46.1</v>
      </c>
      <c r="E185" s="9"/>
      <c r="F185" s="9"/>
      <c r="H185" s="9"/>
      <c r="I185" s="9"/>
      <c r="K185" s="9"/>
      <c r="M185" s="9"/>
      <c r="N185" s="9"/>
      <c r="O185" s="9"/>
      <c r="R185" s="9"/>
      <c r="V185" s="9"/>
    </row>
    <row r="186" spans="1:22" s="10" customFormat="1" ht="14.25">
      <c r="A186" s="12">
        <v>46.2</v>
      </c>
      <c r="E186" s="9"/>
      <c r="F186" s="9"/>
      <c r="H186" s="9"/>
      <c r="I186" s="9"/>
      <c r="K186" s="9"/>
      <c r="M186" s="9"/>
      <c r="N186" s="9"/>
      <c r="O186" s="9"/>
      <c r="R186" s="9"/>
      <c r="V186" s="9">
        <v>2.5399999999999999E-4</v>
      </c>
    </row>
    <row r="187" spans="1:22" s="10" customFormat="1" ht="14.25">
      <c r="A187" s="12">
        <v>46.3</v>
      </c>
      <c r="E187" s="9"/>
      <c r="F187" s="9"/>
      <c r="H187" s="9"/>
      <c r="I187" s="9"/>
      <c r="K187" s="9"/>
      <c r="M187" s="9"/>
      <c r="N187" s="9"/>
      <c r="O187" s="9"/>
      <c r="R187" s="9"/>
      <c r="V187" s="9"/>
    </row>
    <row r="188" spans="1:22" s="10" customFormat="1" ht="14.25">
      <c r="A188" s="12">
        <v>47</v>
      </c>
      <c r="E188" s="9"/>
      <c r="F188" s="9"/>
      <c r="H188" s="9"/>
      <c r="I188" s="9"/>
      <c r="K188" s="9"/>
      <c r="M188" s="9"/>
      <c r="N188" s="9"/>
      <c r="O188" s="9"/>
      <c r="R188" s="9"/>
      <c r="V188" s="9">
        <v>3.9999999999999998E-6</v>
      </c>
    </row>
    <row r="189" spans="1:22" s="10" customFormat="1" ht="14.25">
      <c r="A189" s="12">
        <v>47.1</v>
      </c>
      <c r="E189" s="9"/>
      <c r="F189" s="9"/>
      <c r="H189" s="9"/>
      <c r="I189" s="9"/>
      <c r="K189" s="9"/>
      <c r="M189" s="9"/>
      <c r="N189" s="9"/>
      <c r="O189" s="9"/>
      <c r="R189" s="9"/>
      <c r="V189" s="9"/>
    </row>
    <row r="190" spans="1:22" s="10" customFormat="1" ht="14.25">
      <c r="A190" s="12">
        <v>47.2</v>
      </c>
      <c r="E190" s="9"/>
      <c r="F190" s="9"/>
      <c r="H190" s="9"/>
      <c r="I190" s="9"/>
      <c r="K190" s="9"/>
      <c r="M190" s="9"/>
      <c r="N190" s="9"/>
      <c r="O190" s="9"/>
      <c r="R190" s="9"/>
      <c r="V190" s="9">
        <v>4.0000000000000003E-5</v>
      </c>
    </row>
    <row r="191" spans="1:22" s="10" customFormat="1" ht="14.25">
      <c r="A191" s="12">
        <v>47.3</v>
      </c>
      <c r="E191" s="9"/>
      <c r="F191" s="9"/>
      <c r="H191" s="9"/>
      <c r="I191" s="9"/>
      <c r="K191" s="9"/>
      <c r="M191" s="9"/>
      <c r="N191" s="9"/>
      <c r="O191" s="9"/>
      <c r="R191" s="9"/>
      <c r="V191" s="9"/>
    </row>
    <row r="192" spans="1:22" s="10" customFormat="1" ht="14.25">
      <c r="A192" s="12">
        <v>48</v>
      </c>
      <c r="E192" s="9"/>
      <c r="F192" s="9"/>
      <c r="H192" s="9"/>
      <c r="I192" s="9"/>
      <c r="K192" s="9"/>
      <c r="M192" s="9"/>
      <c r="N192" s="9"/>
      <c r="O192" s="9"/>
      <c r="R192" s="9"/>
      <c r="V192" s="9"/>
    </row>
    <row r="193" spans="1:22" s="10" customFormat="1" ht="14.25">
      <c r="A193" s="12">
        <v>48.1</v>
      </c>
      <c r="E193" s="9"/>
      <c r="F193" s="9"/>
      <c r="H193" s="9"/>
      <c r="I193" s="9"/>
      <c r="K193" s="9"/>
      <c r="M193" s="9"/>
      <c r="N193" s="9"/>
      <c r="O193" s="9"/>
      <c r="R193" s="9"/>
      <c r="V193" s="9"/>
    </row>
    <row r="194" spans="1:22" s="10" customFormat="1" ht="14.25">
      <c r="A194" s="12">
        <v>48.2</v>
      </c>
      <c r="E194" s="9"/>
      <c r="F194" s="9"/>
      <c r="H194" s="9"/>
      <c r="I194" s="9"/>
      <c r="K194" s="9"/>
      <c r="M194" s="9"/>
      <c r="N194" s="9"/>
      <c r="O194" s="9"/>
      <c r="R194" s="9"/>
      <c r="V194" s="9">
        <v>1.5E-5</v>
      </c>
    </row>
    <row r="195" spans="1:22" s="10" customFormat="1" ht="14.25">
      <c r="A195" s="12">
        <v>48.3</v>
      </c>
      <c r="E195" s="9"/>
      <c r="F195" s="9"/>
      <c r="H195" s="9"/>
      <c r="I195" s="9"/>
      <c r="K195" s="9"/>
      <c r="M195" s="9"/>
      <c r="N195" s="9"/>
      <c r="O195" s="9"/>
      <c r="R195" s="9"/>
      <c r="V195" s="9"/>
    </row>
    <row r="196" spans="1:22" s="10" customFormat="1" ht="14.25">
      <c r="A196" s="12">
        <v>49</v>
      </c>
      <c r="E196" s="9"/>
      <c r="F196" s="9"/>
      <c r="H196" s="9"/>
      <c r="I196" s="9"/>
      <c r="K196" s="9"/>
      <c r="M196" s="9"/>
      <c r="N196" s="9"/>
      <c r="O196" s="9"/>
      <c r="R196" s="9"/>
      <c r="V196" s="9"/>
    </row>
    <row r="197" spans="1:22" s="10" customFormat="1" ht="14.25">
      <c r="A197" s="12">
        <v>49.1</v>
      </c>
      <c r="E197" s="9"/>
      <c r="F197" s="9"/>
      <c r="H197" s="9"/>
      <c r="I197" s="9"/>
      <c r="K197" s="9"/>
      <c r="M197" s="9"/>
      <c r="N197" s="9"/>
      <c r="O197" s="9"/>
      <c r="R197" s="9"/>
      <c r="V197" s="9"/>
    </row>
    <row r="198" spans="1:22" s="10" customFormat="1" ht="14.25">
      <c r="A198" s="12">
        <v>49.2</v>
      </c>
      <c r="E198" s="9"/>
      <c r="F198" s="9"/>
      <c r="H198" s="9"/>
      <c r="I198" s="9"/>
      <c r="K198" s="9"/>
      <c r="M198" s="9"/>
      <c r="N198" s="9"/>
      <c r="O198" s="9"/>
      <c r="R198" s="9"/>
      <c r="V198" s="9"/>
    </row>
    <row r="199" spans="1:22" s="10" customFormat="1" ht="14.25">
      <c r="A199" s="12">
        <v>49.3</v>
      </c>
      <c r="E199" s="9"/>
      <c r="F199" s="9"/>
      <c r="H199" s="9"/>
      <c r="I199" s="9"/>
      <c r="K199" s="9"/>
      <c r="M199" s="9"/>
      <c r="N199" s="9"/>
      <c r="O199" s="9"/>
      <c r="R199" s="9"/>
      <c r="V199" s="9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57058D5EE1974382F918D3EA26C5C3" ma:contentTypeVersion="13" ma:contentTypeDescription="Crie um novo documento." ma:contentTypeScope="" ma:versionID="b9b7ac597f9fdeeadfec12e885c6a6e9">
  <xsd:schema xmlns:xsd="http://www.w3.org/2001/XMLSchema" xmlns:xs="http://www.w3.org/2001/XMLSchema" xmlns:p="http://schemas.microsoft.com/office/2006/metadata/properties" xmlns:ns2="792135f9-d248-4f60-9378-f099ef44a51f" xmlns:ns3="042cf7c8-e069-4885-b04d-c4a8be76d028" targetNamespace="http://schemas.microsoft.com/office/2006/metadata/properties" ma:root="true" ma:fieldsID="71e96c8097dec98c2e5cb4106607d73f" ns2:_="" ns3:_="">
    <xsd:import namespace="792135f9-d248-4f60-9378-f099ef44a51f"/>
    <xsd:import namespace="042cf7c8-e069-4885-b04d-c4a8be76d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135f9-d248-4f60-9378-f099ef44a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d94f631-c3c5-49eb-b42c-714fc04ba5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cf7c8-e069-4885-b04d-c4a8be76d0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8155930-89a1-4d30-b7e6-01e84008691a}" ma:internalName="TaxCatchAll" ma:showField="CatchAllData" ma:web="042cf7c8-e069-4885-b04d-c4a8be76d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cf7c8-e069-4885-b04d-c4a8be76d028" xsi:nil="true"/>
    <lcf76f155ced4ddcb4097134ff3c332f xmlns="792135f9-d248-4f60-9378-f099ef44a5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BF39F7-3F6A-411B-A8B9-B38152190C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1B8E5C-4E67-4E53-A093-117ACB9B72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2135f9-d248-4f60-9378-f099ef44a51f"/>
    <ds:schemaRef ds:uri="042cf7c8-e069-4885-b04d-c4a8be76d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B4302E-15BE-4F1B-B559-053AB05479A1}">
  <ds:schemaRefs>
    <ds:schemaRef ds:uri="http://schemas.microsoft.com/office/2006/metadata/properties"/>
    <ds:schemaRef ds:uri="http://schemas.microsoft.com/office/infopath/2007/PartnerControls"/>
    <ds:schemaRef ds:uri="042cf7c8-e069-4885-b04d-c4a8be76d028"/>
    <ds:schemaRef ds:uri="792135f9-d248-4f60-9378-f099ef44a5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IMPORTAÇÃO GENOTIPER</vt:lpstr>
      <vt:lpstr>DADOS BÁSICOS</vt:lpstr>
      <vt:lpstr>FREQUENCIAS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</dc:creator>
  <cp:lastModifiedBy>Raphael Domingos Cavalari Barbosa</cp:lastModifiedBy>
  <cp:lastPrinted>2017-07-13T20:34:22Z</cp:lastPrinted>
  <dcterms:created xsi:type="dcterms:W3CDTF">2000-11-01T18:17:47Z</dcterms:created>
  <dcterms:modified xsi:type="dcterms:W3CDTF">2026-01-27T18:25:03Z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0x0101002E57058D5EE1974382F918D3EA26C5C3</vt:lpwstr>
  </property>
</Properties>
</file>