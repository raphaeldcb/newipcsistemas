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CPG\Modelos\Planilhas\"/>
    </mc:Choice>
  </mc:AlternateContent>
  <xr:revisionPtr revIDLastSave="0" documentId="13_ncr:1_{27E02071-50FA-4D36-9BD1-00CE9A897BE5}" xr6:coauthVersionLast="47" xr6:coauthVersionMax="47" xr10:uidLastSave="{00000000-0000-0000-0000-000000000000}"/>
  <bookViews>
    <workbookView xWindow="-120" yWindow="-120" windowWidth="29040" windowHeight="15840" tabRatio="703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state="hidden" r:id="rId5"/>
    <sheet name="SUPERVISÃO 4" sheetId="16" state="hidden" r:id="rId6"/>
    <sheet name="SUPERVISÃO 3" sheetId="15" state="hidden" r:id="rId7"/>
    <sheet name="SUPERVISÃO 2" sheetId="14" state="hidden" r:id="rId8"/>
    <sheet name="SUPERVISÃO 1" sheetId="13" state="hidden" r:id="rId9"/>
    <sheet name="FREQUENCIAS" sheetId="10" state="hidden" r:id="rId10"/>
    <sheet name="RD0301" sheetId="18" state="hidden" r:id="rId11"/>
    <sheet name="PD0201" sheetId="21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11" hidden="1">'PD0201'!$BF$47:$BF$49</definedName>
    <definedName name="_xlnm.Print_Area" localSheetId="1">'LAUDO PD0101'!$A$1:$P$66</definedName>
    <definedName name="_xlnm.Print_Area" localSheetId="2">'LAUDO PD0201'!$A$1:$N$66</definedName>
    <definedName name="_xlnm.Print_Area" localSheetId="3">'LAUDO RD0301'!$A$1:$Q$66</definedName>
    <definedName name="Print_Area" localSheetId="4">'PD0101'!$A$1:$AN$66</definedName>
    <definedName name="Print_Area" localSheetId="6">'SUPERVISÃO 3'!$1:$1048576</definedName>
    <definedName name="Print_Titles" localSheetId="9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9" i="20" l="1"/>
  <c r="M19" i="20"/>
  <c r="L19" i="20"/>
  <c r="J19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21" i="20"/>
  <c r="F20" i="20"/>
  <c r="L44" i="20"/>
  <c r="L43" i="20"/>
  <c r="L42" i="20"/>
  <c r="M44" i="20"/>
  <c r="M43" i="20"/>
  <c r="M42" i="20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12" i="21"/>
  <c r="E45" i="21"/>
  <c r="AY45" i="21" s="1"/>
  <c r="D45" i="21"/>
  <c r="C45" i="21"/>
  <c r="B45" i="21"/>
  <c r="AZ45" i="21" s="1"/>
  <c r="A45" i="21"/>
  <c r="E44" i="21"/>
  <c r="AY44" i="21" s="1"/>
  <c r="D44" i="21"/>
  <c r="BB44" i="21" s="1"/>
  <c r="C44" i="21"/>
  <c r="BA44" i="21" s="1"/>
  <c r="B44" i="21"/>
  <c r="Z44" i="21" s="1"/>
  <c r="A44" i="21"/>
  <c r="E43" i="21"/>
  <c r="AY43" i="21" s="1"/>
  <c r="D43" i="21"/>
  <c r="C43" i="21"/>
  <c r="BA43" i="21" s="1"/>
  <c r="B43" i="21"/>
  <c r="A43" i="21"/>
  <c r="E42" i="21"/>
  <c r="AY42" i="21" s="1"/>
  <c r="D42" i="21"/>
  <c r="I42" i="21" s="1"/>
  <c r="C42" i="21"/>
  <c r="AW42" i="21" s="1"/>
  <c r="B42" i="21"/>
  <c r="A42" i="21"/>
  <c r="E41" i="21"/>
  <c r="D41" i="2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F40" i="21" s="1"/>
  <c r="A40" i="21"/>
  <c r="E39" i="21"/>
  <c r="I39" i="21" s="1"/>
  <c r="D39" i="21"/>
  <c r="AX39" i="21" s="1"/>
  <c r="C39" i="21"/>
  <c r="AL39" i="21" s="1"/>
  <c r="AO39" i="21" s="1"/>
  <c r="B39" i="21"/>
  <c r="AZ39" i="21" s="1"/>
  <c r="A39" i="21"/>
  <c r="E38" i="21"/>
  <c r="D38" i="21"/>
  <c r="BB38" i="21" s="1"/>
  <c r="C38" i="21"/>
  <c r="B38" i="21"/>
  <c r="AZ38" i="21" s="1"/>
  <c r="A38" i="21"/>
  <c r="AV37" i="21"/>
  <c r="AH37" i="21"/>
  <c r="AK37" i="21" s="1"/>
  <c r="E37" i="21"/>
  <c r="BC37" i="21" s="1"/>
  <c r="D37" i="21"/>
  <c r="AX37" i="21" s="1"/>
  <c r="C37" i="21"/>
  <c r="AW37" i="21" s="1"/>
  <c r="B37" i="21"/>
  <c r="AZ37" i="21" s="1"/>
  <c r="A37" i="21"/>
  <c r="E36" i="21"/>
  <c r="D36" i="21"/>
  <c r="BB36" i="21" s="1"/>
  <c r="C36" i="21"/>
  <c r="B36" i="21"/>
  <c r="AV36" i="21" s="1"/>
  <c r="A36" i="21"/>
  <c r="E35" i="21"/>
  <c r="D35" i="21"/>
  <c r="C35" i="21"/>
  <c r="AW35" i="21" s="1"/>
  <c r="B35" i="21"/>
  <c r="A35" i="21"/>
  <c r="BC34" i="21"/>
  <c r="E34" i="21"/>
  <c r="AY34" i="21" s="1"/>
  <c r="D34" i="21"/>
  <c r="BB34" i="21" s="1"/>
  <c r="C34" i="21"/>
  <c r="BA34" i="21" s="1"/>
  <c r="B34" i="21"/>
  <c r="A34" i="21"/>
  <c r="Z8" i="21"/>
  <c r="Z7" i="21"/>
  <c r="X3" i="21"/>
  <c r="M4" i="19" a="1"/>
  <c r="L4" i="20" a="1"/>
  <c r="M4" i="17" a="1"/>
  <c r="M4" i="19" l="1"/>
  <c r="L4" i="20"/>
  <c r="M4" i="17"/>
  <c r="AX42" i="21"/>
  <c r="H34" i="21"/>
  <c r="Y40" i="21"/>
  <c r="BE40" i="21" s="1"/>
  <c r="AH41" i="21"/>
  <c r="AK41" i="21" s="1"/>
  <c r="AF41" i="21" s="1"/>
  <c r="BA42" i="21"/>
  <c r="G43" i="21"/>
  <c r="AH45" i="21"/>
  <c r="AK45" i="21" s="1"/>
  <c r="I34" i="21"/>
  <c r="O34" i="21" s="1"/>
  <c r="Q34" i="21" s="1"/>
  <c r="U34" i="21" s="1"/>
  <c r="AL40" i="21"/>
  <c r="AO40" i="21" s="1"/>
  <c r="BB42" i="21"/>
  <c r="AL43" i="21"/>
  <c r="AO43" i="21" s="1"/>
  <c r="Y43" i="21"/>
  <c r="BF43" i="21" s="1"/>
  <c r="I44" i="21"/>
  <c r="AX34" i="21"/>
  <c r="AL35" i="21"/>
  <c r="AO35" i="21" s="1"/>
  <c r="BC42" i="21"/>
  <c r="BC43" i="21"/>
  <c r="BC44" i="21"/>
  <c r="BA35" i="21"/>
  <c r="BB39" i="21"/>
  <c r="G40" i="21"/>
  <c r="AL34" i="21"/>
  <c r="AO34" i="21" s="1"/>
  <c r="AW34" i="21"/>
  <c r="Y38" i="21"/>
  <c r="BE38" i="21" s="1"/>
  <c r="BC39" i="21"/>
  <c r="I40" i="21"/>
  <c r="Y41" i="21"/>
  <c r="BF41" i="21" s="1"/>
  <c r="F45" i="21"/>
  <c r="AY37" i="21"/>
  <c r="AX38" i="21"/>
  <c r="AW40" i="21"/>
  <c r="AV45" i="21"/>
  <c r="I36" i="21"/>
  <c r="AX36" i="21"/>
  <c r="G37" i="21"/>
  <c r="AY40" i="21"/>
  <c r="AW43" i="21"/>
  <c r="H39" i="21"/>
  <c r="O39" i="21" s="1"/>
  <c r="Q39" i="21" s="1"/>
  <c r="U39" i="21" s="1"/>
  <c r="I37" i="21"/>
  <c r="AH39" i="21"/>
  <c r="AK39" i="21" s="1"/>
  <c r="AF39" i="21" s="1"/>
  <c r="AV41" i="21"/>
  <c r="H42" i="21"/>
  <c r="O42" i="21" s="1"/>
  <c r="Q42" i="21" s="1"/>
  <c r="U42" i="21" s="1"/>
  <c r="AF45" i="21"/>
  <c r="BC36" i="21"/>
  <c r="AF37" i="21"/>
  <c r="AV39" i="21"/>
  <c r="X11" i="21"/>
  <c r="BF38" i="21"/>
  <c r="AV34" i="21"/>
  <c r="AZ34" i="21"/>
  <c r="F34" i="21"/>
  <c r="AX35" i="21"/>
  <c r="BB35" i="21"/>
  <c r="Y36" i="21"/>
  <c r="AW36" i="21"/>
  <c r="BA36" i="21"/>
  <c r="G36" i="21"/>
  <c r="Z36" i="21"/>
  <c r="F36" i="21"/>
  <c r="AW38" i="21"/>
  <c r="G38" i="21"/>
  <c r="AV42" i="21"/>
  <c r="AZ42" i="21"/>
  <c r="Y42" i="21"/>
  <c r="F42" i="21"/>
  <c r="Z42" i="21"/>
  <c r="Y11" i="21"/>
  <c r="BB41" i="21"/>
  <c r="H41" i="21"/>
  <c r="AX41" i="21"/>
  <c r="F44" i="21"/>
  <c r="AZ44" i="21"/>
  <c r="AH44" i="21"/>
  <c r="AK44" i="21" s="1"/>
  <c r="AF44" i="21" s="1"/>
  <c r="AV44" i="21"/>
  <c r="Y44" i="21"/>
  <c r="G34" i="21"/>
  <c r="AH34" i="21"/>
  <c r="AK34" i="21" s="1"/>
  <c r="AF34" i="21" s="1"/>
  <c r="BC41" i="21"/>
  <c r="I41" i="21"/>
  <c r="AY41" i="21"/>
  <c r="AH42" i="21"/>
  <c r="AK42" i="21" s="1"/>
  <c r="AF42" i="21" s="1"/>
  <c r="AL44" i="21"/>
  <c r="AO44" i="21" s="1"/>
  <c r="G44" i="21"/>
  <c r="AW44" i="21"/>
  <c r="AX43" i="21"/>
  <c r="BB43" i="21"/>
  <c r="I43" i="21"/>
  <c r="Z43" i="21"/>
  <c r="H43" i="21"/>
  <c r="F35" i="21"/>
  <c r="AV35" i="21"/>
  <c r="Z35" i="21"/>
  <c r="AZ35" i="21"/>
  <c r="Y35" i="21"/>
  <c r="G35" i="21"/>
  <c r="AH35" i="21"/>
  <c r="AK35" i="21" s="1"/>
  <c r="AF35" i="21"/>
  <c r="BA38" i="21"/>
  <c r="Z38" i="21"/>
  <c r="AL38" i="21"/>
  <c r="AO38" i="21" s="1"/>
  <c r="AW39" i="21"/>
  <c r="BA39" i="21"/>
  <c r="Z39" i="21"/>
  <c r="Y39" i="21"/>
  <c r="G39" i="21"/>
  <c r="AY38" i="21"/>
  <c r="I38" i="21"/>
  <c r="H38" i="21"/>
  <c r="BC38" i="21"/>
  <c r="Y34" i="21"/>
  <c r="AY35" i="21"/>
  <c r="BC35" i="21"/>
  <c r="I35" i="21"/>
  <c r="Z34" i="21"/>
  <c r="H35" i="21"/>
  <c r="AL36" i="21"/>
  <c r="AO36" i="21" s="1"/>
  <c r="AL41" i="21"/>
  <c r="AO41" i="21" s="1"/>
  <c r="G41" i="21"/>
  <c r="Z41" i="21"/>
  <c r="F41" i="21"/>
  <c r="BA41" i="21"/>
  <c r="AY36" i="21"/>
  <c r="BB37" i="21"/>
  <c r="H37" i="21"/>
  <c r="AY39" i="21"/>
  <c r="H45" i="21"/>
  <c r="BD45" i="21" s="1"/>
  <c r="BB45" i="21"/>
  <c r="AX45" i="21"/>
  <c r="BA45" i="21"/>
  <c r="Z37" i="21"/>
  <c r="AV38" i="21"/>
  <c r="AH38" i="21"/>
  <c r="AK38" i="21" s="1"/>
  <c r="AF38" i="21" s="1"/>
  <c r="F38" i="21"/>
  <c r="H40" i="21"/>
  <c r="BD40" i="21" s="1"/>
  <c r="AX40" i="21"/>
  <c r="AV43" i="21"/>
  <c r="F43" i="21"/>
  <c r="AZ43" i="21"/>
  <c r="AH43" i="21"/>
  <c r="AK43" i="21" s="1"/>
  <c r="AF43" i="21" s="1"/>
  <c r="I45" i="21"/>
  <c r="BC45" i="21"/>
  <c r="H36" i="21"/>
  <c r="Y37" i="21"/>
  <c r="G42" i="21"/>
  <c r="AL42" i="21"/>
  <c r="AO42" i="21" s="1"/>
  <c r="Y45" i="21"/>
  <c r="AL37" i="21"/>
  <c r="AO37" i="21" s="1"/>
  <c r="BA37" i="21"/>
  <c r="F37" i="21"/>
  <c r="AZ40" i="21"/>
  <c r="AH40" i="21"/>
  <c r="AK40" i="21" s="1"/>
  <c r="AF40" i="21" s="1"/>
  <c r="AV40" i="21"/>
  <c r="Z40" i="21"/>
  <c r="AL45" i="21"/>
  <c r="AO45" i="21" s="1"/>
  <c r="Z45" i="21"/>
  <c r="G45" i="21"/>
  <c r="AW45" i="21"/>
  <c r="AZ36" i="21"/>
  <c r="AH36" i="21"/>
  <c r="AK36" i="21" s="1"/>
  <c r="AF36" i="21" s="1"/>
  <c r="F39" i="21"/>
  <c r="N39" i="21" s="1"/>
  <c r="P39" i="21" s="1"/>
  <c r="AX44" i="21"/>
  <c r="H44" i="21"/>
  <c r="BF40" i="21" l="1"/>
  <c r="N42" i="21"/>
  <c r="P42" i="21" s="1"/>
  <c r="AE40" i="21"/>
  <c r="BE43" i="21"/>
  <c r="BE41" i="21"/>
  <c r="AB42" i="21"/>
  <c r="T42" i="21"/>
  <c r="X42" i="21"/>
  <c r="AC42" i="21" s="1"/>
  <c r="T39" i="21"/>
  <c r="AB39" i="21"/>
  <c r="BE45" i="21"/>
  <c r="BF45" i="21"/>
  <c r="AE35" i="21"/>
  <c r="BD35" i="21"/>
  <c r="BD43" i="21"/>
  <c r="AE43" i="21"/>
  <c r="N45" i="21"/>
  <c r="P45" i="21" s="1"/>
  <c r="O45" i="21"/>
  <c r="Q45" i="21" s="1"/>
  <c r="U45" i="21" s="1"/>
  <c r="BD42" i="21"/>
  <c r="AE42" i="21"/>
  <c r="O36" i="21"/>
  <c r="Q36" i="21" s="1"/>
  <c r="U36" i="21" s="1"/>
  <c r="N36" i="21"/>
  <c r="P36" i="21" s="1"/>
  <c r="N37" i="21"/>
  <c r="P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O40" i="21"/>
  <c r="Q40" i="21" s="1"/>
  <c r="U40" i="21" s="1"/>
  <c r="N41" i="21"/>
  <c r="P41" i="21" s="1"/>
  <c r="O41" i="21"/>
  <c r="Q41" i="21" s="1"/>
  <c r="U41" i="21" s="1"/>
  <c r="BD36" i="21"/>
  <c r="AE36" i="21"/>
  <c r="BD34" i="21"/>
  <c r="N34" i="21"/>
  <c r="P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O38" i="21"/>
  <c r="Q38" i="21" s="1"/>
  <c r="U38" i="21" s="1"/>
  <c r="N38" i="21"/>
  <c r="P38" i="21" s="1"/>
  <c r="BF36" i="21"/>
  <c r="BE36" i="21"/>
  <c r="N44" i="21"/>
  <c r="P44" i="21" s="1"/>
  <c r="O44" i="21"/>
  <c r="Q44" i="21" s="1"/>
  <c r="U44" i="21" s="1"/>
  <c r="BF37" i="21"/>
  <c r="BE37" i="21"/>
  <c r="N35" i="21"/>
  <c r="P35" i="21" s="1"/>
  <c r="O35" i="21"/>
  <c r="Q35" i="21" s="1"/>
  <c r="U35" i="21" s="1"/>
  <c r="X39" i="21"/>
  <c r="AC39" i="21" s="1"/>
  <c r="AE44" i="21"/>
  <c r="BD44" i="21"/>
  <c r="BF42" i="21"/>
  <c r="BE42" i="21"/>
  <c r="BF44" i="21"/>
  <c r="BE44" i="21"/>
  <c r="BF39" i="21"/>
  <c r="BE39" i="21"/>
  <c r="AE45" i="21"/>
  <c r="AB41" i="21" l="1"/>
  <c r="X41" i="21"/>
  <c r="AC41" i="21" s="1"/>
  <c r="T41" i="21"/>
  <c r="AB38" i="21"/>
  <c r="T38" i="21"/>
  <c r="X38" i="21"/>
  <c r="AC38" i="21" s="1"/>
  <c r="T40" i="21"/>
  <c r="X40" i="21"/>
  <c r="AC40" i="21" s="1"/>
  <c r="AB40" i="21"/>
  <c r="T44" i="21"/>
  <c r="AB44" i="21"/>
  <c r="X44" i="21"/>
  <c r="AC44" i="21" s="1"/>
  <c r="AB34" i="21"/>
  <c r="T34" i="21"/>
  <c r="X34" i="21"/>
  <c r="AC34" i="21" s="1"/>
  <c r="T43" i="21"/>
  <c r="AB43" i="21"/>
  <c r="X43" i="21"/>
  <c r="AC43" i="21" s="1"/>
  <c r="T37" i="21"/>
  <c r="AB37" i="21"/>
  <c r="X37" i="21"/>
  <c r="AC37" i="21" s="1"/>
  <c r="AB36" i="21"/>
  <c r="T36" i="21"/>
  <c r="X36" i="21"/>
  <c r="AC36" i="21" s="1"/>
  <c r="AB45" i="21"/>
  <c r="X45" i="21"/>
  <c r="AC45" i="21" s="1"/>
  <c r="T45" i="21"/>
  <c r="T35" i="21"/>
  <c r="AB35" i="21"/>
  <c r="X35" i="21"/>
  <c r="AC35" i="21" s="1"/>
  <c r="A19" i="20" l="1"/>
  <c r="A17" i="20"/>
  <c r="L43" i="19"/>
  <c r="L42" i="19"/>
  <c r="Q19" i="19"/>
  <c r="P19" i="19"/>
  <c r="O19" i="19"/>
  <c r="M19" i="19"/>
  <c r="I45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K19" i="19"/>
  <c r="G19" i="19"/>
  <c r="A19" i="19"/>
  <c r="A11" i="18"/>
  <c r="A12" i="18"/>
  <c r="A13" i="18"/>
  <c r="A14" i="18"/>
  <c r="A15" i="18"/>
  <c r="A16" i="18"/>
  <c r="A17" i="18"/>
  <c r="A18" i="18"/>
  <c r="BG18" i="18" s="1"/>
  <c r="A19" i="18"/>
  <c r="A20" i="18"/>
  <c r="A21" i="18"/>
  <c r="A22" i="18"/>
  <c r="A23" i="18"/>
  <c r="A24" i="18"/>
  <c r="A25" i="18"/>
  <c r="A26" i="18"/>
  <c r="BH26" i="18" s="1"/>
  <c r="A27" i="18"/>
  <c r="A28" i="18"/>
  <c r="A29" i="18"/>
  <c r="A30" i="18"/>
  <c r="A10" i="18"/>
  <c r="A9" i="18"/>
  <c r="BH9" i="18" s="1"/>
  <c r="A58" i="18"/>
  <c r="A55" i="18"/>
  <c r="BI43" i="18"/>
  <c r="I42" i="18"/>
  <c r="H42" i="18"/>
  <c r="G42" i="18"/>
  <c r="CH42" i="18" s="1"/>
  <c r="F42" i="18"/>
  <c r="E42" i="18"/>
  <c r="D42" i="18"/>
  <c r="AY42" i="18" s="1"/>
  <c r="C42" i="18"/>
  <c r="CD42" i="18" s="1"/>
  <c r="B42" i="18"/>
  <c r="AN42" i="18" s="1"/>
  <c r="A42" i="18"/>
  <c r="BH42" i="18" s="1"/>
  <c r="I41" i="18"/>
  <c r="H41" i="18"/>
  <c r="G41" i="18"/>
  <c r="F41" i="18"/>
  <c r="CG41" i="18" s="1"/>
  <c r="E41" i="18"/>
  <c r="AZ41" i="18" s="1"/>
  <c r="D41" i="18"/>
  <c r="AY41" i="18" s="1"/>
  <c r="C41" i="18"/>
  <c r="CD41" i="18" s="1"/>
  <c r="B41" i="18"/>
  <c r="CC41" i="18" s="1"/>
  <c r="A41" i="18"/>
  <c r="CD40" i="18"/>
  <c r="I40" i="18"/>
  <c r="H40" i="18"/>
  <c r="N40" i="18" s="1"/>
  <c r="G40" i="18"/>
  <c r="BB40" i="18" s="1"/>
  <c r="F40" i="18"/>
  <c r="BA40" i="18" s="1"/>
  <c r="E40" i="18"/>
  <c r="AZ40" i="18" s="1"/>
  <c r="D40" i="18"/>
  <c r="AY40" i="18" s="1"/>
  <c r="C40" i="18"/>
  <c r="AX40" i="18" s="1"/>
  <c r="B40" i="18"/>
  <c r="AM40" i="18" s="1"/>
  <c r="BD40" i="18" s="1"/>
  <c r="A40" i="18"/>
  <c r="CG39" i="18"/>
  <c r="I39" i="18"/>
  <c r="H39" i="18"/>
  <c r="G39" i="18"/>
  <c r="F39" i="18"/>
  <c r="E39" i="18"/>
  <c r="D39" i="18"/>
  <c r="AY39" i="18" s="1"/>
  <c r="C39" i="18"/>
  <c r="AX39" i="18" s="1"/>
  <c r="B39" i="18"/>
  <c r="AW39" i="18" s="1"/>
  <c r="A39" i="18"/>
  <c r="BG39" i="18" s="1"/>
  <c r="I38" i="18"/>
  <c r="H38" i="18"/>
  <c r="G38" i="18"/>
  <c r="CH38" i="18" s="1"/>
  <c r="F38" i="18"/>
  <c r="CG38" i="18" s="1"/>
  <c r="E38" i="18"/>
  <c r="CF38" i="18" s="1"/>
  <c r="D38" i="18"/>
  <c r="AY38" i="18" s="1"/>
  <c r="C38" i="18"/>
  <c r="B38" i="18"/>
  <c r="AW38" i="18" s="1"/>
  <c r="A38" i="18"/>
  <c r="BG38" i="18" s="1"/>
  <c r="I37" i="18"/>
  <c r="H37" i="18"/>
  <c r="G37" i="18"/>
  <c r="F37" i="18"/>
  <c r="CG37" i="18" s="1"/>
  <c r="E37" i="18"/>
  <c r="AZ37" i="18" s="1"/>
  <c r="D37" i="18"/>
  <c r="AY37" i="18" s="1"/>
  <c r="C37" i="18"/>
  <c r="CD37" i="18" s="1"/>
  <c r="B37" i="18"/>
  <c r="CC37" i="18" s="1"/>
  <c r="A37" i="18"/>
  <c r="I36" i="18"/>
  <c r="H36" i="18"/>
  <c r="G36" i="18"/>
  <c r="F36" i="18"/>
  <c r="BA36" i="18" s="1"/>
  <c r="E36" i="18"/>
  <c r="AZ36" i="18" s="1"/>
  <c r="D36" i="18"/>
  <c r="AY36" i="18" s="1"/>
  <c r="C36" i="18"/>
  <c r="AX36" i="18" s="1"/>
  <c r="B36" i="18"/>
  <c r="AM36" i="18" s="1"/>
  <c r="BD36" i="18" s="1"/>
  <c r="A36" i="18"/>
  <c r="BH35" i="18"/>
  <c r="AY35" i="18"/>
  <c r="I35" i="18"/>
  <c r="H35" i="18"/>
  <c r="G35" i="18"/>
  <c r="F35" i="18"/>
  <c r="CG35" i="18" s="1"/>
  <c r="E35" i="18"/>
  <c r="AZ35" i="18" s="1"/>
  <c r="D35" i="18"/>
  <c r="C35" i="18"/>
  <c r="AX35" i="18" s="1"/>
  <c r="B35" i="18"/>
  <c r="AW35" i="18" s="1"/>
  <c r="A35" i="18"/>
  <c r="BG35" i="18" s="1"/>
  <c r="AX34" i="18"/>
  <c r="I34" i="18"/>
  <c r="H34" i="18"/>
  <c r="G34" i="18"/>
  <c r="CH34" i="18" s="1"/>
  <c r="F34" i="18"/>
  <c r="CG34" i="18" s="1"/>
  <c r="E34" i="18"/>
  <c r="CF34" i="18" s="1"/>
  <c r="D34" i="18"/>
  <c r="C34" i="18"/>
  <c r="CD34" i="18" s="1"/>
  <c r="B34" i="18"/>
  <c r="AN34" i="18" s="1"/>
  <c r="A34" i="18"/>
  <c r="BG34" i="18" s="1"/>
  <c r="CF33" i="18"/>
  <c r="I33" i="18"/>
  <c r="H33" i="18"/>
  <c r="N33" i="18" s="1"/>
  <c r="G33" i="18"/>
  <c r="F33" i="18"/>
  <c r="E33" i="18"/>
  <c r="AZ33" i="18" s="1"/>
  <c r="D33" i="18"/>
  <c r="AY33" i="18" s="1"/>
  <c r="C33" i="18"/>
  <c r="CD33" i="18" s="1"/>
  <c r="B33" i="18"/>
  <c r="AW33" i="18" s="1"/>
  <c r="A33" i="18"/>
  <c r="BH33" i="18" s="1"/>
  <c r="I32" i="18"/>
  <c r="H32" i="18"/>
  <c r="G32" i="18"/>
  <c r="CH32" i="18" s="1"/>
  <c r="F32" i="18"/>
  <c r="CG32" i="18" s="1"/>
  <c r="E32" i="18"/>
  <c r="AZ32" i="18" s="1"/>
  <c r="D32" i="18"/>
  <c r="AY32" i="18" s="1"/>
  <c r="C32" i="18"/>
  <c r="AX32" i="18" s="1"/>
  <c r="B32" i="18"/>
  <c r="AW32" i="18" s="1"/>
  <c r="A32" i="18"/>
  <c r="AX31" i="18"/>
  <c r="I31" i="18"/>
  <c r="H31" i="18"/>
  <c r="G31" i="18"/>
  <c r="CH31" i="18" s="1"/>
  <c r="F31" i="18"/>
  <c r="E31" i="18"/>
  <c r="AZ31" i="18" s="1"/>
  <c r="D31" i="18"/>
  <c r="C31" i="18"/>
  <c r="CD31" i="18" s="1"/>
  <c r="A31" i="18"/>
  <c r="BG31" i="18" s="1"/>
  <c r="BH29" i="18"/>
  <c r="BG29" i="18"/>
  <c r="BG28" i="18"/>
  <c r="BG26" i="18"/>
  <c r="BH25" i="18"/>
  <c r="BG25" i="18"/>
  <c r="BG22" i="18"/>
  <c r="BG21" i="18"/>
  <c r="BG19" i="18"/>
  <c r="BG17" i="18"/>
  <c r="BG16" i="18"/>
  <c r="BG14" i="18"/>
  <c r="BG13" i="18"/>
  <c r="BG11" i="18"/>
  <c r="BG10" i="18"/>
  <c r="BH10" i="18"/>
  <c r="BG9" i="18"/>
  <c r="AS7" i="18"/>
  <c r="AS6" i="18"/>
  <c r="AO6" i="18"/>
  <c r="AS5" i="18"/>
  <c r="AO5" i="18"/>
  <c r="AS4" i="18"/>
  <c r="AO4" i="18"/>
  <c r="AS3" i="18"/>
  <c r="AO3" i="18"/>
  <c r="AT33" i="18" l="1"/>
  <c r="CE37" i="18"/>
  <c r="BH34" i="18"/>
  <c r="CE41" i="18"/>
  <c r="AT32" i="18"/>
  <c r="AZ38" i="18"/>
  <c r="BA32" i="18"/>
  <c r="CE42" i="18"/>
  <c r="O36" i="18"/>
  <c r="AT40" i="18"/>
  <c r="AN36" i="18"/>
  <c r="AO36" i="18" s="1"/>
  <c r="CD32" i="18"/>
  <c r="J34" i="18"/>
  <c r="P34" i="18" s="1"/>
  <c r="AT36" i="18"/>
  <c r="M38" i="18"/>
  <c r="AW42" i="18"/>
  <c r="O33" i="18"/>
  <c r="W33" i="18" s="1"/>
  <c r="BH31" i="18"/>
  <c r="BE31" i="18" s="1"/>
  <c r="CC36" i="18"/>
  <c r="BH38" i="18"/>
  <c r="O39" i="18"/>
  <c r="BJ36" i="18"/>
  <c r="L35" i="18"/>
  <c r="CD36" i="18"/>
  <c r="BJ40" i="18"/>
  <c r="AM32" i="18"/>
  <c r="BD32" i="18" s="1"/>
  <c r="AN32" i="18"/>
  <c r="AO32" i="18" s="1"/>
  <c r="AN39" i="18"/>
  <c r="AO39" i="18" s="1"/>
  <c r="BE26" i="18"/>
  <c r="BE29" i="18"/>
  <c r="BE10" i="18"/>
  <c r="BE34" i="18"/>
  <c r="AT41" i="18"/>
  <c r="L32" i="18"/>
  <c r="BJ32" i="18"/>
  <c r="AM35" i="18"/>
  <c r="BD35" i="18" s="1"/>
  <c r="N36" i="18"/>
  <c r="CF37" i="18"/>
  <c r="CE38" i="18"/>
  <c r="BH39" i="18"/>
  <c r="BE39" i="18" s="1"/>
  <c r="AX41" i="18"/>
  <c r="AX42" i="18"/>
  <c r="BH28" i="18"/>
  <c r="BE28" i="18" s="1"/>
  <c r="M32" i="18"/>
  <c r="CC32" i="18"/>
  <c r="AX33" i="18"/>
  <c r="AN35" i="18"/>
  <c r="AO35" i="18" s="1"/>
  <c r="BJ39" i="18"/>
  <c r="BG42" i="18"/>
  <c r="BE42" i="18" s="1"/>
  <c r="BE25" i="18"/>
  <c r="CE33" i="18"/>
  <c r="BN37" i="18"/>
  <c r="K37" i="18"/>
  <c r="Q37" i="18" s="1"/>
  <c r="CC39" i="18"/>
  <c r="AT37" i="18"/>
  <c r="CC40" i="18"/>
  <c r="CF41" i="18"/>
  <c r="AX37" i="18"/>
  <c r="CE40" i="18"/>
  <c r="AM34" i="18"/>
  <c r="BD34" i="18" s="1"/>
  <c r="BI34" i="18" s="1"/>
  <c r="BJ35" i="18"/>
  <c r="CF31" i="18"/>
  <c r="K34" i="18"/>
  <c r="Q34" i="18" s="1"/>
  <c r="Y34" i="18" s="1"/>
  <c r="BN36" i="18"/>
  <c r="AM39" i="18"/>
  <c r="BD39" i="18" s="1"/>
  <c r="AN40" i="18"/>
  <c r="AO40" i="18" s="1"/>
  <c r="BH15" i="18"/>
  <c r="BG15" i="18"/>
  <c r="BH12" i="18"/>
  <c r="BE9" i="18"/>
  <c r="BG12" i="18"/>
  <c r="BH20" i="18"/>
  <c r="BG20" i="18"/>
  <c r="BG30" i="18"/>
  <c r="BH30" i="18"/>
  <c r="CG31" i="18"/>
  <c r="N31" i="18"/>
  <c r="BA31" i="18"/>
  <c r="L31" i="18"/>
  <c r="BH11" i="18"/>
  <c r="BE11" i="18" s="1"/>
  <c r="BH16" i="18"/>
  <c r="BE16" i="18" s="1"/>
  <c r="AM8" i="18"/>
  <c r="BH18" i="18"/>
  <c r="BE18" i="18" s="1"/>
  <c r="BH21" i="18"/>
  <c r="BE21" i="18" s="1"/>
  <c r="BG27" i="18"/>
  <c r="BH27" i="18"/>
  <c r="BH13" i="18"/>
  <c r="BE13" i="18" s="1"/>
  <c r="AN8" i="18"/>
  <c r="BG24" i="18"/>
  <c r="BH24" i="18"/>
  <c r="BH19" i="18"/>
  <c r="BE19" i="18" s="1"/>
  <c r="BH14" i="18"/>
  <c r="BE14" i="18" s="1"/>
  <c r="BH22" i="18"/>
  <c r="BE22" i="18" s="1"/>
  <c r="BH17" i="18"/>
  <c r="BE17" i="18" s="1"/>
  <c r="BH23" i="18"/>
  <c r="BG23" i="18"/>
  <c r="CE31" i="18"/>
  <c r="AY31" i="18"/>
  <c r="BG41" i="18"/>
  <c r="BH41" i="18"/>
  <c r="BE41" i="18" s="1"/>
  <c r="O41" i="18"/>
  <c r="K31" i="18"/>
  <c r="N32" i="18"/>
  <c r="CF39" i="18"/>
  <c r="K39" i="18"/>
  <c r="AZ39" i="18"/>
  <c r="CF42" i="18"/>
  <c r="AZ42" i="18"/>
  <c r="M42" i="18"/>
  <c r="K42" i="18"/>
  <c r="BH32" i="18"/>
  <c r="BG32" i="18"/>
  <c r="O32" i="18"/>
  <c r="V33" i="18"/>
  <c r="M31" i="18"/>
  <c r="BA33" i="18"/>
  <c r="CG33" i="18"/>
  <c r="L33" i="18"/>
  <c r="AT38" i="18"/>
  <c r="CC38" i="18"/>
  <c r="BN38" i="18"/>
  <c r="AM38" i="18"/>
  <c r="BD38" i="18" s="1"/>
  <c r="AN38" i="18"/>
  <c r="AO38" i="18" s="1"/>
  <c r="J38" i="18"/>
  <c r="BN41" i="18"/>
  <c r="K41" i="18"/>
  <c r="CH33" i="18"/>
  <c r="BB33" i="18"/>
  <c r="M33" i="18"/>
  <c r="CH35" i="18"/>
  <c r="O35" i="18"/>
  <c r="CD38" i="18"/>
  <c r="AX38" i="18"/>
  <c r="K38" i="18"/>
  <c r="O31" i="18"/>
  <c r="BB31" i="18"/>
  <c r="CE32" i="18"/>
  <c r="J32" i="18"/>
  <c r="CH36" i="18"/>
  <c r="M36" i="18"/>
  <c r="BB36" i="18"/>
  <c r="BE38" i="18"/>
  <c r="CH40" i="18"/>
  <c r="M40" i="18"/>
  <c r="CF32" i="18"/>
  <c r="K32" i="18"/>
  <c r="BN32" i="18"/>
  <c r="CC34" i="18"/>
  <c r="BN34" i="18"/>
  <c r="BJ34" i="18"/>
  <c r="AW34" i="18"/>
  <c r="AT34" i="18"/>
  <c r="BJ38" i="18"/>
  <c r="AT42" i="18"/>
  <c r="CC42" i="18"/>
  <c r="BN42" i="18"/>
  <c r="AM42" i="18"/>
  <c r="BD42" i="18" s="1"/>
  <c r="BJ42" i="18"/>
  <c r="J42" i="18"/>
  <c r="BN33" i="18"/>
  <c r="BJ33" i="18"/>
  <c r="AN33" i="18"/>
  <c r="AO33" i="18" s="1"/>
  <c r="AM33" i="18"/>
  <c r="BD33" i="18" s="1"/>
  <c r="CC33" i="18"/>
  <c r="J33" i="18"/>
  <c r="BH40" i="18"/>
  <c r="BG40" i="18"/>
  <c r="O40" i="18"/>
  <c r="W40" i="18" s="1"/>
  <c r="K33" i="18"/>
  <c r="CE34" i="18"/>
  <c r="AY34" i="18"/>
  <c r="L34" i="18"/>
  <c r="M35" i="18"/>
  <c r="BB35" i="18"/>
  <c r="V36" i="18"/>
  <c r="CE39" i="18"/>
  <c r="J39" i="18"/>
  <c r="L39" i="18"/>
  <c r="BG33" i="18"/>
  <c r="BE33" i="18" s="1"/>
  <c r="CE35" i="18"/>
  <c r="J35" i="18"/>
  <c r="BN35" i="18"/>
  <c r="CH39" i="18"/>
  <c r="AO34" i="18"/>
  <c r="O34" i="18"/>
  <c r="W34" i="18" s="1"/>
  <c r="AZ34" i="18"/>
  <c r="CF35" i="18"/>
  <c r="K35" i="18"/>
  <c r="BH36" i="18"/>
  <c r="BG36" i="18"/>
  <c r="M39" i="18"/>
  <c r="CG40" i="18"/>
  <c r="L40" i="18"/>
  <c r="N41" i="18"/>
  <c r="V41" i="18" s="1"/>
  <c r="BB32" i="18"/>
  <c r="M34" i="18"/>
  <c r="BE35" i="18"/>
  <c r="N37" i="18"/>
  <c r="CG36" i="18"/>
  <c r="L36" i="18"/>
  <c r="BG37" i="18"/>
  <c r="O37" i="18"/>
  <c r="BH37" i="18"/>
  <c r="BB39" i="18"/>
  <c r="BN40" i="18"/>
  <c r="AO42" i="18"/>
  <c r="N35" i="18"/>
  <c r="BA35" i="18"/>
  <c r="J37" i="18"/>
  <c r="AW37" i="18"/>
  <c r="L38" i="18"/>
  <c r="N39" i="18"/>
  <c r="V39" i="18" s="1"/>
  <c r="BA39" i="18"/>
  <c r="BN39" i="18"/>
  <c r="J41" i="18"/>
  <c r="AW41" i="18"/>
  <c r="L42" i="18"/>
  <c r="CG42" i="18"/>
  <c r="N34" i="18"/>
  <c r="BA34" i="18"/>
  <c r="CC35" i="18"/>
  <c r="J36" i="18"/>
  <c r="AW36" i="18"/>
  <c r="CE36" i="18"/>
  <c r="L37" i="18"/>
  <c r="AM37" i="18"/>
  <c r="BD37" i="18" s="1"/>
  <c r="N38" i="18"/>
  <c r="BA38" i="18"/>
  <c r="J40" i="18"/>
  <c r="AW40" i="18"/>
  <c r="L41" i="18"/>
  <c r="AM41" i="18"/>
  <c r="BD41" i="18" s="1"/>
  <c r="N42" i="18"/>
  <c r="BA42" i="18"/>
  <c r="BB34" i="18"/>
  <c r="AT35" i="18"/>
  <c r="CD35" i="18"/>
  <c r="K36" i="18"/>
  <c r="CF36" i="18"/>
  <c r="M37" i="18"/>
  <c r="AN37" i="18"/>
  <c r="AO37" i="18" s="1"/>
  <c r="BJ37" i="18"/>
  <c r="CH37" i="18"/>
  <c r="O38" i="18"/>
  <c r="W38" i="18" s="1"/>
  <c r="BB38" i="18"/>
  <c r="AT39" i="18"/>
  <c r="CD39" i="18"/>
  <c r="K40" i="18"/>
  <c r="CF40" i="18"/>
  <c r="M41" i="18"/>
  <c r="AN41" i="18"/>
  <c r="AO41" i="18" s="1"/>
  <c r="BJ41" i="18"/>
  <c r="CH41" i="18"/>
  <c r="O42" i="18"/>
  <c r="BB42" i="18"/>
  <c r="BA37" i="18"/>
  <c r="BA41" i="18"/>
  <c r="BB37" i="18"/>
  <c r="BB41" i="18"/>
  <c r="W36" i="18" l="1"/>
  <c r="BI36" i="18"/>
  <c r="BI32" i="18"/>
  <c r="T38" i="18"/>
  <c r="BI39" i="18"/>
  <c r="W31" i="18"/>
  <c r="W35" i="18"/>
  <c r="R34" i="18"/>
  <c r="S34" i="18"/>
  <c r="U32" i="18"/>
  <c r="U34" i="18"/>
  <c r="AA34" i="18" s="1"/>
  <c r="BI40" i="18"/>
  <c r="BE40" i="18"/>
  <c r="W32" i="18"/>
  <c r="BE20" i="18"/>
  <c r="BE24" i="18"/>
  <c r="BE15" i="18"/>
  <c r="V40" i="18"/>
  <c r="U39" i="18"/>
  <c r="BI35" i="18"/>
  <c r="BE12" i="18"/>
  <c r="T32" i="18"/>
  <c r="W42" i="18"/>
  <c r="V37" i="18"/>
  <c r="X34" i="18"/>
  <c r="U31" i="18"/>
  <c r="T37" i="18"/>
  <c r="T42" i="18"/>
  <c r="T40" i="18"/>
  <c r="T33" i="18"/>
  <c r="T36" i="18"/>
  <c r="T41" i="18"/>
  <c r="S39" i="18"/>
  <c r="Q39" i="18"/>
  <c r="BE37" i="18"/>
  <c r="T39" i="18"/>
  <c r="R33" i="18"/>
  <c r="P33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S32" i="18"/>
  <c r="Q32" i="18"/>
  <c r="U33" i="18"/>
  <c r="Q42" i="18"/>
  <c r="S42" i="18"/>
  <c r="V32" i="18"/>
  <c r="BE27" i="18"/>
  <c r="T31" i="18"/>
  <c r="R40" i="18"/>
  <c r="P40" i="18"/>
  <c r="U36" i="18"/>
  <c r="BE23" i="18"/>
  <c r="U41" i="18"/>
  <c r="BI37" i="18"/>
  <c r="W37" i="18"/>
  <c r="R35" i="18"/>
  <c r="P35" i="18"/>
  <c r="T34" i="18"/>
  <c r="BI33" i="18"/>
  <c r="BI38" i="18"/>
  <c r="U42" i="18"/>
  <c r="W41" i="18"/>
  <c r="BE30" i="18"/>
  <c r="S36" i="18"/>
  <c r="Q36" i="18"/>
  <c r="BI42" i="18"/>
  <c r="V42" i="18"/>
  <c r="U37" i="18"/>
  <c r="BI41" i="18"/>
  <c r="BE36" i="18"/>
  <c r="U38" i="18"/>
  <c r="R32" i="18"/>
  <c r="P32" i="18"/>
  <c r="Q31" i="18"/>
  <c r="V31" i="18"/>
  <c r="R36" i="18"/>
  <c r="P36" i="18"/>
  <c r="S40" i="18"/>
  <c r="Q40" i="18"/>
  <c r="Y40" i="18" s="1"/>
  <c r="R41" i="18"/>
  <c r="P41" i="18"/>
  <c r="R37" i="18"/>
  <c r="P37" i="18"/>
  <c r="S37" i="18"/>
  <c r="S35" i="18"/>
  <c r="Q35" i="18"/>
  <c r="Y35" i="18" s="1"/>
  <c r="Q33" i="18"/>
  <c r="Y33" i="18" s="1"/>
  <c r="S33" i="18"/>
  <c r="S41" i="18"/>
  <c r="Q41" i="18"/>
  <c r="AA33" i="18" l="1"/>
  <c r="Z38" i="18"/>
  <c r="X39" i="18"/>
  <c r="AA42" i="18"/>
  <c r="Z42" i="18"/>
  <c r="AA39" i="18"/>
  <c r="X41" i="18"/>
  <c r="AA41" i="18"/>
  <c r="Z41" i="18"/>
  <c r="X32" i="18"/>
  <c r="X38" i="18"/>
  <c r="X36" i="18"/>
  <c r="Y42" i="18"/>
  <c r="Z37" i="18"/>
  <c r="Z36" i="18"/>
  <c r="Z33" i="18"/>
  <c r="Z40" i="18"/>
  <c r="AA38" i="18"/>
  <c r="Y36" i="18"/>
  <c r="AA40" i="18"/>
  <c r="Z35" i="18"/>
  <c r="Z32" i="18"/>
  <c r="AA32" i="18"/>
  <c r="Y32" i="18"/>
  <c r="X37" i="18"/>
  <c r="Y37" i="18"/>
  <c r="Z34" i="18"/>
  <c r="AC34" i="18" s="1"/>
  <c r="X33" i="18"/>
  <c r="Y41" i="18"/>
  <c r="X35" i="18"/>
  <c r="Y38" i="18"/>
  <c r="AA36" i="18"/>
  <c r="X42" i="18"/>
  <c r="Z39" i="18"/>
  <c r="Y39" i="18"/>
  <c r="AA37" i="18"/>
  <c r="X40" i="18"/>
  <c r="AA35" i="18"/>
  <c r="AC33" i="18" l="1"/>
  <c r="BP33" i="18" s="1"/>
  <c r="AB38" i="18"/>
  <c r="AB42" i="18"/>
  <c r="AC42" i="18"/>
  <c r="BP42" i="18" s="1"/>
  <c r="AC39" i="18"/>
  <c r="BO39" i="18" s="1"/>
  <c r="AC41" i="18"/>
  <c r="AE41" i="18" s="1"/>
  <c r="AG41" i="18" s="1"/>
  <c r="BU41" i="18" s="1"/>
  <c r="AB41" i="18"/>
  <c r="AC37" i="18"/>
  <c r="AD37" i="18" s="1"/>
  <c r="AF37" i="18" s="1"/>
  <c r="AB40" i="18"/>
  <c r="AB36" i="18"/>
  <c r="AC36" i="18"/>
  <c r="AE36" i="18" s="1"/>
  <c r="AG36" i="18" s="1"/>
  <c r="AB33" i="18"/>
  <c r="AB35" i="18"/>
  <c r="AB34" i="18"/>
  <c r="AC32" i="18"/>
  <c r="AB32" i="18"/>
  <c r="AC40" i="18"/>
  <c r="AB37" i="18"/>
  <c r="BQ33" i="18"/>
  <c r="BP34" i="18"/>
  <c r="BO34" i="18"/>
  <c r="AE34" i="18"/>
  <c r="AG34" i="18" s="1"/>
  <c r="AD34" i="18"/>
  <c r="AF34" i="18" s="1"/>
  <c r="BQ34" i="18"/>
  <c r="AC35" i="18"/>
  <c r="AC38" i="18"/>
  <c r="AB39" i="18"/>
  <c r="AD33" i="18" l="1"/>
  <c r="AF33" i="18" s="1"/>
  <c r="CL33" i="18" s="1"/>
  <c r="AE33" i="18"/>
  <c r="AG33" i="18" s="1"/>
  <c r="BO33" i="18"/>
  <c r="BO42" i="18"/>
  <c r="BQ42" i="18"/>
  <c r="AE42" i="18"/>
  <c r="AG42" i="18" s="1"/>
  <c r="CO42" i="18" s="1"/>
  <c r="AD42" i="18"/>
  <c r="AF42" i="18" s="1"/>
  <c r="BR42" i="18" s="1"/>
  <c r="BP37" i="18"/>
  <c r="AE39" i="18"/>
  <c r="AG39" i="18" s="1"/>
  <c r="BW39" i="18" s="1"/>
  <c r="BQ39" i="18"/>
  <c r="AD39" i="18"/>
  <c r="AF39" i="18" s="1"/>
  <c r="CK39" i="18" s="1"/>
  <c r="BP39" i="18"/>
  <c r="BV41" i="18"/>
  <c r="AD41" i="18"/>
  <c r="AF41" i="18" s="1"/>
  <c r="CK41" i="18" s="1"/>
  <c r="CP41" i="18"/>
  <c r="BO41" i="18"/>
  <c r="AI41" i="18"/>
  <c r="BW41" i="18"/>
  <c r="BQ41" i="18"/>
  <c r="CQ41" i="18"/>
  <c r="CO41" i="18"/>
  <c r="BP41" i="18"/>
  <c r="CN41" i="18"/>
  <c r="AE37" i="18"/>
  <c r="AG37" i="18" s="1"/>
  <c r="BO37" i="18"/>
  <c r="BQ37" i="18"/>
  <c r="BQ36" i="18"/>
  <c r="BP36" i="18"/>
  <c r="BO36" i="18"/>
  <c r="AD36" i="18"/>
  <c r="AF36" i="18" s="1"/>
  <c r="BQ35" i="18"/>
  <c r="BP35" i="18"/>
  <c r="AD35" i="18"/>
  <c r="AF35" i="18" s="1"/>
  <c r="AE35" i="18"/>
  <c r="AG35" i="18" s="1"/>
  <c r="BO35" i="18"/>
  <c r="BP40" i="18"/>
  <c r="BQ40" i="18"/>
  <c r="BO40" i="18"/>
  <c r="AE40" i="18"/>
  <c r="AG40" i="18" s="1"/>
  <c r="AD40" i="18"/>
  <c r="AF40" i="18" s="1"/>
  <c r="BV33" i="18"/>
  <c r="BU33" i="18"/>
  <c r="BW33" i="18"/>
  <c r="AI33" i="18"/>
  <c r="CN33" i="18"/>
  <c r="CP33" i="18"/>
  <c r="CO33" i="18"/>
  <c r="CQ33" i="18"/>
  <c r="BQ38" i="18"/>
  <c r="BP38" i="18"/>
  <c r="BO38" i="18"/>
  <c r="AE38" i="18"/>
  <c r="AG38" i="18" s="1"/>
  <c r="AD38" i="18"/>
  <c r="AF38" i="18" s="1"/>
  <c r="BO32" i="18"/>
  <c r="AE32" i="18"/>
  <c r="AG32" i="18" s="1"/>
  <c r="BQ32" i="18"/>
  <c r="BP32" i="18"/>
  <c r="AD32" i="18"/>
  <c r="AF32" i="18" s="1"/>
  <c r="BT37" i="18"/>
  <c r="BR37" i="18"/>
  <c r="AH37" i="18"/>
  <c r="BS37" i="18"/>
  <c r="CL37" i="18"/>
  <c r="CJ37" i="18"/>
  <c r="CK37" i="18"/>
  <c r="CM37" i="18"/>
  <c r="BW34" i="18"/>
  <c r="BV34" i="18"/>
  <c r="CN34" i="18"/>
  <c r="BU34" i="18"/>
  <c r="AI34" i="18"/>
  <c r="CQ34" i="18"/>
  <c r="CP34" i="18"/>
  <c r="CO34" i="18"/>
  <c r="BS34" i="18"/>
  <c r="AH34" i="18"/>
  <c r="BR34" i="18"/>
  <c r="BT34" i="18"/>
  <c r="CL34" i="18"/>
  <c r="CK34" i="18"/>
  <c r="CM34" i="18"/>
  <c r="CJ34" i="18"/>
  <c r="CJ33" i="18"/>
  <c r="BU36" i="18"/>
  <c r="AI36" i="18"/>
  <c r="BV36" i="18"/>
  <c r="BW36" i="18"/>
  <c r="CN36" i="18"/>
  <c r="CQ36" i="18"/>
  <c r="CP36" i="18"/>
  <c r="CO36" i="18"/>
  <c r="AH33" i="18" l="1"/>
  <c r="CK33" i="18"/>
  <c r="BR33" i="18"/>
  <c r="BS33" i="18"/>
  <c r="CM33" i="18"/>
  <c r="BT33" i="18"/>
  <c r="BU42" i="18"/>
  <c r="AI42" i="18"/>
  <c r="BS42" i="18"/>
  <c r="CL42" i="18"/>
  <c r="CK42" i="18"/>
  <c r="CM42" i="18"/>
  <c r="BT42" i="18"/>
  <c r="CP42" i="18"/>
  <c r="CQ42" i="18"/>
  <c r="CN42" i="18"/>
  <c r="AH42" i="18"/>
  <c r="BV42" i="18"/>
  <c r="CJ42" i="18"/>
  <c r="BT41" i="18"/>
  <c r="BW42" i="18"/>
  <c r="CJ39" i="18"/>
  <c r="BU39" i="18"/>
  <c r="AH39" i="18"/>
  <c r="BV39" i="18"/>
  <c r="CN39" i="18"/>
  <c r="CQ39" i="18"/>
  <c r="AI39" i="18"/>
  <c r="CO39" i="18"/>
  <c r="BR39" i="18"/>
  <c r="BS39" i="18"/>
  <c r="CL39" i="18"/>
  <c r="CP39" i="18"/>
  <c r="BR41" i="18"/>
  <c r="CM41" i="18"/>
  <c r="CM39" i="18"/>
  <c r="CJ41" i="18"/>
  <c r="BS41" i="18"/>
  <c r="AH41" i="18"/>
  <c r="BT39" i="18"/>
  <c r="CL41" i="18"/>
  <c r="CO37" i="18"/>
  <c r="BU37" i="18"/>
  <c r="CN37" i="18"/>
  <c r="BW37" i="18"/>
  <c r="BV37" i="18"/>
  <c r="CQ37" i="18"/>
  <c r="CP37" i="18"/>
  <c r="AI37" i="18"/>
  <c r="CJ36" i="18"/>
  <c r="CL36" i="18"/>
  <c r="CK36" i="18"/>
  <c r="CM36" i="18"/>
  <c r="BT36" i="18"/>
  <c r="BR36" i="18"/>
  <c r="AH36" i="18"/>
  <c r="BS36" i="18"/>
  <c r="CR34" i="18"/>
  <c r="AI35" i="18"/>
  <c r="BV35" i="18"/>
  <c r="CQ35" i="18"/>
  <c r="CP35" i="18"/>
  <c r="BW35" i="18"/>
  <c r="BU35" i="18"/>
  <c r="CN35" i="18"/>
  <c r="CO35" i="18"/>
  <c r="BT40" i="18"/>
  <c r="BS40" i="18"/>
  <c r="BR40" i="18"/>
  <c r="AH40" i="18"/>
  <c r="CK40" i="18"/>
  <c r="CJ40" i="18"/>
  <c r="CL40" i="18"/>
  <c r="CM40" i="18"/>
  <c r="BU40" i="18"/>
  <c r="AI40" i="18"/>
  <c r="BV40" i="18"/>
  <c r="BW40" i="18"/>
  <c r="CN40" i="18"/>
  <c r="CQ40" i="18"/>
  <c r="CO40" i="18"/>
  <c r="CP40" i="18"/>
  <c r="BW32" i="18"/>
  <c r="AI32" i="18"/>
  <c r="BV32" i="18"/>
  <c r="BU32" i="18"/>
  <c r="CO32" i="18"/>
  <c r="CQ32" i="18"/>
  <c r="CP32" i="18"/>
  <c r="CN32" i="18"/>
  <c r="BT38" i="18"/>
  <c r="BS38" i="18"/>
  <c r="BR38" i="18"/>
  <c r="AH38" i="18"/>
  <c r="CJ38" i="18"/>
  <c r="CM38" i="18"/>
  <c r="CL38" i="18"/>
  <c r="CK38" i="18"/>
  <c r="BW38" i="18"/>
  <c r="BV38" i="18"/>
  <c r="CP38" i="18"/>
  <c r="CQ38" i="18"/>
  <c r="CO38" i="18"/>
  <c r="AI38" i="18"/>
  <c r="BU38" i="18"/>
  <c r="CN38" i="18"/>
  <c r="CR33" i="18"/>
  <c r="BS32" i="18"/>
  <c r="BR32" i="18"/>
  <c r="AH32" i="18"/>
  <c r="CJ32" i="18"/>
  <c r="BT32" i="18"/>
  <c r="CM32" i="18"/>
  <c r="CL32" i="18"/>
  <c r="CK32" i="18"/>
  <c r="BS35" i="18"/>
  <c r="BR35" i="18"/>
  <c r="AH35" i="18"/>
  <c r="BT35" i="18"/>
  <c r="CK35" i="18"/>
  <c r="CM35" i="18"/>
  <c r="CL35" i="18"/>
  <c r="CJ35" i="18"/>
  <c r="CR42" i="18" l="1"/>
  <c r="CR39" i="18"/>
  <c r="CR41" i="18"/>
  <c r="CR37" i="18"/>
  <c r="CR36" i="18"/>
  <c r="CR32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M4" i="9" l="1"/>
  <c r="CE4" i="9"/>
  <c r="BW4" i="9"/>
  <c r="BO4" i="9"/>
  <c r="CL38" i="9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M37" i="9" s="1"/>
  <c r="CL36" i="9"/>
  <c r="CK36" i="9"/>
  <c r="CJ36" i="9"/>
  <c r="CI36" i="9"/>
  <c r="CH36" i="9"/>
  <c r="CG36" i="9"/>
  <c r="CF36" i="9"/>
  <c r="CM36" i="9" s="1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M33" i="9" s="1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M31" i="9" s="1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M29" i="9" s="1"/>
  <c r="CL28" i="9"/>
  <c r="CK28" i="9"/>
  <c r="CJ28" i="9"/>
  <c r="CI28" i="9"/>
  <c r="CH28" i="9"/>
  <c r="CG28" i="9"/>
  <c r="CF28" i="9"/>
  <c r="CM28" i="9" s="1"/>
  <c r="CL27" i="9"/>
  <c r="CK27" i="9"/>
  <c r="CJ27" i="9"/>
  <c r="CI27" i="9"/>
  <c r="CH27" i="9"/>
  <c r="CG27" i="9"/>
  <c r="CF27" i="9"/>
  <c r="CM27" i="9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M25" i="9" s="1"/>
  <c r="I29" i="18" s="1"/>
  <c r="N40" i="19" s="1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M18" i="9" s="1"/>
  <c r="I22" i="18" s="1"/>
  <c r="N33" i="19" s="1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N38" i="9"/>
  <c r="BM38" i="9"/>
  <c r="BL38" i="9"/>
  <c r="BK38" i="9"/>
  <c r="BJ38" i="9"/>
  <c r="BI38" i="9"/>
  <c r="BH38" i="9"/>
  <c r="BO38" i="9" s="1"/>
  <c r="BN37" i="9"/>
  <c r="BM37" i="9"/>
  <c r="BL37" i="9"/>
  <c r="BK37" i="9"/>
  <c r="BJ37" i="9"/>
  <c r="BI37" i="9"/>
  <c r="BO37" i="9" s="1"/>
  <c r="BH37" i="9"/>
  <c r="BN36" i="9"/>
  <c r="BM36" i="9"/>
  <c r="BL36" i="9"/>
  <c r="BK36" i="9"/>
  <c r="BJ36" i="9"/>
  <c r="BI36" i="9"/>
  <c r="BH36" i="9"/>
  <c r="BO36" i="9" s="1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O34" i="9" s="1"/>
  <c r="BN33" i="9"/>
  <c r="BM33" i="9"/>
  <c r="BL33" i="9"/>
  <c r="BK33" i="9"/>
  <c r="BJ33" i="9"/>
  <c r="BI33" i="9"/>
  <c r="BH33" i="9"/>
  <c r="BO33" i="9" s="1"/>
  <c r="BN32" i="9"/>
  <c r="BM32" i="9"/>
  <c r="BL32" i="9"/>
  <c r="BK32" i="9"/>
  <c r="BJ32" i="9"/>
  <c r="BI32" i="9"/>
  <c r="BH32" i="9"/>
  <c r="BO32" i="9" s="1"/>
  <c r="BN31" i="9"/>
  <c r="BM31" i="9"/>
  <c r="BL31" i="9"/>
  <c r="BK31" i="9"/>
  <c r="BO31" i="9" s="1"/>
  <c r="BJ31" i="9"/>
  <c r="BI31" i="9"/>
  <c r="BH31" i="9"/>
  <c r="BN30" i="9"/>
  <c r="BM30" i="9"/>
  <c r="BL30" i="9"/>
  <c r="BK30" i="9"/>
  <c r="BJ30" i="9"/>
  <c r="BI30" i="9"/>
  <c r="BH30" i="9"/>
  <c r="BO30" i="9" s="1"/>
  <c r="BN29" i="9"/>
  <c r="BM29" i="9"/>
  <c r="BL29" i="9"/>
  <c r="BK29" i="9"/>
  <c r="BJ29" i="9"/>
  <c r="BI29" i="9"/>
  <c r="BO29" i="9" s="1"/>
  <c r="BH29" i="9"/>
  <c r="BN28" i="9"/>
  <c r="BM28" i="9"/>
  <c r="BL28" i="9"/>
  <c r="BK28" i="9"/>
  <c r="BJ28" i="9"/>
  <c r="BI28" i="9"/>
  <c r="BH28" i="9"/>
  <c r="BO28" i="9" s="1"/>
  <c r="BN27" i="9"/>
  <c r="BM27" i="9"/>
  <c r="BL27" i="9"/>
  <c r="BK27" i="9"/>
  <c r="BJ27" i="9"/>
  <c r="BI27" i="9"/>
  <c r="BH27" i="9"/>
  <c r="BO27" i="9" s="1"/>
  <c r="BN26" i="9"/>
  <c r="BM26" i="9"/>
  <c r="BL26" i="9"/>
  <c r="BK26" i="9"/>
  <c r="BO26" i="9" s="1"/>
  <c r="F30" i="18" s="1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O23" i="9" s="1"/>
  <c r="F27" i="18" s="1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O18" i="9" s="1"/>
  <c r="F22" i="18" s="1"/>
  <c r="BI18" i="9"/>
  <c r="BH18" i="9"/>
  <c r="BM17" i="9"/>
  <c r="BL17" i="9"/>
  <c r="BK17" i="9"/>
  <c r="BJ17" i="9"/>
  <c r="BI17" i="9"/>
  <c r="BH17" i="9"/>
  <c r="BO17" i="9" s="1"/>
  <c r="F21" i="18" s="1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O9" i="9" s="1"/>
  <c r="F13" i="18" s="1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BO22" i="9" l="1"/>
  <c r="F26" i="18" s="1"/>
  <c r="BW21" i="9"/>
  <c r="G25" i="18" s="1"/>
  <c r="L36" i="19" s="1"/>
  <c r="CM24" i="9"/>
  <c r="I28" i="18" s="1"/>
  <c r="N39" i="19" s="1"/>
  <c r="CM26" i="9"/>
  <c r="I30" i="18" s="1"/>
  <c r="N41" i="19" s="1"/>
  <c r="BO20" i="9"/>
  <c r="F24" i="18" s="1"/>
  <c r="BO21" i="9"/>
  <c r="F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CM22" i="9"/>
  <c r="I26" i="18" s="1"/>
  <c r="N37" i="19" s="1"/>
  <c r="CM21" i="9"/>
  <c r="I25" i="18" s="1"/>
  <c r="N36" i="19" s="1"/>
  <c r="BO25" i="9"/>
  <c r="F29" i="18" s="1"/>
  <c r="BO24" i="9"/>
  <c r="F28" i="18" s="1"/>
  <c r="K39" i="19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W25" i="9"/>
  <c r="G29" i="18" s="1"/>
  <c r="BW24" i="9"/>
  <c r="G28" i="18" s="1"/>
  <c r="BW9" i="9"/>
  <c r="G13" i="18" s="1"/>
  <c r="BW17" i="9"/>
  <c r="G21" i="18" s="1"/>
  <c r="BW18" i="9"/>
  <c r="G22" i="18" s="1"/>
  <c r="BW23" i="9"/>
  <c r="G27" i="18" s="1"/>
  <c r="O25" i="18"/>
  <c r="BB25" i="18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8" i="19"/>
  <c r="CG27" i="18"/>
  <c r="BA27" i="18"/>
  <c r="K37" i="19"/>
  <c r="CG26" i="18"/>
  <c r="BA26" i="18" s="1"/>
  <c r="K33" i="19"/>
  <c r="BA22" i="18"/>
  <c r="N22" i="18"/>
  <c r="K36" i="19"/>
  <c r="CG25" i="18"/>
  <c r="BA25" i="18" s="1"/>
  <c r="BA23" i="18"/>
  <c r="K34" i="19"/>
  <c r="N23" i="18"/>
  <c r="CG23" i="18"/>
  <c r="K40" i="19"/>
  <c r="CG29" i="18"/>
  <c r="BA29" i="18" s="1"/>
  <c r="N29" i="18"/>
  <c r="CG24" i="18"/>
  <c r="BA24" i="18" s="1"/>
  <c r="K35" i="19"/>
  <c r="N28" i="18"/>
  <c r="BA21" i="18"/>
  <c r="K32" i="19"/>
  <c r="K24" i="19"/>
  <c r="BA13" i="18"/>
  <c r="N13" i="18"/>
  <c r="BO6" i="9"/>
  <c r="F10" i="18" s="1"/>
  <c r="BO10" i="9"/>
  <c r="F14" i="18" s="1"/>
  <c r="K41" i="19"/>
  <c r="CG30" i="18"/>
  <c r="BA30" i="18"/>
  <c r="BW29" i="9"/>
  <c r="CE27" i="9"/>
  <c r="BW27" i="9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CE36" i="9"/>
  <c r="BW28" i="9"/>
  <c r="BW36" i="9"/>
  <c r="CE34" i="9"/>
  <c r="CM5" i="9"/>
  <c r="I9" i="18" s="1"/>
  <c r="N20" i="19" s="1"/>
  <c r="BO14" i="9"/>
  <c r="F18" i="18" s="1"/>
  <c r="CM8" i="9"/>
  <c r="I12" i="18" s="1"/>
  <c r="N23" i="19" s="1"/>
  <c r="BO15" i="9"/>
  <c r="F19" i="18" s="1"/>
  <c r="BO16" i="9"/>
  <c r="F20" i="18" s="1"/>
  <c r="BW7" i="9"/>
  <c r="G11" i="18" s="1"/>
  <c r="CM11" i="9"/>
  <c r="I15" i="18" s="1"/>
  <c r="N26" i="19" s="1"/>
  <c r="CM15" i="9"/>
  <c r="I19" i="18" s="1"/>
  <c r="N30" i="19" s="1"/>
  <c r="BO13" i="9"/>
  <c r="F17" i="18" s="1"/>
  <c r="BO8" i="9"/>
  <c r="F12" i="18" s="1"/>
  <c r="CE11" i="9"/>
  <c r="H15" i="18" s="1"/>
  <c r="M26" i="19" s="1"/>
  <c r="CM12" i="9"/>
  <c r="I16" i="18" s="1"/>
  <c r="N27" i="19" s="1"/>
  <c r="BO7" i="9"/>
  <c r="F11" i="18" s="1"/>
  <c r="BO12" i="9"/>
  <c r="F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CE10" i="9"/>
  <c r="H14" i="18" s="1"/>
  <c r="M25" i="19" s="1"/>
  <c r="CM14" i="9"/>
  <c r="I18" i="18" s="1"/>
  <c r="N29" i="19" s="1"/>
  <c r="BW14" i="9"/>
  <c r="G18" i="18" s="1"/>
  <c r="CE14" i="9"/>
  <c r="H18" i="18" s="1"/>
  <c r="M29" i="19" s="1"/>
  <c r="BW16" i="9"/>
  <c r="G20" i="18" s="1"/>
  <c r="BW13" i="9"/>
  <c r="G17" i="18" s="1"/>
  <c r="CE13" i="9"/>
  <c r="H17" i="18" s="1"/>
  <c r="M28" i="19" s="1"/>
  <c r="BW15" i="9"/>
  <c r="G19" i="18" s="1"/>
  <c r="CE15" i="9"/>
  <c r="H19" i="18" s="1"/>
  <c r="M30" i="19" s="1"/>
  <c r="BW10" i="9"/>
  <c r="G14" i="18" s="1"/>
  <c r="BW12" i="9"/>
  <c r="G16" i="18" s="1"/>
  <c r="CE12" i="9"/>
  <c r="H16" i="18" s="1"/>
  <c r="M27" i="19" s="1"/>
  <c r="BW11" i="9"/>
  <c r="G15" i="18" s="1"/>
  <c r="CE7" i="9"/>
  <c r="H11" i="18" s="1"/>
  <c r="M22" i="19" s="1"/>
  <c r="BO5" i="9"/>
  <c r="F9" i="18" s="1"/>
  <c r="CE8" i="9"/>
  <c r="H12" i="18" s="1"/>
  <c r="M23" i="19" s="1"/>
  <c r="BW6" i="9"/>
  <c r="G10" i="18" s="1"/>
  <c r="CE6" i="9"/>
  <c r="H10" i="18" s="1"/>
  <c r="M21" i="19" s="1"/>
  <c r="BW8" i="9"/>
  <c r="G12" i="18" s="1"/>
  <c r="CE5" i="9"/>
  <c r="H9" i="18" s="1"/>
  <c r="M20" i="19" s="1"/>
  <c r="BW5" i="9"/>
  <c r="G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N21" i="18" l="1"/>
  <c r="N25" i="18"/>
  <c r="CH25" i="18"/>
  <c r="N27" i="18"/>
  <c r="CG28" i="18"/>
  <c r="BA28" i="18" s="1"/>
  <c r="L26" i="19"/>
  <c r="O15" i="18"/>
  <c r="BB15" i="18"/>
  <c r="L31" i="19"/>
  <c r="BB20" i="18"/>
  <c r="O20" i="18"/>
  <c r="L32" i="19"/>
  <c r="BB21" i="18"/>
  <c r="O21" i="18"/>
  <c r="O11" i="18"/>
  <c r="L22" i="19"/>
  <c r="BB11" i="18"/>
  <c r="L37" i="19"/>
  <c r="CH26" i="18"/>
  <c r="BB26" i="18"/>
  <c r="O26" i="18"/>
  <c r="BB13" i="18"/>
  <c r="L24" i="19"/>
  <c r="O13" i="18"/>
  <c r="W13" i="18" s="1"/>
  <c r="CH28" i="18"/>
  <c r="L39" i="19"/>
  <c r="BB28" i="18"/>
  <c r="O28" i="18"/>
  <c r="W28" i="18" s="1"/>
  <c r="BB17" i="18"/>
  <c r="L28" i="19"/>
  <c r="O17" i="18"/>
  <c r="BB18" i="18"/>
  <c r="L29" i="19"/>
  <c r="O18" i="18"/>
  <c r="BB29" i="18"/>
  <c r="L40" i="19"/>
  <c r="O29" i="18"/>
  <c r="W29" i="18" s="1"/>
  <c r="CH29" i="18"/>
  <c r="L23" i="19"/>
  <c r="O12" i="18"/>
  <c r="BB12" i="18"/>
  <c r="CH30" i="18"/>
  <c r="L41" i="19"/>
  <c r="BB30" i="18"/>
  <c r="O30" i="18"/>
  <c r="W30" i="18" s="1"/>
  <c r="BB22" i="18"/>
  <c r="L33" i="19"/>
  <c r="O22" i="18"/>
  <c r="V22" i="18" s="1"/>
  <c r="L27" i="19"/>
  <c r="BB16" i="18"/>
  <c r="O16" i="18"/>
  <c r="L25" i="19"/>
  <c r="O14" i="18"/>
  <c r="BB14" i="18"/>
  <c r="L30" i="19"/>
  <c r="O19" i="18"/>
  <c r="BB19" i="18"/>
  <c r="L34" i="19"/>
  <c r="O23" i="18"/>
  <c r="W23" i="18" s="1"/>
  <c r="CH23" i="18"/>
  <c r="BB23" i="18" s="1"/>
  <c r="L20" i="19"/>
  <c r="BB9" i="18"/>
  <c r="O9" i="18"/>
  <c r="BB10" i="18"/>
  <c r="CH10" i="18"/>
  <c r="L21" i="19"/>
  <c r="O10" i="18"/>
  <c r="BB27" i="18"/>
  <c r="L38" i="19"/>
  <c r="CH27" i="18"/>
  <c r="O27" i="18"/>
  <c r="V27" i="18" s="1"/>
  <c r="L35" i="19"/>
  <c r="CH24" i="18"/>
  <c r="O24" i="18"/>
  <c r="W24" i="18" s="1"/>
  <c r="BB24" i="18"/>
  <c r="N24" i="18"/>
  <c r="N26" i="18"/>
  <c r="N30" i="18"/>
  <c r="BA14" i="18"/>
  <c r="K25" i="19"/>
  <c r="N14" i="18"/>
  <c r="BA19" i="18"/>
  <c r="K30" i="19"/>
  <c r="N19" i="18"/>
  <c r="BA16" i="18"/>
  <c r="K27" i="19"/>
  <c r="N16" i="18"/>
  <c r="K31" i="19"/>
  <c r="BA20" i="18"/>
  <c r="N20" i="18"/>
  <c r="V24" i="18"/>
  <c r="W22" i="18"/>
  <c r="K21" i="19"/>
  <c r="N10" i="18"/>
  <c r="CG10" i="18"/>
  <c r="BA10" i="18" s="1"/>
  <c r="K26" i="19"/>
  <c r="BA15" i="18"/>
  <c r="N15" i="18"/>
  <c r="K23" i="19"/>
  <c r="BA12" i="18"/>
  <c r="N12" i="18"/>
  <c r="BA18" i="18"/>
  <c r="K29" i="19"/>
  <c r="N18" i="18"/>
  <c r="V30" i="18"/>
  <c r="W21" i="18"/>
  <c r="V21" i="18"/>
  <c r="V23" i="18"/>
  <c r="W25" i="18"/>
  <c r="V25" i="18"/>
  <c r="K22" i="19"/>
  <c r="BA11" i="18"/>
  <c r="N11" i="18"/>
  <c r="BA9" i="18"/>
  <c r="K20" i="19"/>
  <c r="N9" i="18"/>
  <c r="BA17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B33" i="12" s="1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V13" i="18" l="1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E33" i="12" s="1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D32" i="12" s="1"/>
  <c r="AS32" i="12" s="1"/>
  <c r="AA28" i="9"/>
  <c r="C32" i="12" s="1"/>
  <c r="I32" i="12" s="1"/>
  <c r="AQ28" i="9"/>
  <c r="E32" i="12" s="1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D33" i="12" s="1"/>
  <c r="AA29" i="9"/>
  <c r="C33" i="12" s="1"/>
  <c r="BG27" i="9"/>
  <c r="AA27" i="9"/>
  <c r="AI27" i="9"/>
  <c r="AQ27" i="9"/>
  <c r="E31" i="12" s="1"/>
  <c r="AT31" i="12" s="1"/>
  <c r="AY27" i="9"/>
  <c r="F31" i="12" s="1"/>
  <c r="AR40" i="12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BA18" i="12" l="1"/>
  <c r="AY18" i="12" s="1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B32" i="12" s="1"/>
  <c r="AQ32" i="12" s="1"/>
  <c r="A54" i="14"/>
  <c r="AQ41" i="12"/>
  <c r="H33" i="12"/>
  <c r="AQ37" i="12"/>
  <c r="S27" i="9"/>
  <c r="B31" i="12" s="1"/>
  <c r="H31" i="12" s="1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AY24" i="12" s="1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32" i="12"/>
  <c r="K32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K31" i="12"/>
  <c r="J3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AX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C26" i="12" l="1"/>
  <c r="C26" i="18"/>
  <c r="C14" i="12"/>
  <c r="H25" i="17" s="1"/>
  <c r="C14" i="18"/>
  <c r="C9" i="12"/>
  <c r="AR9" i="12" s="1"/>
  <c r="C9" i="18"/>
  <c r="C21" i="12"/>
  <c r="C21" i="16" s="1"/>
  <c r="C21" i="18"/>
  <c r="C29" i="12"/>
  <c r="C29" i="18"/>
  <c r="C15" i="12"/>
  <c r="I15" i="12" s="1"/>
  <c r="C15" i="18"/>
  <c r="C30" i="12"/>
  <c r="H41" i="17" s="1"/>
  <c r="C30" i="18"/>
  <c r="C19" i="12"/>
  <c r="G19" i="15" s="1"/>
  <c r="AV19" i="15" s="1"/>
  <c r="C19" i="18"/>
  <c r="C12" i="12"/>
  <c r="C12" i="18"/>
  <c r="C24" i="12"/>
  <c r="H35" i="17" s="1"/>
  <c r="C24" i="18"/>
  <c r="C18" i="12"/>
  <c r="AR18" i="12" s="1"/>
  <c r="C18" i="18"/>
  <c r="C16" i="12"/>
  <c r="AR16" i="12" s="1"/>
  <c r="C16" i="18"/>
  <c r="C27" i="12"/>
  <c r="G27" i="15" s="1"/>
  <c r="AV27" i="15" s="1"/>
  <c r="C27" i="18"/>
  <c r="C22" i="12"/>
  <c r="G22" i="15" s="1"/>
  <c r="M22" i="15" s="1"/>
  <c r="C22" i="18"/>
  <c r="C13" i="12"/>
  <c r="H24" i="17" s="1"/>
  <c r="C13" i="18"/>
  <c r="C25" i="12"/>
  <c r="BX25" i="12" s="1"/>
  <c r="C25" i="18"/>
  <c r="C20" i="12"/>
  <c r="H31" i="17" s="1"/>
  <c r="C20" i="18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C11" i="12"/>
  <c r="C11" i="18"/>
  <c r="B28" i="12"/>
  <c r="F28" i="15" s="1"/>
  <c r="L28" i="15" s="1"/>
  <c r="B28" i="18"/>
  <c r="B23" i="12"/>
  <c r="B23" i="18"/>
  <c r="B17" i="12"/>
  <c r="G28" i="17" s="1"/>
  <c r="B17" i="18"/>
  <c r="B26" i="12"/>
  <c r="G37" i="17" s="1"/>
  <c r="B26" i="18"/>
  <c r="B14" i="12"/>
  <c r="G25" i="17" s="1"/>
  <c r="B14" i="18"/>
  <c r="B9" i="12"/>
  <c r="B9" i="18"/>
  <c r="B21" i="12"/>
  <c r="B21" i="18"/>
  <c r="B18" i="12"/>
  <c r="B18" i="18"/>
  <c r="B29" i="12"/>
  <c r="D29" i="13" s="1"/>
  <c r="J29" i="13" s="1"/>
  <c r="B29" i="18"/>
  <c r="B15" i="12"/>
  <c r="B15" i="18"/>
  <c r="B24" i="12"/>
  <c r="B24" i="18"/>
  <c r="B19" i="12"/>
  <c r="G30" i="17" s="1"/>
  <c r="B19" i="18"/>
  <c r="B12" i="12"/>
  <c r="B12" i="16" s="1"/>
  <c r="B12" i="18"/>
  <c r="B11" i="12"/>
  <c r="B11" i="18"/>
  <c r="B16" i="12"/>
  <c r="G27" i="17" s="1"/>
  <c r="B16" i="18"/>
  <c r="B30" i="12"/>
  <c r="G41" i="17" s="1"/>
  <c r="B31" i="18"/>
  <c r="B30" i="18"/>
  <c r="B25" i="12"/>
  <c r="B25" i="18"/>
  <c r="B22" i="12"/>
  <c r="AQ22" i="12" s="1"/>
  <c r="B22" i="18"/>
  <c r="B13" i="12"/>
  <c r="B13" i="16" s="1"/>
  <c r="B13" i="18"/>
  <c r="B10" i="12"/>
  <c r="G21" i="17" s="1"/>
  <c r="B10" i="18"/>
  <c r="B20" i="12"/>
  <c r="H20" i="12" s="1"/>
  <c r="B20" i="18"/>
  <c r="B27" i="12"/>
  <c r="G38" i="17" s="1"/>
  <c r="B27" i="18"/>
  <c r="AX33" i="21"/>
  <c r="BB33" i="21"/>
  <c r="F24" i="12"/>
  <c r="K35" i="17" s="1"/>
  <c r="D27" i="21"/>
  <c r="I27" i="21" s="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E30" i="12"/>
  <c r="C30" i="13" s="1"/>
  <c r="C33" i="21"/>
  <c r="E30" i="18"/>
  <c r="E24" i="12"/>
  <c r="G24" i="14" s="1"/>
  <c r="C27" i="21"/>
  <c r="E24" i="18"/>
  <c r="AY25" i="21"/>
  <c r="E19" i="12"/>
  <c r="C22" i="21"/>
  <c r="E19" i="18"/>
  <c r="G16" i="13"/>
  <c r="M16" i="13" s="1"/>
  <c r="E19" i="21"/>
  <c r="D15" i="12"/>
  <c r="AS15" i="12" s="1"/>
  <c r="B18" i="21"/>
  <c r="D15" i="18"/>
  <c r="E12" i="12"/>
  <c r="K12" i="12" s="1"/>
  <c r="C15" i="21"/>
  <c r="E12" i="18"/>
  <c r="G9" i="13"/>
  <c r="AV9" i="13" s="1"/>
  <c r="E12" i="21"/>
  <c r="H12" i="21" s="1"/>
  <c r="D18" i="12"/>
  <c r="AS18" i="12" s="1"/>
  <c r="B21" i="21"/>
  <c r="D18" i="18"/>
  <c r="F12" i="13"/>
  <c r="D15" i="21"/>
  <c r="E29" i="12"/>
  <c r="E29" i="16" s="1"/>
  <c r="C32" i="21"/>
  <c r="E29" i="18"/>
  <c r="BC30" i="21"/>
  <c r="AY30" i="21"/>
  <c r="D30" i="12"/>
  <c r="B33" i="21"/>
  <c r="D30" i="18"/>
  <c r="F27" i="12"/>
  <c r="K38" i="17" s="1"/>
  <c r="D30" i="21"/>
  <c r="I30" i="21" s="1"/>
  <c r="G25" i="13"/>
  <c r="CB25" i="13" s="1"/>
  <c r="E28" i="21"/>
  <c r="D24" i="12"/>
  <c r="B27" i="21"/>
  <c r="D24" i="18"/>
  <c r="F22" i="12"/>
  <c r="K33" i="17" s="1"/>
  <c r="D25" i="21"/>
  <c r="AX25" i="21" s="1"/>
  <c r="D19" i="12"/>
  <c r="B19" i="13" s="1"/>
  <c r="H19" i="13" s="1"/>
  <c r="B22" i="21"/>
  <c r="D19" i="18"/>
  <c r="F16" i="13"/>
  <c r="D19" i="21"/>
  <c r="F13" i="13"/>
  <c r="D16" i="21"/>
  <c r="D12" i="12"/>
  <c r="I23" i="17" s="1"/>
  <c r="B15" i="21"/>
  <c r="D12" i="18"/>
  <c r="G11" i="12"/>
  <c r="L22" i="17" s="1"/>
  <c r="E14" i="21"/>
  <c r="F19" i="13"/>
  <c r="D22" i="21"/>
  <c r="BC26" i="21"/>
  <c r="AY26" i="21"/>
  <c r="F25" i="13"/>
  <c r="L25" i="13" s="1"/>
  <c r="D28" i="21"/>
  <c r="E22" i="12"/>
  <c r="C22" i="13" s="1"/>
  <c r="I22" i="13" s="1"/>
  <c r="C25" i="21"/>
  <c r="E22" i="18"/>
  <c r="F20" i="13"/>
  <c r="D23" i="21"/>
  <c r="I23" i="21" s="1"/>
  <c r="G17" i="12"/>
  <c r="L28" i="17" s="1"/>
  <c r="E20" i="21"/>
  <c r="AY20" i="21" s="1"/>
  <c r="E16" i="12"/>
  <c r="E16" i="16" s="1"/>
  <c r="C19" i="21"/>
  <c r="E16" i="18"/>
  <c r="E13" i="12"/>
  <c r="C16" i="21"/>
  <c r="E13" i="18"/>
  <c r="E11" i="12"/>
  <c r="AT11" i="12" s="1"/>
  <c r="C14" i="21"/>
  <c r="E11" i="18"/>
  <c r="D28" i="12"/>
  <c r="D28" i="16" s="1"/>
  <c r="B31" i="21"/>
  <c r="D28" i="18"/>
  <c r="AX12" i="21"/>
  <c r="BC31" i="21"/>
  <c r="AY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E20" i="12"/>
  <c r="C20" i="13" s="1"/>
  <c r="I20" i="13" s="1"/>
  <c r="C23" i="21"/>
  <c r="E20" i="18"/>
  <c r="F17" i="13"/>
  <c r="L17" i="13" s="1"/>
  <c r="D20" i="21"/>
  <c r="D16" i="12"/>
  <c r="D16" i="15" s="1"/>
  <c r="AS16" i="15" s="1"/>
  <c r="B19" i="21"/>
  <c r="D16" i="18"/>
  <c r="G14" i="12"/>
  <c r="L25" i="17" s="1"/>
  <c r="E17" i="21"/>
  <c r="D13" i="12"/>
  <c r="D13" i="16" s="1"/>
  <c r="B16" i="21"/>
  <c r="D13" i="18"/>
  <c r="F26" i="12"/>
  <c r="K37" i="17" s="1"/>
  <c r="D29" i="21"/>
  <c r="F21" i="12"/>
  <c r="K32" i="17" s="1"/>
  <c r="D24" i="21"/>
  <c r="AY23" i="21"/>
  <c r="F28" i="12"/>
  <c r="K39" i="17" s="1"/>
  <c r="D31" i="21"/>
  <c r="I31" i="21" s="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G18" i="13"/>
  <c r="AV18" i="13" s="1"/>
  <c r="E21" i="21"/>
  <c r="E17" i="12"/>
  <c r="G17" i="14" s="1"/>
  <c r="M17" i="14" s="1"/>
  <c r="C20" i="21"/>
  <c r="E17" i="18"/>
  <c r="F14" i="13"/>
  <c r="L14" i="13" s="1"/>
  <c r="D17" i="21"/>
  <c r="F11" i="13"/>
  <c r="D14" i="21"/>
  <c r="G10" i="13"/>
  <c r="E13" i="21"/>
  <c r="E26" i="12"/>
  <c r="G26" i="14" s="1"/>
  <c r="C29" i="21"/>
  <c r="E26" i="18"/>
  <c r="D17" i="12"/>
  <c r="B20" i="21"/>
  <c r="D17" i="18"/>
  <c r="G15" i="13"/>
  <c r="AV15" i="13" s="1"/>
  <c r="E18" i="21"/>
  <c r="E14" i="12"/>
  <c r="E14" i="15" s="1"/>
  <c r="AT14" i="15" s="1"/>
  <c r="C17" i="21"/>
  <c r="E14" i="18"/>
  <c r="D11" i="12"/>
  <c r="AS11" i="12" s="1"/>
  <c r="B14" i="21"/>
  <c r="D11" i="18"/>
  <c r="G29" i="13"/>
  <c r="M29" i="13" s="1"/>
  <c r="E32" i="21"/>
  <c r="E21" i="12"/>
  <c r="J32" i="17" s="1"/>
  <c r="C24" i="21"/>
  <c r="E21" i="18"/>
  <c r="G19" i="13"/>
  <c r="M19" i="13" s="1"/>
  <c r="E22" i="21"/>
  <c r="E15" i="12"/>
  <c r="J26" i="17" s="1"/>
  <c r="C18" i="21"/>
  <c r="E15" i="18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AY16" i="21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AY27" i="21"/>
  <c r="BC27" i="21"/>
  <c r="G21" i="13"/>
  <c r="E24" i="21"/>
  <c r="AY24" i="21" s="1"/>
  <c r="E18" i="12"/>
  <c r="C21" i="21"/>
  <c r="E18" i="18"/>
  <c r="F15" i="13"/>
  <c r="D18" i="21"/>
  <c r="D14" i="12"/>
  <c r="D14" i="16" s="1"/>
  <c r="B17" i="21"/>
  <c r="D14" i="18"/>
  <c r="G12" i="12"/>
  <c r="L23" i="17" s="1"/>
  <c r="E15" i="21"/>
  <c r="E9" i="12"/>
  <c r="J20" i="17" s="1"/>
  <c r="C12" i="21"/>
  <c r="E9" i="18"/>
  <c r="F29" i="12"/>
  <c r="K40" i="17" s="1"/>
  <c r="D32" i="21"/>
  <c r="D21" i="12"/>
  <c r="D21" i="15" s="1"/>
  <c r="B24" i="21"/>
  <c r="D21" i="18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H9" i="12"/>
  <c r="G20" i="17"/>
  <c r="F25" i="14"/>
  <c r="L25" i="14" s="1"/>
  <c r="I36" i="17"/>
  <c r="AR22" i="12"/>
  <c r="H33" i="17"/>
  <c r="J28" i="17"/>
  <c r="C13" i="14"/>
  <c r="AR13" i="14" s="1"/>
  <c r="I22" i="17"/>
  <c r="H21" i="17"/>
  <c r="E25" i="15"/>
  <c r="AT25" i="15" s="1"/>
  <c r="B28" i="15"/>
  <c r="AR28" i="12"/>
  <c r="G23" i="15"/>
  <c r="M23" i="15" s="1"/>
  <c r="G18" i="14"/>
  <c r="AV18" i="14" s="1"/>
  <c r="J29" i="17"/>
  <c r="E11" i="13"/>
  <c r="K11" i="13" s="1"/>
  <c r="H22" i="17"/>
  <c r="K9" i="12"/>
  <c r="F10" i="14"/>
  <c r="L10" i="14" s="1"/>
  <c r="C25" i="16"/>
  <c r="D17" i="15"/>
  <c r="AS17" i="15" s="1"/>
  <c r="I28" i="17"/>
  <c r="AR17" i="12"/>
  <c r="E26" i="13"/>
  <c r="K26" i="13" s="1"/>
  <c r="H37" i="17"/>
  <c r="G15" i="14"/>
  <c r="M15" i="14" s="1"/>
  <c r="E14" i="13"/>
  <c r="K14" i="13" s="1"/>
  <c r="J21" i="17"/>
  <c r="D22" i="15"/>
  <c r="AS22" i="15" s="1"/>
  <c r="D9" i="16"/>
  <c r="H32" i="17"/>
  <c r="AT19" i="12"/>
  <c r="J30" i="17"/>
  <c r="G12" i="14"/>
  <c r="AV12" i="14" s="1"/>
  <c r="J23" i="17"/>
  <c r="E29" i="13"/>
  <c r="AT29" i="13" s="1"/>
  <c r="H40" i="17"/>
  <c r="K20" i="12"/>
  <c r="E20" i="13"/>
  <c r="AT20" i="13" s="1"/>
  <c r="I18" i="12"/>
  <c r="H29" i="17"/>
  <c r="J30" i="12"/>
  <c r="I41" i="17"/>
  <c r="F24" i="14"/>
  <c r="L24" i="14" s="1"/>
  <c r="I35" i="17"/>
  <c r="E15" i="13"/>
  <c r="K15" i="13" s="1"/>
  <c r="H26" i="17"/>
  <c r="B12" i="13"/>
  <c r="AQ12" i="13" s="1"/>
  <c r="D27" i="15"/>
  <c r="J27" i="15" s="1"/>
  <c r="E30" i="13"/>
  <c r="K30" i="13" s="1"/>
  <c r="C19" i="14"/>
  <c r="I19" i="14" s="1"/>
  <c r="K13" i="12"/>
  <c r="J24" i="17"/>
  <c r="C12" i="16"/>
  <c r="H23" i="17"/>
  <c r="D12" i="13"/>
  <c r="J12" i="13" s="1"/>
  <c r="G23" i="17"/>
  <c r="AQ11" i="12"/>
  <c r="G22" i="17"/>
  <c r="F30" i="15"/>
  <c r="AU30" i="15" s="1"/>
  <c r="H13" i="12"/>
  <c r="G24" i="17"/>
  <c r="H16" i="12"/>
  <c r="D20" i="13"/>
  <c r="G31" i="17"/>
  <c r="F24" i="15"/>
  <c r="L24" i="15" s="1"/>
  <c r="G35" i="17"/>
  <c r="AQ23" i="12"/>
  <c r="G34" i="17"/>
  <c r="H17" i="12"/>
  <c r="B25" i="16"/>
  <c r="G36" i="17"/>
  <c r="H28" i="12"/>
  <c r="B26" i="16"/>
  <c r="F21" i="15"/>
  <c r="AU21" i="15" s="1"/>
  <c r="G32" i="17"/>
  <c r="B18" i="16"/>
  <c r="G29" i="17"/>
  <c r="F29" i="15"/>
  <c r="AU29" i="15" s="1"/>
  <c r="F15" i="15"/>
  <c r="AU15" i="15" s="1"/>
  <c r="G26" i="17"/>
  <c r="F26" i="13"/>
  <c r="L26" i="13" s="1"/>
  <c r="G11" i="13"/>
  <c r="AV11" i="13" s="1"/>
  <c r="AQ31" i="12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BH31" i="12"/>
  <c r="AS31" i="12"/>
  <c r="F29" i="13"/>
  <c r="AU29" i="13" s="1"/>
  <c r="N31" i="12"/>
  <c r="BH37" i="12"/>
  <c r="AR31" i="12"/>
  <c r="BH32" i="12"/>
  <c r="AT37" i="12"/>
  <c r="Q36" i="12"/>
  <c r="U36" i="12" s="1"/>
  <c r="P37" i="12"/>
  <c r="H32" i="12"/>
  <c r="N32" i="12" s="1"/>
  <c r="Q31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O31" i="12"/>
  <c r="S39" i="12"/>
  <c r="O38" i="12"/>
  <c r="R37" i="12"/>
  <c r="Q34" i="12"/>
  <c r="O36" i="12"/>
  <c r="R41" i="12"/>
  <c r="S42" i="12"/>
  <c r="Q41" i="12"/>
  <c r="N41" i="12"/>
  <c r="T41" i="12" s="1"/>
  <c r="D25" i="15"/>
  <c r="AS25" i="15" s="1"/>
  <c r="C19" i="13"/>
  <c r="I19" i="13" s="1"/>
  <c r="E17" i="16"/>
  <c r="H10" i="12"/>
  <c r="J20" i="12"/>
  <c r="B16" i="14"/>
  <c r="H16" i="14" s="1"/>
  <c r="D26" i="13"/>
  <c r="J26" i="13" s="1"/>
  <c r="C17" i="13"/>
  <c r="I17" i="13" s="1"/>
  <c r="I13" i="12"/>
  <c r="B26" i="14"/>
  <c r="H26" i="14" s="1"/>
  <c r="AQ16" i="12"/>
  <c r="C27" i="16"/>
  <c r="E30" i="15"/>
  <c r="AT30" i="15" s="1"/>
  <c r="E22" i="13"/>
  <c r="K22" i="13" s="1"/>
  <c r="AT12" i="12"/>
  <c r="C27" i="14"/>
  <c r="I27" i="14" s="1"/>
  <c r="E17" i="15"/>
  <c r="AT17" i="15" s="1"/>
  <c r="D25" i="16"/>
  <c r="G30" i="14"/>
  <c r="M30" i="14" s="1"/>
  <c r="AR13" i="12"/>
  <c r="AQ15" i="12"/>
  <c r="E27" i="13"/>
  <c r="AT27" i="13" s="1"/>
  <c r="M18" i="13"/>
  <c r="AT30" i="12"/>
  <c r="G19" i="14"/>
  <c r="M19" i="14" s="1"/>
  <c r="B16" i="16"/>
  <c r="D17" i="16"/>
  <c r="F25" i="15"/>
  <c r="AU25" i="15" s="1"/>
  <c r="C30" i="14"/>
  <c r="AR30" i="14" s="1"/>
  <c r="D23" i="13"/>
  <c r="AS23" i="13" s="1"/>
  <c r="C13" i="16"/>
  <c r="AQ26" i="12"/>
  <c r="I27" i="12"/>
  <c r="K17" i="12"/>
  <c r="BY25" i="12"/>
  <c r="J25" i="12"/>
  <c r="E30" i="16"/>
  <c r="F28" i="16"/>
  <c r="E19" i="15"/>
  <c r="AT19" i="15" s="1"/>
  <c r="F16" i="15"/>
  <c r="AU16" i="15" s="1"/>
  <c r="I22" i="12"/>
  <c r="G13" i="15"/>
  <c r="AV13" i="15" s="1"/>
  <c r="H26" i="12"/>
  <c r="AR27" i="12"/>
  <c r="AT17" i="12"/>
  <c r="K30" i="12"/>
  <c r="D16" i="13"/>
  <c r="AS16" i="13" s="1"/>
  <c r="F15" i="14"/>
  <c r="AU15" i="14" s="1"/>
  <c r="C22" i="14"/>
  <c r="I22" i="14" s="1"/>
  <c r="E12" i="16"/>
  <c r="H11" i="12"/>
  <c r="B11" i="16"/>
  <c r="G9" i="15"/>
  <c r="AV9" i="15" s="1"/>
  <c r="F11" i="15"/>
  <c r="L11" i="15" s="1"/>
  <c r="B11" i="14"/>
  <c r="AQ11" i="14" s="1"/>
  <c r="F28" i="14"/>
  <c r="L28" i="14" s="1"/>
  <c r="D11" i="13"/>
  <c r="J11" i="13" s="1"/>
  <c r="B24" i="14"/>
  <c r="AQ24" i="14" s="1"/>
  <c r="G26" i="15"/>
  <c r="AV26" i="15" s="1"/>
  <c r="AS28" i="12"/>
  <c r="C9" i="16"/>
  <c r="I9" i="12"/>
  <c r="B28" i="14"/>
  <c r="AQ28" i="14" s="1"/>
  <c r="B25" i="14"/>
  <c r="H25" i="14" s="1"/>
  <c r="D13" i="13"/>
  <c r="AS13" i="13" s="1"/>
  <c r="D25" i="13"/>
  <c r="AS25" i="13" s="1"/>
  <c r="C28" i="14"/>
  <c r="I28" i="14" s="1"/>
  <c r="AT22" i="12"/>
  <c r="AQ25" i="12"/>
  <c r="BW25" i="12"/>
  <c r="AT13" i="12"/>
  <c r="E22" i="16"/>
  <c r="AS14" i="12"/>
  <c r="F20" i="15"/>
  <c r="L20" i="15" s="1"/>
  <c r="H25" i="12"/>
  <c r="G30" i="15"/>
  <c r="M30" i="15" s="1"/>
  <c r="G13" i="14"/>
  <c r="M13" i="14" s="1"/>
  <c r="C18" i="13"/>
  <c r="I18" i="13" s="1"/>
  <c r="F14" i="14"/>
  <c r="L14" i="14" s="1"/>
  <c r="BW10" i="12"/>
  <c r="G28" i="15"/>
  <c r="M28" i="15" s="1"/>
  <c r="F10" i="15"/>
  <c r="L10" i="15" s="1"/>
  <c r="B10" i="14"/>
  <c r="BW10" i="14" s="1"/>
  <c r="C15" i="14"/>
  <c r="I15" i="14" s="1"/>
  <c r="G24" i="15"/>
  <c r="M24" i="15" s="1"/>
  <c r="C29" i="14"/>
  <c r="I29" i="14" s="1"/>
  <c r="AR30" i="12"/>
  <c r="BX10" i="12"/>
  <c r="C20" i="16"/>
  <c r="C28" i="16"/>
  <c r="I30" i="12"/>
  <c r="C14" i="13"/>
  <c r="I14" i="13" s="1"/>
  <c r="AT18" i="12"/>
  <c r="L12" i="13"/>
  <c r="AU12" i="13"/>
  <c r="C26" i="16"/>
  <c r="I29" i="12"/>
  <c r="B30" i="14"/>
  <c r="H30" i="14" s="1"/>
  <c r="F12" i="12"/>
  <c r="B17" i="14"/>
  <c r="H17" i="14" s="1"/>
  <c r="G29" i="15"/>
  <c r="AV29" i="15" s="1"/>
  <c r="AQ30" i="12"/>
  <c r="J21" i="12"/>
  <c r="F24" i="13"/>
  <c r="L24" i="13" s="1"/>
  <c r="F17" i="12"/>
  <c r="AI5" i="14"/>
  <c r="AI5" i="12"/>
  <c r="C14" i="16"/>
  <c r="D28" i="13"/>
  <c r="J28" i="13" s="1"/>
  <c r="C29" i="16"/>
  <c r="AS10" i="12"/>
  <c r="B18" i="13"/>
  <c r="H18" i="13" s="1"/>
  <c r="BW23" i="12"/>
  <c r="F19" i="12"/>
  <c r="AI6" i="12"/>
  <c r="AI6" i="15"/>
  <c r="B23" i="16"/>
  <c r="B16" i="13"/>
  <c r="H16" i="13" s="1"/>
  <c r="I10" i="12"/>
  <c r="F12" i="15"/>
  <c r="AU12" i="15" s="1"/>
  <c r="B15" i="14"/>
  <c r="AQ15" i="14" s="1"/>
  <c r="F17" i="15"/>
  <c r="AU17" i="15" s="1"/>
  <c r="AQ20" i="12"/>
  <c r="B20" i="14"/>
  <c r="H20" i="14" s="1"/>
  <c r="AR24" i="12"/>
  <c r="I26" i="12"/>
  <c r="N26" i="12" s="1"/>
  <c r="AQ28" i="12"/>
  <c r="I28" i="12"/>
  <c r="AR29" i="12"/>
  <c r="B30" i="16"/>
  <c r="D30" i="13"/>
  <c r="AS30" i="13" s="1"/>
  <c r="C30" i="16"/>
  <c r="AS9" i="12"/>
  <c r="C13" i="13"/>
  <c r="I13" i="13" s="1"/>
  <c r="E15" i="16"/>
  <c r="D18" i="16"/>
  <c r="E18" i="16"/>
  <c r="AT20" i="12"/>
  <c r="B21" i="13"/>
  <c r="AQ21" i="13" s="1"/>
  <c r="H23" i="12"/>
  <c r="I19" i="12"/>
  <c r="B19" i="16"/>
  <c r="D16" i="16"/>
  <c r="I12" i="12"/>
  <c r="B9" i="13"/>
  <c r="AQ9" i="13" s="1"/>
  <c r="J22" i="12"/>
  <c r="G10" i="15"/>
  <c r="CB10" i="15" s="1"/>
  <c r="I14" i="12"/>
  <c r="C14" i="14"/>
  <c r="I14" i="14" s="1"/>
  <c r="B20" i="16"/>
  <c r="H24" i="12"/>
  <c r="C26" i="14"/>
  <c r="I26" i="14" s="1"/>
  <c r="H30" i="12"/>
  <c r="D9" i="15"/>
  <c r="AS9" i="15" s="1"/>
  <c r="E13" i="15"/>
  <c r="AT13" i="15" s="1"/>
  <c r="K15" i="12"/>
  <c r="E18" i="15"/>
  <c r="K18" i="15" s="1"/>
  <c r="B23" i="14"/>
  <c r="BW23" i="14" s="1"/>
  <c r="F23" i="15"/>
  <c r="CA23" i="15" s="1"/>
  <c r="J16" i="12"/>
  <c r="B14" i="13"/>
  <c r="G11" i="15"/>
  <c r="AV11" i="15" s="1"/>
  <c r="F26" i="16"/>
  <c r="AU26" i="12"/>
  <c r="D26" i="14"/>
  <c r="AS26" i="14" s="1"/>
  <c r="L26" i="12"/>
  <c r="B26" i="15"/>
  <c r="H26" i="15" s="1"/>
  <c r="AV21" i="13"/>
  <c r="M21" i="13"/>
  <c r="G21" i="12"/>
  <c r="F21" i="13"/>
  <c r="AU17" i="13"/>
  <c r="G14" i="13"/>
  <c r="AV14" i="13" s="1"/>
  <c r="G12" i="13"/>
  <c r="B30" i="13"/>
  <c r="H30" i="13" s="1"/>
  <c r="F29" i="14"/>
  <c r="L29" i="14" s="1"/>
  <c r="J26" i="12"/>
  <c r="D26" i="15"/>
  <c r="J26" i="15" s="1"/>
  <c r="B26" i="13"/>
  <c r="H26" i="13" s="1"/>
  <c r="AS26" i="12"/>
  <c r="D26" i="16"/>
  <c r="AS22" i="12"/>
  <c r="B22" i="13"/>
  <c r="H22" i="13" s="1"/>
  <c r="F22" i="14"/>
  <c r="L22" i="14" s="1"/>
  <c r="D22" i="16"/>
  <c r="G20" i="14"/>
  <c r="M20" i="14" s="1"/>
  <c r="E20" i="15"/>
  <c r="AT20" i="15" s="1"/>
  <c r="K18" i="12"/>
  <c r="J17" i="12"/>
  <c r="E16" i="15"/>
  <c r="K16" i="15" s="1"/>
  <c r="AS16" i="12"/>
  <c r="F16" i="14"/>
  <c r="L16" i="14" s="1"/>
  <c r="C15" i="13"/>
  <c r="I15" i="13" s="1"/>
  <c r="E15" i="15"/>
  <c r="K15" i="15" s="1"/>
  <c r="AT15" i="12"/>
  <c r="J15" i="12"/>
  <c r="D15" i="16"/>
  <c r="D15" i="15"/>
  <c r="J15" i="15" s="1"/>
  <c r="D14" i="15"/>
  <c r="J14" i="15" s="1"/>
  <c r="J14" i="12"/>
  <c r="E13" i="16"/>
  <c r="G11" i="14"/>
  <c r="AV11" i="14" s="1"/>
  <c r="K11" i="12"/>
  <c r="E11" i="16"/>
  <c r="C11" i="13"/>
  <c r="AR11" i="13" s="1"/>
  <c r="E11" i="15"/>
  <c r="K11" i="15" s="1"/>
  <c r="F11" i="14"/>
  <c r="L11" i="14" s="1"/>
  <c r="E10" i="16"/>
  <c r="BZ10" i="12"/>
  <c r="C10" i="13"/>
  <c r="AR10" i="13" s="1"/>
  <c r="AT10" i="12"/>
  <c r="E10" i="15"/>
  <c r="AT10" i="15" s="1"/>
  <c r="K10" i="12"/>
  <c r="BY10" i="12"/>
  <c r="F9" i="14"/>
  <c r="L9" i="14" s="1"/>
  <c r="J9" i="12"/>
  <c r="H29" i="12"/>
  <c r="B29" i="16"/>
  <c r="AQ29" i="12"/>
  <c r="AR26" i="12"/>
  <c r="C24" i="16"/>
  <c r="B24" i="16"/>
  <c r="D24" i="13"/>
  <c r="J24" i="13" s="1"/>
  <c r="AQ24" i="12"/>
  <c r="AR20" i="12"/>
  <c r="AQ19" i="12"/>
  <c r="D19" i="13"/>
  <c r="AS19" i="13" s="1"/>
  <c r="E17" i="13"/>
  <c r="AT17" i="13" s="1"/>
  <c r="C17" i="14"/>
  <c r="I17" i="14" s="1"/>
  <c r="C17" i="16"/>
  <c r="I17" i="12"/>
  <c r="G17" i="15"/>
  <c r="M17" i="15" s="1"/>
  <c r="D17" i="13"/>
  <c r="AS17" i="13" s="1"/>
  <c r="AQ17" i="12"/>
  <c r="B17" i="16"/>
  <c r="AR15" i="12"/>
  <c r="B15" i="16"/>
  <c r="D15" i="13"/>
  <c r="J15" i="13" s="1"/>
  <c r="H15" i="12"/>
  <c r="AR12" i="12"/>
  <c r="C12" i="14"/>
  <c r="I12" i="14" s="1"/>
  <c r="G12" i="15"/>
  <c r="AV12" i="15" s="1"/>
  <c r="E12" i="13"/>
  <c r="K12" i="13" s="1"/>
  <c r="H12" i="12"/>
  <c r="AQ12" i="12"/>
  <c r="C11" i="14"/>
  <c r="I11" i="14" s="1"/>
  <c r="AR11" i="12"/>
  <c r="AR10" i="12"/>
  <c r="E10" i="13"/>
  <c r="BZ10" i="13" s="1"/>
  <c r="B21" i="14"/>
  <c r="AQ21" i="14" s="1"/>
  <c r="B29" i="14"/>
  <c r="AQ29" i="14" s="1"/>
  <c r="B11" i="13"/>
  <c r="H11" i="13" s="1"/>
  <c r="D23" i="15"/>
  <c r="AS23" i="15" s="1"/>
  <c r="AV19" i="13"/>
  <c r="F10" i="12"/>
  <c r="G10" i="12"/>
  <c r="J12" i="12"/>
  <c r="B23" i="13"/>
  <c r="H23" i="13" s="1"/>
  <c r="AT28" i="12"/>
  <c r="F27" i="13"/>
  <c r="L27" i="13" s="1"/>
  <c r="F13" i="12"/>
  <c r="AS24" i="12"/>
  <c r="D30" i="15"/>
  <c r="AS30" i="15" s="1"/>
  <c r="G15" i="12"/>
  <c r="L27" i="12"/>
  <c r="F27" i="16"/>
  <c r="D27" i="14"/>
  <c r="AS27" i="14" s="1"/>
  <c r="B27" i="15"/>
  <c r="AU27" i="12"/>
  <c r="B13" i="14"/>
  <c r="AQ13" i="14" s="1"/>
  <c r="F13" i="15"/>
  <c r="L13" i="15" s="1"/>
  <c r="C15" i="16"/>
  <c r="D18" i="13"/>
  <c r="AS18" i="13" s="1"/>
  <c r="B18" i="14"/>
  <c r="AQ18" i="14" s="1"/>
  <c r="I20" i="12"/>
  <c r="B21" i="16"/>
  <c r="D21" i="13"/>
  <c r="AS21" i="13" s="1"/>
  <c r="J10" i="12"/>
  <c r="J11" i="12"/>
  <c r="D11" i="16"/>
  <c r="F12" i="14"/>
  <c r="AU12" i="14" s="1"/>
  <c r="AS17" i="12"/>
  <c r="F23" i="14"/>
  <c r="AU23" i="14" s="1"/>
  <c r="D23" i="16"/>
  <c r="J24" i="12"/>
  <c r="K28" i="12"/>
  <c r="J29" i="12"/>
  <c r="D29" i="16"/>
  <c r="AS30" i="12"/>
  <c r="D30" i="16"/>
  <c r="G26" i="13"/>
  <c r="M26" i="13" s="1"/>
  <c r="F22" i="13"/>
  <c r="AU22" i="13" s="1"/>
  <c r="D28" i="14"/>
  <c r="L28" i="12"/>
  <c r="AU28" i="12"/>
  <c r="G27" i="13"/>
  <c r="G27" i="12"/>
  <c r="L38" i="17" s="1"/>
  <c r="G22" i="13"/>
  <c r="G22" i="12"/>
  <c r="I21" i="12"/>
  <c r="K19" i="12"/>
  <c r="E19" i="16"/>
  <c r="F18" i="13"/>
  <c r="F18" i="12"/>
  <c r="K29" i="17" s="1"/>
  <c r="G15" i="15"/>
  <c r="AV15" i="15" s="1"/>
  <c r="AQ18" i="12"/>
  <c r="H18" i="12"/>
  <c r="G20" i="15"/>
  <c r="M20" i="15" s="1"/>
  <c r="C20" i="14"/>
  <c r="AR20" i="14" s="1"/>
  <c r="H21" i="12"/>
  <c r="G25" i="15"/>
  <c r="M25" i="15" s="1"/>
  <c r="D10" i="16"/>
  <c r="D10" i="15"/>
  <c r="J10" i="15" s="1"/>
  <c r="D11" i="15"/>
  <c r="AS11" i="15" s="1"/>
  <c r="AS12" i="12"/>
  <c r="D12" i="16"/>
  <c r="F17" i="14"/>
  <c r="L17" i="14" s="1"/>
  <c r="B17" i="13"/>
  <c r="AQ17" i="13" s="1"/>
  <c r="AS23" i="12"/>
  <c r="D24" i="16"/>
  <c r="D24" i="15"/>
  <c r="AS24" i="15" s="1"/>
  <c r="C28" i="13"/>
  <c r="I28" i="13" s="1"/>
  <c r="E28" i="15"/>
  <c r="AT28" i="15" s="1"/>
  <c r="D29" i="15"/>
  <c r="J29" i="15" s="1"/>
  <c r="F30" i="14"/>
  <c r="AU30" i="14" s="1"/>
  <c r="G25" i="12"/>
  <c r="B2" i="9"/>
  <c r="F16" i="12"/>
  <c r="K27" i="17" s="1"/>
  <c r="G24" i="13"/>
  <c r="G24" i="12"/>
  <c r="L35" i="17" s="1"/>
  <c r="E23" i="13"/>
  <c r="AR23" i="12"/>
  <c r="AR19" i="12"/>
  <c r="E19" i="13"/>
  <c r="I11" i="12"/>
  <c r="C11" i="16"/>
  <c r="H22" i="12"/>
  <c r="D22" i="13"/>
  <c r="F18" i="15"/>
  <c r="L18" i="15" s="1"/>
  <c r="AQ21" i="12"/>
  <c r="B10" i="13"/>
  <c r="AQ10" i="13" s="1"/>
  <c r="D12" i="15"/>
  <c r="J12" i="15" s="1"/>
  <c r="BY23" i="12"/>
  <c r="B24" i="13"/>
  <c r="H24" i="13" s="1"/>
  <c r="E28" i="16"/>
  <c r="AV29" i="13"/>
  <c r="F22" i="15"/>
  <c r="L22" i="15" s="1"/>
  <c r="F30" i="13"/>
  <c r="F30" i="12"/>
  <c r="K41" i="17" s="1"/>
  <c r="G28" i="13"/>
  <c r="G28" i="12"/>
  <c r="L39" i="17" s="1"/>
  <c r="AI4" i="14"/>
  <c r="AI4" i="12"/>
  <c r="AI4" i="13"/>
  <c r="H28" i="15"/>
  <c r="AQ28" i="15"/>
  <c r="F29" i="16"/>
  <c r="L29" i="12"/>
  <c r="D29" i="14"/>
  <c r="AU29" i="12"/>
  <c r="B29" i="15"/>
  <c r="C23" i="13"/>
  <c r="E23" i="16"/>
  <c r="BZ23" i="12"/>
  <c r="E23" i="15"/>
  <c r="AT23" i="12"/>
  <c r="K23" i="12"/>
  <c r="G23" i="14"/>
  <c r="L19" i="13"/>
  <c r="R19" i="13" s="1"/>
  <c r="AU19" i="13"/>
  <c r="E11" i="14"/>
  <c r="G11" i="16"/>
  <c r="C11" i="15"/>
  <c r="AV11" i="12"/>
  <c r="M11" i="12"/>
  <c r="M10" i="13"/>
  <c r="CB10" i="13"/>
  <c r="AV10" i="13"/>
  <c r="F9" i="13"/>
  <c r="F9" i="12"/>
  <c r="K20" i="17" s="1"/>
  <c r="G23" i="13"/>
  <c r="G23" i="12"/>
  <c r="L34" i="17" s="1"/>
  <c r="AU16" i="13"/>
  <c r="L16" i="13"/>
  <c r="AU14" i="13"/>
  <c r="M15" i="13"/>
  <c r="M30" i="13"/>
  <c r="AV30" i="13"/>
  <c r="C17" i="15"/>
  <c r="G17" i="16"/>
  <c r="M17" i="12"/>
  <c r="E17" i="14"/>
  <c r="AV17" i="12"/>
  <c r="C14" i="15"/>
  <c r="AV14" i="12"/>
  <c r="E14" i="14"/>
  <c r="G14" i="16"/>
  <c r="M14" i="12"/>
  <c r="C12" i="15"/>
  <c r="E12" i="14"/>
  <c r="G12" i="16"/>
  <c r="M12" i="12"/>
  <c r="AV12" i="12"/>
  <c r="AU22" i="12"/>
  <c r="F22" i="16"/>
  <c r="B22" i="15"/>
  <c r="G20" i="13"/>
  <c r="G20" i="12"/>
  <c r="L31" i="17" s="1"/>
  <c r="AU13" i="13"/>
  <c r="L13" i="13"/>
  <c r="D9" i="13"/>
  <c r="B9" i="16"/>
  <c r="B9" i="14"/>
  <c r="F9" i="15"/>
  <c r="AQ9" i="12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BZ25" i="15"/>
  <c r="CA10" i="14"/>
  <c r="AU10" i="14"/>
  <c r="J20" i="13"/>
  <c r="AS20" i="13"/>
  <c r="AR30" i="13" l="1"/>
  <c r="I30" i="13"/>
  <c r="R16" i="13"/>
  <c r="AS19" i="12"/>
  <c r="B25" i="13"/>
  <c r="BW25" i="13" s="1"/>
  <c r="AQ14" i="12"/>
  <c r="G39" i="17"/>
  <c r="G33" i="17"/>
  <c r="B28" i="13"/>
  <c r="H38" i="17"/>
  <c r="D21" i="14"/>
  <c r="F19" i="14"/>
  <c r="B27" i="14"/>
  <c r="AQ27" i="14" s="1"/>
  <c r="B22" i="16"/>
  <c r="D27" i="16"/>
  <c r="B22" i="14"/>
  <c r="H22" i="14" s="1"/>
  <c r="N22" i="14" s="1"/>
  <c r="AV16" i="13"/>
  <c r="B27" i="16"/>
  <c r="AU25" i="13"/>
  <c r="AU26" i="13"/>
  <c r="J19" i="12"/>
  <c r="D19" i="15"/>
  <c r="G14" i="14"/>
  <c r="AV14" i="14" s="1"/>
  <c r="C12" i="13"/>
  <c r="AR12" i="13" s="1"/>
  <c r="E12" i="15"/>
  <c r="K12" i="15" s="1"/>
  <c r="H14" i="12"/>
  <c r="I30" i="17"/>
  <c r="J41" i="17"/>
  <c r="I26" i="17"/>
  <c r="H20" i="17"/>
  <c r="CA25" i="13"/>
  <c r="M26" i="12"/>
  <c r="R26" i="12" s="1"/>
  <c r="D19" i="16"/>
  <c r="M9" i="13"/>
  <c r="B15" i="13"/>
  <c r="H15" i="13" s="1"/>
  <c r="H39" i="17"/>
  <c r="E9" i="13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G14" i="15"/>
  <c r="AV14" i="15" s="1"/>
  <c r="H19" i="12"/>
  <c r="AR14" i="12"/>
  <c r="C10" i="16"/>
  <c r="B12" i="14"/>
  <c r="AQ12" i="14" s="1"/>
  <c r="C9" i="14"/>
  <c r="I9" i="14" s="1"/>
  <c r="B14" i="16"/>
  <c r="F14" i="15"/>
  <c r="L14" i="15" s="1"/>
  <c r="F26" i="15"/>
  <c r="AU26" i="15" s="1"/>
  <c r="G40" i="17"/>
  <c r="L30" i="15"/>
  <c r="R30" i="15" s="1"/>
  <c r="B10" i="16"/>
  <c r="I24" i="12"/>
  <c r="C18" i="14"/>
  <c r="I18" i="14" s="1"/>
  <c r="AQ10" i="12"/>
  <c r="C18" i="16"/>
  <c r="H27" i="12"/>
  <c r="F27" i="15"/>
  <c r="AU27" i="15" s="1"/>
  <c r="C16" i="16"/>
  <c r="H16" i="16" s="1"/>
  <c r="H30" i="17"/>
  <c r="H36" i="17"/>
  <c r="H34" i="17"/>
  <c r="H34" i="19"/>
  <c r="CD23" i="18"/>
  <c r="AX23" i="18"/>
  <c r="H36" i="19"/>
  <c r="AX25" i="18"/>
  <c r="CD25" i="18"/>
  <c r="AX16" i="18"/>
  <c r="H27" i="19"/>
  <c r="AX19" i="18"/>
  <c r="H30" i="19"/>
  <c r="H32" i="19"/>
  <c r="AX21" i="18"/>
  <c r="AV23" i="15"/>
  <c r="C25" i="14"/>
  <c r="AR25" i="14" s="1"/>
  <c r="G21" i="15"/>
  <c r="E25" i="13"/>
  <c r="BZ25" i="13" s="1"/>
  <c r="I25" i="12"/>
  <c r="C21" i="14"/>
  <c r="AR21" i="14" s="1"/>
  <c r="H39" i="19"/>
  <c r="CD28" i="18"/>
  <c r="AX28" i="18" s="1"/>
  <c r="AX13" i="18"/>
  <c r="H24" i="19"/>
  <c r="AX18" i="18"/>
  <c r="H29" i="19"/>
  <c r="H41" i="19"/>
  <c r="CD30" i="18"/>
  <c r="AX30" i="18" s="1"/>
  <c r="AX9" i="18"/>
  <c r="H20" i="19"/>
  <c r="CB23" i="15"/>
  <c r="AR25" i="12"/>
  <c r="C23" i="16"/>
  <c r="I23" i="16" s="1"/>
  <c r="C19" i="16"/>
  <c r="AR21" i="12"/>
  <c r="AX11" i="18"/>
  <c r="H22" i="19"/>
  <c r="CD10" i="18"/>
  <c r="AX10" i="18" s="1"/>
  <c r="H21" i="19"/>
  <c r="AX22" i="18"/>
  <c r="H33" i="19"/>
  <c r="CD24" i="18"/>
  <c r="AX24" i="18" s="1"/>
  <c r="H35" i="19"/>
  <c r="H26" i="19"/>
  <c r="AX15" i="18"/>
  <c r="H25" i="19"/>
  <c r="AX14" i="18"/>
  <c r="G16" i="15"/>
  <c r="AV16" i="15" s="1"/>
  <c r="E21" i="13"/>
  <c r="AT21" i="13" s="1"/>
  <c r="I16" i="12"/>
  <c r="C23" i="14"/>
  <c r="AR23" i="14" s="1"/>
  <c r="H27" i="17"/>
  <c r="H28" i="19"/>
  <c r="AX17" i="18"/>
  <c r="AX20" i="18"/>
  <c r="H31" i="19"/>
  <c r="H38" i="19"/>
  <c r="CD27" i="18"/>
  <c r="AX27" i="18" s="1"/>
  <c r="AX12" i="18"/>
  <c r="H23" i="19"/>
  <c r="AX29" i="18"/>
  <c r="H40" i="19"/>
  <c r="CD29" i="18"/>
  <c r="CD26" i="18"/>
  <c r="AX26" i="18" s="1"/>
  <c r="H37" i="19"/>
  <c r="E16" i="13"/>
  <c r="AT16" i="13" s="1"/>
  <c r="BX23" i="12"/>
  <c r="C16" i="14"/>
  <c r="AR16" i="14" s="1"/>
  <c r="AW31" i="18"/>
  <c r="BN31" i="18"/>
  <c r="J31" i="18"/>
  <c r="CC31" i="18"/>
  <c r="G30" i="19"/>
  <c r="AW19" i="18"/>
  <c r="AW18" i="18"/>
  <c r="G29" i="19"/>
  <c r="G37" i="19"/>
  <c r="CC26" i="18"/>
  <c r="AW26" i="18"/>
  <c r="G24" i="19"/>
  <c r="AW13" i="18"/>
  <c r="G27" i="19"/>
  <c r="AW16" i="18"/>
  <c r="G35" i="19"/>
  <c r="CC24" i="18"/>
  <c r="AW24" i="18" s="1"/>
  <c r="G32" i="19"/>
  <c r="AW21" i="18"/>
  <c r="G28" i="19"/>
  <c r="AW17" i="18"/>
  <c r="G38" i="19"/>
  <c r="CC27" i="18"/>
  <c r="AW27" i="18" s="1"/>
  <c r="G33" i="19"/>
  <c r="AW22" i="18"/>
  <c r="G22" i="19"/>
  <c r="AW11" i="18"/>
  <c r="G26" i="19"/>
  <c r="AW15" i="18"/>
  <c r="G20" i="19"/>
  <c r="AW9" i="18"/>
  <c r="G34" i="19"/>
  <c r="CC23" i="18"/>
  <c r="AW23" i="18" s="1"/>
  <c r="H25" i="16"/>
  <c r="G31" i="19"/>
  <c r="AW20" i="18"/>
  <c r="G36" i="19"/>
  <c r="CC25" i="18"/>
  <c r="AW25" i="18" s="1"/>
  <c r="G23" i="19"/>
  <c r="AW12" i="18"/>
  <c r="G40" i="19"/>
  <c r="CC29" i="18"/>
  <c r="AW29" i="18" s="1"/>
  <c r="G25" i="19"/>
  <c r="AW14" i="18"/>
  <c r="AW28" i="18"/>
  <c r="G39" i="19"/>
  <c r="CC28" i="18"/>
  <c r="G21" i="19"/>
  <c r="CC10" i="18"/>
  <c r="AW10" i="18"/>
  <c r="G41" i="19"/>
  <c r="CC30" i="18"/>
  <c r="AW30" i="18"/>
  <c r="M26" i="14"/>
  <c r="AV26" i="14"/>
  <c r="AU26" i="14"/>
  <c r="L26" i="14"/>
  <c r="AV26" i="12"/>
  <c r="C16" i="13"/>
  <c r="AR16" i="13" s="1"/>
  <c r="J27" i="12"/>
  <c r="E27" i="16"/>
  <c r="K27" i="16" s="1"/>
  <c r="E26" i="16"/>
  <c r="B29" i="13"/>
  <c r="AQ29" i="13" s="1"/>
  <c r="I39" i="17"/>
  <c r="J27" i="17"/>
  <c r="J38" i="17"/>
  <c r="J31" i="17"/>
  <c r="K16" i="12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M25" i="13"/>
  <c r="R25" i="13" s="1"/>
  <c r="F27" i="14"/>
  <c r="AU27" i="14" s="1"/>
  <c r="E22" i="15"/>
  <c r="K22" i="15" s="1"/>
  <c r="AT26" i="12"/>
  <c r="J18" i="12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E26" i="14"/>
  <c r="AU23" i="13"/>
  <c r="AV25" i="13"/>
  <c r="E20" i="16"/>
  <c r="J20" i="16" s="1"/>
  <c r="K27" i="12"/>
  <c r="D21" i="16"/>
  <c r="G22" i="14"/>
  <c r="M22" i="14" s="1"/>
  <c r="D18" i="15"/>
  <c r="J18" i="15" s="1"/>
  <c r="K26" i="12"/>
  <c r="J28" i="12"/>
  <c r="AT24" i="12"/>
  <c r="K14" i="12"/>
  <c r="P14" i="12" s="1"/>
  <c r="BH26" i="12"/>
  <c r="L21" i="12"/>
  <c r="L23" i="13"/>
  <c r="G21" i="14"/>
  <c r="M21" i="14" s="1"/>
  <c r="C26" i="13"/>
  <c r="AR26" i="13" s="1"/>
  <c r="K22" i="12"/>
  <c r="C24" i="13"/>
  <c r="I24" i="13" s="1"/>
  <c r="C27" i="13"/>
  <c r="AR27" i="13" s="1"/>
  <c r="J33" i="17"/>
  <c r="I29" i="17"/>
  <c r="AS29" i="12"/>
  <c r="B21" i="15"/>
  <c r="AT14" i="12"/>
  <c r="E14" i="16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AS21" i="15"/>
  <c r="M24" i="14"/>
  <c r="R24" i="14" s="1"/>
  <c r="AV24" i="14"/>
  <c r="K20" i="18"/>
  <c r="Q20" i="18" s="1"/>
  <c r="J31" i="19"/>
  <c r="M20" i="18"/>
  <c r="AZ20" i="18"/>
  <c r="K19" i="18"/>
  <c r="J30" i="19"/>
  <c r="M19" i="18"/>
  <c r="AZ19" i="18"/>
  <c r="J17" i="15"/>
  <c r="D22" i="14"/>
  <c r="AT9" i="12"/>
  <c r="AT29" i="12"/>
  <c r="F20" i="14"/>
  <c r="AU20" i="14" s="1"/>
  <c r="AS20" i="12"/>
  <c r="I27" i="17"/>
  <c r="I25" i="17"/>
  <c r="I34" i="17"/>
  <c r="J39" i="17"/>
  <c r="I32" i="19"/>
  <c r="L21" i="18"/>
  <c r="AY21" i="18"/>
  <c r="J21" i="18"/>
  <c r="BN21" i="18"/>
  <c r="I15" i="21"/>
  <c r="AY15" i="21"/>
  <c r="AW21" i="21"/>
  <c r="AL21" i="21"/>
  <c r="AO21" i="21" s="1"/>
  <c r="G21" i="21"/>
  <c r="AZ29" i="21"/>
  <c r="AV29" i="21"/>
  <c r="AH29" i="21"/>
  <c r="AK29" i="21" s="1"/>
  <c r="F29" i="21"/>
  <c r="AL30" i="21"/>
  <c r="AO30" i="21" s="1"/>
  <c r="G30" i="21"/>
  <c r="AW30" i="21"/>
  <c r="BA30" i="21"/>
  <c r="AW24" i="21"/>
  <c r="AL24" i="21"/>
  <c r="AO24" i="21" s="1"/>
  <c r="G24" i="21"/>
  <c r="AW17" i="21"/>
  <c r="G17" i="21"/>
  <c r="AL17" i="21"/>
  <c r="AO17" i="21" s="1"/>
  <c r="AL29" i="21"/>
  <c r="AO29" i="21" s="1"/>
  <c r="AW29" i="21"/>
  <c r="BA29" i="21"/>
  <c r="G29" i="21"/>
  <c r="K17" i="18"/>
  <c r="J28" i="19"/>
  <c r="M17" i="18"/>
  <c r="AZ17" i="18"/>
  <c r="H26" i="21"/>
  <c r="AX26" i="21"/>
  <c r="BB26" i="21"/>
  <c r="I17" i="21"/>
  <c r="AY17" i="21"/>
  <c r="AW23" i="21"/>
  <c r="AL23" i="21"/>
  <c r="AO23" i="21" s="1"/>
  <c r="G23" i="21"/>
  <c r="CE27" i="18"/>
  <c r="AY27" i="18" s="1"/>
  <c r="L27" i="18"/>
  <c r="I38" i="19"/>
  <c r="BN27" i="18"/>
  <c r="J27" i="18"/>
  <c r="I39" i="19"/>
  <c r="J28" i="18"/>
  <c r="L28" i="18"/>
  <c r="CE28" i="18"/>
  <c r="AY28" i="18" s="1"/>
  <c r="BN28" i="18"/>
  <c r="J33" i="19"/>
  <c r="K22" i="18"/>
  <c r="Q22" i="18" s="1"/>
  <c r="M22" i="18"/>
  <c r="AZ22" i="18"/>
  <c r="H22" i="21"/>
  <c r="AX22" i="21"/>
  <c r="I35" i="19"/>
  <c r="J24" i="18"/>
  <c r="P24" i="18" s="1"/>
  <c r="BN24" i="18"/>
  <c r="CE24" i="18"/>
  <c r="AY24" i="18" s="1"/>
  <c r="L24" i="18"/>
  <c r="AZ33" i="21"/>
  <c r="AV33" i="21"/>
  <c r="AH33" i="21"/>
  <c r="AK33" i="21" s="1"/>
  <c r="AX15" i="21"/>
  <c r="H15" i="21"/>
  <c r="G15" i="21"/>
  <c r="AW15" i="21"/>
  <c r="AL15" i="21"/>
  <c r="AO15" i="21" s="1"/>
  <c r="AW22" i="21"/>
  <c r="AL22" i="21"/>
  <c r="AO22" i="21" s="1"/>
  <c r="G22" i="21"/>
  <c r="J41" i="19"/>
  <c r="K30" i="18"/>
  <c r="Q30" i="18" s="1"/>
  <c r="M30" i="18"/>
  <c r="CF30" i="18"/>
  <c r="AZ30" i="18" s="1"/>
  <c r="J21" i="19"/>
  <c r="AZ10" i="18"/>
  <c r="M10" i="18"/>
  <c r="K10" i="18"/>
  <c r="CF10" i="18"/>
  <c r="AL16" i="21"/>
  <c r="AO16" i="21" s="1"/>
  <c r="AW16" i="21"/>
  <c r="G16" i="21"/>
  <c r="AX16" i="21"/>
  <c r="H16" i="21"/>
  <c r="I41" i="19"/>
  <c r="CE30" i="18"/>
  <c r="BN30" i="18"/>
  <c r="J30" i="18"/>
  <c r="AY30" i="18"/>
  <c r="L30" i="18"/>
  <c r="J23" i="19"/>
  <c r="M12" i="18"/>
  <c r="K12" i="18"/>
  <c r="AZ12" i="18"/>
  <c r="E9" i="16"/>
  <c r="K29" i="12"/>
  <c r="J13" i="12"/>
  <c r="P13" i="12" s="1"/>
  <c r="B13" i="13"/>
  <c r="AQ13" i="13" s="1"/>
  <c r="G9" i="14"/>
  <c r="M9" i="14" s="1"/>
  <c r="S9" i="14" s="1"/>
  <c r="D13" i="15"/>
  <c r="J13" i="15" s="1"/>
  <c r="D20" i="16"/>
  <c r="F24" i="21"/>
  <c r="AH24" i="21"/>
  <c r="AK24" i="21" s="1"/>
  <c r="AF24" i="21" s="1"/>
  <c r="AV24" i="21"/>
  <c r="CF28" i="18"/>
  <c r="AZ28" i="18" s="1"/>
  <c r="J39" i="19"/>
  <c r="K28" i="18"/>
  <c r="M28" i="18"/>
  <c r="I40" i="19"/>
  <c r="L29" i="18"/>
  <c r="BN29" i="18"/>
  <c r="CE29" i="18"/>
  <c r="AY29" i="18" s="1"/>
  <c r="J29" i="18"/>
  <c r="AL20" i="21"/>
  <c r="AO20" i="21" s="1"/>
  <c r="G20" i="21"/>
  <c r="AW20" i="21"/>
  <c r="I24" i="21"/>
  <c r="H24" i="21"/>
  <c r="AX24" i="21"/>
  <c r="AH30" i="21"/>
  <c r="AK30" i="21" s="1"/>
  <c r="AF30" i="21" s="1"/>
  <c r="AZ30" i="21"/>
  <c r="AV30" i="21"/>
  <c r="F30" i="21"/>
  <c r="AH31" i="21"/>
  <c r="AK31" i="21" s="1"/>
  <c r="F31" i="21"/>
  <c r="AZ31" i="21"/>
  <c r="AV31" i="21"/>
  <c r="AZ16" i="18"/>
  <c r="J27" i="19"/>
  <c r="K16" i="18"/>
  <c r="M16" i="18"/>
  <c r="AL25" i="21"/>
  <c r="AO25" i="21" s="1"/>
  <c r="AW25" i="21"/>
  <c r="G25" i="21"/>
  <c r="H19" i="21"/>
  <c r="AX19" i="21"/>
  <c r="AH27" i="21"/>
  <c r="AK27" i="21" s="1"/>
  <c r="AV27" i="21"/>
  <c r="F27" i="21"/>
  <c r="AZ27" i="21"/>
  <c r="F33" i="21"/>
  <c r="AW33" i="21"/>
  <c r="BA33" i="21"/>
  <c r="AL33" i="21"/>
  <c r="AO33" i="21" s="1"/>
  <c r="G33" i="21"/>
  <c r="BA13" i="21"/>
  <c r="G13" i="21"/>
  <c r="AL13" i="21"/>
  <c r="AO13" i="21" s="1"/>
  <c r="AW13" i="21"/>
  <c r="I29" i="21"/>
  <c r="AY29" i="21"/>
  <c r="BC29" i="21"/>
  <c r="E29" i="15"/>
  <c r="K29" i="15" s="1"/>
  <c r="F13" i="14"/>
  <c r="AU13" i="14" s="1"/>
  <c r="I31" i="17"/>
  <c r="I25" i="19"/>
  <c r="AY14" i="18"/>
  <c r="J14" i="18"/>
  <c r="L14" i="18"/>
  <c r="BN14" i="18"/>
  <c r="H33" i="21"/>
  <c r="I33" i="21"/>
  <c r="BC33" i="21"/>
  <c r="AY33" i="21"/>
  <c r="AL31" i="21"/>
  <c r="AO31" i="21" s="1"/>
  <c r="G31" i="21"/>
  <c r="BA31" i="21"/>
  <c r="AW31" i="21"/>
  <c r="F32" i="21"/>
  <c r="AZ32" i="21"/>
  <c r="AH32" i="21"/>
  <c r="AK32" i="21" s="1"/>
  <c r="AV32" i="21"/>
  <c r="J26" i="19"/>
  <c r="M15" i="18"/>
  <c r="AZ15" i="18"/>
  <c r="K15" i="18"/>
  <c r="BC32" i="21"/>
  <c r="AY32" i="21"/>
  <c r="I32" i="21"/>
  <c r="AY18" i="21"/>
  <c r="I18" i="21"/>
  <c r="BC13" i="21"/>
  <c r="I13" i="21"/>
  <c r="AY13" i="21"/>
  <c r="L25" i="18"/>
  <c r="I36" i="19"/>
  <c r="BN25" i="18"/>
  <c r="J25" i="18"/>
  <c r="CE25" i="18"/>
  <c r="AY25" i="18" s="1"/>
  <c r="L16" i="18"/>
  <c r="I27" i="19"/>
  <c r="AY16" i="18"/>
  <c r="BN16" i="18"/>
  <c r="J16" i="18"/>
  <c r="I33" i="19"/>
  <c r="J22" i="18"/>
  <c r="AY22" i="18"/>
  <c r="BN22" i="18"/>
  <c r="L22" i="18"/>
  <c r="AW19" i="21"/>
  <c r="G19" i="21"/>
  <c r="AL19" i="21"/>
  <c r="AO19" i="21" s="1"/>
  <c r="I14" i="21"/>
  <c r="AY14" i="21"/>
  <c r="I29" i="19"/>
  <c r="L18" i="18"/>
  <c r="AY18" i="18"/>
  <c r="BN18" i="18"/>
  <c r="J18" i="18"/>
  <c r="L15" i="18"/>
  <c r="I26" i="19"/>
  <c r="AY15" i="18"/>
  <c r="J15" i="18"/>
  <c r="BN15" i="18"/>
  <c r="I25" i="21"/>
  <c r="K18" i="18"/>
  <c r="J29" i="19"/>
  <c r="M18" i="18"/>
  <c r="AZ18" i="18"/>
  <c r="CE26" i="18"/>
  <c r="AY26" i="18"/>
  <c r="I37" i="19"/>
  <c r="BN26" i="18"/>
  <c r="J26" i="18"/>
  <c r="L26" i="18"/>
  <c r="AH13" i="21"/>
  <c r="AK13" i="21" s="1"/>
  <c r="AV13" i="21"/>
  <c r="F13" i="21"/>
  <c r="AZ13" i="21"/>
  <c r="AZ27" i="18"/>
  <c r="J38" i="19"/>
  <c r="CF27" i="18"/>
  <c r="K27" i="18"/>
  <c r="M27" i="18"/>
  <c r="U27" i="18" s="1"/>
  <c r="J32" i="19"/>
  <c r="K21" i="18"/>
  <c r="M21" i="18"/>
  <c r="U21" i="18" s="1"/>
  <c r="AZ21" i="18"/>
  <c r="G29" i="14"/>
  <c r="M29" i="14" s="1"/>
  <c r="C25" i="13"/>
  <c r="I25" i="13" s="1"/>
  <c r="K24" i="12"/>
  <c r="B20" i="13"/>
  <c r="BH20" i="13" s="1"/>
  <c r="BB32" i="21"/>
  <c r="AX32" i="21"/>
  <c r="H32" i="21"/>
  <c r="AV17" i="21"/>
  <c r="F17" i="21"/>
  <c r="AH17" i="21"/>
  <c r="AK17" i="21" s="1"/>
  <c r="AF17" i="21" s="1"/>
  <c r="G18" i="21"/>
  <c r="AL18" i="21"/>
  <c r="AO18" i="21" s="1"/>
  <c r="AW18" i="21"/>
  <c r="H21" i="21"/>
  <c r="AY21" i="21"/>
  <c r="I21" i="21"/>
  <c r="AV28" i="21"/>
  <c r="F28" i="21"/>
  <c r="AZ28" i="21"/>
  <c r="AH28" i="21"/>
  <c r="AK28" i="21" s="1"/>
  <c r="BB29" i="21"/>
  <c r="AX29" i="21"/>
  <c r="H29" i="21"/>
  <c r="O29" i="21" s="1"/>
  <c r="Q29" i="21" s="1"/>
  <c r="U29" i="21" s="1"/>
  <c r="AV19" i="21"/>
  <c r="AH19" i="21"/>
  <c r="AK19" i="21" s="1"/>
  <c r="F19" i="21"/>
  <c r="AH25" i="21"/>
  <c r="AK25" i="21" s="1"/>
  <c r="AF25" i="21" s="1"/>
  <c r="F25" i="21"/>
  <c r="AV25" i="21"/>
  <c r="J22" i="19"/>
  <c r="M11" i="18"/>
  <c r="AZ11" i="18"/>
  <c r="K11" i="18"/>
  <c r="AX28" i="21"/>
  <c r="H28" i="21"/>
  <c r="BB28" i="21"/>
  <c r="AY19" i="18"/>
  <c r="I30" i="19"/>
  <c r="J19" i="18"/>
  <c r="BN19" i="18"/>
  <c r="L19" i="18"/>
  <c r="BC28" i="21"/>
  <c r="I28" i="21"/>
  <c r="AY28" i="21"/>
  <c r="AH21" i="21"/>
  <c r="AK21" i="21" s="1"/>
  <c r="AF21" i="21" s="1"/>
  <c r="AV21" i="21"/>
  <c r="F21" i="21"/>
  <c r="AV18" i="21"/>
  <c r="AH18" i="21"/>
  <c r="AK18" i="21" s="1"/>
  <c r="F18" i="21"/>
  <c r="AY9" i="18"/>
  <c r="I20" i="19"/>
  <c r="L9" i="18"/>
  <c r="J9" i="18"/>
  <c r="BN9" i="18"/>
  <c r="AX27" i="21"/>
  <c r="BB27" i="21"/>
  <c r="H27" i="21"/>
  <c r="K13" i="16"/>
  <c r="E25" i="16"/>
  <c r="C29" i="13"/>
  <c r="AR29" i="13" s="1"/>
  <c r="J40" i="17"/>
  <c r="I24" i="17"/>
  <c r="I34" i="19"/>
  <c r="J23" i="18"/>
  <c r="CE23" i="18"/>
  <c r="AY23" i="18" s="1"/>
  <c r="BN23" i="18"/>
  <c r="L23" i="18"/>
  <c r="I16" i="21"/>
  <c r="J34" i="19"/>
  <c r="K23" i="18"/>
  <c r="CF23" i="18"/>
  <c r="AZ23" i="18" s="1"/>
  <c r="M23" i="18"/>
  <c r="AY11" i="18"/>
  <c r="I22" i="19"/>
  <c r="J11" i="18"/>
  <c r="L11" i="18"/>
  <c r="BN11" i="18"/>
  <c r="AY17" i="18"/>
  <c r="I28" i="19"/>
  <c r="L17" i="18"/>
  <c r="BN17" i="18"/>
  <c r="J17" i="18"/>
  <c r="H14" i="21"/>
  <c r="AX14" i="21"/>
  <c r="AL14" i="21"/>
  <c r="AO14" i="21" s="1"/>
  <c r="G14" i="21"/>
  <c r="AW14" i="21"/>
  <c r="I23" i="19"/>
  <c r="BN12" i="18"/>
  <c r="L12" i="18"/>
  <c r="AY12" i="18"/>
  <c r="J12" i="18"/>
  <c r="AH22" i="21"/>
  <c r="AK22" i="21" s="1"/>
  <c r="AF22" i="21" s="1"/>
  <c r="AV22" i="21"/>
  <c r="F22" i="21"/>
  <c r="H25" i="21"/>
  <c r="AV12" i="21"/>
  <c r="AH12" i="21"/>
  <c r="AK12" i="21" s="1"/>
  <c r="F12" i="21"/>
  <c r="J25" i="19"/>
  <c r="K14" i="18"/>
  <c r="Q14" i="18" s="1"/>
  <c r="M14" i="18"/>
  <c r="U14" i="18" s="1"/>
  <c r="AZ14" i="18"/>
  <c r="L22" i="12"/>
  <c r="E9" i="15"/>
  <c r="AT9" i="15" s="1"/>
  <c r="BZ25" i="12"/>
  <c r="G25" i="14"/>
  <c r="M25" i="14" s="1"/>
  <c r="R25" i="14" s="1"/>
  <c r="AS13" i="12"/>
  <c r="J35" i="17"/>
  <c r="AZ9" i="18"/>
  <c r="K9" i="18"/>
  <c r="J20" i="19"/>
  <c r="M9" i="18"/>
  <c r="AX18" i="21"/>
  <c r="H18" i="21"/>
  <c r="AH26" i="21"/>
  <c r="AK26" i="21" s="1"/>
  <c r="AZ26" i="21"/>
  <c r="F26" i="21"/>
  <c r="AV26" i="21"/>
  <c r="BA26" i="21"/>
  <c r="AL26" i="21"/>
  <c r="AO26" i="21" s="1"/>
  <c r="G26" i="21"/>
  <c r="AW26" i="21"/>
  <c r="AY22" i="21"/>
  <c r="I22" i="21"/>
  <c r="AV14" i="21"/>
  <c r="AH14" i="21"/>
  <c r="AK14" i="21" s="1"/>
  <c r="F14" i="21"/>
  <c r="AH20" i="21"/>
  <c r="AK20" i="21" s="1"/>
  <c r="AF20" i="21" s="1"/>
  <c r="AV20" i="21"/>
  <c r="F20" i="21"/>
  <c r="I31" i="19"/>
  <c r="L20" i="18"/>
  <c r="J20" i="18"/>
  <c r="BN20" i="18"/>
  <c r="AY20" i="18"/>
  <c r="AX31" i="21"/>
  <c r="H31" i="21"/>
  <c r="BB31" i="21"/>
  <c r="I24" i="19"/>
  <c r="AY13" i="18"/>
  <c r="L13" i="18"/>
  <c r="J13" i="18"/>
  <c r="BN13" i="18"/>
  <c r="I20" i="21"/>
  <c r="H20" i="21"/>
  <c r="AX20" i="21"/>
  <c r="CF25" i="18"/>
  <c r="AZ25" i="18"/>
  <c r="J36" i="19"/>
  <c r="K25" i="18"/>
  <c r="Q25" i="18" s="1"/>
  <c r="M25" i="18"/>
  <c r="U25" i="18" s="1"/>
  <c r="I26" i="21"/>
  <c r="AV15" i="21"/>
  <c r="AH15" i="21"/>
  <c r="AK15" i="21" s="1"/>
  <c r="AF15" i="21" s="1"/>
  <c r="F15" i="21"/>
  <c r="AX30" i="21"/>
  <c r="BB30" i="21"/>
  <c r="H30" i="21"/>
  <c r="J40" i="19"/>
  <c r="CF29" i="18"/>
  <c r="AZ29" i="18" s="1"/>
  <c r="M29" i="18"/>
  <c r="U29" i="18" s="1"/>
  <c r="K29" i="18"/>
  <c r="I12" i="21"/>
  <c r="AY12" i="21"/>
  <c r="AY19" i="21"/>
  <c r="I19" i="21"/>
  <c r="O19" i="21" s="1"/>
  <c r="Q19" i="21" s="1"/>
  <c r="U19" i="21" s="1"/>
  <c r="J35" i="19"/>
  <c r="CF24" i="18"/>
  <c r="AZ24" i="18" s="1"/>
  <c r="K24" i="18"/>
  <c r="M24" i="18"/>
  <c r="J37" i="19"/>
  <c r="K26" i="18"/>
  <c r="CF26" i="18"/>
  <c r="AZ26" i="18" s="1"/>
  <c r="M26" i="18"/>
  <c r="U26" i="18" s="1"/>
  <c r="C9" i="13"/>
  <c r="AR9" i="13" s="1"/>
  <c r="K25" i="12"/>
  <c r="Q25" i="12" s="1"/>
  <c r="AT25" i="12"/>
  <c r="E24" i="16"/>
  <c r="AW12" i="21"/>
  <c r="G12" i="21"/>
  <c r="AL12" i="21"/>
  <c r="AO12" i="21" s="1"/>
  <c r="CE10" i="18"/>
  <c r="AY10" i="18" s="1"/>
  <c r="I21" i="19"/>
  <c r="L10" i="18"/>
  <c r="J10" i="18"/>
  <c r="BN10" i="18"/>
  <c r="H17" i="21"/>
  <c r="AX17" i="21"/>
  <c r="AV23" i="21"/>
  <c r="AH23" i="21"/>
  <c r="AK23" i="21" s="1"/>
  <c r="F23" i="21"/>
  <c r="AH16" i="21"/>
  <c r="AK16" i="21" s="1"/>
  <c r="AF16" i="21" s="1"/>
  <c r="AV16" i="21"/>
  <c r="F16" i="21"/>
  <c r="AL28" i="21"/>
  <c r="AO28" i="21" s="1"/>
  <c r="AW28" i="21"/>
  <c r="BA28" i="21"/>
  <c r="G28" i="21"/>
  <c r="J24" i="19"/>
  <c r="K13" i="18"/>
  <c r="AZ13" i="18"/>
  <c r="M13" i="18"/>
  <c r="AX23" i="21"/>
  <c r="H23" i="21"/>
  <c r="BA32" i="21"/>
  <c r="G32" i="21"/>
  <c r="AW32" i="21"/>
  <c r="AL32" i="21"/>
  <c r="AO32" i="21" s="1"/>
  <c r="AW27" i="21"/>
  <c r="G27" i="21"/>
  <c r="AL27" i="21"/>
  <c r="AO27" i="21" s="1"/>
  <c r="BA27" i="21"/>
  <c r="AX13" i="21"/>
  <c r="H13" i="21"/>
  <c r="BB13" i="21"/>
  <c r="J10" i="13"/>
  <c r="K20" i="13"/>
  <c r="AT11" i="13"/>
  <c r="AQ15" i="13"/>
  <c r="I25" i="16"/>
  <c r="H12" i="13"/>
  <c r="K27" i="15"/>
  <c r="Q27" i="15" s="1"/>
  <c r="H14" i="14"/>
  <c r="N14" i="14" s="1"/>
  <c r="M18" i="12"/>
  <c r="AU24" i="14"/>
  <c r="AT14" i="13"/>
  <c r="AV17" i="14"/>
  <c r="M27" i="15"/>
  <c r="E18" i="14"/>
  <c r="K18" i="14" s="1"/>
  <c r="L15" i="15"/>
  <c r="L29" i="15"/>
  <c r="N17" i="12"/>
  <c r="J16" i="15"/>
  <c r="AV18" i="12"/>
  <c r="C18" i="15"/>
  <c r="I18" i="15" s="1"/>
  <c r="Q23" i="12"/>
  <c r="L29" i="13"/>
  <c r="R29" i="13" s="1"/>
  <c r="H27" i="14"/>
  <c r="N27" i="14" s="1"/>
  <c r="K24" i="13"/>
  <c r="Q24" i="13" s="1"/>
  <c r="AU24" i="15"/>
  <c r="BY10" i="13"/>
  <c r="AS27" i="15"/>
  <c r="I10" i="14"/>
  <c r="AV28" i="14"/>
  <c r="CB10" i="14"/>
  <c r="K9" i="16"/>
  <c r="N9" i="12"/>
  <c r="AV10" i="14"/>
  <c r="I13" i="14"/>
  <c r="CA25" i="14"/>
  <c r="CA23" i="12"/>
  <c r="AT26" i="13"/>
  <c r="AU25" i="14"/>
  <c r="K25" i="15"/>
  <c r="G18" i="16"/>
  <c r="AR19" i="14"/>
  <c r="AQ19" i="13"/>
  <c r="O16" i="12"/>
  <c r="H26" i="16"/>
  <c r="P9" i="12"/>
  <c r="C9" i="15"/>
  <c r="I9" i="15" s="1"/>
  <c r="AV9" i="12"/>
  <c r="E9" i="14"/>
  <c r="K9" i="14" s="1"/>
  <c r="K29" i="13"/>
  <c r="AT30" i="13"/>
  <c r="I21" i="14"/>
  <c r="M11" i="13"/>
  <c r="S11" i="13" s="1"/>
  <c r="J29" i="16"/>
  <c r="O28" i="12"/>
  <c r="H27" i="16"/>
  <c r="L21" i="15"/>
  <c r="O13" i="12"/>
  <c r="AR22" i="13"/>
  <c r="M12" i="14"/>
  <c r="AS12" i="13"/>
  <c r="H22" i="16"/>
  <c r="I12" i="16"/>
  <c r="G9" i="16"/>
  <c r="E10" i="14"/>
  <c r="BZ10" i="14" s="1"/>
  <c r="L21" i="17"/>
  <c r="L20" i="12"/>
  <c r="K31" i="17"/>
  <c r="B14" i="15"/>
  <c r="BH14" i="15" s="1"/>
  <c r="K25" i="17"/>
  <c r="AU11" i="12"/>
  <c r="K22" i="17"/>
  <c r="AV15" i="14"/>
  <c r="J22" i="15"/>
  <c r="P22" i="15" s="1"/>
  <c r="B10" i="15"/>
  <c r="AQ10" i="15" s="1"/>
  <c r="K21" i="17"/>
  <c r="P30" i="12"/>
  <c r="B25" i="15"/>
  <c r="H25" i="15" s="1"/>
  <c r="K36" i="17"/>
  <c r="AV16" i="12"/>
  <c r="L27" i="17"/>
  <c r="C19" i="15"/>
  <c r="AR19" i="15" s="1"/>
  <c r="L30" i="17"/>
  <c r="AT15" i="13"/>
  <c r="B13" i="15"/>
  <c r="AQ13" i="15" s="1"/>
  <c r="K24" i="17"/>
  <c r="D17" i="14"/>
  <c r="J17" i="14" s="1"/>
  <c r="K28" i="17"/>
  <c r="P20" i="12"/>
  <c r="D23" i="14"/>
  <c r="AS23" i="14" s="1"/>
  <c r="K34" i="17"/>
  <c r="M25" i="12"/>
  <c r="L36" i="17"/>
  <c r="N18" i="12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BH29" i="15" s="1"/>
  <c r="L40" i="17"/>
  <c r="B15" i="15"/>
  <c r="BH15" i="15" s="1"/>
  <c r="K26" i="17"/>
  <c r="M9" i="12"/>
  <c r="H18" i="16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H10" i="16"/>
  <c r="BY25" i="15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O19" i="12"/>
  <c r="T32" i="12"/>
  <c r="T34" i="12"/>
  <c r="U34" i="12"/>
  <c r="T37" i="12"/>
  <c r="E30" i="14"/>
  <c r="K30" i="14" s="1"/>
  <c r="AU20" i="12"/>
  <c r="L14" i="12"/>
  <c r="R14" i="12" s="1"/>
  <c r="AV30" i="12"/>
  <c r="G30" i="16"/>
  <c r="B20" i="15"/>
  <c r="H20" i="15" s="1"/>
  <c r="F20" i="16"/>
  <c r="F14" i="16"/>
  <c r="L14" i="16" s="1"/>
  <c r="BH14" i="12"/>
  <c r="M17" i="13"/>
  <c r="R17" i="13" s="1"/>
  <c r="BH30" i="12"/>
  <c r="L27" i="15"/>
  <c r="AS27" i="13"/>
  <c r="I22" i="16"/>
  <c r="U38" i="12"/>
  <c r="Y38" i="12" s="1"/>
  <c r="AC38" i="12" s="1"/>
  <c r="T31" i="12"/>
  <c r="K24" i="15"/>
  <c r="L15" i="12"/>
  <c r="H11" i="16"/>
  <c r="AR17" i="13"/>
  <c r="CA25" i="12"/>
  <c r="F15" i="16"/>
  <c r="V38" i="12"/>
  <c r="F25" i="16"/>
  <c r="AV29" i="12"/>
  <c r="K30" i="15"/>
  <c r="L25" i="12"/>
  <c r="D25" i="14"/>
  <c r="BY25" i="14" s="1"/>
  <c r="D15" i="14"/>
  <c r="AS15" i="14" s="1"/>
  <c r="E29" i="14"/>
  <c r="K29" i="14" s="1"/>
  <c r="AU25" i="12"/>
  <c r="AU15" i="12"/>
  <c r="P15" i="12"/>
  <c r="N22" i="12"/>
  <c r="Q18" i="12"/>
  <c r="O27" i="12"/>
  <c r="U37" i="12"/>
  <c r="Y37" i="12" s="1"/>
  <c r="AC37" i="12" s="1"/>
  <c r="U33" i="12"/>
  <c r="T35" i="12"/>
  <c r="V35" i="12" s="1"/>
  <c r="O39" i="12"/>
  <c r="U39" i="12" s="1"/>
  <c r="T42" i="12"/>
  <c r="Y42" i="12" s="1"/>
  <c r="AC42" i="12" s="1"/>
  <c r="J25" i="15"/>
  <c r="M29" i="12"/>
  <c r="R29" i="12" s="1"/>
  <c r="N40" i="12"/>
  <c r="T40" i="12" s="1"/>
  <c r="J23" i="13"/>
  <c r="G29" i="16"/>
  <c r="M29" i="16" s="1"/>
  <c r="BH29" i="12"/>
  <c r="I27" i="16"/>
  <c r="K17" i="16"/>
  <c r="V36" i="12"/>
  <c r="L26" i="15"/>
  <c r="W36" i="12"/>
  <c r="X36" i="12"/>
  <c r="AB36" i="12" s="1"/>
  <c r="Y36" i="12"/>
  <c r="AC36" i="12" s="1"/>
  <c r="U41" i="12"/>
  <c r="V41" i="12" s="1"/>
  <c r="T33" i="12"/>
  <c r="AR21" i="13"/>
  <c r="AV19" i="14"/>
  <c r="Q20" i="12"/>
  <c r="AT12" i="15"/>
  <c r="N13" i="12"/>
  <c r="K17" i="15"/>
  <c r="AR19" i="13"/>
  <c r="AU28" i="14"/>
  <c r="K19" i="15"/>
  <c r="AU24" i="13"/>
  <c r="N10" i="12"/>
  <c r="AV15" i="12"/>
  <c r="AR9" i="14"/>
  <c r="J13" i="13"/>
  <c r="P13" i="13" s="1"/>
  <c r="AT13" i="13"/>
  <c r="H25" i="13"/>
  <c r="N25" i="13" s="1"/>
  <c r="AQ30" i="13"/>
  <c r="AT18" i="13"/>
  <c r="AQ26" i="14"/>
  <c r="AT22" i="13"/>
  <c r="L15" i="14"/>
  <c r="S15" i="14" s="1"/>
  <c r="J25" i="16"/>
  <c r="N25" i="16" s="1"/>
  <c r="O14" i="12"/>
  <c r="I26" i="16"/>
  <c r="H28" i="14"/>
  <c r="O28" i="14" s="1"/>
  <c r="BW10" i="13"/>
  <c r="J24" i="15"/>
  <c r="AU11" i="15"/>
  <c r="M27" i="14"/>
  <c r="N27" i="12"/>
  <c r="AR22" i="14"/>
  <c r="AV26" i="13"/>
  <c r="K27" i="13"/>
  <c r="Q27" i="13" s="1"/>
  <c r="I30" i="14"/>
  <c r="N30" i="14" s="1"/>
  <c r="AS11" i="13"/>
  <c r="J17" i="13"/>
  <c r="AS26" i="13"/>
  <c r="AR27" i="14"/>
  <c r="AQ16" i="14"/>
  <c r="L16" i="15"/>
  <c r="J28" i="16"/>
  <c r="K30" i="16"/>
  <c r="I18" i="16"/>
  <c r="AR24" i="13"/>
  <c r="AV30" i="14"/>
  <c r="CB10" i="12"/>
  <c r="AV18" i="15"/>
  <c r="CA25" i="15"/>
  <c r="AQ25" i="13"/>
  <c r="L25" i="15"/>
  <c r="S25" i="15" s="1"/>
  <c r="P24" i="12"/>
  <c r="AU14" i="15"/>
  <c r="AR18" i="14"/>
  <c r="AR29" i="14"/>
  <c r="J17" i="16"/>
  <c r="J20" i="15"/>
  <c r="AT21" i="15"/>
  <c r="AV22" i="15"/>
  <c r="M14" i="13"/>
  <c r="S14" i="13" s="1"/>
  <c r="BY23" i="13"/>
  <c r="M14" i="15"/>
  <c r="S14" i="15" s="1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V28" i="15"/>
  <c r="H10" i="13"/>
  <c r="AR18" i="13"/>
  <c r="I13" i="16"/>
  <c r="M9" i="15"/>
  <c r="M13" i="15"/>
  <c r="S13" i="15" s="1"/>
  <c r="I24" i="14"/>
  <c r="CB25" i="15"/>
  <c r="AS18" i="15"/>
  <c r="L20" i="14"/>
  <c r="S20" i="14" s="1"/>
  <c r="J30" i="16"/>
  <c r="Q17" i="12"/>
  <c r="AR15" i="14"/>
  <c r="L30" i="14"/>
  <c r="R30" i="14" s="1"/>
  <c r="AQ22" i="13"/>
  <c r="L16" i="12"/>
  <c r="J14" i="13"/>
  <c r="Q14" i="13" s="1"/>
  <c r="Q30" i="12"/>
  <c r="J24" i="16"/>
  <c r="P17" i="12"/>
  <c r="I10" i="16"/>
  <c r="N11" i="12"/>
  <c r="J16" i="13"/>
  <c r="K12" i="16"/>
  <c r="H10" i="14"/>
  <c r="AR28" i="14"/>
  <c r="AQ24" i="13"/>
  <c r="H19" i="14"/>
  <c r="N19" i="14" s="1"/>
  <c r="I21" i="16"/>
  <c r="L12" i="15"/>
  <c r="J30" i="15"/>
  <c r="B19" i="15"/>
  <c r="AQ19" i="15" s="1"/>
  <c r="N16" i="12"/>
  <c r="J25" i="13"/>
  <c r="AS29" i="13"/>
  <c r="K10" i="13"/>
  <c r="P10" i="13" s="1"/>
  <c r="M11" i="15"/>
  <c r="R11" i="15" s="1"/>
  <c r="J9" i="15"/>
  <c r="L21" i="14"/>
  <c r="R21" i="14" s="1"/>
  <c r="M12" i="15"/>
  <c r="J18" i="16"/>
  <c r="H11" i="14"/>
  <c r="O11" i="14" s="1"/>
  <c r="AS15" i="13"/>
  <c r="J13" i="16"/>
  <c r="AU10" i="15"/>
  <c r="AT10" i="13"/>
  <c r="AU29" i="14"/>
  <c r="G21" i="16"/>
  <c r="L21" i="16" s="1"/>
  <c r="BH19" i="12"/>
  <c r="Q28" i="12"/>
  <c r="AQ25" i="14"/>
  <c r="AU9" i="14"/>
  <c r="L13" i="14"/>
  <c r="S13" i="14" s="1"/>
  <c r="AR15" i="13"/>
  <c r="AT18" i="15"/>
  <c r="BH21" i="12"/>
  <c r="I17" i="16"/>
  <c r="AQ10" i="14"/>
  <c r="M16" i="15"/>
  <c r="AR26" i="14"/>
  <c r="H9" i="13"/>
  <c r="H13" i="13"/>
  <c r="O13" i="13" s="1"/>
  <c r="AV20" i="14"/>
  <c r="AT11" i="15"/>
  <c r="I10" i="13"/>
  <c r="F12" i="16"/>
  <c r="M12" i="16" s="1"/>
  <c r="P27" i="12"/>
  <c r="P18" i="12"/>
  <c r="N19" i="12"/>
  <c r="H13" i="16"/>
  <c r="AR14" i="14"/>
  <c r="O17" i="12"/>
  <c r="AQ20" i="14"/>
  <c r="H24" i="14"/>
  <c r="M29" i="15"/>
  <c r="J30" i="13"/>
  <c r="P30" i="13" s="1"/>
  <c r="AR14" i="13"/>
  <c r="K21" i="16"/>
  <c r="B12" i="15"/>
  <c r="H12" i="15" s="1"/>
  <c r="AV9" i="14"/>
  <c r="I29" i="16"/>
  <c r="BH14" i="13"/>
  <c r="H13" i="14"/>
  <c r="AT29" i="15"/>
  <c r="AR11" i="14"/>
  <c r="AU12" i="12"/>
  <c r="D12" i="14"/>
  <c r="AS12" i="14" s="1"/>
  <c r="AT12" i="13"/>
  <c r="I19" i="16"/>
  <c r="K26" i="16"/>
  <c r="P26" i="12"/>
  <c r="K18" i="16"/>
  <c r="N14" i="12"/>
  <c r="H21" i="16"/>
  <c r="BW25" i="14"/>
  <c r="BY25" i="13"/>
  <c r="AS28" i="13"/>
  <c r="AU28" i="15"/>
  <c r="AQ23" i="13"/>
  <c r="K25" i="16"/>
  <c r="AQ26" i="13"/>
  <c r="P28" i="12"/>
  <c r="AV10" i="12"/>
  <c r="G10" i="16"/>
  <c r="L19" i="12"/>
  <c r="D19" i="14"/>
  <c r="J19" i="14" s="1"/>
  <c r="AV21" i="12"/>
  <c r="C21" i="15"/>
  <c r="AR21" i="15" s="1"/>
  <c r="M19" i="15"/>
  <c r="L23" i="15"/>
  <c r="R23" i="15" s="1"/>
  <c r="G15" i="16"/>
  <c r="O12" i="12"/>
  <c r="H24" i="16"/>
  <c r="O30" i="12"/>
  <c r="J16" i="16"/>
  <c r="K22" i="16"/>
  <c r="O24" i="12"/>
  <c r="H12" i="14"/>
  <c r="O12" i="14" s="1"/>
  <c r="AQ30" i="14"/>
  <c r="AV30" i="15"/>
  <c r="BY10" i="15"/>
  <c r="H21" i="13"/>
  <c r="H29" i="13"/>
  <c r="AV29" i="14"/>
  <c r="M10" i="12"/>
  <c r="F19" i="16"/>
  <c r="M21" i="12"/>
  <c r="AU23" i="15"/>
  <c r="I11" i="13"/>
  <c r="O11" i="13" s="1"/>
  <c r="M15" i="12"/>
  <c r="E15" i="14"/>
  <c r="BH15" i="12"/>
  <c r="Q22" i="12"/>
  <c r="H30" i="16"/>
  <c r="CA10" i="15"/>
  <c r="K16" i="13"/>
  <c r="P16" i="13" s="1"/>
  <c r="AV24" i="15"/>
  <c r="H12" i="16"/>
  <c r="BH15" i="13"/>
  <c r="H9" i="16"/>
  <c r="I20" i="14"/>
  <c r="O20" i="14" s="1"/>
  <c r="H29" i="16"/>
  <c r="J12" i="16"/>
  <c r="H17" i="13"/>
  <c r="N17" i="13" s="1"/>
  <c r="J22" i="16"/>
  <c r="L10" i="12"/>
  <c r="F13" i="16"/>
  <c r="O25" i="12"/>
  <c r="Q11" i="12"/>
  <c r="N24" i="12"/>
  <c r="BH26" i="14"/>
  <c r="AR28" i="13"/>
  <c r="AU14" i="14"/>
  <c r="M15" i="15"/>
  <c r="BX25" i="14"/>
  <c r="AT28" i="13"/>
  <c r="H29" i="14"/>
  <c r="O29" i="14" s="1"/>
  <c r="I30" i="16"/>
  <c r="I26" i="13"/>
  <c r="O26" i="13" s="1"/>
  <c r="AQ16" i="13"/>
  <c r="AU13" i="15"/>
  <c r="BH13" i="13"/>
  <c r="H15" i="14"/>
  <c r="O15" i="14" s="1"/>
  <c r="AU20" i="15"/>
  <c r="N28" i="12"/>
  <c r="AU11" i="14"/>
  <c r="K13" i="15"/>
  <c r="L27" i="14"/>
  <c r="AS28" i="15"/>
  <c r="I9" i="13"/>
  <c r="AS14" i="15"/>
  <c r="J21" i="13"/>
  <c r="P22" i="12"/>
  <c r="P23" i="12"/>
  <c r="K10" i="16"/>
  <c r="I20" i="16"/>
  <c r="K15" i="16"/>
  <c r="O29" i="12"/>
  <c r="Q16" i="12"/>
  <c r="H28" i="16"/>
  <c r="AQ18" i="13"/>
  <c r="B17" i="15"/>
  <c r="BH17" i="15" s="1"/>
  <c r="K16" i="16"/>
  <c r="J15" i="16"/>
  <c r="P16" i="12"/>
  <c r="Q15" i="12"/>
  <c r="H18" i="14"/>
  <c r="O18" i="14" s="1"/>
  <c r="N12" i="12"/>
  <c r="K17" i="13"/>
  <c r="O18" i="12"/>
  <c r="I28" i="16"/>
  <c r="K14" i="15"/>
  <c r="Q14" i="15" s="1"/>
  <c r="AR20" i="13"/>
  <c r="K29" i="16"/>
  <c r="AU16" i="14"/>
  <c r="H23" i="14"/>
  <c r="BH25" i="12"/>
  <c r="E25" i="14"/>
  <c r="AT25" i="14" s="1"/>
  <c r="AV10" i="15"/>
  <c r="I14" i="16"/>
  <c r="AQ17" i="14"/>
  <c r="K24" i="16"/>
  <c r="BX25" i="13"/>
  <c r="O22" i="12"/>
  <c r="O20" i="12"/>
  <c r="O10" i="12"/>
  <c r="M10" i="15"/>
  <c r="S10" i="15" s="1"/>
  <c r="H21" i="14"/>
  <c r="I24" i="16"/>
  <c r="N25" i="12"/>
  <c r="O26" i="12"/>
  <c r="N29" i="12"/>
  <c r="N30" i="12"/>
  <c r="J10" i="16"/>
  <c r="K20" i="16"/>
  <c r="AV22" i="14"/>
  <c r="CA23" i="14"/>
  <c r="AR25" i="13"/>
  <c r="AS26" i="15"/>
  <c r="K28" i="15"/>
  <c r="P28" i="15" s="1"/>
  <c r="K10" i="15"/>
  <c r="Q10" i="15" s="1"/>
  <c r="F17" i="16"/>
  <c r="L17" i="16" s="1"/>
  <c r="AQ14" i="13"/>
  <c r="P16" i="15"/>
  <c r="AQ23" i="14"/>
  <c r="AT16" i="15"/>
  <c r="J26" i="14"/>
  <c r="BH17" i="12"/>
  <c r="Q29" i="12"/>
  <c r="O23" i="12"/>
  <c r="AV17" i="15"/>
  <c r="J18" i="13"/>
  <c r="P18" i="13" s="1"/>
  <c r="I9" i="16"/>
  <c r="BH11" i="13"/>
  <c r="L17" i="15"/>
  <c r="S17" i="15" s="1"/>
  <c r="BH18" i="13"/>
  <c r="H20" i="16"/>
  <c r="BH25" i="13"/>
  <c r="AS10" i="15"/>
  <c r="AQ11" i="13"/>
  <c r="AS12" i="15"/>
  <c r="M14" i="14"/>
  <c r="S14" i="14" s="1"/>
  <c r="H27" i="13"/>
  <c r="S19" i="13"/>
  <c r="S25" i="13"/>
  <c r="L17" i="12"/>
  <c r="R17" i="12" s="1"/>
  <c r="AU27" i="13"/>
  <c r="K9" i="15"/>
  <c r="H14" i="13"/>
  <c r="O14" i="13" s="1"/>
  <c r="AU22" i="14"/>
  <c r="F16" i="16"/>
  <c r="H17" i="16"/>
  <c r="H19" i="16"/>
  <c r="H23" i="16"/>
  <c r="BH17" i="13"/>
  <c r="BH26" i="13"/>
  <c r="AU17" i="12"/>
  <c r="N21" i="12"/>
  <c r="J23" i="16"/>
  <c r="N15" i="12"/>
  <c r="Q10" i="12"/>
  <c r="BH10" i="13"/>
  <c r="I11" i="16"/>
  <c r="I16" i="14"/>
  <c r="O16" i="14" s="1"/>
  <c r="AU18" i="15"/>
  <c r="O21" i="12"/>
  <c r="AS24" i="13"/>
  <c r="AT25" i="13"/>
  <c r="BH28" i="13"/>
  <c r="J9" i="16"/>
  <c r="J11" i="15"/>
  <c r="P11" i="15" s="1"/>
  <c r="L12" i="14"/>
  <c r="P12" i="12"/>
  <c r="AR13" i="13"/>
  <c r="K20" i="15"/>
  <c r="AV21" i="14"/>
  <c r="AT22" i="15"/>
  <c r="Q26" i="12"/>
  <c r="J26" i="16"/>
  <c r="AS29" i="15"/>
  <c r="J19" i="13"/>
  <c r="M16" i="14"/>
  <c r="S16" i="14" s="1"/>
  <c r="R15" i="13"/>
  <c r="M11" i="14"/>
  <c r="S11" i="14" s="1"/>
  <c r="I23" i="14"/>
  <c r="CA10" i="12"/>
  <c r="D10" i="14"/>
  <c r="BH10" i="14" s="1"/>
  <c r="D13" i="14"/>
  <c r="J13" i="14" s="1"/>
  <c r="AS15" i="15"/>
  <c r="D16" i="14"/>
  <c r="AS16" i="14" s="1"/>
  <c r="B16" i="15"/>
  <c r="AV25" i="12"/>
  <c r="N23" i="12"/>
  <c r="Q9" i="12"/>
  <c r="J23" i="15"/>
  <c r="BX10" i="13"/>
  <c r="BX23" i="14"/>
  <c r="AU10" i="12"/>
  <c r="L13" i="12"/>
  <c r="G25" i="16"/>
  <c r="AR17" i="14"/>
  <c r="K25" i="13"/>
  <c r="BH30" i="13"/>
  <c r="K28" i="16"/>
  <c r="BH9" i="13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BH11" i="14"/>
  <c r="R10" i="13"/>
  <c r="P29" i="12"/>
  <c r="Q27" i="12"/>
  <c r="K23" i="16"/>
  <c r="BY23" i="15"/>
  <c r="P19" i="12"/>
  <c r="O19" i="13"/>
  <c r="AT15" i="15"/>
  <c r="J11" i="16"/>
  <c r="K11" i="16"/>
  <c r="BZ10" i="15"/>
  <c r="P10" i="12"/>
  <c r="O15" i="12"/>
  <c r="BH22" i="13"/>
  <c r="J19" i="16"/>
  <c r="AV24" i="13"/>
  <c r="M24" i="13"/>
  <c r="S24" i="13" s="1"/>
  <c r="Q19" i="12"/>
  <c r="S16" i="13"/>
  <c r="K19" i="16"/>
  <c r="AU22" i="15"/>
  <c r="BH23" i="13"/>
  <c r="L30" i="13"/>
  <c r="R30" i="13" s="1"/>
  <c r="AU30" i="13"/>
  <c r="L19" i="14"/>
  <c r="S19" i="14" s="1"/>
  <c r="AU19" i="14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BH19" i="13"/>
  <c r="M22" i="13"/>
  <c r="AV22" i="13"/>
  <c r="K14" i="16"/>
  <c r="J14" i="16"/>
  <c r="I15" i="16"/>
  <c r="N20" i="12"/>
  <c r="AV20" i="15"/>
  <c r="AV25" i="15"/>
  <c r="AU17" i="14"/>
  <c r="Q24" i="12"/>
  <c r="S22" i="15"/>
  <c r="AV28" i="13"/>
  <c r="M28" i="13"/>
  <c r="J19" i="15"/>
  <c r="AS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AS28" i="14"/>
  <c r="J28" i="14"/>
  <c r="BH27" i="12"/>
  <c r="AV28" i="12"/>
  <c r="M28" i="12"/>
  <c r="S28" i="12" s="1"/>
  <c r="E28" i="14"/>
  <c r="BH28" i="12"/>
  <c r="C28" i="15"/>
  <c r="G28" i="16"/>
  <c r="BH24" i="13"/>
  <c r="F30" i="16"/>
  <c r="L30" i="12"/>
  <c r="S30" i="12" s="1"/>
  <c r="B30" i="15"/>
  <c r="AU30" i="12"/>
  <c r="D30" i="14"/>
  <c r="BZ23" i="13"/>
  <c r="AT23" i="13"/>
  <c r="K23" i="13"/>
  <c r="L18" i="13"/>
  <c r="AU18" i="13"/>
  <c r="AV21" i="15"/>
  <c r="M21" i="15"/>
  <c r="M27" i="13"/>
  <c r="S27" i="13" s="1"/>
  <c r="AV27" i="13"/>
  <c r="AQ27" i="15"/>
  <c r="H27" i="15"/>
  <c r="H21" i="15"/>
  <c r="AQ21" i="15"/>
  <c r="AQ24" i="15"/>
  <c r="H24" i="15"/>
  <c r="AQ9" i="14"/>
  <c r="H9" i="14"/>
  <c r="O9" i="14" s="1"/>
  <c r="H22" i="15"/>
  <c r="AQ22" i="15"/>
  <c r="J22" i="14"/>
  <c r="AS22" i="14"/>
  <c r="AQ11" i="15"/>
  <c r="AR12" i="15"/>
  <c r="I12" i="15"/>
  <c r="AT17" i="14"/>
  <c r="K17" i="14"/>
  <c r="S26" i="13"/>
  <c r="R26" i="13"/>
  <c r="S15" i="13"/>
  <c r="AR16" i="15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S20" i="12" s="1"/>
  <c r="E20" i="14"/>
  <c r="BH20" i="12"/>
  <c r="AT14" i="14"/>
  <c r="K14" i="14"/>
  <c r="AT18" i="14"/>
  <c r="AV23" i="13"/>
  <c r="M23" i="13"/>
  <c r="CB23" i="13"/>
  <c r="I26" i="15"/>
  <c r="AR26" i="15"/>
  <c r="H10" i="15"/>
  <c r="BW10" i="15"/>
  <c r="AR23" i="13"/>
  <c r="I23" i="13"/>
  <c r="N23" i="13" s="1"/>
  <c r="BX23" i="13"/>
  <c r="O9" i="12"/>
  <c r="C13" i="15"/>
  <c r="M13" i="12"/>
  <c r="E13" i="14"/>
  <c r="AV13" i="12"/>
  <c r="G13" i="16"/>
  <c r="BH13" i="12"/>
  <c r="J21" i="14"/>
  <c r="AS21" i="14"/>
  <c r="M20" i="13"/>
  <c r="S20" i="13" s="1"/>
  <c r="AV20" i="13"/>
  <c r="J20" i="14"/>
  <c r="AS20" i="14"/>
  <c r="BW23" i="15"/>
  <c r="R22" i="15"/>
  <c r="K26" i="14"/>
  <c r="AT26" i="14"/>
  <c r="S10" i="13"/>
  <c r="AR11" i="15"/>
  <c r="I11" i="15"/>
  <c r="AT23" i="15"/>
  <c r="BZ23" i="15"/>
  <c r="K23" i="15"/>
  <c r="H29" i="15"/>
  <c r="AQ29" i="15"/>
  <c r="J24" i="14"/>
  <c r="AS24" i="14"/>
  <c r="I29" i="15"/>
  <c r="I1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6" s="1"/>
  <c r="L9" i="12"/>
  <c r="AU9" i="12"/>
  <c r="BH9" i="12"/>
  <c r="M11" i="16"/>
  <c r="AQ14" i="15"/>
  <c r="N19" i="13"/>
  <c r="M23" i="14"/>
  <c r="AV23" i="14"/>
  <c r="CB23" i="14"/>
  <c r="O30" i="13"/>
  <c r="N30" i="13"/>
  <c r="Q29" i="15"/>
  <c r="P29" i="15"/>
  <c r="R29" i="14"/>
  <c r="S29" i="14"/>
  <c r="R28" i="14"/>
  <c r="S28" i="14"/>
  <c r="P27" i="15"/>
  <c r="Q26" i="15"/>
  <c r="S26" i="14"/>
  <c r="R26" i="14"/>
  <c r="S25" i="14"/>
  <c r="O24" i="13"/>
  <c r="N24" i="13"/>
  <c r="R22" i="14"/>
  <c r="S22" i="14"/>
  <c r="Q22" i="15"/>
  <c r="N22" i="13"/>
  <c r="O22" i="13"/>
  <c r="Q21" i="15"/>
  <c r="P21" i="15"/>
  <c r="O18" i="13"/>
  <c r="N18" i="13"/>
  <c r="P18" i="15"/>
  <c r="Q18" i="15"/>
  <c r="S17" i="14"/>
  <c r="R17" i="14"/>
  <c r="P15" i="15"/>
  <c r="Q15" i="15"/>
  <c r="O15" i="13"/>
  <c r="N15" i="13"/>
  <c r="Q12" i="15"/>
  <c r="P12" i="15"/>
  <c r="R10" i="14"/>
  <c r="S10" i="14"/>
  <c r="S30" i="15"/>
  <c r="P29" i="13"/>
  <c r="Q29" i="13"/>
  <c r="S28" i="15"/>
  <c r="R28" i="15"/>
  <c r="Q28" i="13"/>
  <c r="P28" i="13"/>
  <c r="O27" i="14"/>
  <c r="Q26" i="13"/>
  <c r="P26" i="13"/>
  <c r="N26" i="14"/>
  <c r="O26" i="14"/>
  <c r="S24" i="15"/>
  <c r="R24" i="15"/>
  <c r="S20" i="15"/>
  <c r="R20" i="15"/>
  <c r="Q20" i="13"/>
  <c r="P20" i="13"/>
  <c r="S18" i="15"/>
  <c r="R18" i="15"/>
  <c r="O17" i="14"/>
  <c r="N17" i="14"/>
  <c r="P15" i="13"/>
  <c r="Q15" i="13"/>
  <c r="O14" i="14"/>
  <c r="Q12" i="13"/>
  <c r="P12" i="13"/>
  <c r="Q11" i="13"/>
  <c r="P11" i="13"/>
  <c r="R9" i="14" l="1"/>
  <c r="O22" i="14"/>
  <c r="S26" i="12"/>
  <c r="I16" i="16"/>
  <c r="BH12" i="13"/>
  <c r="Q14" i="12"/>
  <c r="S24" i="14"/>
  <c r="AT29" i="14"/>
  <c r="I29" i="13"/>
  <c r="I16" i="13"/>
  <c r="O16" i="13" s="1"/>
  <c r="BH16" i="13"/>
  <c r="AT26" i="15"/>
  <c r="I27" i="13"/>
  <c r="P21" i="12"/>
  <c r="K9" i="13"/>
  <c r="Q9" i="13" s="1"/>
  <c r="AT9" i="13"/>
  <c r="AR18" i="15"/>
  <c r="AQ22" i="14"/>
  <c r="T19" i="18"/>
  <c r="I12" i="13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U12" i="21" s="1"/>
  <c r="T23" i="18"/>
  <c r="T10" i="18"/>
  <c r="T12" i="18"/>
  <c r="AF32" i="21"/>
  <c r="N25" i="21"/>
  <c r="R18" i="12"/>
  <c r="AS13" i="15"/>
  <c r="P25" i="12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T21" i="21" s="1"/>
  <c r="AF31" i="21"/>
  <c r="N26" i="21"/>
  <c r="P26" i="21" s="1"/>
  <c r="T26" i="21" s="1"/>
  <c r="BH18" i="14"/>
  <c r="T15" i="18"/>
  <c r="T28" i="18"/>
  <c r="P25" i="21"/>
  <c r="N22" i="21"/>
  <c r="P22" i="21" s="1"/>
  <c r="AQ25" i="15"/>
  <c r="U30" i="18"/>
  <c r="N12" i="13"/>
  <c r="U11" i="18"/>
  <c r="O18" i="21"/>
  <c r="Q18" i="21" s="1"/>
  <c r="U18" i="21" s="1"/>
  <c r="N18" i="21"/>
  <c r="P18" i="21" s="1"/>
  <c r="P19" i="18"/>
  <c r="R19" i="18"/>
  <c r="Q13" i="12"/>
  <c r="U13" i="12" s="1"/>
  <c r="Q26" i="18"/>
  <c r="S26" i="18"/>
  <c r="N30" i="21"/>
  <c r="P30" i="21" s="1"/>
  <c r="O30" i="21"/>
  <c r="Q30" i="21" s="1"/>
  <c r="U30" i="21" s="1"/>
  <c r="O20" i="21"/>
  <c r="Q20" i="21" s="1"/>
  <c r="U20" i="21" s="1"/>
  <c r="N20" i="21"/>
  <c r="P20" i="21" s="1"/>
  <c r="O31" i="21"/>
  <c r="Q31" i="21" s="1"/>
  <c r="U31" i="21" s="1"/>
  <c r="N31" i="21"/>
  <c r="P31" i="21" s="1"/>
  <c r="AF12" i="21"/>
  <c r="AE18" i="21"/>
  <c r="BD18" i="21"/>
  <c r="BD32" i="21"/>
  <c r="N32" i="21"/>
  <c r="P32" i="21" s="1"/>
  <c r="O32" i="21"/>
  <c r="Q32" i="21" s="1"/>
  <c r="U32" i="21" s="1"/>
  <c r="O25" i="21"/>
  <c r="Q25" i="21" s="1"/>
  <c r="U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Z19" i="18" s="1"/>
  <c r="O17" i="21"/>
  <c r="Q17" i="21" s="1"/>
  <c r="U17" i="21" s="1"/>
  <c r="N17" i="21"/>
  <c r="P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26" i="21" s="1"/>
  <c r="U9" i="18"/>
  <c r="Q23" i="18"/>
  <c r="S23" i="18"/>
  <c r="Q21" i="18"/>
  <c r="S21" i="18"/>
  <c r="O33" i="21"/>
  <c r="Q33" i="21" s="1"/>
  <c r="U33" i="21" s="1"/>
  <c r="N33" i="21"/>
  <c r="P33" i="21" s="1"/>
  <c r="U28" i="18"/>
  <c r="AE24" i="21"/>
  <c r="BD24" i="21"/>
  <c r="O15" i="21"/>
  <c r="Q15" i="21" s="1"/>
  <c r="U15" i="21" s="1"/>
  <c r="N15" i="21"/>
  <c r="P15" i="21" s="1"/>
  <c r="T24" i="18"/>
  <c r="U22" i="18"/>
  <c r="U17" i="18"/>
  <c r="T21" i="18"/>
  <c r="T22" i="21"/>
  <c r="AE23" i="21"/>
  <c r="BD23" i="21"/>
  <c r="AE20" i="21"/>
  <c r="BD20" i="21"/>
  <c r="O22" i="21"/>
  <c r="Q22" i="21" s="1"/>
  <c r="U22" i="21" s="1"/>
  <c r="P12" i="18"/>
  <c r="R12" i="18"/>
  <c r="T11" i="18"/>
  <c r="P15" i="18"/>
  <c r="R15" i="18"/>
  <c r="U15" i="18"/>
  <c r="AE33" i="21"/>
  <c r="S28" i="18"/>
  <c r="Q28" i="18"/>
  <c r="Y28" i="18" s="1"/>
  <c r="Q10" i="18"/>
  <c r="S10" i="18"/>
  <c r="U20" i="18"/>
  <c r="N27" i="21"/>
  <c r="P27" i="21" s="1"/>
  <c r="O27" i="21"/>
  <c r="Q27" i="21" s="1"/>
  <c r="U27" i="21" s="1"/>
  <c r="BD19" i="21"/>
  <c r="AE19" i="21"/>
  <c r="P26" i="18"/>
  <c r="X26" i="18" s="1"/>
  <c r="R26" i="18"/>
  <c r="AA26" i="18" s="1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P11" i="18"/>
  <c r="R11" i="18"/>
  <c r="P9" i="18"/>
  <c r="R9" i="18"/>
  <c r="O28" i="21"/>
  <c r="Q28" i="21" s="1"/>
  <c r="U28" i="21" s="1"/>
  <c r="N28" i="21"/>
  <c r="P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Y12" i="18" s="1"/>
  <c r="U10" i="18"/>
  <c r="P27" i="18"/>
  <c r="R27" i="18"/>
  <c r="Q17" i="18"/>
  <c r="S17" i="18"/>
  <c r="N29" i="21"/>
  <c r="P29" i="21" s="1"/>
  <c r="AE29" i="21"/>
  <c r="BD29" i="21"/>
  <c r="AE16" i="21"/>
  <c r="BD16" i="21"/>
  <c r="S20" i="18"/>
  <c r="P20" i="18"/>
  <c r="X20" i="18" s="1"/>
  <c r="R20" i="18"/>
  <c r="Z20" i="18" s="1"/>
  <c r="BD26" i="21"/>
  <c r="AE26" i="21"/>
  <c r="T25" i="21"/>
  <c r="P17" i="18"/>
  <c r="R17" i="18"/>
  <c r="Z23" i="18"/>
  <c r="AE17" i="21"/>
  <c r="BD17" i="21"/>
  <c r="Q27" i="18"/>
  <c r="S27" i="18"/>
  <c r="O14" i="21"/>
  <c r="Q14" i="21" s="1"/>
  <c r="U14" i="21" s="1"/>
  <c r="S14" i="18"/>
  <c r="P14" i="18"/>
  <c r="X14" i="18" s="1"/>
  <c r="R14" i="18"/>
  <c r="S16" i="18"/>
  <c r="Q16" i="18"/>
  <c r="U12" i="18"/>
  <c r="O16" i="21"/>
  <c r="Q16" i="21" s="1"/>
  <c r="U16" i="21" s="1"/>
  <c r="N16" i="21"/>
  <c r="P16" i="21" s="1"/>
  <c r="O13" i="21"/>
  <c r="Q13" i="21" s="1"/>
  <c r="U13" i="21" s="1"/>
  <c r="N13" i="21"/>
  <c r="P13" i="21" s="1"/>
  <c r="N12" i="21"/>
  <c r="P12" i="21" s="1"/>
  <c r="AE15" i="21"/>
  <c r="BD15" i="21"/>
  <c r="AE14" i="21"/>
  <c r="BD14" i="21"/>
  <c r="BD22" i="21"/>
  <c r="AE22" i="21"/>
  <c r="S11" i="18"/>
  <c r="Q11" i="18"/>
  <c r="AE25" i="21"/>
  <c r="AB25" i="21" s="1"/>
  <c r="BD25" i="21"/>
  <c r="O21" i="21"/>
  <c r="Q21" i="21" s="1"/>
  <c r="T18" i="18"/>
  <c r="U18" i="18"/>
  <c r="P16" i="18"/>
  <c r="R16" i="18"/>
  <c r="N23" i="21"/>
  <c r="P23" i="21" s="1"/>
  <c r="O23" i="21"/>
  <c r="Q23" i="21" s="1"/>
  <c r="U23" i="21" s="1"/>
  <c r="AV25" i="14"/>
  <c r="AF26" i="21"/>
  <c r="U23" i="18"/>
  <c r="AA23" i="18" s="1"/>
  <c r="AE21" i="21"/>
  <c r="BD21" i="21"/>
  <c r="T26" i="18"/>
  <c r="P18" i="18"/>
  <c r="R18" i="18"/>
  <c r="N19" i="21"/>
  <c r="P19" i="21" s="1"/>
  <c r="T25" i="18"/>
  <c r="BD33" i="21"/>
  <c r="O24" i="21"/>
  <c r="Q24" i="21" s="1"/>
  <c r="U24" i="21" s="1"/>
  <c r="N24" i="21"/>
  <c r="P24" i="21" s="1"/>
  <c r="T29" i="18"/>
  <c r="T30" i="18"/>
  <c r="T27" i="18"/>
  <c r="U19" i="18"/>
  <c r="BH25" i="15"/>
  <c r="S15" i="15"/>
  <c r="R29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T13" i="12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AB29" i="16" s="1"/>
  <c r="S19" i="12"/>
  <c r="AT30" i="14"/>
  <c r="Q23" i="13"/>
  <c r="M19" i="16"/>
  <c r="J25" i="14"/>
  <c r="L30" i="16"/>
  <c r="U18" i="12"/>
  <c r="L25" i="16"/>
  <c r="M14" i="16"/>
  <c r="AC14" i="16" s="1"/>
  <c r="O27" i="13"/>
  <c r="O9" i="13"/>
  <c r="N27" i="16"/>
  <c r="W34" i="12"/>
  <c r="BK34" i="12" s="1"/>
  <c r="L15" i="16"/>
  <c r="S15" i="12"/>
  <c r="M15" i="16"/>
  <c r="W31" i="12"/>
  <c r="Y31" i="12" s="1"/>
  <c r="AC31" i="12" s="1"/>
  <c r="T30" i="12"/>
  <c r="O22" i="16"/>
  <c r="T17" i="12"/>
  <c r="N10" i="16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T18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O27" i="16"/>
  <c r="U40" i="12"/>
  <c r="X40" i="12" s="1"/>
  <c r="AB40" i="12" s="1"/>
  <c r="R26" i="15"/>
  <c r="O30" i="14"/>
  <c r="AR10" i="15"/>
  <c r="T10" i="12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O25" i="13"/>
  <c r="P17" i="15"/>
  <c r="S30" i="14"/>
  <c r="S26" i="15"/>
  <c r="S23" i="14"/>
  <c r="U27" i="12"/>
  <c r="T27" i="12"/>
  <c r="R15" i="14"/>
  <c r="R14" i="13"/>
  <c r="N28" i="14"/>
  <c r="N11" i="14"/>
  <c r="O26" i="16"/>
  <c r="P17" i="13"/>
  <c r="U14" i="12"/>
  <c r="R22" i="13"/>
  <c r="P27" i="13"/>
  <c r="Q13" i="13"/>
  <c r="K15" i="14"/>
  <c r="R15" i="15"/>
  <c r="O12" i="13"/>
  <c r="U12" i="13" s="1"/>
  <c r="R27" i="14"/>
  <c r="AA25" i="16"/>
  <c r="AE25" i="16" s="1"/>
  <c r="R25" i="15"/>
  <c r="BX10" i="15"/>
  <c r="BH10" i="15"/>
  <c r="R19" i="12"/>
  <c r="P20" i="15"/>
  <c r="R16" i="15"/>
  <c r="R12" i="12"/>
  <c r="R28" i="13"/>
  <c r="Q21" i="13"/>
  <c r="O10" i="14"/>
  <c r="P14" i="13"/>
  <c r="R14" i="15"/>
  <c r="R13" i="15"/>
  <c r="U11" i="12"/>
  <c r="U28" i="12"/>
  <c r="O29" i="16"/>
  <c r="N13" i="13"/>
  <c r="P25" i="13"/>
  <c r="AA16" i="16"/>
  <c r="AE16" i="16" s="1"/>
  <c r="N24" i="14"/>
  <c r="O13" i="16"/>
  <c r="U17" i="12"/>
  <c r="O10" i="13"/>
  <c r="S16" i="15"/>
  <c r="T24" i="12"/>
  <c r="R16" i="12"/>
  <c r="R24" i="13"/>
  <c r="U12" i="12"/>
  <c r="N10" i="13"/>
  <c r="AA26" i="16"/>
  <c r="AE26" i="16" s="1"/>
  <c r="O12" i="16"/>
  <c r="BH12" i="15"/>
  <c r="R20" i="14"/>
  <c r="T21" i="12"/>
  <c r="O10" i="16"/>
  <c r="BZ25" i="14"/>
  <c r="N29" i="16"/>
  <c r="R17" i="15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O29" i="13"/>
  <c r="N24" i="16"/>
  <c r="T28" i="12"/>
  <c r="M21" i="16"/>
  <c r="Q10" i="13"/>
  <c r="AA13" i="16"/>
  <c r="AE13" i="16" s="1"/>
  <c r="Q11" i="15"/>
  <c r="H19" i="15"/>
  <c r="N19" i="15" s="1"/>
  <c r="AA27" i="16"/>
  <c r="AE27" i="16" s="1"/>
  <c r="O24" i="14"/>
  <c r="BH19" i="15"/>
  <c r="O28" i="16"/>
  <c r="O30" i="16"/>
  <c r="S12" i="15"/>
  <c r="O19" i="14"/>
  <c r="U25" i="12"/>
  <c r="R12" i="15"/>
  <c r="BH21" i="15"/>
  <c r="T19" i="12"/>
  <c r="N20" i="16"/>
  <c r="U29" i="12"/>
  <c r="S27" i="14"/>
  <c r="T11" i="12"/>
  <c r="Q25" i="13"/>
  <c r="Q9" i="15"/>
  <c r="U19" i="12"/>
  <c r="AA18" i="16"/>
  <c r="AE18" i="16" s="1"/>
  <c r="U16" i="12"/>
  <c r="M17" i="16"/>
  <c r="AC17" i="16" s="1"/>
  <c r="R30" i="12"/>
  <c r="T16" i="12"/>
  <c r="J12" i="14"/>
  <c r="P12" i="14" s="1"/>
  <c r="R10" i="12"/>
  <c r="R13" i="14"/>
  <c r="BH12" i="14"/>
  <c r="S11" i="15"/>
  <c r="N14" i="13"/>
  <c r="U14" i="13" s="1"/>
  <c r="N13" i="14"/>
  <c r="N18" i="16"/>
  <c r="S29" i="15"/>
  <c r="S12" i="14"/>
  <c r="AA22" i="16"/>
  <c r="AE22" i="16" s="1"/>
  <c r="R19" i="14"/>
  <c r="AQ12" i="15"/>
  <c r="T15" i="12"/>
  <c r="N11" i="16"/>
  <c r="O21" i="16"/>
  <c r="N9" i="13"/>
  <c r="N12" i="14"/>
  <c r="Q17" i="13"/>
  <c r="N20" i="14"/>
  <c r="N11" i="13"/>
  <c r="U11" i="13" s="1"/>
  <c r="Q13" i="15"/>
  <c r="N16" i="13"/>
  <c r="T16" i="13" s="1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U24" i="12"/>
  <c r="O20" i="16"/>
  <c r="O16" i="16"/>
  <c r="AA12" i="16"/>
  <c r="AE12" i="16" s="1"/>
  <c r="AA30" i="16"/>
  <c r="AE30" i="16" s="1"/>
  <c r="N16" i="16"/>
  <c r="M10" i="16"/>
  <c r="Q16" i="13"/>
  <c r="N15" i="14"/>
  <c r="U30" i="12"/>
  <c r="Q20" i="15"/>
  <c r="N29" i="13"/>
  <c r="O15" i="16"/>
  <c r="R10" i="15"/>
  <c r="N12" i="16"/>
  <c r="R21" i="15"/>
  <c r="O25" i="16"/>
  <c r="P25" i="16" s="1"/>
  <c r="N30" i="16"/>
  <c r="N27" i="13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AA23" i="16"/>
  <c r="AE23" i="16" s="1"/>
  <c r="N28" i="16"/>
  <c r="AA20" i="16"/>
  <c r="AE20" i="16" s="1"/>
  <c r="T22" i="12"/>
  <c r="L13" i="16"/>
  <c r="U23" i="12"/>
  <c r="BH16" i="14"/>
  <c r="P19" i="15"/>
  <c r="R23" i="12"/>
  <c r="O19" i="16"/>
  <c r="U26" i="12"/>
  <c r="U21" i="12"/>
  <c r="T12" i="12"/>
  <c r="Q18" i="13"/>
  <c r="U18" i="13" s="1"/>
  <c r="AA28" i="16"/>
  <c r="AE28" i="16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O17" i="13"/>
  <c r="P23" i="15"/>
  <c r="AQ16" i="15"/>
  <c r="J10" i="14"/>
  <c r="P10" i="14" s="1"/>
  <c r="O11" i="16"/>
  <c r="AA15" i="16"/>
  <c r="AE15" i="16" s="1"/>
  <c r="O23" i="16"/>
  <c r="AA17" i="16"/>
  <c r="BY10" i="14"/>
  <c r="K25" i="14"/>
  <c r="H17" i="15"/>
  <c r="O17" i="15" s="1"/>
  <c r="S17" i="12"/>
  <c r="AQ17" i="15"/>
  <c r="T29" i="12"/>
  <c r="N23" i="16"/>
  <c r="AA10" i="16"/>
  <c r="U10" i="12"/>
  <c r="O24" i="16"/>
  <c r="O14" i="16"/>
  <c r="N23" i="14"/>
  <c r="AB11" i="16"/>
  <c r="U15" i="12"/>
  <c r="T23" i="12"/>
  <c r="BH25" i="14"/>
  <c r="AA9" i="16"/>
  <c r="AE9" i="16" s="1"/>
  <c r="O17" i="16"/>
  <c r="U24" i="13"/>
  <c r="AA24" i="16"/>
  <c r="AE24" i="16" s="1"/>
  <c r="T25" i="12"/>
  <c r="R18" i="14"/>
  <c r="O23" i="14"/>
  <c r="Q19" i="13"/>
  <c r="U19" i="13" s="1"/>
  <c r="N14" i="16"/>
  <c r="P9" i="15"/>
  <c r="S22" i="12"/>
  <c r="AC26" i="16"/>
  <c r="N9" i="14"/>
  <c r="P11" i="14"/>
  <c r="AA14" i="16"/>
  <c r="AE14" i="16" s="1"/>
  <c r="Q29" i="14"/>
  <c r="S27" i="12"/>
  <c r="AA19" i="16"/>
  <c r="AE19" i="16" s="1"/>
  <c r="U15" i="13"/>
  <c r="AB26" i="16"/>
  <c r="AA11" i="16"/>
  <c r="AE11" i="16" s="1"/>
  <c r="Q23" i="15"/>
  <c r="BX25" i="15"/>
  <c r="M25" i="16"/>
  <c r="R23" i="14"/>
  <c r="S30" i="13"/>
  <c r="R16" i="14"/>
  <c r="M30" i="16"/>
  <c r="AR25" i="15"/>
  <c r="S22" i="13"/>
  <c r="R21" i="13"/>
  <c r="S21" i="13"/>
  <c r="R20" i="12"/>
  <c r="S12" i="13"/>
  <c r="R12" i="13"/>
  <c r="O23" i="13"/>
  <c r="N19" i="16"/>
  <c r="AC11" i="16"/>
  <c r="N15" i="16"/>
  <c r="O29" i="15"/>
  <c r="O10" i="15"/>
  <c r="L23" i="16"/>
  <c r="AC23" i="16" s="1"/>
  <c r="R28" i="12"/>
  <c r="S18" i="12"/>
  <c r="AQ18" i="15"/>
  <c r="H18" i="15"/>
  <c r="N18" i="15" s="1"/>
  <c r="BH18" i="15"/>
  <c r="O14" i="15"/>
  <c r="Q14" i="14"/>
  <c r="U14" i="14" s="1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P22" i="14" s="1"/>
  <c r="T22" i="14" s="1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T14" i="14" s="1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T17" i="14" s="1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30" i="13"/>
  <c r="T18" i="13"/>
  <c r="T15" i="13"/>
  <c r="P19" i="14" l="1"/>
  <c r="P9" i="13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C10" i="18" s="1"/>
  <c r="BJ10" i="18" s="1"/>
  <c r="AA19" i="18"/>
  <c r="AB19" i="18" s="1"/>
  <c r="Y17" i="18"/>
  <c r="Z15" i="18"/>
  <c r="AA12" i="18"/>
  <c r="X21" i="18"/>
  <c r="AA18" i="18"/>
  <c r="Y16" i="18"/>
  <c r="X27" i="18"/>
  <c r="X9" i="18"/>
  <c r="Y25" i="18"/>
  <c r="AA20" i="18"/>
  <c r="AB20" i="18" s="1"/>
  <c r="AA13" i="18"/>
  <c r="Y22" i="18"/>
  <c r="Y20" i="18"/>
  <c r="X26" i="21"/>
  <c r="AC26" i="21" s="1"/>
  <c r="Y30" i="18"/>
  <c r="AA30" i="18"/>
  <c r="X24" i="18"/>
  <c r="Y10" i="18"/>
  <c r="Y23" i="18"/>
  <c r="L33" i="20"/>
  <c r="Z24" i="18"/>
  <c r="T33" i="21"/>
  <c r="X33" i="21" s="1"/>
  <c r="AB33" i="21"/>
  <c r="X23" i="18"/>
  <c r="T24" i="21"/>
  <c r="X24" i="21" s="1"/>
  <c r="AB24" i="21"/>
  <c r="Z26" i="18"/>
  <c r="AC26" i="18" s="1"/>
  <c r="BJ26" i="18" s="1"/>
  <c r="Z18" i="18"/>
  <c r="AA16" i="18"/>
  <c r="T28" i="21"/>
  <c r="X28" i="21" s="1"/>
  <c r="AB28" i="21"/>
  <c r="Y9" i="18"/>
  <c r="T15" i="21"/>
  <c r="X15" i="21" s="1"/>
  <c r="AB15" i="21"/>
  <c r="AA9" i="18"/>
  <c r="X28" i="18"/>
  <c r="T31" i="21"/>
  <c r="X31" i="21" s="1"/>
  <c r="Y31" i="21" s="1"/>
  <c r="Z31" i="21" s="1"/>
  <c r="N39" i="20" s="1"/>
  <c r="AB31" i="21"/>
  <c r="U21" i="21"/>
  <c r="X21" i="21" s="1"/>
  <c r="T16" i="21"/>
  <c r="X16" i="21" s="1"/>
  <c r="AB16" i="21"/>
  <c r="Z14" i="18"/>
  <c r="AC14" i="18" s="1"/>
  <c r="BJ14" i="18" s="1"/>
  <c r="X22" i="21"/>
  <c r="T32" i="21"/>
  <c r="X32" i="21" s="1"/>
  <c r="AB32" i="21"/>
  <c r="T20" i="21"/>
  <c r="X20" i="21" s="1"/>
  <c r="AB20" i="21"/>
  <c r="X19" i="18"/>
  <c r="Z29" i="18"/>
  <c r="AC29" i="18" s="1"/>
  <c r="BJ29" i="18" s="1"/>
  <c r="Y13" i="18"/>
  <c r="AB22" i="21"/>
  <c r="X10" i="18"/>
  <c r="BD46" i="21"/>
  <c r="Y15" i="18"/>
  <c r="T18" i="21"/>
  <c r="X18" i="21" s="1"/>
  <c r="AB18" i="21"/>
  <c r="T23" i="21"/>
  <c r="X23" i="21" s="1"/>
  <c r="AB23" i="21"/>
  <c r="Y27" i="18"/>
  <c r="AB23" i="18"/>
  <c r="AB29" i="21"/>
  <c r="T29" i="21"/>
  <c r="X29" i="21" s="1"/>
  <c r="AA25" i="18"/>
  <c r="O20" i="13"/>
  <c r="N20" i="13"/>
  <c r="X12" i="18"/>
  <c r="AB21" i="21"/>
  <c r="T17" i="21"/>
  <c r="X17" i="21" s="1"/>
  <c r="AB17" i="21"/>
  <c r="Z25" i="18"/>
  <c r="Y14" i="18"/>
  <c r="Z21" i="18"/>
  <c r="AB30" i="21"/>
  <c r="T30" i="21"/>
  <c r="X30" i="21" s="1"/>
  <c r="AB12" i="21"/>
  <c r="T12" i="21"/>
  <c r="X12" i="21" s="1"/>
  <c r="AC23" i="18"/>
  <c r="BJ23" i="18" s="1"/>
  <c r="Z27" i="18"/>
  <c r="AB19" i="21"/>
  <c r="T19" i="21"/>
  <c r="X19" i="21" s="1"/>
  <c r="X16" i="18"/>
  <c r="AB13" i="21"/>
  <c r="T13" i="21"/>
  <c r="X13" i="21" s="1"/>
  <c r="X11" i="18"/>
  <c r="AA17" i="18"/>
  <c r="Y21" i="18"/>
  <c r="Z13" i="18"/>
  <c r="AB13" i="18" s="1"/>
  <c r="AA11" i="18"/>
  <c r="Z30" i="18"/>
  <c r="X17" i="18"/>
  <c r="AA27" i="18"/>
  <c r="T14" i="21"/>
  <c r="AB14" i="21"/>
  <c r="X14" i="21"/>
  <c r="Y29" i="18"/>
  <c r="Y18" i="18"/>
  <c r="T27" i="21"/>
  <c r="X27" i="21" s="1"/>
  <c r="AB27" i="21"/>
  <c r="AA15" i="18"/>
  <c r="AB26" i="21"/>
  <c r="AA22" i="18"/>
  <c r="AA28" i="18"/>
  <c r="AC28" i="18" s="1"/>
  <c r="BJ28" i="18" s="1"/>
  <c r="Y26" i="18"/>
  <c r="Y26" i="21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T9" i="13"/>
  <c r="AC29" i="16"/>
  <c r="AG29" i="16" s="1"/>
  <c r="V30" i="12"/>
  <c r="U23" i="13"/>
  <c r="W18" i="12"/>
  <c r="Y18" i="12" s="1"/>
  <c r="AC18" i="12" s="1"/>
  <c r="V18" i="12"/>
  <c r="U29" i="13"/>
  <c r="T25" i="13"/>
  <c r="T12" i="13"/>
  <c r="V12" i="13" s="1"/>
  <c r="BI34" i="12"/>
  <c r="BD38" i="12"/>
  <c r="BD42" i="12"/>
  <c r="AB25" i="16"/>
  <c r="V17" i="12"/>
  <c r="BK38" i="12"/>
  <c r="AB19" i="16"/>
  <c r="Q27" i="16"/>
  <c r="R27" i="16" s="1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T17" i="13"/>
  <c r="Z32" i="12"/>
  <c r="BM32" i="12" s="1"/>
  <c r="Z38" i="12"/>
  <c r="BM38" i="12" s="1"/>
  <c r="P15" i="14"/>
  <c r="T15" i="14" s="1"/>
  <c r="V22" i="12"/>
  <c r="T21" i="13"/>
  <c r="U25" i="13"/>
  <c r="W25" i="13" s="1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AA37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T19" i="14"/>
  <c r="P28" i="16"/>
  <c r="W19" i="12"/>
  <c r="Y19" i="12" s="1"/>
  <c r="AC19" i="12" s="1"/>
  <c r="P18" i="16"/>
  <c r="T18" i="14"/>
  <c r="U19" i="14"/>
  <c r="V11" i="12"/>
  <c r="P16" i="14"/>
  <c r="T16" i="14" s="1"/>
  <c r="AG26" i="16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T29" i="13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U21" i="13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AG21" i="16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X20" i="12" s="1"/>
  <c r="AG11" i="16"/>
  <c r="T27" i="13"/>
  <c r="U14" i="15"/>
  <c r="P16" i="16"/>
  <c r="W23" i="12"/>
  <c r="BK23" i="12" s="1"/>
  <c r="AG14" i="16"/>
  <c r="AC25" i="16"/>
  <c r="AG25" i="16" s="1"/>
  <c r="N25" i="15"/>
  <c r="T25" i="15" s="1"/>
  <c r="AB10" i="16"/>
  <c r="W21" i="12"/>
  <c r="Y21" i="12" s="1"/>
  <c r="AC21" i="12" s="1"/>
  <c r="AA34" i="16"/>
  <c r="Q26" i="16"/>
  <c r="S26" i="16" s="1"/>
  <c r="W26" i="16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U13" i="15" s="1"/>
  <c r="T29" i="15"/>
  <c r="U26" i="15"/>
  <c r="T14" i="15"/>
  <c r="U11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U27" i="14" s="1"/>
  <c r="P27" i="14"/>
  <c r="T27" i="14" s="1"/>
  <c r="AB28" i="16"/>
  <c r="AC28" i="16"/>
  <c r="AG28" i="16" s="1"/>
  <c r="T11" i="15"/>
  <c r="O28" i="15"/>
  <c r="N28" i="15"/>
  <c r="AC27" i="16"/>
  <c r="AG27" i="16" s="1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BI20" i="12"/>
  <c r="BK20" i="12" s="1"/>
  <c r="BD20" i="12"/>
  <c r="W18" i="13"/>
  <c r="V17" i="14"/>
  <c r="W17" i="14"/>
  <c r="Y17" i="14" s="1"/>
  <c r="AC17" i="14" s="1"/>
  <c r="W15" i="13"/>
  <c r="W14" i="14"/>
  <c r="Y14" i="14" s="1"/>
  <c r="AC14" i="14" s="1"/>
  <c r="V14" i="14"/>
  <c r="BI13" i="12"/>
  <c r="T28" i="13" l="1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BO10" i="18"/>
  <c r="AD10" i="18"/>
  <c r="AF10" i="18" s="1"/>
  <c r="AE10" i="18"/>
  <c r="BQ10" i="18"/>
  <c r="AB24" i="18"/>
  <c r="AB27" i="18"/>
  <c r="AB25" i="18"/>
  <c r="AB10" i="18"/>
  <c r="L34" i="20"/>
  <c r="BM34" i="12"/>
  <c r="BP10" i="18"/>
  <c r="AB16" i="18"/>
  <c r="AB29" i="18"/>
  <c r="AC13" i="18"/>
  <c r="L38" i="20"/>
  <c r="AC30" i="21"/>
  <c r="Y30" i="21" s="1"/>
  <c r="L31" i="20"/>
  <c r="AC23" i="21"/>
  <c r="Y23" i="21" s="1"/>
  <c r="BP9" i="18"/>
  <c r="BQ9" i="18"/>
  <c r="AE9" i="18"/>
  <c r="AG9" i="18" s="1"/>
  <c r="BO9" i="18"/>
  <c r="AD9" i="18"/>
  <c r="AF9" i="18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BO16" i="18"/>
  <c r="AE16" i="18"/>
  <c r="AG16" i="18" s="1"/>
  <c r="AD28" i="18"/>
  <c r="AF28" i="18" s="1"/>
  <c r="AE28" i="18"/>
  <c r="AG28" i="18" s="1"/>
  <c r="BQ28" i="18"/>
  <c r="BO28" i="18"/>
  <c r="BP28" i="18"/>
  <c r="L25" i="20"/>
  <c r="AC17" i="21"/>
  <c r="Y17" i="21" s="1"/>
  <c r="L36" i="20"/>
  <c r="AC28" i="21"/>
  <c r="Y28" i="21"/>
  <c r="AC22" i="18"/>
  <c r="BJ22" i="18" s="1"/>
  <c r="AB30" i="18"/>
  <c r="AB11" i="18"/>
  <c r="BP30" i="18"/>
  <c r="BO30" i="18"/>
  <c r="BQ30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BQ29" i="18"/>
  <c r="BP29" i="18"/>
  <c r="AE29" i="18"/>
  <c r="AG29" i="18" s="1"/>
  <c r="AD29" i="18"/>
  <c r="AF29" i="18" s="1"/>
  <c r="BO29" i="18"/>
  <c r="BO14" i="18"/>
  <c r="BQ14" i="18"/>
  <c r="AD14" i="18"/>
  <c r="AF14" i="18" s="1"/>
  <c r="AE14" i="18"/>
  <c r="AG14" i="18" s="1"/>
  <c r="BP14" i="18"/>
  <c r="BQ18" i="18"/>
  <c r="BO18" i="18"/>
  <c r="AE18" i="18"/>
  <c r="AD18" i="18"/>
  <c r="AF18" i="18" s="1"/>
  <c r="BP18" i="18"/>
  <c r="AB17" i="18"/>
  <c r="L22" i="20"/>
  <c r="AC14" i="21"/>
  <c r="Y14" i="21" s="1"/>
  <c r="BP11" i="18"/>
  <c r="L20" i="20"/>
  <c r="AC12" i="21"/>
  <c r="Y12" i="21" s="1"/>
  <c r="AD21" i="18"/>
  <c r="AF21" i="18" s="1"/>
  <c r="M39" i="20"/>
  <c r="BF31" i="21"/>
  <c r="BE31" i="2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BP26" i="18"/>
  <c r="BO26" i="18"/>
  <c r="AD26" i="18"/>
  <c r="AF26" i="18" s="1"/>
  <c r="AE26" i="18"/>
  <c r="BQ26" i="18"/>
  <c r="L35" i="20"/>
  <c r="AC27" i="21"/>
  <c r="Y27" i="21" s="1"/>
  <c r="AC27" i="18"/>
  <c r="BJ27" i="18" s="1"/>
  <c r="AB9" i="18"/>
  <c r="AC15" i="18"/>
  <c r="BJ15" i="18" s="1"/>
  <c r="BO23" i="18"/>
  <c r="AE23" i="18"/>
  <c r="BP23" i="18"/>
  <c r="BQ23" i="18"/>
  <c r="AD23" i="18"/>
  <c r="AF23" i="18" s="1"/>
  <c r="AC25" i="18"/>
  <c r="BJ25" i="18" s="1"/>
  <c r="T20" i="13"/>
  <c r="U20" i="13"/>
  <c r="M26" i="20"/>
  <c r="BF18" i="21"/>
  <c r="L30" i="20"/>
  <c r="AC22" i="21"/>
  <c r="Y22" i="21" s="1"/>
  <c r="AD12" i="18"/>
  <c r="AF12" i="18" s="1"/>
  <c r="AE12" i="18"/>
  <c r="AG12" i="18" s="1"/>
  <c r="BP12" i="18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K27" i="13" s="1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W12" i="13"/>
  <c r="Y12" i="13" s="1"/>
  <c r="AC12" i="13" s="1"/>
  <c r="V25" i="13"/>
  <c r="X25" i="13" s="1"/>
  <c r="AB25" i="13" s="1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BK27" i="12" s="1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Z20" i="12"/>
  <c r="BM20" i="12" s="1"/>
  <c r="AB20" i="12"/>
  <c r="X26" i="12"/>
  <c r="BI25" i="12"/>
  <c r="Z22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P34" i="12"/>
  <c r="BO34" i="12"/>
  <c r="BQ37" i="12"/>
  <c r="BO37" i="12"/>
  <c r="BP37" i="12"/>
  <c r="BO36" i="12"/>
  <c r="BP36" i="12"/>
  <c r="BQ36" i="12"/>
  <c r="BN33" i="12"/>
  <c r="BM33" i="12"/>
  <c r="BL33" i="12"/>
  <c r="AA33" i="12"/>
  <c r="AG37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X29" i="14" s="1"/>
  <c r="AB29" i="14" s="1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Z13" i="12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X14" i="14"/>
  <c r="AB14" i="14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X28" i="13"/>
  <c r="Z28" i="13" s="1"/>
  <c r="U18" i="16"/>
  <c r="Y15" i="13"/>
  <c r="AC15" i="13" s="1"/>
  <c r="X24" i="13"/>
  <c r="AB24" i="13" s="1"/>
  <c r="Y25" i="13"/>
  <c r="AC25" i="13" s="1"/>
  <c r="BD23" i="13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BK25" i="13"/>
  <c r="BI25" i="13"/>
  <c r="BD25" i="13"/>
  <c r="BJ25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BJ14" i="14"/>
  <c r="BK14" i="14"/>
  <c r="BD14" i="14"/>
  <c r="BI14" i="14"/>
  <c r="V13" i="16"/>
  <c r="T13" i="16"/>
  <c r="U12" i="16"/>
  <c r="BJ11" i="13"/>
  <c r="BI11" i="13"/>
  <c r="BD11" i="13"/>
  <c r="BK11" i="13"/>
  <c r="V10" i="16"/>
  <c r="T10" i="16"/>
  <c r="AD16" i="18" l="1"/>
  <c r="AF16" i="18" s="1"/>
  <c r="CK16" i="18" s="1"/>
  <c r="BP24" i="18"/>
  <c r="AD19" i="18"/>
  <c r="AF19" i="18" s="1"/>
  <c r="CM19" i="18" s="1"/>
  <c r="BQ19" i="18"/>
  <c r="BQ16" i="18"/>
  <c r="BO19" i="18"/>
  <c r="BP16" i="18"/>
  <c r="AE19" i="18"/>
  <c r="W28" i="13"/>
  <c r="V28" i="13"/>
  <c r="BQ11" i="18"/>
  <c r="BQ12" i="18"/>
  <c r="AD30" i="18"/>
  <c r="AF30" i="18" s="1"/>
  <c r="BP17" i="18"/>
  <c r="BO11" i="18"/>
  <c r="AE17" i="18"/>
  <c r="AG17" i="18" s="1"/>
  <c r="BO17" i="18"/>
  <c r="AD17" i="18"/>
  <c r="AF17" i="18" s="1"/>
  <c r="AH17" i="18" s="1"/>
  <c r="BQ17" i="18"/>
  <c r="BP19" i="18"/>
  <c r="BO12" i="18"/>
  <c r="AE30" i="18"/>
  <c r="AG30" i="18" s="1"/>
  <c r="AE11" i="18"/>
  <c r="AG11" i="18" s="1"/>
  <c r="BU11" i="18" s="1"/>
  <c r="AD11" i="18"/>
  <c r="AF11" i="18" s="1"/>
  <c r="AE20" i="18"/>
  <c r="AG23" i="18"/>
  <c r="CN23" i="18" s="1"/>
  <c r="X21" i="14"/>
  <c r="AB21" i="14" s="1"/>
  <c r="BO21" i="18"/>
  <c r="BI23" i="13"/>
  <c r="BP21" i="18"/>
  <c r="BQ20" i="18"/>
  <c r="AD20" i="18"/>
  <c r="AF20" i="18" s="1"/>
  <c r="AG26" i="18"/>
  <c r="CO26" i="18" s="1"/>
  <c r="AD24" i="18"/>
  <c r="AF24" i="18" s="1"/>
  <c r="CJ24" i="18" s="1"/>
  <c r="AG19" i="18"/>
  <c r="CN19" i="18" s="1"/>
  <c r="BO20" i="18"/>
  <c r="BQ24" i="18"/>
  <c r="BP20" i="18"/>
  <c r="AE21" i="18"/>
  <c r="AG21" i="18" s="1"/>
  <c r="CQ21" i="18" s="1"/>
  <c r="AE24" i="18"/>
  <c r="AG24" i="18" s="1"/>
  <c r="AG10" i="18"/>
  <c r="BQ21" i="18"/>
  <c r="AG18" i="18"/>
  <c r="BO24" i="18"/>
  <c r="Y16" i="14"/>
  <c r="AC16" i="14" s="1"/>
  <c r="BQ13" i="18"/>
  <c r="BJ13" i="18"/>
  <c r="BP31" i="18"/>
  <c r="BO31" i="18"/>
  <c r="AE31" i="18"/>
  <c r="AG31" i="18" s="1"/>
  <c r="BQ31" i="18"/>
  <c r="AD31" i="18"/>
  <c r="AF31" i="18" s="1"/>
  <c r="BJ31" i="18"/>
  <c r="BP13" i="18"/>
  <c r="BO13" i="18"/>
  <c r="AE13" i="18"/>
  <c r="AG13" i="18" s="1"/>
  <c r="BW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CK26" i="18"/>
  <c r="CL26" i="18"/>
  <c r="AH26" i="18"/>
  <c r="CM26" i="18"/>
  <c r="BS26" i="18"/>
  <c r="BT26" i="18"/>
  <c r="CJ26" i="18"/>
  <c r="BR26" i="18"/>
  <c r="M20" i="20"/>
  <c r="BE12" i="21"/>
  <c r="BF12" i="21"/>
  <c r="Z12" i="21"/>
  <c r="N20" i="20" s="1"/>
  <c r="BU14" i="18"/>
  <c r="CN14" i="18"/>
  <c r="CP14" i="18"/>
  <c r="AI14" i="18"/>
  <c r="CQ14" i="18"/>
  <c r="BW14" i="18"/>
  <c r="BV14" i="18"/>
  <c r="CO14" i="18"/>
  <c r="M27" i="20"/>
  <c r="BF19" i="21"/>
  <c r="BE19" i="21"/>
  <c r="Z19" i="21"/>
  <c r="N27" i="20" s="1"/>
  <c r="BV16" i="18"/>
  <c r="CP16" i="18"/>
  <c r="CN16" i="18"/>
  <c r="BW16" i="18"/>
  <c r="CQ16" i="18"/>
  <c r="AI16" i="18"/>
  <c r="BU16" i="18"/>
  <c r="CO16" i="18"/>
  <c r="M21" i="20"/>
  <c r="BF13" i="21"/>
  <c r="BE13" i="21"/>
  <c r="Z13" i="21"/>
  <c r="N21" i="20" s="1"/>
  <c r="M38" i="20"/>
  <c r="BE30" i="21"/>
  <c r="BF30" i="21"/>
  <c r="Z30" i="21"/>
  <c r="N38" i="20" s="1"/>
  <c r="BU23" i="18"/>
  <c r="BW23" i="18"/>
  <c r="AI23" i="18"/>
  <c r="BR14" i="18"/>
  <c r="CK14" i="18"/>
  <c r="CJ14" i="18"/>
  <c r="CL14" i="18"/>
  <c r="AH14" i="18"/>
  <c r="CM14" i="18"/>
  <c r="BS14" i="18"/>
  <c r="BT14" i="18"/>
  <c r="CK20" i="18"/>
  <c r="AH20" i="18"/>
  <c r="CJ20" i="18"/>
  <c r="BS20" i="18"/>
  <c r="CL20" i="18"/>
  <c r="CM20" i="18"/>
  <c r="BR20" i="18"/>
  <c r="M28" i="20"/>
  <c r="BF20" i="21"/>
  <c r="BE20" i="21"/>
  <c r="Z20" i="21"/>
  <c r="N28" i="20" s="1"/>
  <c r="BT9" i="18"/>
  <c r="CL9" i="18"/>
  <c r="BS9" i="18"/>
  <c r="BR9" i="18"/>
  <c r="CM9" i="18"/>
  <c r="CK9" i="18"/>
  <c r="CJ9" i="18"/>
  <c r="AH9" i="18"/>
  <c r="M32" i="20"/>
  <c r="BE24" i="21"/>
  <c r="BF24" i="21"/>
  <c r="Z24" i="21"/>
  <c r="N32" i="20" s="1"/>
  <c r="BS19" i="18"/>
  <c r="AH19" i="18"/>
  <c r="BR19" i="18"/>
  <c r="CL19" i="18"/>
  <c r="BT19" i="18"/>
  <c r="AI12" i="18"/>
  <c r="CN12" i="18"/>
  <c r="BU12" i="18"/>
  <c r="CQ12" i="18"/>
  <c r="BW12" i="18"/>
  <c r="CO12" i="18"/>
  <c r="BV12" i="18"/>
  <c r="CP12" i="18"/>
  <c r="CM24" i="18"/>
  <c r="BR24" i="18"/>
  <c r="BS24" i="18"/>
  <c r="BV19" i="18"/>
  <c r="CP19" i="18"/>
  <c r="BR16" i="18"/>
  <c r="BT16" i="18"/>
  <c r="CL16" i="18"/>
  <c r="BS16" i="18"/>
  <c r="CM16" i="18"/>
  <c r="CJ16" i="18"/>
  <c r="M41" i="20"/>
  <c r="BF33" i="21"/>
  <c r="BE33" i="21"/>
  <c r="Z33" i="21"/>
  <c r="N41" i="20" s="1"/>
  <c r="V15" i="15"/>
  <c r="BP15" i="18"/>
  <c r="AD15" i="18"/>
  <c r="AF15" i="18" s="1"/>
  <c r="BO15" i="18"/>
  <c r="AE15" i="18"/>
  <c r="BQ15" i="18"/>
  <c r="M35" i="20"/>
  <c r="BF27" i="21"/>
  <c r="BE27" i="21"/>
  <c r="Z27" i="21"/>
  <c r="N35" i="20" s="1"/>
  <c r="BU21" i="18"/>
  <c r="AH18" i="18"/>
  <c r="CJ18" i="18"/>
  <c r="BR18" i="18"/>
  <c r="BS18" i="18"/>
  <c r="CK18" i="18"/>
  <c r="CL18" i="18"/>
  <c r="CM18" i="18"/>
  <c r="BT18" i="18"/>
  <c r="M40" i="20"/>
  <c r="BE32" i="21"/>
  <c r="BF32" i="21"/>
  <c r="Z32" i="21"/>
  <c r="N40" i="20" s="1"/>
  <c r="BW9" i="18"/>
  <c r="CQ9" i="18"/>
  <c r="CO9" i="18"/>
  <c r="CN9" i="18"/>
  <c r="CP9" i="18"/>
  <c r="AI9" i="18"/>
  <c r="BV9" i="18"/>
  <c r="BU9" i="18"/>
  <c r="BE17" i="21"/>
  <c r="M25" i="20"/>
  <c r="BF17" i="21"/>
  <c r="Z17" i="21"/>
  <c r="N25" i="20" s="1"/>
  <c r="CL12" i="18"/>
  <c r="AH12" i="18"/>
  <c r="CJ12" i="18"/>
  <c r="BS12" i="18"/>
  <c r="CK12" i="18"/>
  <c r="CM12" i="18"/>
  <c r="BR12" i="18"/>
  <c r="BT12" i="18"/>
  <c r="V20" i="13"/>
  <c r="X20" i="13" s="1"/>
  <c r="W20" i="13"/>
  <c r="Y20" i="13" s="1"/>
  <c r="AC20" i="13" s="1"/>
  <c r="BU18" i="18"/>
  <c r="CO18" i="18"/>
  <c r="AI18" i="18"/>
  <c r="CP30" i="18"/>
  <c r="AI30" i="18"/>
  <c r="CN30" i="18"/>
  <c r="BU30" i="18"/>
  <c r="BV30" i="18"/>
  <c r="CQ30" i="18"/>
  <c r="BW30" i="18"/>
  <c r="CO30" i="18"/>
  <c r="M36" i="20"/>
  <c r="BF28" i="21"/>
  <c r="BE28" i="21"/>
  <c r="Z28" i="21"/>
  <c r="N36" i="20" s="1"/>
  <c r="BU28" i="18"/>
  <c r="BV28" i="18"/>
  <c r="CN28" i="18"/>
  <c r="CP28" i="18"/>
  <c r="CQ28" i="18"/>
  <c r="BW28" i="18"/>
  <c r="AI28" i="18"/>
  <c r="CO28" i="18"/>
  <c r="M30" i="20"/>
  <c r="BE22" i="21"/>
  <c r="BF22" i="21"/>
  <c r="Z22" i="21"/>
  <c r="N30" i="20" s="1"/>
  <c r="BQ25" i="18"/>
  <c r="AD25" i="18"/>
  <c r="AF25" i="18" s="1"/>
  <c r="BO25" i="18"/>
  <c r="BP25" i="18"/>
  <c r="AE25" i="18"/>
  <c r="AD27" i="18"/>
  <c r="AF27" i="18" s="1"/>
  <c r="BQ27" i="18"/>
  <c r="BP27" i="18"/>
  <c r="BO27" i="18"/>
  <c r="AE27" i="18"/>
  <c r="AG27" i="18" s="1"/>
  <c r="BT10" i="18"/>
  <c r="CK10" i="18"/>
  <c r="AH10" i="18"/>
  <c r="BS10" i="18"/>
  <c r="BR10" i="18"/>
  <c r="CL10" i="18"/>
  <c r="CJ10" i="18"/>
  <c r="CM10" i="18"/>
  <c r="M29" i="20"/>
  <c r="BE21" i="21"/>
  <c r="BF21" i="21"/>
  <c r="Z21" i="21"/>
  <c r="N29" i="20" s="1"/>
  <c r="BR29" i="18"/>
  <c r="CJ29" i="18"/>
  <c r="BT29" i="18"/>
  <c r="CL29" i="18"/>
  <c r="CK29" i="18"/>
  <c r="AH29" i="18"/>
  <c r="CM29" i="18"/>
  <c r="BS29" i="18"/>
  <c r="BR28" i="18"/>
  <c r="AH28" i="18"/>
  <c r="BS28" i="18"/>
  <c r="BT28" i="18"/>
  <c r="CL28" i="18"/>
  <c r="CM28" i="18"/>
  <c r="CK28" i="18"/>
  <c r="CJ28" i="18"/>
  <c r="BF29" i="21"/>
  <c r="BE29" i="21"/>
  <c r="M37" i="20"/>
  <c r="Z29" i="21"/>
  <c r="N37" i="20" s="1"/>
  <c r="M23" i="20"/>
  <c r="BE15" i="21"/>
  <c r="BF15" i="21"/>
  <c r="Z15" i="21"/>
  <c r="N23" i="20" s="1"/>
  <c r="CN17" i="18"/>
  <c r="AI17" i="18"/>
  <c r="BU17" i="18"/>
  <c r="BV17" i="18"/>
  <c r="CO17" i="18"/>
  <c r="CQ17" i="18"/>
  <c r="CP17" i="18"/>
  <c r="BW17" i="18"/>
  <c r="CJ23" i="18"/>
  <c r="AH23" i="18"/>
  <c r="CL23" i="18"/>
  <c r="CK23" i="18"/>
  <c r="CM23" i="18"/>
  <c r="BS23" i="18"/>
  <c r="BT23" i="18"/>
  <c r="BR23" i="18"/>
  <c r="BS21" i="18"/>
  <c r="AH21" i="18"/>
  <c r="CL21" i="18"/>
  <c r="CM21" i="18"/>
  <c r="BR21" i="18"/>
  <c r="CK21" i="18"/>
  <c r="CJ21" i="18"/>
  <c r="BT21" i="18"/>
  <c r="BT11" i="18"/>
  <c r="CJ11" i="18"/>
  <c r="CM11" i="18"/>
  <c r="BS11" i="18"/>
  <c r="BR11" i="18"/>
  <c r="CK11" i="18"/>
  <c r="CL11" i="18"/>
  <c r="AH11" i="18"/>
  <c r="CO29" i="18"/>
  <c r="AI29" i="18"/>
  <c r="CQ29" i="18"/>
  <c r="CP29" i="18"/>
  <c r="CN29" i="18"/>
  <c r="BV29" i="18"/>
  <c r="BU29" i="18"/>
  <c r="BW29" i="18"/>
  <c r="BR30" i="18"/>
  <c r="AH30" i="18"/>
  <c r="BT30" i="18"/>
  <c r="BS30" i="18"/>
  <c r="CL30" i="18"/>
  <c r="CM30" i="18"/>
  <c r="CK30" i="18"/>
  <c r="CJ30" i="18"/>
  <c r="BP22" i="18"/>
  <c r="BQ22" i="18"/>
  <c r="AE22" i="18"/>
  <c r="BO22" i="18"/>
  <c r="AD22" i="18"/>
  <c r="AF22" i="18" s="1"/>
  <c r="CJ17" i="18"/>
  <c r="CK17" i="18"/>
  <c r="CL17" i="18"/>
  <c r="BS17" i="18"/>
  <c r="CM17" i="18"/>
  <c r="BT17" i="18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J27" i="13"/>
  <c r="BD27" i="13"/>
  <c r="BJ23" i="13"/>
  <c r="Z18" i="12"/>
  <c r="BM18" i="12" s="1"/>
  <c r="BJ12" i="13"/>
  <c r="AG34" i="12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BL22" i="12"/>
  <c r="AA13" i="12"/>
  <c r="BP13" i="12" s="1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AA22" i="12"/>
  <c r="BP22" i="12" s="1"/>
  <c r="BM13" i="12"/>
  <c r="BN13" i="12" s="1"/>
  <c r="BD16" i="14"/>
  <c r="BI20" i="14"/>
  <c r="BD10" i="14"/>
  <c r="BK12" i="14"/>
  <c r="BL13" i="12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BN22" i="12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BM22" i="12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AX37" i="12"/>
  <c r="AK37" i="12"/>
  <c r="BQ33" i="12"/>
  <c r="BO33" i="12"/>
  <c r="BP33" i="12"/>
  <c r="AX34" i="12"/>
  <c r="AK34" i="12"/>
  <c r="AK38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Z29" i="14"/>
  <c r="AA29" i="14" s="1"/>
  <c r="BO29" i="14" s="1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AA14" i="14" s="1"/>
  <c r="BQ14" i="14" s="1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X15" i="15"/>
  <c r="AB15" i="15" s="1"/>
  <c r="BD18" i="14"/>
  <c r="BJ15" i="15"/>
  <c r="Z23" i="12"/>
  <c r="Z30" i="13"/>
  <c r="AA30" i="13" s="1"/>
  <c r="BP30" i="13" s="1"/>
  <c r="BD10" i="15"/>
  <c r="BI28" i="14"/>
  <c r="BJ9" i="15"/>
  <c r="BI10" i="15"/>
  <c r="BJ10" i="15"/>
  <c r="Z25" i="13"/>
  <c r="BM25" i="13" s="1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Z21" i="14"/>
  <c r="AA21" i="14" s="1"/>
  <c r="BO21" i="14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28" i="13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L28" i="13"/>
  <c r="BN28" i="13"/>
  <c r="BM28" i="13"/>
  <c r="BL27" i="13"/>
  <c r="BN27" i="13" s="1"/>
  <c r="BN11" i="13"/>
  <c r="BM11" i="13"/>
  <c r="BL11" i="13"/>
  <c r="AA11" i="13"/>
  <c r="BR17" i="18" l="1"/>
  <c r="CP21" i="18"/>
  <c r="AH16" i="18"/>
  <c r="BU19" i="18"/>
  <c r="CK24" i="18"/>
  <c r="CJ19" i="18"/>
  <c r="CP23" i="18"/>
  <c r="CR23" i="18" s="1"/>
  <c r="BV21" i="18"/>
  <c r="BW19" i="18"/>
  <c r="CL24" i="18"/>
  <c r="CQ23" i="18"/>
  <c r="CN21" i="18"/>
  <c r="CQ19" i="18"/>
  <c r="AH24" i="18"/>
  <c r="CK19" i="18"/>
  <c r="BV23" i="18"/>
  <c r="AI21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AI24" i="18"/>
  <c r="CP24" i="18"/>
  <c r="BV24" i="18"/>
  <c r="CQ24" i="18"/>
  <c r="BU24" i="18"/>
  <c r="CO24" i="18"/>
  <c r="BW24" i="18"/>
  <c r="CP18" i="18"/>
  <c r="BV26" i="18"/>
  <c r="CN18" i="18"/>
  <c r="AI19" i="18"/>
  <c r="CP26" i="18"/>
  <c r="AG20" i="18"/>
  <c r="BV20" i="18" s="1"/>
  <c r="CQ18" i="18"/>
  <c r="BT20" i="18"/>
  <c r="CQ26" i="18"/>
  <c r="AI26" i="18"/>
  <c r="BW18" i="18"/>
  <c r="BV18" i="18"/>
  <c r="CO19" i="18"/>
  <c r="CN26" i="18"/>
  <c r="BW11" i="18"/>
  <c r="BW26" i="18"/>
  <c r="AM23" i="18"/>
  <c r="AM26" i="18"/>
  <c r="AM17" i="18"/>
  <c r="AM14" i="18"/>
  <c r="AM18" i="18"/>
  <c r="AM29" i="18"/>
  <c r="AM28" i="18"/>
  <c r="AM16" i="18"/>
  <c r="AM30" i="18"/>
  <c r="AM19" i="18"/>
  <c r="AM12" i="18"/>
  <c r="AM21" i="18"/>
  <c r="AM9" i="18"/>
  <c r="CQ20" i="18"/>
  <c r="AI11" i="18"/>
  <c r="CP11" i="18"/>
  <c r="AG25" i="18"/>
  <c r="BW25" i="18" s="1"/>
  <c r="CN11" i="18"/>
  <c r="AI10" i="18"/>
  <c r="CQ10" i="18"/>
  <c r="CN10" i="18"/>
  <c r="CO10" i="18"/>
  <c r="BW10" i="18"/>
  <c r="BV10" i="18"/>
  <c r="CP10" i="18"/>
  <c r="BU10" i="18"/>
  <c r="BV11" i="18"/>
  <c r="AG22" i="18"/>
  <c r="CO11" i="18"/>
  <c r="CQ11" i="18"/>
  <c r="AG15" i="18"/>
  <c r="BU15" i="18" s="1"/>
  <c r="AI13" i="18"/>
  <c r="BU13" i="18"/>
  <c r="CQ13" i="18"/>
  <c r="CP13" i="18"/>
  <c r="CN13" i="18"/>
  <c r="BK20" i="14"/>
  <c r="CO13" i="18"/>
  <c r="Z20" i="13"/>
  <c r="AB20" i="13"/>
  <c r="BJ43" i="18"/>
  <c r="CJ31" i="18"/>
  <c r="BS31" i="18"/>
  <c r="CM31" i="18"/>
  <c r="CK31" i="18"/>
  <c r="AH31" i="18"/>
  <c r="BR31" i="18"/>
  <c r="BT31" i="18"/>
  <c r="CL31" i="18"/>
  <c r="AM31" i="18"/>
  <c r="BD31" i="18" s="1"/>
  <c r="BR13" i="18"/>
  <c r="CP31" i="18"/>
  <c r="AI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CR21" i="18"/>
  <c r="AA27" i="13"/>
  <c r="CR17" i="18"/>
  <c r="BR27" i="18"/>
  <c r="AH27" i="18"/>
  <c r="CK27" i="18"/>
  <c r="BS27" i="18"/>
  <c r="BT27" i="18"/>
  <c r="CL27" i="18"/>
  <c r="CM27" i="18"/>
  <c r="CJ27" i="18"/>
  <c r="X25" i="15"/>
  <c r="AB25" i="15" s="1"/>
  <c r="BU22" i="18"/>
  <c r="BU25" i="18"/>
  <c r="CR9" i="18"/>
  <c r="CR24" i="18"/>
  <c r="Z21" i="13"/>
  <c r="BL21" i="13" s="1"/>
  <c r="CR29" i="18"/>
  <c r="BV27" i="18"/>
  <c r="AI27" i="18"/>
  <c r="CN27" i="18"/>
  <c r="CQ27" i="18"/>
  <c r="BW27" i="18"/>
  <c r="BU27" i="18"/>
  <c r="CO27" i="18"/>
  <c r="CP27" i="18"/>
  <c r="BR25" i="18"/>
  <c r="CM25" i="18"/>
  <c r="CK25" i="18"/>
  <c r="AH25" i="18"/>
  <c r="BS25" i="18"/>
  <c r="CJ25" i="18"/>
  <c r="BT25" i="18"/>
  <c r="CL25" i="18"/>
  <c r="AI15" i="18"/>
  <c r="CP15" i="18"/>
  <c r="CR30" i="18"/>
  <c r="CR28" i="18"/>
  <c r="CR12" i="18"/>
  <c r="BI20" i="13"/>
  <c r="BJ20" i="13"/>
  <c r="BD20" i="13"/>
  <c r="BD31" i="13" s="1"/>
  <c r="AN28" i="13" s="1"/>
  <c r="BT15" i="18"/>
  <c r="CJ15" i="18"/>
  <c r="CL15" i="18"/>
  <c r="AH15" i="18"/>
  <c r="CK15" i="18"/>
  <c r="BS15" i="18"/>
  <c r="CM15" i="18"/>
  <c r="BR15" i="18"/>
  <c r="CR14" i="18"/>
  <c r="BF11" i="21"/>
  <c r="BS22" i="18"/>
  <c r="CM22" i="18"/>
  <c r="AH22" i="18"/>
  <c r="CL22" i="18"/>
  <c r="CJ22" i="18"/>
  <c r="BT22" i="18"/>
  <c r="CK22" i="18"/>
  <c r="BR22" i="18"/>
  <c r="CR16" i="18"/>
  <c r="CR19" i="18"/>
  <c r="BE46" i="21"/>
  <c r="BJ19" i="15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BL29" i="14"/>
  <c r="BK19" i="15"/>
  <c r="AG27" i="12"/>
  <c r="Z16" i="14"/>
  <c r="BN16" i="14" s="1"/>
  <c r="BQ29" i="14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P21" i="14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O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AM14" i="14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AG29" i="14"/>
  <c r="AH29" i="14" s="1"/>
  <c r="AI29" i="14" s="1"/>
  <c r="BP29" i="14"/>
  <c r="BM14" i="14"/>
  <c r="BP14" i="14"/>
  <c r="BM29" i="14"/>
  <c r="BM29" i="12"/>
  <c r="AG14" i="14"/>
  <c r="AH14" i="14" s="1"/>
  <c r="AI14" i="14" s="1"/>
  <c r="BN14" i="14"/>
  <c r="AM29" i="14"/>
  <c r="BN29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D31" i="14"/>
  <c r="AN20" i="14" s="1"/>
  <c r="BM30" i="12"/>
  <c r="AA18" i="13"/>
  <c r="AG18" i="13" s="1"/>
  <c r="AK18" i="13" s="1"/>
  <c r="BQ21" i="14"/>
  <c r="BM21" i="14"/>
  <c r="AA24" i="13"/>
  <c r="AM24" i="13" s="1"/>
  <c r="BL21" i="14"/>
  <c r="AG21" i="14"/>
  <c r="AH21" i="14" s="1"/>
  <c r="AI21" i="14" s="1"/>
  <c r="BO30" i="14"/>
  <c r="AM21" i="14"/>
  <c r="BN21" i="14"/>
  <c r="BM30" i="14"/>
  <c r="BQ30" i="14"/>
  <c r="AM30" i="14"/>
  <c r="BL30" i="14"/>
  <c r="BN30" i="14" s="1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Z25" i="15"/>
  <c r="BM25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N21" i="13"/>
  <c r="BJ18" i="15"/>
  <c r="BD18" i="15"/>
  <c r="BK18" i="15"/>
  <c r="BI18" i="15"/>
  <c r="X18" i="15"/>
  <c r="Y18" i="15"/>
  <c r="AC18" i="15" s="1"/>
  <c r="BL14" i="15"/>
  <c r="BN14" i="15"/>
  <c r="BQ11" i="14"/>
  <c r="AA21" i="13"/>
  <c r="AM21" i="13" s="1"/>
  <c r="BM21" i="13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P9" i="12"/>
  <c r="BN19" i="14"/>
  <c r="BM19" i="14"/>
  <c r="BL19" i="14"/>
  <c r="AA19" i="14"/>
  <c r="AM19" i="14" s="1"/>
  <c r="AB23" i="14"/>
  <c r="Z23" i="14"/>
  <c r="BN22" i="13"/>
  <c r="BL22" i="13"/>
  <c r="BM22" i="13"/>
  <c r="AA22" i="13"/>
  <c r="BP27" i="13"/>
  <c r="BQ27" i="13"/>
  <c r="BO27" i="13"/>
  <c r="AG27" i="13"/>
  <c r="AH27" i="13" s="1"/>
  <c r="AI27" i="13" s="1"/>
  <c r="AM27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BD21" i="18" l="1"/>
  <c r="O32" i="19"/>
  <c r="BD14" i="18"/>
  <c r="O25" i="19"/>
  <c r="AC28" i="13"/>
  <c r="AA28" i="13"/>
  <c r="BD12" i="18"/>
  <c r="O23" i="19"/>
  <c r="BD17" i="18"/>
  <c r="O28" i="19"/>
  <c r="BD19" i="18"/>
  <c r="O30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9" i="18"/>
  <c r="O20" i="19"/>
  <c r="BD18" i="18"/>
  <c r="O29" i="19"/>
  <c r="CO20" i="18"/>
  <c r="BW15" i="18"/>
  <c r="CO22" i="18"/>
  <c r="CN20" i="18"/>
  <c r="BW20" i="18"/>
  <c r="BV22" i="18"/>
  <c r="AI20" i="18"/>
  <c r="AM24" i="18"/>
  <c r="CN22" i="18"/>
  <c r="BU20" i="18"/>
  <c r="CP20" i="18"/>
  <c r="BW22" i="18"/>
  <c r="AI22" i="18"/>
  <c r="CQ22" i="18"/>
  <c r="CR10" i="18"/>
  <c r="AM15" i="18"/>
  <c r="CR11" i="18"/>
  <c r="AM13" i="18"/>
  <c r="AM11" i="18"/>
  <c r="CP22" i="18"/>
  <c r="CR20" i="18"/>
  <c r="AM10" i="18"/>
  <c r="AM27" i="18"/>
  <c r="AI25" i="18"/>
  <c r="AM11" i="14"/>
  <c r="CN25" i="18"/>
  <c r="CR13" i="18"/>
  <c r="BP11" i="14"/>
  <c r="CP25" i="18"/>
  <c r="CO25" i="18"/>
  <c r="CQ25" i="18"/>
  <c r="BV15" i="18"/>
  <c r="BV25" i="18"/>
  <c r="CO15" i="18"/>
  <c r="CR15" i="18" s="1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CR22" i="18"/>
  <c r="A54" i="21"/>
  <c r="Y46" i="2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AK21" i="14"/>
  <c r="BP30" i="12"/>
  <c r="AK9" i="14"/>
  <c r="AA10" i="15"/>
  <c r="AM10" i="15" s="1"/>
  <c r="AK11" i="12"/>
  <c r="BQ9" i="13"/>
  <c r="BM20" i="14"/>
  <c r="AK14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AX14" i="14"/>
  <c r="BC14" i="14" s="1"/>
  <c r="BL20" i="14"/>
  <c r="BN20" i="14" s="1"/>
  <c r="AX18" i="14"/>
  <c r="BC18" i="14" s="1"/>
  <c r="AX18" i="13"/>
  <c r="AX21" i="14"/>
  <c r="BC21" i="14" s="1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BQ21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X11" i="14"/>
  <c r="BC11" i="14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N27" i="15"/>
  <c r="BQ27" i="15"/>
  <c r="BP27" i="15"/>
  <c r="AB22" i="15"/>
  <c r="AG21" i="13"/>
  <c r="AH21" i="13" s="1"/>
  <c r="AI21" i="13" s="1"/>
  <c r="BO21" i="13"/>
  <c r="BP21" i="13"/>
  <c r="Z13" i="15"/>
  <c r="AB13" i="15"/>
  <c r="AK11" i="14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Q19" i="14"/>
  <c r="BO19" i="14"/>
  <c r="BP19" i="14"/>
  <c r="AK9" i="12"/>
  <c r="AX9" i="12"/>
  <c r="AG19" i="13"/>
  <c r="BQ22" i="13"/>
  <c r="BP22" i="13"/>
  <c r="BO22" i="13"/>
  <c r="AM22" i="13"/>
  <c r="AG22" i="13"/>
  <c r="AH22" i="13" s="1"/>
  <c r="AI22" i="13" s="1"/>
  <c r="AX27" i="13"/>
  <c r="BC27" i="13" s="1"/>
  <c r="AK27" i="13"/>
  <c r="BC15" i="13"/>
  <c r="AX12" i="13"/>
  <c r="BC12" i="13" s="1"/>
  <c r="AK12" i="13"/>
  <c r="AK11" i="13"/>
  <c r="AX11" i="13"/>
  <c r="BC11" i="13" s="1"/>
  <c r="BD27" i="18" l="1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2" i="18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Y47" i="2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BC25" i="13" s="1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AX21" i="13"/>
  <c r="BC21" i="13" s="1"/>
  <c r="AK21" i="13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H28" i="13" l="1"/>
  <c r="AI28" i="13" s="1"/>
  <c r="AK28" i="13"/>
  <c r="AX28" i="13"/>
  <c r="BC28" i="13" s="1"/>
  <c r="BD20" i="18"/>
  <c r="O31" i="19"/>
  <c r="BD25" i="18"/>
  <c r="O36" i="19"/>
  <c r="BD22" i="18"/>
  <c r="BI22" i="18" s="1"/>
  <c r="O33" i="19"/>
  <c r="AN25" i="18"/>
  <c r="P36" i="19" s="1"/>
  <c r="AN9" i="18"/>
  <c r="P20" i="19" s="1"/>
  <c r="AN20" i="18"/>
  <c r="P31" i="19" s="1"/>
  <c r="AN21" i="18"/>
  <c r="P32" i="19" s="1"/>
  <c r="AN15" i="18"/>
  <c r="P26" i="19" s="1"/>
  <c r="AN29" i="18"/>
  <c r="P40" i="19" s="1"/>
  <c r="AN11" i="18"/>
  <c r="P22" i="19" s="1"/>
  <c r="AN19" i="18"/>
  <c r="P30" i="19" s="1"/>
  <c r="AN16" i="18"/>
  <c r="P27" i="19" s="1"/>
  <c r="AN22" i="18"/>
  <c r="P33" i="19" s="1"/>
  <c r="AN26" i="18"/>
  <c r="P37" i="19" s="1"/>
  <c r="AN17" i="18"/>
  <c r="P28" i="19" s="1"/>
  <c r="AN18" i="18"/>
  <c r="P29" i="19" s="1"/>
  <c r="AN30" i="18"/>
  <c r="P41" i="19" s="1"/>
  <c r="AN14" i="18"/>
  <c r="P25" i="19" s="1"/>
  <c r="AN27" i="18"/>
  <c r="P38" i="19" s="1"/>
  <c r="AN13" i="18"/>
  <c r="P24" i="19" s="1"/>
  <c r="AN12" i="18"/>
  <c r="P23" i="19" s="1"/>
  <c r="AN24" i="18"/>
  <c r="AN23" i="18"/>
  <c r="AN10" i="18"/>
  <c r="AN28" i="18"/>
  <c r="P39" i="19" s="1"/>
  <c r="AN31" i="18"/>
  <c r="AO31" i="18" s="1"/>
  <c r="AO28" i="18"/>
  <c r="Q39" i="19" s="1"/>
  <c r="BI28" i="18"/>
  <c r="AO23" i="18"/>
  <c r="Q34" i="19" s="1"/>
  <c r="AO12" i="18"/>
  <c r="Q23" i="19" s="1"/>
  <c r="BI12" i="18"/>
  <c r="AO27" i="18"/>
  <c r="Q38" i="19" s="1"/>
  <c r="BI27" i="18"/>
  <c r="AO14" i="18"/>
  <c r="Q25" i="19" s="1"/>
  <c r="BI14" i="18"/>
  <c r="AO18" i="18"/>
  <c r="Q29" i="19" s="1"/>
  <c r="BI18" i="18"/>
  <c r="AH20" i="13"/>
  <c r="AI20" i="13" s="1"/>
  <c r="AX20" i="13"/>
  <c r="AK20" i="13"/>
  <c r="AO17" i="18"/>
  <c r="Q28" i="19" s="1"/>
  <c r="BI17" i="18"/>
  <c r="AO26" i="18"/>
  <c r="Q37" i="19" s="1"/>
  <c r="BI26" i="18"/>
  <c r="AO16" i="18"/>
  <c r="Q27" i="19" s="1"/>
  <c r="BI16" i="18"/>
  <c r="AO19" i="18"/>
  <c r="Q30" i="19" s="1"/>
  <c r="AO11" i="18"/>
  <c r="Q22" i="19" s="1"/>
  <c r="BI11" i="18"/>
  <c r="AO29" i="18"/>
  <c r="Q40" i="19" s="1"/>
  <c r="BI29" i="18"/>
  <c r="AO15" i="18"/>
  <c r="Q26" i="19" s="1"/>
  <c r="BI15" i="18"/>
  <c r="AO21" i="18"/>
  <c r="Q32" i="19" s="1"/>
  <c r="BI21" i="18"/>
  <c r="AO9" i="18"/>
  <c r="Q20" i="19" s="1"/>
  <c r="BI9" i="18"/>
  <c r="AH10" i="13"/>
  <c r="AI10" i="13" s="1"/>
  <c r="AK31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AK31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BI23" i="18" l="1"/>
  <c r="P34" i="19"/>
  <c r="P35" i="19"/>
  <c r="BI31" i="18"/>
  <c r="BD43" i="18"/>
  <c r="BI20" i="18"/>
  <c r="AO13" i="18"/>
  <c r="Q24" i="19" s="1"/>
  <c r="AO22" i="18"/>
  <c r="Q33" i="19" s="1"/>
  <c r="AO20" i="18"/>
  <c r="Q31" i="19" s="1"/>
  <c r="BI30" i="18"/>
  <c r="BI13" i="18"/>
  <c r="BI19" i="18"/>
  <c r="AO30" i="18"/>
  <c r="Q41" i="19" s="1"/>
  <c r="AO10" i="18"/>
  <c r="Q21" i="19" s="1"/>
  <c r="P21" i="19"/>
  <c r="BI24" i="18"/>
  <c r="AO24" i="18"/>
  <c r="Q35" i="19" s="1"/>
  <c r="BI10" i="18"/>
  <c r="AO25" i="18"/>
  <c r="Q36" i="19" s="1"/>
  <c r="BI25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BC35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Q12" i="18" l="1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43" i="18" s="1"/>
  <c r="H45" i="18" s="1"/>
  <c r="M44" i="19" s="1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H43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M42" i="19" l="1"/>
  <c r="H44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6" i="18" l="1"/>
  <c r="J45" i="19" s="1"/>
  <c r="M43" i="19"/>
  <c r="AG46" i="12"/>
  <c r="M43" i="17"/>
  <c r="CD44" i="12"/>
  <c r="J45" i="17" l="1"/>
  <c r="D4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<sst xmlns="http://schemas.openxmlformats.org/spreadsheetml/2006/main" count="1149" uniqueCount="363">
  <si>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</si>
  <si>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</si>
  <si>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</si>
  <si>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</si>
  <si>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</si>
  <si>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</si>
  <si>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</si>
  <si>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</si>
  <si>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</si>
  <si>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</si>
  <si>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</si>
  <si>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</si>
  <si>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</si>
  <si>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</si>
  <si>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</si>
  <si>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</si>
  <si>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</si>
  <si>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</si>
  <si>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</si>
  <si>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</si>
  <si>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</si>
  <si>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</si>
  <si>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</si>
  <si>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</si>
  <si>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</si>
  <si>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</si>
  <si>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</si>
  <si>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</si>
  <si>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</si>
  <si>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</si>
  <si>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</si>
  <si>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</si>
  <si>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</si>
  <si>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</si>
  <si>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</si>
  <si>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</si>
  <si>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</si>
  <si>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</si>
  <si>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</si>
  <si>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</si>
  <si>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</si>
  <si>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</si>
  <si>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</si>
  <si>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</si>
  <si>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</si>
  <si>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</si>
  <si>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</si>
  <si>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</si>
  <si>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</si>
  <si>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</si>
  <si>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</si>
  <si>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</si>
  <si>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</si>
  <si>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</si>
  <si>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</si>
  <si>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</si>
  <si>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</si>
  <si>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</si>
  <si>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</si>
  <si>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</si>
  <si>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</si>
  <si>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</si>
  <si>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</si>
  <si>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</si>
  <si>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</si>
  <si>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</si>
  <si>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</si>
  <si>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</si>
  <si>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</si>
  <si>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</si>
  <si>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</si>
  <si>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</si>
  <si>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</si>
  <si>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</si>
  <si>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</si>
  <si>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</si>
  <si>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</si>
  <si>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</si>
  <si>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</si>
  <si>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</si>
  <si>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</si>
  <si>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</si>
  <si>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</si>
  <si>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</si>
  <si>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</si>
  <si>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</si>
  <si>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</si>
  <si>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</si>
  <si>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</si>
  <si>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</si>
  <si>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</si>
  <si>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</si>
  <si>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</si>
  <si>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</si>
  <si>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</si>
  <si>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</si>
  <si>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</si>
  <si>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</si>
  <si>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</si>
  <si>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</si>
  <si>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</si>
  <si>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</si>
  <si>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</si>
  <si>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</si>
  <si>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</si>
  <si>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</si>
  <si>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</si>
  <si>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</si>
  <si>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</si>
  <si>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</si>
  <si>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</si>
  <si>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</si>
  <si>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</si>
  <si>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</si>
  <si>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</si>
  <si>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</si>
  <si>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</si>
  <si>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</si>
  <si>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</si>
  <si>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</si>
  <si>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</si>
  <si>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</si>
  <si>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</si>
  <si>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</si>
  <si>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</si>
  <si>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</si>
  <si>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</si>
  <si>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</si>
  <si>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</si>
  <si>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</si>
  <si>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</si>
  <si>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</si>
  <si>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</si>
  <si>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</si>
  <si>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</si>
  <si>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</si>
  <si>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</si>
  <si>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</si>
  <si>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</si>
  <si>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</si>
  <si>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</si>
  <si>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</si>
  <si>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</si>
  <si>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</si>
  <si>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</si>
  <si>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</si>
  <si>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</si>
  <si>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</si>
  <si>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</si>
  <si>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</si>
  <si>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</si>
  <si>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</si>
  <si>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</si>
  <si>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</si>
  <si>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</si>
  <si>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</si>
  <si>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</si>
  <si>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</si>
  <si>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</si>
  <si>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</si>
  <si>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</si>
  <si>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</si>
  <si>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</si>
  <si>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</si>
  <si>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</si>
  <si>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</si>
  <si>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</si>
  <si>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</si>
  <si>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</si>
  <si>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</si>
  <si>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</si>
  <si>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</si>
  <si>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</si>
  <si>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</si>
  <si>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</si>
  <si>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</si>
  <si>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</si>
  <si>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</si>
  <si>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</si>
  <si>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</si>
  <si>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</si>
  <si>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</si>
  <si>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</si>
  <si>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</si>
  <si>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</si>
  <si>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</si>
  <si>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</si>
  <si>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</si>
  <si>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</si>
  <si>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</si>
  <si>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</si>
  <si>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</si>
  <si>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</si>
  <si>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</si>
  <si>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</si>
  <si>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</si>
  <si>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</si>
  <si>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</si>
  <si>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</si>
  <si>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</si>
  <si>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</si>
  <si>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</si>
  <si>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</si>
  <si>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</si>
  <si>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</si>
  <si>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</si>
  <si>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</si>
  <si>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</si>
  <si>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</si>
  <si>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</si>
  <si>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</si>
  <si>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</si>
  <si>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</si>
  <si>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</si>
  <si>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</si>
  <si>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</si>
  <si>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</si>
  <si>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</si>
  <si>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</si>
  <si>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</si>
  <si>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</si>
  <si>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</si>
  <si>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</si>
  <si>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</si>
  <si>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</si>
  <si>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</si>
  <si>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</si>
  <si>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</si>
  <si>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</si>
  <si>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</si>
  <si>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</si>
  <si>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</si>
  <si>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</si>
  <si>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</si>
  <si>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</si>
  <si>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</si>
  <si>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</si>
  <si>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</si>
  <si>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</si>
  <si>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</si>
  <si>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</si>
  <si>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</si>
  <si>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</si>
  <si>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</si>
  <si>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</si>
  <si>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</si>
  <si>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</si>
  <si>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</si>
  <si>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</si>
  <si>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</si>
  <si>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</si>
  <si>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Lacre:</t>
  </si>
  <si>
    <t>Data:</t>
  </si>
  <si>
    <t>Hora:</t>
  </si>
  <si>
    <t>Recepção:</t>
  </si>
  <si>
    <t>Local:</t>
  </si>
  <si>
    <t>PERFIL GENÉTICO</t>
  </si>
  <si>
    <t>Biólogo e Engº. Civil BRUNO BOIKO PEREIRA DE FIGUEIREDO, MSc.</t>
  </si>
  <si>
    <t>Instituto de Perícias Científicas de Mato Grosso do Sul - IPCMS</t>
  </si>
  <si>
    <t>Mestre em Biotecnologia - Engenheiro Civil</t>
  </si>
  <si>
    <t>Diretor de Genética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</si>
  <si>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</si>
  <si>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</si>
  <si>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</si>
  <si>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</si>
  <si>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</si>
  <si>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</si>
  <si>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</si>
  <si>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</si>
  <si>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</si>
  <si>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</si>
  <si>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</si>
  <si>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</si>
  <si>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</si>
  <si>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</si>
  <si>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</si>
  <si>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</si>
  <si>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</si>
  <si>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</si>
  <si>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</si>
  <si>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</si>
  <si>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</si>
  <si>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</si>
  <si>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</si>
  <si>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</si>
  <si>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</si>
  <si>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</si>
  <si>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</si>
  <si>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</si>
  <si>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</si>
  <si>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</si>
  <si>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</si>
  <si>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</si>
  <si>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</si>
  <si>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</si>
  <si>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</si>
  <si>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</si>
  <si>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</si>
  <si>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</si>
  <si>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CRBio-54040/01 e Crea-MS 66.290</t>
  </si>
  <si>
    <t>Perícia:</t>
  </si>
  <si>
    <t>caso:</t>
  </si>
  <si>
    <t>as parte acima nominadas, das quais foram colhidos seus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</si>
  <si>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</si>
  <si>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</si>
  <si>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</si>
  <si>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</si>
  <si>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</si>
  <si>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Extração do DNA: alíquotas das amostras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</si>
  <si>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</si>
  <si>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</si>
  <si>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</si>
  <si>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</si>
  <si>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</si>
  <si>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</si>
  <si>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</si>
  <si>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</si>
  <si>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</si>
  <si>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</si>
  <si>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</si>
  <si>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</si>
  <si>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</si>
  <si>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</si>
  <si>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</si>
  <si>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</si>
  <si>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</si>
  <si>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</si>
  <si>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</si>
  <si>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</si>
  <si>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</si>
  <si>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</si>
  <si>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</si>
  <si>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</si>
  <si>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</si>
  <si>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</si>
  <si>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</si>
  <si>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</si>
  <si>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</si>
  <si>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</si>
  <si>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</si>
  <si>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</si>
  <si>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</si>
  <si>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</si>
  <si>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</si>
  <si>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</si>
  <si>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</si>
  <si>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</si>
  <si>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</si>
  <si>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</si>
  <si>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</si>
  <si>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</si>
  <si>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</si>
  <si>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</si>
  <si>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</si>
  <si>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</si>
  <si>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</si>
  <si>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</si>
  <si>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</si>
  <si>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='PD0201'!B12</t>
  </si>
  <si>
    <t>='PD0201'!C12</t>
  </si>
  <si>
    <t>='PD0201'!D12</t>
  </si>
  <si>
    <t>='PD0201'!E12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</si>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</sst>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4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21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Border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Border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Border="1" applyAlignment="1" applyProtection="1">
      <alignment horizontal="right"/>
      <protection hidden="1"/>
    </xf>
    <xf numFmtId="0" fontId="2" fillId="2" borderId="0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Border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Border="1" applyAlignment="1" applyProtection="1">
      <alignment horizontal="right"/>
      <protection hidden="1"/>
    </xf>
    <xf numFmtId="0" fontId="11" fillId="2" borderId="0" xfId="0" applyFont="1" applyFill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Border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Border="1" applyProtection="1">
      <protection hidden="1"/>
    </xf>
    <xf numFmtId="0" fontId="0" fillId="0" borderId="0" xfId="0" applyBorder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Border="1" applyAlignment="1" applyProtection="1">
      <alignment horizontal="right"/>
      <protection hidden="1"/>
    </xf>
    <xf numFmtId="0" fontId="20" fillId="2" borderId="0" xfId="0" applyFont="1" applyFill="1" applyBorder="1" applyAlignment="1" applyProtection="1">
      <alignment horizontal="right"/>
      <protection hidden="1"/>
    </xf>
    <xf numFmtId="0" fontId="15" fillId="2" borderId="0" xfId="0" applyFont="1" applyFill="1" applyBorder="1" applyProtection="1">
      <protection hidden="1"/>
    </xf>
    <xf numFmtId="0" fontId="19" fillId="0" borderId="0" xfId="0" applyFont="1" applyProtection="1">
      <protection hidden="1"/>
    </xf>
    <xf numFmtId="0" fontId="0" fillId="2" borderId="0" xfId="0" applyFill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Border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Border="1" applyAlignment="1" applyProtection="1">
      <alignment horizontal="left"/>
      <protection hidden="1"/>
    </xf>
    <xf numFmtId="0" fontId="23" fillId="2" borderId="0" xfId="0" applyFont="1" applyFill="1" applyBorder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Border="1" applyAlignment="1" applyProtection="1">
      <alignment horizontal="right" vertical="center"/>
      <protection hidden="1"/>
    </xf>
    <xf numFmtId="176" fontId="0" fillId="2" borderId="0" xfId="0" applyNumberFormat="1" applyFill="1" applyBorder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Fill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Border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10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NumberFormat="1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ont="1" applyFill="1" applyBorder="1" applyProtection="1">
      <protection hidden="1"/>
    </xf>
    <xf numFmtId="0" fontId="8" fillId="3" borderId="0" xfId="3" applyFont="1" applyFill="1" applyBorder="1" applyProtection="1">
      <protection hidden="1"/>
    </xf>
    <xf numFmtId="0" fontId="8" fillId="3" borderId="1" xfId="3" applyFont="1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Border="1" applyProtection="1">
      <protection hidden="1"/>
    </xf>
    <xf numFmtId="0" fontId="8" fillId="2" borderId="0" xfId="3" applyFill="1" applyBorder="1" applyProtection="1">
      <protection hidden="1"/>
    </xf>
    <xf numFmtId="0" fontId="11" fillId="2" borderId="0" xfId="3" applyFont="1" applyFill="1" applyBorder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Border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Border="1" applyAlignment="1" applyProtection="1">
      <alignment horizontal="right"/>
      <protection hidden="1"/>
    </xf>
    <xf numFmtId="10" fontId="3" fillId="2" borderId="0" xfId="3" applyNumberFormat="1" applyFont="1" applyFill="1" applyBorder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Fill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Border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8" fillId="2" borderId="21" xfId="3" applyFont="1" applyFill="1" applyBorder="1" applyAlignment="1" applyProtection="1">
      <protection hidden="1"/>
    </xf>
    <xf numFmtId="0" fontId="8" fillId="2" borderId="1" xfId="3" applyFill="1" applyBorder="1" applyAlignment="1" applyProtection="1">
      <protection hidden="1"/>
    </xf>
    <xf numFmtId="0" fontId="8" fillId="2" borderId="7" xfId="3" applyFill="1" applyBorder="1" applyAlignment="1" applyProtection="1">
      <protection hidden="1"/>
    </xf>
    <xf numFmtId="0" fontId="13" fillId="2" borderId="0" xfId="3" applyFont="1" applyFill="1" applyBorder="1" applyAlignment="1" applyProtection="1">
      <protection hidden="1"/>
    </xf>
    <xf numFmtId="0" fontId="8" fillId="2" borderId="0" xfId="3" applyFill="1" applyBorder="1" applyAlignment="1" applyProtection="1">
      <protection hidden="1"/>
    </xf>
    <xf numFmtId="0" fontId="8" fillId="2" borderId="8" xfId="3" applyFill="1" applyBorder="1" applyAlignment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ont="1" applyFill="1" applyBorder="1" applyAlignment="1" applyProtection="1">
      <alignment horizontal="left"/>
      <protection hidden="1"/>
    </xf>
    <xf numFmtId="0" fontId="6" fillId="2" borderId="0" xfId="3" applyFont="1" applyFill="1" applyBorder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8" fillId="2" borderId="0" xfId="3" applyFill="1" applyBorder="1" applyAlignment="1" applyProtection="1">
      <alignment horizontal="left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Border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Alignment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29" fillId="11" borderId="4" xfId="0" applyNumberFormat="1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Border="1" applyAlignment="1" applyProtection="1">
      <alignment horizontal="right"/>
      <protection hidden="1"/>
    </xf>
    <xf numFmtId="0" fontId="8" fillId="2" borderId="0" xfId="0" applyFont="1" applyFill="1" applyBorder="1" applyProtection="1"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Border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Border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Border="1" applyAlignment="1" applyProtection="1">
      <protection hidden="1"/>
    </xf>
    <xf numFmtId="0" fontId="5" fillId="2" borderId="0" xfId="0" applyFont="1" applyFill="1" applyBorder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Border="1" applyAlignment="1" applyProtection="1">
      <alignment horizontal="center"/>
      <protection hidden="1"/>
    </xf>
    <xf numFmtId="176" fontId="9" fillId="2" borderId="0" xfId="0" applyNumberFormat="1" applyFont="1" applyFill="1" applyBorder="1" applyAlignment="1" applyProtection="1">
      <alignment horizontal="right" vertical="center"/>
      <protection hidden="1"/>
    </xf>
    <xf numFmtId="177" fontId="5" fillId="2" borderId="0" xfId="0" applyNumberFormat="1" applyFont="1" applyFill="1" applyBorder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Border="1" applyProtection="1">
      <protection hidden="1"/>
    </xf>
    <xf numFmtId="0" fontId="42" fillId="2" borderId="0" xfId="0" applyFont="1" applyFill="1" applyBorder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Border="1" applyProtection="1">
      <protection locked="0"/>
    </xf>
    <xf numFmtId="0" fontId="3" fillId="2" borderId="0" xfId="0" applyFont="1" applyFill="1" applyBorder="1" applyProtection="1">
      <protection hidden="1"/>
    </xf>
    <xf numFmtId="0" fontId="32" fillId="2" borderId="0" xfId="0" applyFont="1" applyFill="1" applyBorder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Border="1" applyAlignment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Border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9" fillId="2" borderId="0" xfId="0" applyFont="1" applyFill="1" applyProtection="1"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Border="1" applyAlignment="1" applyProtection="1">
      <alignment horizontal="center"/>
      <protection locked="0"/>
    </xf>
    <xf numFmtId="0" fontId="15" fillId="2" borderId="0" xfId="0" applyFont="1" applyFill="1" applyBorder="1" applyProtection="1">
      <protection locked="0" hidden="1"/>
    </xf>
    <xf numFmtId="0" fontId="0" fillId="2" borderId="0" xfId="0" applyFill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Border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Border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Border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Border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Border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Border="1" applyProtection="1">
      <protection locked="0" hidden="1"/>
    </xf>
    <xf numFmtId="0" fontId="9" fillId="2" borderId="0" xfId="0" applyFont="1" applyFill="1" applyBorder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10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10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Border="1" applyAlignment="1">
      <alignment horizontal="right"/>
    </xf>
    <xf numFmtId="0" fontId="19" fillId="0" borderId="0" xfId="0" applyFont="1" applyBorder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Border="1" applyAlignment="1" applyProtection="1">
      <alignment horizontal="center" vertical="center"/>
      <protection locked="0"/>
    </xf>
    <xf numFmtId="168" fontId="1" fillId="4" borderId="0" xfId="0" applyNumberFormat="1" applyFont="1" applyFill="1" applyBorder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Border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Border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Border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Border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Border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Fill="1" applyBorder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Border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0" fontId="1" fillId="3" borderId="0" xfId="0" applyFont="1" applyFill="1" applyBorder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0" fillId="4" borderId="0" xfId="0" applyNumberFormat="1" applyFont="1" applyFill="1" applyAlignment="1" applyProtection="1">
      <alignment horizontal="center"/>
      <protection hidden="1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 applyBorder="1" applyAlignment="1"/>
    <xf numFmtId="0" fontId="19" fillId="0" borderId="34" xfId="0" applyFont="1" applyBorder="1" applyAlignment="1"/>
    <xf numFmtId="0" fontId="0" fillId="0" borderId="41" xfId="0" applyBorder="1"/>
    <xf numFmtId="0" fontId="0" fillId="0" borderId="0" xfId="0" applyBorder="1" applyAlignment="1">
      <alignment vertical="center" wrapText="1"/>
    </xf>
    <xf numFmtId="0" fontId="0" fillId="0" borderId="34" xfId="0" applyBorder="1"/>
    <xf numFmtId="0" fontId="19" fillId="0" borderId="0" xfId="0" applyFont="1" applyBorder="1"/>
    <xf numFmtId="0" fontId="51" fillId="0" borderId="0" xfId="0" applyFont="1" applyBorder="1" applyAlignment="1">
      <alignment horizontal="center"/>
    </xf>
    <xf numFmtId="49" fontId="22" fillId="0" borderId="0" xfId="0" applyNumberFormat="1" applyFont="1" applyBorder="1" applyAlignment="1">
      <alignment horizontal="center"/>
    </xf>
    <xf numFmtId="10" fontId="22" fillId="0" borderId="0" xfId="0" applyNumberFormat="1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0" fontId="19" fillId="0" borderId="0" xfId="0" applyFont="1" applyBorder="1" applyAlignment="1"/>
    <xf numFmtId="0" fontId="50" fillId="0" borderId="45" xfId="0" applyFont="1" applyBorder="1" applyAlignment="1">
      <alignment horizontal="center" vertical="center"/>
    </xf>
    <xf numFmtId="0" fontId="22" fillId="0" borderId="0" xfId="0" applyFont="1" applyBorder="1"/>
    <xf numFmtId="0" fontId="0" fillId="0" borderId="0" xfId="0" applyBorder="1"/>
    <xf numFmtId="0" fontId="0" fillId="0" borderId="53" xfId="0" applyBorder="1"/>
    <xf numFmtId="0" fontId="19" fillId="0" borderId="0" xfId="0" applyFont="1" applyFill="1" applyBorder="1" applyAlignment="1">
      <alignment horizontal="left"/>
    </xf>
    <xf numFmtId="49" fontId="22" fillId="0" borderId="0" xfId="0" applyNumberFormat="1" applyFont="1" applyBorder="1" applyAlignment="1"/>
    <xf numFmtId="49" fontId="22" fillId="0" borderId="34" xfId="0" applyNumberFormat="1" applyFont="1" applyBorder="1" applyAlignment="1"/>
    <xf numFmtId="14" fontId="19" fillId="0" borderId="0" xfId="0" applyNumberFormat="1" applyFont="1" applyBorder="1" applyAlignment="1"/>
    <xf numFmtId="0" fontId="1" fillId="0" borderId="0" xfId="0" applyFont="1" applyBorder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19" fillId="0" borderId="0" xfId="0" applyFont="1" applyBorder="1" applyAlignment="1">
      <alignment vertical="center"/>
    </xf>
    <xf numFmtId="14" fontId="19" fillId="0" borderId="0" xfId="0" applyNumberFormat="1" applyFont="1" applyBorder="1" applyAlignment="1">
      <alignment horizontal="left"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Fill="1" applyBorder="1" applyAlignment="1">
      <alignment horizontal="left" vertical="center"/>
    </xf>
    <xf numFmtId="172" fontId="22" fillId="0" borderId="4" xfId="0" applyNumberFormat="1" applyFont="1" applyBorder="1" applyAlignment="1">
      <alignment horizontal="center" vertical="center"/>
    </xf>
    <xf numFmtId="172" fontId="22" fillId="0" borderId="49" xfId="0" applyNumberFormat="1" applyFont="1" applyBorder="1" applyAlignment="1">
      <alignment horizontal="center" vertical="center"/>
    </xf>
    <xf numFmtId="0" fontId="19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Alignment="1"/>
    <xf numFmtId="0" fontId="19" fillId="0" borderId="0" xfId="0" applyFont="1" applyBorder="1" applyAlignment="1">
      <alignment horizontal="left" vertical="center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19" fillId="0" borderId="0" xfId="0" applyFont="1" applyAlignment="1">
      <alignment horizontal="left"/>
    </xf>
    <xf numFmtId="0" fontId="19" fillId="0" borderId="0" xfId="0" applyFont="1" applyBorder="1" applyAlignment="1">
      <alignment horizontal="left"/>
    </xf>
    <xf numFmtId="0" fontId="58" fillId="15" borderId="35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 vertical="center"/>
    </xf>
    <xf numFmtId="14" fontId="19" fillId="0" borderId="0" xfId="0" applyNumberFormat="1" applyFont="1" applyBorder="1" applyAlignment="1">
      <alignment horizontal="left" vertical="center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0" fontId="5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right"/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1" fillId="2" borderId="0" xfId="0" applyFont="1" applyFill="1" applyProtection="1">
      <protection locked="0" hidden="1"/>
    </xf>
    <xf numFmtId="0" fontId="62" fillId="2" borderId="0" xfId="0" applyFont="1" applyFill="1" applyProtection="1">
      <protection hidden="1"/>
    </xf>
    <xf numFmtId="0" fontId="2" fillId="2" borderId="0" xfId="0" applyFont="1" applyFill="1" applyAlignment="1" applyProtection="1">
      <alignment horizontal="right"/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14" fontId="16" fillId="2" borderId="0" xfId="0" applyNumberFormat="1" applyFont="1" applyFill="1" applyProtection="1"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Alignment="1" applyProtection="1">
      <alignment horizontal="center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18" fillId="2" borderId="0" xfId="0" applyFont="1" applyFill="1" applyAlignment="1" applyProtection="1">
      <alignment horizontal="left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0" fontId="63" fillId="0" borderId="0" xfId="0" applyFont="1" applyProtection="1">
      <protection hidden="1"/>
    </xf>
    <xf numFmtId="0" fontId="64" fillId="0" borderId="0" xfId="0" applyFont="1" applyProtection="1">
      <protection hidden="1"/>
    </xf>
    <xf numFmtId="0" fontId="65" fillId="0" borderId="0" xfId="0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178" fontId="67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0" fontId="19" fillId="0" borderId="0" xfId="0" applyFont="1" applyFill="1" applyBorder="1" applyAlignment="1">
      <alignment vertical="center"/>
    </xf>
    <xf numFmtId="14" fontId="19" fillId="0" borderId="0" xfId="0" applyNumberFormat="1" applyFont="1" applyBorder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9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10" fillId="0" borderId="0" xfId="0" applyFont="1" applyBorder="1"/>
    <xf numFmtId="0" fontId="10" fillId="0" borderId="52" xfId="0" applyFont="1" applyBorder="1"/>
    <xf numFmtId="0" fontId="50" fillId="0" borderId="26" xfId="0" applyFont="1" applyBorder="1" applyAlignment="1">
      <alignment horizontal="center" vertical="center"/>
    </xf>
    <xf numFmtId="0" fontId="50" fillId="0" borderId="106" xfId="0" applyFont="1" applyBorder="1" applyAlignment="1">
      <alignment horizontal="center" vertical="center"/>
    </xf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172" fontId="22" fillId="0" borderId="47" xfId="0" applyNumberFormat="1" applyFont="1" applyBorder="1" applyAlignment="1">
      <alignment horizontal="center" vertical="center"/>
    </xf>
    <xf numFmtId="172" fontId="22" fillId="0" borderId="50" xfId="0" applyNumberFormat="1" applyFont="1" applyBorder="1" applyAlignment="1">
      <alignment horizontal="center" vertical="center"/>
    </xf>
    <xf numFmtId="165" fontId="22" fillId="0" borderId="47" xfId="0" applyNumberFormat="1" applyFont="1" applyBorder="1" applyAlignment="1">
      <alignment horizontal="center" vertical="center"/>
    </xf>
    <xf numFmtId="165" fontId="22" fillId="0" borderId="50" xfId="0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0" fontId="19" fillId="0" borderId="0" xfId="0" applyFont="1" applyFill="1" applyBorder="1" applyAlignment="1">
      <alignment horizontal="center"/>
    </xf>
    <xf numFmtId="0" fontId="19" fillId="0" borderId="34" xfId="0" applyFont="1" applyFill="1" applyBorder="1" applyAlignment="1">
      <alignment horizontal="center"/>
    </xf>
    <xf numFmtId="14" fontId="19" fillId="0" borderId="0" xfId="0" applyNumberFormat="1" applyFont="1" applyBorder="1" applyAlignment="1">
      <alignment horizontal="left" vertical="center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 wrapText="1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Border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2" fillId="0" borderId="42" xfId="0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 vertical="center"/>
    </xf>
    <xf numFmtId="0" fontId="52" fillId="0" borderId="34" xfId="0" applyFont="1" applyFill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Border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19" fillId="0" borderId="0" xfId="0" applyFont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59" fillId="0" borderId="0" xfId="0" applyFont="1" applyBorder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 vertical="center"/>
    </xf>
    <xf numFmtId="0" fontId="49" fillId="0" borderId="0" xfId="0" applyFont="1" applyBorder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50" fillId="0" borderId="59" xfId="0" applyFont="1" applyBorder="1" applyAlignment="1">
      <alignment horizontal="center" vertical="center" wrapText="1"/>
    </xf>
    <xf numFmtId="0" fontId="50" fillId="0" borderId="26" xfId="0" applyFont="1" applyBorder="1" applyAlignment="1">
      <alignment horizontal="center" vertical="center" wrapText="1"/>
    </xf>
    <xf numFmtId="0" fontId="51" fillId="0" borderId="60" xfId="0" applyFont="1" applyBorder="1" applyAlignment="1">
      <alignment horizontal="center" vertical="center"/>
    </xf>
    <xf numFmtId="0" fontId="51" fillId="0" borderId="61" xfId="0" applyFont="1" applyBorder="1" applyAlignment="1">
      <alignment horizontal="center" vertical="center"/>
    </xf>
    <xf numFmtId="0" fontId="51" fillId="0" borderId="62" xfId="0" applyFont="1" applyBorder="1" applyAlignment="1">
      <alignment horizontal="center" vertical="center"/>
    </xf>
    <xf numFmtId="0" fontId="51" fillId="0" borderId="63" xfId="0" applyFont="1" applyBorder="1" applyAlignment="1">
      <alignment horizontal="center" vertical="center"/>
    </xf>
    <xf numFmtId="4" fontId="28" fillId="0" borderId="0" xfId="0" applyNumberFormat="1" applyFont="1" applyBorder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0" fontId="10" fillId="0" borderId="9" xfId="0" applyFont="1" applyFill="1" applyBorder="1" applyAlignment="1" applyProtection="1">
      <alignment horizontal="center" vertical="center"/>
      <protection hidden="1"/>
    </xf>
    <xf numFmtId="0" fontId="10" fillId="0" borderId="5" xfId="0" applyFont="1" applyFill="1" applyBorder="1" applyAlignment="1" applyProtection="1">
      <alignment horizontal="center" vertical="center"/>
      <protection hidden="1"/>
    </xf>
    <xf numFmtId="0" fontId="10" fillId="0" borderId="10" xfId="0" applyFont="1" applyFill="1" applyBorder="1" applyAlignment="1" applyProtection="1">
      <alignment horizontal="center" vertical="center"/>
      <protection hidden="1"/>
    </xf>
    <xf numFmtId="0" fontId="21" fillId="0" borderId="9" xfId="0" applyFont="1" applyFill="1" applyBorder="1" applyAlignment="1" applyProtection="1">
      <alignment horizontal="center" vertical="center" wrapText="1"/>
      <protection hidden="1"/>
    </xf>
    <xf numFmtId="0" fontId="21" fillId="0" borderId="5" xfId="0" applyFont="1" applyFill="1" applyBorder="1" applyAlignment="1" applyProtection="1">
      <alignment horizontal="center" vertical="center"/>
      <protection hidden="1"/>
    </xf>
    <xf numFmtId="0" fontId="21" fillId="0" borderId="10" xfId="0" applyFont="1" applyFill="1" applyBorder="1" applyAlignment="1" applyProtection="1">
      <alignment horizontal="center" vertical="center"/>
      <protection hidden="1"/>
    </xf>
    <xf numFmtId="0" fontId="21" fillId="0" borderId="7" xfId="0" applyFont="1" applyFill="1" applyBorder="1" applyAlignment="1" applyProtection="1">
      <alignment horizontal="center" vertical="center"/>
      <protection hidden="1"/>
    </xf>
    <xf numFmtId="0" fontId="21" fillId="0" borderId="0" xfId="0" applyFont="1" applyFill="1" applyAlignment="1" applyProtection="1">
      <alignment horizontal="center" vertical="center"/>
      <protection hidden="1"/>
    </xf>
    <xf numFmtId="0" fontId="21" fillId="0" borderId="8" xfId="0" applyFont="1" applyFill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Border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Border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Border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10" fillId="0" borderId="7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177" fontId="3" fillId="2" borderId="0" xfId="0" applyNumberFormat="1" applyFont="1" applyFill="1" applyBorder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 wrapText="1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60" fillId="4" borderId="23" xfId="0" applyFont="1" applyFill="1" applyBorder="1" applyAlignment="1" applyProtection="1">
      <alignment horizontal="center" vertical="center"/>
      <protection hidden="1"/>
    </xf>
    <xf numFmtId="0" fontId="60" fillId="4" borderId="24" xfId="0" applyFont="1" applyFill="1" applyBorder="1" applyAlignment="1" applyProtection="1">
      <alignment horizontal="center" vertical="center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8" fillId="12" borderId="22" xfId="6" applyFont="1" applyFill="1" applyBorder="1" applyAlignment="1" applyProtection="1">
      <alignment horizontal="center"/>
      <protection hidden="1"/>
    </xf>
    <xf numFmtId="0" fontId="68" fillId="12" borderId="23" xfId="6" applyFont="1" applyFill="1" applyBorder="1" applyAlignment="1" applyProtection="1">
      <alignment horizontal="center"/>
      <protection hidden="1"/>
    </xf>
    <xf numFmtId="0" fontId="68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241"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20BCD6"/>
      <color rgb="FF1A97AB"/>
      <color rgb="FF00CC00"/>
      <color rgb="FF006600"/>
      <color rgb="FFCDC6FE"/>
      <color rgb="FFEEEEEE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chart.googleapis.com/chart?chs=150x150&amp;cht=qr&amp;chl=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https://chart.googleapis.com/chart?chs=150x150&amp;cht=qr&amp;chl=Teste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https://chart.googleapis.com/chart?chs=150x150&amp;cht=qr&amp;chl=Teste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https://chart.googleapis.com/chart?chs=150x150&amp;cht=qr&amp;chl=Teste" TargetMode="External"/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44450</xdr:colOff>
      <xdr:row>2</xdr:row>
      <xdr:rowOff>139700</xdr:rowOff>
    </xdr:from>
    <xdr:to>
      <xdr:col>26</xdr:col>
      <xdr:colOff>291528</xdr:colOff>
      <xdr:row>8</xdr:row>
      <xdr:rowOff>54242</xdr:rowOff>
    </xdr:to>
    <xdr:pic>
      <xdr:nvPicPr>
        <xdr:cNvPr id="17" name="QR_L4">
          <a:extLst>
            <a:ext uri="{FF2B5EF4-FFF2-40B4-BE49-F238E27FC236}">
              <a16:creationId xmlns:a16="http://schemas.microsoft.com/office/drawing/2014/main" id="{21962C6E-0819-881F-A222-5392B0EF2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2444" t="12444" r="12444" b="12444"/>
        <a:stretch>
          <a:fillRect/>
        </a:stretch>
      </xdr:blipFill>
      <xdr:spPr>
        <a:xfrm>
          <a:off x="4378325" y="520700"/>
          <a:ext cx="1075753" cy="1057542"/>
        </a:xfrm>
        <a:prstGeom prst="rect">
          <a:avLst/>
        </a:prstGeom>
      </xdr:spPr>
    </xdr:pic>
    <xdr:clientData/>
  </xdr:twoCellAnchor>
  <xdr:twoCellAnchor editAs="oneCell">
    <xdr:from>
      <xdr:col>10</xdr:col>
      <xdr:colOff>425450</xdr:colOff>
      <xdr:row>2</xdr:row>
      <xdr:rowOff>139700</xdr:rowOff>
    </xdr:from>
    <xdr:to>
      <xdr:col>34</xdr:col>
      <xdr:colOff>291528</xdr:colOff>
      <xdr:row>8</xdr:row>
      <xdr:rowOff>54242</xdr:rowOff>
    </xdr:to>
    <xdr:pic>
      <xdr:nvPicPr>
        <xdr:cNvPr id="19" name="QR_M4">
          <a:extLst>
            <a:ext uri="{FF2B5EF4-FFF2-40B4-BE49-F238E27FC236}">
              <a16:creationId xmlns:a16="http://schemas.microsoft.com/office/drawing/2014/main" id="{3A637EC5-CFF5-783E-82D4-812A09640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2444" t="12444" r="12444" b="12444"/>
        <a:stretch>
          <a:fillRect/>
        </a:stretch>
      </xdr:blipFill>
      <xdr:spPr>
        <a:xfrm>
          <a:off x="4759325" y="520700"/>
          <a:ext cx="1075753" cy="10575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125016</xdr:colOff>
      <xdr:row>0</xdr:row>
      <xdr:rowOff>148826</xdr:rowOff>
    </xdr:from>
    <xdr:to>
      <xdr:col>3</xdr:col>
      <xdr:colOff>543944</xdr:colOff>
      <xdr:row>9</xdr:row>
      <xdr:rowOff>59529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016" y="148826"/>
          <a:ext cx="2169147" cy="1369219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57</xdr:row>
      <xdr:rowOff>64293</xdr:rowOff>
    </xdr:from>
    <xdr:to>
      <xdr:col>15</xdr:col>
      <xdr:colOff>127393</xdr:colOff>
      <xdr:row>64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25400</xdr:colOff>
      <xdr:row>3</xdr:row>
      <xdr:rowOff>25400</xdr:rowOff>
    </xdr:from>
    <xdr:to>
      <xdr:col>14</xdr:col>
      <xdr:colOff>336551</xdr:colOff>
      <xdr:row>9</xdr:row>
      <xdr:rowOff>136757</xdr:rowOff>
    </xdr:to>
    <xdr:pic>
      <xdr:nvPicPr>
        <xdr:cNvPr id="5" name="QR_M4">
          <a:extLst>
            <a:ext uri="{FF2B5EF4-FFF2-40B4-BE49-F238E27FC236}">
              <a16:creationId xmlns:a16="http://schemas.microsoft.com/office/drawing/2014/main" id="{5169D938-119F-A970-3FEF-54FAE6542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rcRect l="12444" t="12444" r="12444" b="12444"/>
        <a:stretch>
          <a:fillRect/>
        </a:stretch>
      </xdr:blipFill>
      <xdr:spPr>
        <a:xfrm>
          <a:off x="4759325" y="520700"/>
          <a:ext cx="1073151" cy="10829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125016</xdr:colOff>
      <xdr:row>0</xdr:row>
      <xdr:rowOff>148826</xdr:rowOff>
    </xdr:from>
    <xdr:to>
      <xdr:col>3</xdr:col>
      <xdr:colOff>543944</xdr:colOff>
      <xdr:row>9</xdr:row>
      <xdr:rowOff>59529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016" y="148826"/>
          <a:ext cx="2162003" cy="137755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57</xdr:row>
      <xdr:rowOff>64293</xdr:rowOff>
    </xdr:from>
    <xdr:to>
      <xdr:col>14</xdr:col>
      <xdr:colOff>127393</xdr:colOff>
      <xdr:row>64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25400</xdr:colOff>
      <xdr:row>3</xdr:row>
      <xdr:rowOff>25400</xdr:rowOff>
    </xdr:from>
    <xdr:to>
      <xdr:col>13</xdr:col>
      <xdr:colOff>337599</xdr:colOff>
      <xdr:row>9</xdr:row>
      <xdr:rowOff>123512</xdr:rowOff>
    </xdr:to>
    <xdr:pic>
      <xdr:nvPicPr>
        <xdr:cNvPr id="5" name="QR_L4">
          <a:extLst>
            <a:ext uri="{FF2B5EF4-FFF2-40B4-BE49-F238E27FC236}">
              <a16:creationId xmlns:a16="http://schemas.microsoft.com/office/drawing/2014/main" id="{7DE753A2-466D-C953-5F70-95610DE1D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rcRect l="12444" t="12444" r="12444" b="12444"/>
        <a:stretch>
          <a:fillRect/>
        </a:stretch>
      </xdr:blipFill>
      <xdr:spPr>
        <a:xfrm>
          <a:off x="4378325" y="520700"/>
          <a:ext cx="1074199" cy="1069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125016</xdr:colOff>
      <xdr:row>0</xdr:row>
      <xdr:rowOff>154779</xdr:rowOff>
    </xdr:from>
    <xdr:to>
      <xdr:col>3</xdr:col>
      <xdr:colOff>537991</xdr:colOff>
      <xdr:row>9</xdr:row>
      <xdr:rowOff>65482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016" y="154779"/>
          <a:ext cx="2169147" cy="1369219"/>
        </a:xfrm>
        <a:prstGeom prst="rect">
          <a:avLst/>
        </a:prstGeom>
      </xdr:spPr>
    </xdr:pic>
    <xdr:clientData/>
  </xdr:twoCellAnchor>
  <xdr:twoCellAnchor>
    <xdr:from>
      <xdr:col>14</xdr:col>
      <xdr:colOff>189305</xdr:colOff>
      <xdr:row>57</xdr:row>
      <xdr:rowOff>64293</xdr:rowOff>
    </xdr:from>
    <xdr:to>
      <xdr:col>17</xdr:col>
      <xdr:colOff>127393</xdr:colOff>
      <xdr:row>64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85D9371-4C17-45E5-B736-1155653594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188686</xdr:colOff>
      <xdr:row>3</xdr:row>
      <xdr:rowOff>36286</xdr:rowOff>
    </xdr:from>
    <xdr:to>
      <xdr:col>16</xdr:col>
      <xdr:colOff>142827</xdr:colOff>
      <xdr:row>9</xdr:row>
      <xdr:rowOff>143253</xdr:rowOff>
    </xdr:to>
    <xdr:pic>
      <xdr:nvPicPr>
        <xdr:cNvPr id="5" name="QR_M4">
          <a:extLst>
            <a:ext uri="{FF2B5EF4-FFF2-40B4-BE49-F238E27FC236}">
              <a16:creationId xmlns:a16="http://schemas.microsoft.com/office/drawing/2014/main" id="{8696FC86-5A2A-F6DE-ACA3-9D5C05266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rcRect l="12444" t="12444" r="12444" b="12444"/>
        <a:stretch>
          <a:fillRect/>
        </a:stretch>
      </xdr:blipFill>
      <xdr:spPr>
        <a:xfrm>
          <a:off x="4940300" y="537029"/>
          <a:ext cx="1075370" cy="10866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  <cell r="Y27">
            <v>0</v>
          </cell>
          <cell r="AG27">
            <v>0</v>
          </cell>
          <cell r="AO27">
            <v>0</v>
          </cell>
          <cell r="AW27">
            <v>0</v>
          </cell>
          <cell r="BE27">
            <v>0</v>
          </cell>
          <cell r="BM27">
            <v>0</v>
          </cell>
          <cell r="BU27">
            <v>0</v>
          </cell>
        </row>
        <row r="28">
          <cell r="A28">
            <v>1</v>
          </cell>
        </row>
        <row r="29">
          <cell r="A29">
            <v>2</v>
          </cell>
          <cell r="Q29">
            <v>0</v>
          </cell>
          <cell r="Y29">
            <v>0</v>
          </cell>
          <cell r="AG29">
            <v>0</v>
          </cell>
          <cell r="AO29">
            <v>0</v>
          </cell>
          <cell r="AW29">
            <v>0</v>
          </cell>
          <cell r="BE29">
            <v>0</v>
          </cell>
          <cell r="BM29">
            <v>0</v>
          </cell>
          <cell r="BU29">
            <v>0</v>
          </cell>
        </row>
        <row r="30">
          <cell r="A30">
            <v>3</v>
          </cell>
          <cell r="Q30">
            <v>0</v>
          </cell>
          <cell r="Y30">
            <v>0</v>
          </cell>
          <cell r="AG30">
            <v>0</v>
          </cell>
          <cell r="AO30">
            <v>0</v>
          </cell>
          <cell r="AW30">
            <v>0</v>
          </cell>
          <cell r="BE30">
            <v>0</v>
          </cell>
          <cell r="BM30">
            <v>0</v>
          </cell>
          <cell r="BU30">
            <v>0</v>
          </cell>
        </row>
        <row r="31">
          <cell r="A31">
            <v>4</v>
          </cell>
          <cell r="Q31">
            <v>0</v>
          </cell>
          <cell r="Y31">
            <v>0</v>
          </cell>
          <cell r="AG31">
            <v>0</v>
          </cell>
          <cell r="AO31">
            <v>0</v>
          </cell>
          <cell r="AW31">
            <v>0</v>
          </cell>
          <cell r="BE31">
            <v>0</v>
          </cell>
          <cell r="BM31">
            <v>0</v>
          </cell>
          <cell r="BU31">
            <v>0</v>
          </cell>
        </row>
        <row r="32">
          <cell r="A32">
            <v>5</v>
          </cell>
          <cell r="Q32">
            <v>0</v>
          </cell>
          <cell r="Y32">
            <v>0</v>
          </cell>
          <cell r="AG32">
            <v>0</v>
          </cell>
          <cell r="AO32">
            <v>0</v>
          </cell>
          <cell r="AW32">
            <v>0</v>
          </cell>
          <cell r="BE32">
            <v>0</v>
          </cell>
          <cell r="BM32">
            <v>0</v>
          </cell>
          <cell r="BU32">
            <v>0</v>
          </cell>
        </row>
        <row r="33">
          <cell r="A33">
            <v>6</v>
          </cell>
          <cell r="Q33">
            <v>0</v>
          </cell>
          <cell r="Y33">
            <v>0</v>
          </cell>
          <cell r="AG33">
            <v>0</v>
          </cell>
          <cell r="AO33">
            <v>0</v>
          </cell>
          <cell r="AW33">
            <v>0</v>
          </cell>
          <cell r="BE33">
            <v>0</v>
          </cell>
          <cell r="BM33">
            <v>0</v>
          </cell>
          <cell r="BU33">
            <v>0</v>
          </cell>
        </row>
        <row r="34">
          <cell r="A34">
            <v>7</v>
          </cell>
          <cell r="Q34">
            <v>0</v>
          </cell>
          <cell r="Y34">
            <v>0</v>
          </cell>
          <cell r="AG34">
            <v>0</v>
          </cell>
          <cell r="AO34">
            <v>0</v>
          </cell>
          <cell r="AW34">
            <v>0</v>
          </cell>
          <cell r="BE34">
            <v>0</v>
          </cell>
          <cell r="BM34">
            <v>0</v>
          </cell>
          <cell r="BU34">
            <v>0</v>
          </cell>
        </row>
        <row r="35">
          <cell r="A35">
            <v>8</v>
          </cell>
          <cell r="Q35">
            <v>0</v>
          </cell>
          <cell r="Y35">
            <v>0</v>
          </cell>
          <cell r="AG35">
            <v>0</v>
          </cell>
          <cell r="AO35">
            <v>0</v>
          </cell>
          <cell r="AW35">
            <v>0</v>
          </cell>
          <cell r="BE35">
            <v>0</v>
          </cell>
          <cell r="BM35">
            <v>0</v>
          </cell>
          <cell r="BU35">
            <v>0</v>
          </cell>
        </row>
        <row r="36">
          <cell r="A36">
            <v>9</v>
          </cell>
          <cell r="Q36">
            <v>0</v>
          </cell>
          <cell r="Y36">
            <v>0</v>
          </cell>
          <cell r="AG36">
            <v>0</v>
          </cell>
          <cell r="AO36">
            <v>0</v>
          </cell>
          <cell r="AW36">
            <v>0</v>
          </cell>
          <cell r="BE36">
            <v>0</v>
          </cell>
          <cell r="BM36">
            <v>0</v>
          </cell>
          <cell r="BU36">
            <v>0</v>
          </cell>
        </row>
        <row r="37">
          <cell r="A37">
            <v>10</v>
          </cell>
          <cell r="Q37">
            <v>0</v>
          </cell>
          <cell r="Y37">
            <v>0</v>
          </cell>
          <cell r="AG37">
            <v>0</v>
          </cell>
          <cell r="AO37">
            <v>0</v>
          </cell>
          <cell r="AW37">
            <v>0</v>
          </cell>
          <cell r="BE37">
            <v>0</v>
          </cell>
          <cell r="BM37">
            <v>0</v>
          </cell>
          <cell r="BU37">
            <v>0</v>
          </cell>
        </row>
        <row r="38">
          <cell r="A38">
            <v>11</v>
          </cell>
          <cell r="Q38">
            <v>0</v>
          </cell>
          <cell r="Y38">
            <v>0</v>
          </cell>
          <cell r="AG38">
            <v>0</v>
          </cell>
          <cell r="AO38">
            <v>0</v>
          </cell>
          <cell r="AW38">
            <v>0</v>
          </cell>
          <cell r="BE38">
            <v>0</v>
          </cell>
          <cell r="BM38">
            <v>0</v>
          </cell>
          <cell r="BU38">
            <v>0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>
        <row r="1">
          <cell r="A1" t="str">
            <v>Alelos</v>
          </cell>
          <cell r="B1" t="str">
            <v>D3S1358</v>
          </cell>
          <cell r="C1" t="str">
            <v>D1S1656</v>
          </cell>
          <cell r="D1" t="str">
            <v>D2S441</v>
          </cell>
          <cell r="E1" t="str">
            <v>D10S1248</v>
          </cell>
          <cell r="F1" t="str">
            <v>D13S317</v>
          </cell>
          <cell r="G1" t="str">
            <v>Penta_E</v>
          </cell>
          <cell r="H1" t="str">
            <v>D16S539</v>
          </cell>
          <cell r="I1" t="str">
            <v>D18S51</v>
          </cell>
          <cell r="J1" t="str">
            <v>D2S1338</v>
          </cell>
          <cell r="K1" t="str">
            <v>CSF1PO</v>
          </cell>
          <cell r="L1" t="str">
            <v>Penta_D</v>
          </cell>
          <cell r="M1" t="str">
            <v>TH01</v>
          </cell>
          <cell r="N1" t="str">
            <v>vWA</v>
          </cell>
          <cell r="O1" t="str">
            <v>D21S11</v>
          </cell>
          <cell r="P1" t="str">
            <v>D7S820</v>
          </cell>
          <cell r="Q1" t="str">
            <v>D5S818</v>
          </cell>
          <cell r="R1" t="str">
            <v>TPOX</v>
          </cell>
          <cell r="S1" t="str">
            <v>D8S1179</v>
          </cell>
          <cell r="T1" t="str">
            <v>D12S391</v>
          </cell>
          <cell r="U1" t="str">
            <v>D19S433</v>
          </cell>
          <cell r="V1" t="str">
            <v>FGA</v>
          </cell>
          <cell r="W1" t="str">
            <v>D22S1045</v>
          </cell>
          <cell r="X1" t="str">
            <v>SE33</v>
          </cell>
          <cell r="Y1">
            <v>1</v>
          </cell>
          <cell r="Z1">
            <v>2</v>
          </cell>
          <cell r="AA1">
            <v>3</v>
          </cell>
          <cell r="AB1">
            <v>4</v>
          </cell>
          <cell r="AC1">
            <v>5</v>
          </cell>
          <cell r="AD1">
            <v>6</v>
          </cell>
          <cell r="AE1">
            <v>7</v>
          </cell>
          <cell r="AF1">
            <v>8</v>
          </cell>
          <cell r="AG1">
            <v>9</v>
          </cell>
          <cell r="AH1">
            <v>10</v>
          </cell>
          <cell r="AI1">
            <v>11</v>
          </cell>
          <cell r="AJ1"/>
          <cell r="AK1"/>
          <cell r="AL1"/>
          <cell r="AM1"/>
        </row>
        <row r="2">
          <cell r="A2" t="str">
            <v>PE</v>
          </cell>
          <cell r="B2">
            <v>0.54900000000000004</v>
          </cell>
          <cell r="C2">
            <v>0.75900000000000001</v>
          </cell>
          <cell r="D2">
            <v>0.51300000000000001</v>
          </cell>
          <cell r="E2">
            <v>0.54300000000000004</v>
          </cell>
          <cell r="F2">
            <v>0.56899999999999995</v>
          </cell>
          <cell r="G2">
            <v>0.79</v>
          </cell>
          <cell r="H2">
            <v>0.754</v>
          </cell>
          <cell r="I2">
            <v>0.754</v>
          </cell>
          <cell r="J2">
            <v>0.71479999999999999</v>
          </cell>
          <cell r="K2">
            <v>0.46500000000000002</v>
          </cell>
          <cell r="L2">
            <v>0.70199999999999996</v>
          </cell>
          <cell r="M2">
            <v>0.58299999999999996</v>
          </cell>
          <cell r="N2">
            <v>0.61899999999999999</v>
          </cell>
          <cell r="O2">
            <v>0.68100000000000005</v>
          </cell>
          <cell r="P2">
            <v>0.59599999999999997</v>
          </cell>
          <cell r="Q2">
            <v>0.48</v>
          </cell>
          <cell r="R2">
            <v>0.40300000000000002</v>
          </cell>
          <cell r="S2">
            <v>0.61299999999999999</v>
          </cell>
          <cell r="T2">
            <v>0.74</v>
          </cell>
          <cell r="U2">
            <v>0.55600000000000005</v>
          </cell>
          <cell r="V2">
            <v>0.73599999999999999</v>
          </cell>
          <cell r="W2">
            <v>0.45400000000000001</v>
          </cell>
          <cell r="Y2">
            <v>0.54400000000000004</v>
          </cell>
          <cell r="Z2">
            <v>0.51200000000000001</v>
          </cell>
          <cell r="AA2">
            <v>0.42799999999999999</v>
          </cell>
          <cell r="AB2">
            <v>0.53300000000000003</v>
          </cell>
        </row>
        <row r="3">
          <cell r="A3" t="str">
            <v>MUT</v>
          </cell>
          <cell r="B3">
            <v>1.1999999999999999E-3</v>
          </cell>
          <cell r="F3">
            <v>1.4E-3</v>
          </cell>
          <cell r="G3">
            <v>1.6000000000000001E-3</v>
          </cell>
          <cell r="H3">
            <v>1.1000000000000001E-3</v>
          </cell>
          <cell r="I3">
            <v>2.2000000000000001E-3</v>
          </cell>
          <cell r="J3">
            <v>1.1999999999999999E-3</v>
          </cell>
          <cell r="K3">
            <v>1.6000000000000001E-3</v>
          </cell>
          <cell r="L3">
            <v>1.4E-3</v>
          </cell>
          <cell r="M3">
            <v>1E-4</v>
          </cell>
          <cell r="N3">
            <v>1.6999999999999999E-3</v>
          </cell>
          <cell r="O3">
            <v>1.9E-3</v>
          </cell>
          <cell r="P3">
            <v>1E-3</v>
          </cell>
          <cell r="Q3">
            <v>1.1000000000000001E-3</v>
          </cell>
          <cell r="R3">
            <v>1E-4</v>
          </cell>
          <cell r="S3">
            <v>1.4E-3</v>
          </cell>
          <cell r="U3">
            <v>1.1000000000000001E-3</v>
          </cell>
          <cell r="V3">
            <v>2.8E-3</v>
          </cell>
          <cell r="X3">
            <v>6.4000000000000003E-3</v>
          </cell>
        </row>
        <row r="4">
          <cell r="A4">
            <v>1</v>
          </cell>
          <cell r="L4">
            <v>5.0000000000000004E-6</v>
          </cell>
        </row>
        <row r="5">
          <cell r="A5">
            <v>1.1000000000000001</v>
          </cell>
        </row>
        <row r="6">
          <cell r="A6">
            <v>1.2</v>
          </cell>
        </row>
        <row r="7">
          <cell r="A7">
            <v>1.3</v>
          </cell>
        </row>
        <row r="8">
          <cell r="A8">
            <v>2</v>
          </cell>
          <cell r="G8">
            <v>3.9999999999999998E-6</v>
          </cell>
          <cell r="H8">
            <v>3.9999999999999998E-6</v>
          </cell>
        </row>
        <row r="9">
          <cell r="A9">
            <v>2.1</v>
          </cell>
        </row>
        <row r="10">
          <cell r="A10">
            <v>2.2000000000000002</v>
          </cell>
          <cell r="L10">
            <v>3.3499000000000001E-2</v>
          </cell>
        </row>
        <row r="11">
          <cell r="A11">
            <v>2.2999999999999998</v>
          </cell>
          <cell r="L11">
            <v>5.0000000000000004E-6</v>
          </cell>
        </row>
        <row r="12">
          <cell r="A12">
            <v>3</v>
          </cell>
          <cell r="G12">
            <v>7.9999999999999996E-6</v>
          </cell>
          <cell r="L12">
            <v>1.8E-5</v>
          </cell>
          <cell r="S12">
            <v>3.9999999999999998E-6</v>
          </cell>
        </row>
        <row r="13">
          <cell r="A13">
            <v>3.1</v>
          </cell>
        </row>
        <row r="14">
          <cell r="A14">
            <v>3.2</v>
          </cell>
          <cell r="L14">
            <v>2.529E-3</v>
          </cell>
          <cell r="AB14">
            <v>8.5000000000000006E-2</v>
          </cell>
        </row>
        <row r="15">
          <cell r="A15">
            <v>3.3</v>
          </cell>
        </row>
        <row r="16">
          <cell r="A16">
            <v>4</v>
          </cell>
          <cell r="F16">
            <v>3.9999999999999998E-6</v>
          </cell>
          <cell r="G16">
            <v>3.1000000000000001E-5</v>
          </cell>
          <cell r="I16">
            <v>6.9999999999999999E-6</v>
          </cell>
          <cell r="M16">
            <v>5.8E-5</v>
          </cell>
          <cell r="R16">
            <v>3.9999999999999998E-6</v>
          </cell>
          <cell r="S16">
            <v>6.9999999999999999E-6</v>
          </cell>
          <cell r="AB16">
            <v>4.1000000000000002E-2</v>
          </cell>
        </row>
        <row r="17">
          <cell r="A17">
            <v>4.0999999999999996</v>
          </cell>
          <cell r="E17"/>
          <cell r="F17"/>
          <cell r="G17"/>
          <cell r="H17"/>
          <cell r="I17"/>
          <cell r="K17"/>
          <cell r="M17"/>
          <cell r="N17"/>
          <cell r="O17"/>
          <cell r="R17"/>
          <cell r="V17"/>
        </row>
        <row r="18">
          <cell r="A18">
            <v>4.2</v>
          </cell>
          <cell r="E18"/>
          <cell r="F18"/>
          <cell r="G18"/>
          <cell r="H18"/>
          <cell r="I18"/>
          <cell r="K18"/>
          <cell r="M18"/>
          <cell r="N18"/>
          <cell r="O18"/>
          <cell r="R18"/>
          <cell r="V18"/>
        </row>
        <row r="19">
          <cell r="A19">
            <v>4.3</v>
          </cell>
          <cell r="E19"/>
          <cell r="F19"/>
          <cell r="G19"/>
          <cell r="H19"/>
          <cell r="I19"/>
          <cell r="K19"/>
          <cell r="M19"/>
          <cell r="N19"/>
          <cell r="O19"/>
          <cell r="R19"/>
          <cell r="V19"/>
        </row>
        <row r="20">
          <cell r="A20">
            <v>5</v>
          </cell>
          <cell r="E20"/>
          <cell r="F20">
            <v>1.1E-5</v>
          </cell>
          <cell r="G20">
            <v>6.0622000000000002E-2</v>
          </cell>
          <cell r="H20">
            <v>5.1099999999999995E-4</v>
          </cell>
          <cell r="I20">
            <v>6.9999999999999999E-6</v>
          </cell>
          <cell r="K20">
            <v>2.1999999999999999E-5</v>
          </cell>
          <cell r="L20">
            <v>1.2716E-2</v>
          </cell>
          <cell r="M20">
            <v>1.562E-3</v>
          </cell>
          <cell r="N20"/>
          <cell r="O20"/>
          <cell r="P20">
            <v>2.5999999999999998E-5</v>
          </cell>
          <cell r="Q20">
            <v>3.9999999999999998E-6</v>
          </cell>
          <cell r="R20">
            <v>5.5199999999999997E-4</v>
          </cell>
          <cell r="S20">
            <v>1.1E-5</v>
          </cell>
          <cell r="V20"/>
          <cell r="AB20">
            <v>0.20799999999999999</v>
          </cell>
        </row>
        <row r="21">
          <cell r="A21">
            <v>5.0999999999999996</v>
          </cell>
          <cell r="E21"/>
          <cell r="F21"/>
          <cell r="G21"/>
          <cell r="H21"/>
          <cell r="I21"/>
          <cell r="K21"/>
          <cell r="M21"/>
          <cell r="N21"/>
          <cell r="O21"/>
          <cell r="R21"/>
          <cell r="V21"/>
        </row>
        <row r="22">
          <cell r="A22">
            <v>5.2</v>
          </cell>
          <cell r="E22"/>
          <cell r="F22"/>
          <cell r="G22"/>
          <cell r="H22"/>
          <cell r="I22"/>
          <cell r="K22"/>
          <cell r="L22">
            <v>5.0000000000000004E-6</v>
          </cell>
          <cell r="M22"/>
          <cell r="N22"/>
          <cell r="O22"/>
          <cell r="R22"/>
          <cell r="V22"/>
        </row>
        <row r="23">
          <cell r="A23">
            <v>5.3</v>
          </cell>
          <cell r="E23"/>
          <cell r="F23"/>
          <cell r="G23"/>
          <cell r="H23"/>
          <cell r="I23"/>
          <cell r="K23"/>
          <cell r="M23"/>
          <cell r="N23"/>
          <cell r="O23"/>
          <cell r="R23"/>
          <cell r="V23"/>
        </row>
        <row r="24">
          <cell r="A24">
            <v>6</v>
          </cell>
          <cell r="B24">
            <v>1.9000000000000001E-5</v>
          </cell>
          <cell r="E24"/>
          <cell r="F24">
            <v>5.8E-5</v>
          </cell>
          <cell r="G24">
            <v>7.6689999999999996E-3</v>
          </cell>
          <cell r="H24">
            <v>2.9599999999999998E-4</v>
          </cell>
          <cell r="I24">
            <v>1.1E-5</v>
          </cell>
          <cell r="K24">
            <v>8.1899999999999996E-4</v>
          </cell>
          <cell r="L24">
            <v>1.1559999999999999E-3</v>
          </cell>
          <cell r="M24">
            <v>0.21123800000000001</v>
          </cell>
          <cell r="N24"/>
          <cell r="O24"/>
          <cell r="P24">
            <v>2.7E-4</v>
          </cell>
          <cell r="Q24">
            <v>5.5000000000000002E-5</v>
          </cell>
          <cell r="R24">
            <v>1.7713E-2</v>
          </cell>
          <cell r="S24">
            <v>1.15E-4</v>
          </cell>
          <cell r="V24"/>
          <cell r="Z24">
            <v>0.1</v>
          </cell>
          <cell r="AB24">
            <v>0.28699999999999998</v>
          </cell>
        </row>
        <row r="25">
          <cell r="A25">
            <v>6.1</v>
          </cell>
          <cell r="E25"/>
          <cell r="F25"/>
          <cell r="G25"/>
          <cell r="H25"/>
          <cell r="I25"/>
          <cell r="K25"/>
          <cell r="M25"/>
          <cell r="N25"/>
          <cell r="O25"/>
          <cell r="R25"/>
          <cell r="V25"/>
        </row>
        <row r="26">
          <cell r="A26">
            <v>6.2</v>
          </cell>
          <cell r="E26"/>
          <cell r="F26"/>
          <cell r="G26"/>
          <cell r="H26"/>
          <cell r="I26"/>
          <cell r="K26"/>
          <cell r="M26"/>
          <cell r="N26"/>
          <cell r="O26"/>
          <cell r="P26">
            <v>3.9999999999999998E-6</v>
          </cell>
          <cell r="R26"/>
          <cell r="V26"/>
        </row>
        <row r="27">
          <cell r="A27">
            <v>6.3</v>
          </cell>
          <cell r="E27"/>
          <cell r="F27"/>
          <cell r="G27"/>
          <cell r="H27"/>
          <cell r="I27"/>
          <cell r="K27"/>
          <cell r="M27"/>
          <cell r="N27"/>
          <cell r="O27"/>
          <cell r="R27"/>
          <cell r="V27"/>
        </row>
        <row r="28">
          <cell r="A28">
            <v>7</v>
          </cell>
          <cell r="B28">
            <v>3.3000000000000003E-5</v>
          </cell>
          <cell r="E28"/>
          <cell r="F28">
            <v>1.0859999999999999E-3</v>
          </cell>
          <cell r="G28">
            <v>0.10938299999999999</v>
          </cell>
          <cell r="H28">
            <v>3.8000000000000002E-4</v>
          </cell>
          <cell r="I28">
            <v>1.5E-5</v>
          </cell>
          <cell r="K28">
            <v>1.3376000000000001E-2</v>
          </cell>
          <cell r="L28">
            <v>1.3686E-2</v>
          </cell>
          <cell r="M28">
            <v>0.24045900000000001</v>
          </cell>
          <cell r="N28"/>
          <cell r="O28"/>
          <cell r="P28">
            <v>1.5032999999999999E-2</v>
          </cell>
          <cell r="Q28">
            <v>1.7458000000000001E-2</v>
          </cell>
          <cell r="R28">
            <v>8.404E-3</v>
          </cell>
          <cell r="S28">
            <v>3.4600000000000001E-4</v>
          </cell>
          <cell r="V28">
            <v>3.9999999999999998E-6</v>
          </cell>
          <cell r="Y28">
            <v>0</v>
          </cell>
          <cell r="Z28">
            <v>0.02</v>
          </cell>
          <cell r="AA28">
            <v>0</v>
          </cell>
          <cell r="AB28">
            <v>0.32900000000000001</v>
          </cell>
        </row>
        <row r="29">
          <cell r="A29">
            <v>7.1</v>
          </cell>
          <cell r="E29"/>
          <cell r="F29"/>
          <cell r="G29"/>
          <cell r="H29"/>
          <cell r="I29"/>
          <cell r="K29"/>
          <cell r="M29"/>
          <cell r="N29"/>
          <cell r="O29"/>
          <cell r="R29"/>
          <cell r="V29"/>
        </row>
        <row r="30">
          <cell r="A30">
            <v>7.2</v>
          </cell>
          <cell r="E30"/>
          <cell r="F30"/>
          <cell r="G30"/>
          <cell r="H30"/>
          <cell r="I30"/>
          <cell r="K30"/>
          <cell r="M30"/>
          <cell r="N30"/>
          <cell r="O30"/>
          <cell r="R30"/>
          <cell r="V30"/>
        </row>
        <row r="31">
          <cell r="A31">
            <v>7.3</v>
          </cell>
          <cell r="E31"/>
          <cell r="F31"/>
          <cell r="G31"/>
          <cell r="H31"/>
          <cell r="I31"/>
          <cell r="K31"/>
          <cell r="M31"/>
          <cell r="N31"/>
          <cell r="O31"/>
          <cell r="R31"/>
          <cell r="V31"/>
        </row>
        <row r="32">
          <cell r="A32">
            <v>8</v>
          </cell>
          <cell r="B32">
            <v>2.1999999999999999E-5</v>
          </cell>
          <cell r="E32"/>
          <cell r="F32">
            <v>9.9838999999999997E-2</v>
          </cell>
          <cell r="G32">
            <v>5.7986999999999997E-2</v>
          </cell>
          <cell r="H32">
            <v>2.4126999999999999E-2</v>
          </cell>
          <cell r="I32">
            <v>9.1000000000000003E-5</v>
          </cell>
          <cell r="K32">
            <v>2.0035000000000001E-2</v>
          </cell>
          <cell r="L32">
            <v>5.0805000000000003E-2</v>
          </cell>
          <cell r="M32">
            <v>0.14935399999999999</v>
          </cell>
          <cell r="N32">
            <v>7.9999999999999996E-6</v>
          </cell>
          <cell r="O32"/>
          <cell r="P32">
            <v>0.157085</v>
          </cell>
          <cell r="Q32">
            <v>1.7610000000000001E-2</v>
          </cell>
          <cell r="R32">
            <v>0.45586199999999999</v>
          </cell>
          <cell r="S32">
            <v>8.2439999999999996E-3</v>
          </cell>
          <cell r="V32">
            <v>6.9999999999999999E-6</v>
          </cell>
          <cell r="Y32">
            <v>2E-3</v>
          </cell>
          <cell r="Z32">
            <v>0.25900000000000001</v>
          </cell>
          <cell r="AA32">
            <v>1.4E-2</v>
          </cell>
          <cell r="AB32">
            <v>1.7000000000000001E-2</v>
          </cell>
        </row>
        <row r="33">
          <cell r="A33">
            <v>8.1</v>
          </cell>
        </row>
        <row r="34">
          <cell r="A34">
            <v>8.1999999999999993</v>
          </cell>
          <cell r="M34">
            <v>9.0000000000000002E-6</v>
          </cell>
        </row>
        <row r="35">
          <cell r="A35">
            <v>8.3000000000000007</v>
          </cell>
        </row>
        <row r="36">
          <cell r="A36">
            <v>9</v>
          </cell>
          <cell r="B36">
            <v>1E-4</v>
          </cell>
          <cell r="C36">
            <v>5.9999999999999995E-4</v>
          </cell>
          <cell r="D36">
            <v>1.1999999999999999E-3</v>
          </cell>
          <cell r="F36">
            <v>8.1736000000000003E-2</v>
          </cell>
          <cell r="G36">
            <v>2.3213000000000001E-2</v>
          </cell>
          <cell r="H36">
            <v>0.160298</v>
          </cell>
          <cell r="I36">
            <v>1.199E-3</v>
          </cell>
          <cell r="K36">
            <v>3.286E-2</v>
          </cell>
          <cell r="L36">
            <v>0.18413299999999999</v>
          </cell>
          <cell r="M36">
            <v>0.16256300000000001</v>
          </cell>
          <cell r="P36">
            <v>0.12053</v>
          </cell>
          <cell r="Q36">
            <v>3.8122999999999997E-2</v>
          </cell>
          <cell r="R36">
            <v>0.12411700000000001</v>
          </cell>
          <cell r="S36">
            <v>9.4289999999999999E-3</v>
          </cell>
          <cell r="U36">
            <v>8.0000000000000004E-4</v>
          </cell>
          <cell r="V36">
            <v>1.8E-5</v>
          </cell>
          <cell r="Y36">
            <v>4.7E-2</v>
          </cell>
          <cell r="Z36">
            <v>0.215</v>
          </cell>
          <cell r="AA36">
            <v>7.0000000000000001E-3</v>
          </cell>
          <cell r="AB36">
            <v>0</v>
          </cell>
        </row>
        <row r="37">
          <cell r="A37">
            <v>9.1</v>
          </cell>
        </row>
        <row r="38">
          <cell r="A38">
            <v>9.1999999999999993</v>
          </cell>
          <cell r="H38">
            <v>6.9999999999999999E-6</v>
          </cell>
          <cell r="L38">
            <v>2.5799999999999998E-4</v>
          </cell>
          <cell r="M38">
            <v>3.9999999999999998E-6</v>
          </cell>
        </row>
        <row r="39">
          <cell r="A39">
            <v>9.3000000000000007</v>
          </cell>
          <cell r="G39">
            <v>7.9999999999999996E-6</v>
          </cell>
          <cell r="L39">
            <v>1.8E-5</v>
          </cell>
          <cell r="M39">
            <v>0.226159</v>
          </cell>
          <cell r="P39">
            <v>1.1E-5</v>
          </cell>
        </row>
        <row r="40">
          <cell r="A40">
            <v>10</v>
          </cell>
          <cell r="B40">
            <v>1.0399999999999999E-4</v>
          </cell>
          <cell r="C40">
            <v>4.7999999999999996E-3</v>
          </cell>
          <cell r="D40">
            <v>0.2611</v>
          </cell>
          <cell r="E40">
            <v>1.8E-3</v>
          </cell>
          <cell r="F40">
            <v>5.2623999999999997E-2</v>
          </cell>
          <cell r="G40">
            <v>7.2113999999999998E-2</v>
          </cell>
          <cell r="H40">
            <v>8.8405999999999998E-2</v>
          </cell>
          <cell r="I40">
            <v>9.8840000000000004E-3</v>
          </cell>
          <cell r="K40">
            <v>0.262376</v>
          </cell>
          <cell r="L40">
            <v>0.14096400000000001</v>
          </cell>
          <cell r="M40">
            <v>8.0389999999999993E-3</v>
          </cell>
          <cell r="N40">
            <v>4.3000000000000002E-5</v>
          </cell>
          <cell r="P40">
            <v>0.275034</v>
          </cell>
          <cell r="Q40">
            <v>6.1853999999999999E-2</v>
          </cell>
          <cell r="R40">
            <v>6.7302000000000001E-2</v>
          </cell>
          <cell r="S40">
            <v>6.8212999999999996E-2</v>
          </cell>
          <cell r="U40">
            <v>1.6000000000000001E-3</v>
          </cell>
          <cell r="V40">
            <v>1.8E-5</v>
          </cell>
          <cell r="W40">
            <v>1.7399999999999999E-2</v>
          </cell>
          <cell r="Y40">
            <v>0.41199999999999998</v>
          </cell>
          <cell r="Z40">
            <v>0.40200000000000002</v>
          </cell>
          <cell r="AA40">
            <v>0.28399999999999997</v>
          </cell>
          <cell r="AB40">
            <v>0</v>
          </cell>
        </row>
        <row r="41">
          <cell r="A41">
            <v>10.1</v>
          </cell>
        </row>
        <row r="42">
          <cell r="A42">
            <v>10.199999999999999</v>
          </cell>
          <cell r="H42">
            <v>3.9999999999999998E-6</v>
          </cell>
          <cell r="I42">
            <v>5.5900000000000004E-4</v>
          </cell>
          <cell r="L42">
            <v>9.0000000000000002E-6</v>
          </cell>
          <cell r="P42">
            <v>3.9999999999999998E-6</v>
          </cell>
          <cell r="U42">
            <v>0</v>
          </cell>
        </row>
        <row r="43">
          <cell r="A43">
            <v>10.3</v>
          </cell>
        </row>
        <row r="44">
          <cell r="A44">
            <v>11</v>
          </cell>
          <cell r="B44">
            <v>6.0700000000000001E-4</v>
          </cell>
          <cell r="C44">
            <v>4.2099999999999999E-2</v>
          </cell>
          <cell r="D44">
            <v>0.28860000000000002</v>
          </cell>
          <cell r="E44">
            <v>8.9999999999999993E-3</v>
          </cell>
          <cell r="F44">
            <v>2.95179E-2</v>
          </cell>
          <cell r="G44">
            <v>1.10308E-2</v>
          </cell>
          <cell r="H44">
            <v>0.28868100000000002</v>
          </cell>
          <cell r="I44">
            <v>1.0769000000000001E-2</v>
          </cell>
          <cell r="K44">
            <v>0.29358499999999998</v>
          </cell>
          <cell r="L44">
            <v>0.15679799999999999</v>
          </cell>
          <cell r="M44">
            <v>4.84E-4</v>
          </cell>
          <cell r="N44">
            <v>3.8059999999999999E-3</v>
          </cell>
          <cell r="P44">
            <v>0.23635999999999999</v>
          </cell>
          <cell r="Q44">
            <v>0.32906299999999999</v>
          </cell>
          <cell r="R44">
            <v>0.275532</v>
          </cell>
          <cell r="S44">
            <v>7.7105999999999994E-2</v>
          </cell>
          <cell r="U44">
            <v>1.7500000000000002E-2</v>
          </cell>
          <cell r="V44">
            <v>1.5E-5</v>
          </cell>
          <cell r="W44">
            <v>0.1012</v>
          </cell>
          <cell r="X44">
            <v>1E-3</v>
          </cell>
          <cell r="Y44">
            <v>0.28699999999999998</v>
          </cell>
          <cell r="Z44">
            <v>2E-3</v>
          </cell>
          <cell r="AA44">
            <v>0.439</v>
          </cell>
          <cell r="AB44">
            <v>0</v>
          </cell>
        </row>
        <row r="45">
          <cell r="A45">
            <v>11.1</v>
          </cell>
        </row>
        <row r="46">
          <cell r="A46">
            <v>11.2</v>
          </cell>
          <cell r="L46">
            <v>9.0000000000000002E-6</v>
          </cell>
          <cell r="U46">
            <v>8.0000000000000004E-4</v>
          </cell>
        </row>
        <row r="47">
          <cell r="A47">
            <v>11.3</v>
          </cell>
          <cell r="D47">
            <v>4.5499999999999999E-2</v>
          </cell>
        </row>
        <row r="48">
          <cell r="A48">
            <v>12</v>
          </cell>
          <cell r="B48">
            <v>2.4420000000000002E-3</v>
          </cell>
          <cell r="C48">
            <v>9.98E-2</v>
          </cell>
          <cell r="D48">
            <v>7.3099999999999998E-2</v>
          </cell>
          <cell r="E48">
            <v>6.0499999999999998E-2</v>
          </cell>
          <cell r="F48">
            <v>0.29337999999999997</v>
          </cell>
          <cell r="G48">
            <v>1.6804900000000001E-2</v>
          </cell>
          <cell r="H48">
            <v>0.25604300000000002</v>
          </cell>
          <cell r="I48">
            <v>0.121118</v>
          </cell>
          <cell r="K48">
            <v>0.30245100000000003</v>
          </cell>
          <cell r="L48">
            <v>0.16545399999999999</v>
          </cell>
          <cell r="M48">
            <v>9.0000000000000002E-6</v>
          </cell>
          <cell r="N48">
            <v>6.5499999999999998E-4</v>
          </cell>
          <cell r="O48">
            <v>3.9999999999999998E-6</v>
          </cell>
          <cell r="P48">
            <v>0.161387</v>
          </cell>
          <cell r="Q48">
            <v>0.34637600000000002</v>
          </cell>
          <cell r="R48">
            <v>4.8122999999999999E-2</v>
          </cell>
          <cell r="S48">
            <v>0.12992999999999999</v>
          </cell>
          <cell r="U48">
            <v>0.10100000000000001</v>
          </cell>
          <cell r="V48">
            <v>1.5E-5</v>
          </cell>
          <cell r="W48">
            <v>1.38E-2</v>
          </cell>
          <cell r="X48">
            <v>5.0000000000000001E-3</v>
          </cell>
          <cell r="Y48">
            <v>0.20300000000000001</v>
          </cell>
          <cell r="Z48">
            <v>2E-3</v>
          </cell>
          <cell r="AA48">
            <v>0.22500000000000001</v>
          </cell>
          <cell r="AB48">
            <v>2E-3</v>
          </cell>
        </row>
        <row r="49">
          <cell r="A49">
            <v>12.1</v>
          </cell>
        </row>
        <row r="50">
          <cell r="A50">
            <v>12.2</v>
          </cell>
          <cell r="G50">
            <v>7.9999999999999996E-6</v>
          </cell>
          <cell r="I50">
            <v>1.4E-5</v>
          </cell>
          <cell r="L50">
            <v>5.3999999999999998E-5</v>
          </cell>
          <cell r="U50">
            <v>9.4999999999999998E-3</v>
          </cell>
        </row>
        <row r="51">
          <cell r="A51">
            <v>12.3</v>
          </cell>
          <cell r="D51">
            <v>4.7999999999999996E-3</v>
          </cell>
          <cell r="I51">
            <v>3.9999999999999998E-6</v>
          </cell>
        </row>
        <row r="52">
          <cell r="A52">
            <v>13</v>
          </cell>
          <cell r="B52">
            <v>4.2180000000000004E-3</v>
          </cell>
          <cell r="C52">
            <v>8.5300000000000001E-2</v>
          </cell>
          <cell r="D52">
            <v>3.4099999999999998E-2</v>
          </cell>
          <cell r="E52">
            <v>0.27010000000000001</v>
          </cell>
          <cell r="F52">
            <v>0.12642100000000001</v>
          </cell>
          <cell r="G52">
            <v>0.112971</v>
          </cell>
          <cell r="H52">
            <v>0.15450700000000001</v>
          </cell>
          <cell r="I52">
            <v>0.108532</v>
          </cell>
          <cell r="J52">
            <v>2.3999999999999998E-3</v>
          </cell>
          <cell r="K52">
            <v>6.3686000000000006E-2</v>
          </cell>
          <cell r="L52">
            <v>0.15434600000000001</v>
          </cell>
          <cell r="M52">
            <v>1.8E-5</v>
          </cell>
          <cell r="N52">
            <v>5.7840000000000001E-3</v>
          </cell>
          <cell r="P52">
            <v>3.0415000000000001E-2</v>
          </cell>
          <cell r="Q52">
            <v>0.17447299999999999</v>
          </cell>
          <cell r="R52">
            <v>2.173E-3</v>
          </cell>
          <cell r="S52">
            <v>0.27866200000000002</v>
          </cell>
          <cell r="U52">
            <v>0.2369</v>
          </cell>
          <cell r="V52">
            <v>1.5E-5</v>
          </cell>
          <cell r="W52">
            <v>1.1999999999999999E-3</v>
          </cell>
          <cell r="X52">
            <v>1.6E-2</v>
          </cell>
          <cell r="Y52">
            <v>4.9000000000000002E-2</v>
          </cell>
          <cell r="AA52">
            <v>2.8000000000000001E-2</v>
          </cell>
          <cell r="AB52">
            <v>5.0000000000000001E-3</v>
          </cell>
        </row>
        <row r="53">
          <cell r="A53">
            <v>13.1</v>
          </cell>
        </row>
        <row r="54">
          <cell r="A54">
            <v>13.2</v>
          </cell>
          <cell r="I54">
            <v>4.7609999999999996E-3</v>
          </cell>
          <cell r="U54">
            <v>3.2599999999999997E-2</v>
          </cell>
        </row>
        <row r="55">
          <cell r="A55">
            <v>13.3</v>
          </cell>
          <cell r="D55">
            <v>1.1999999999999999E-3</v>
          </cell>
          <cell r="I55">
            <v>3.9999999999999998E-6</v>
          </cell>
          <cell r="M55">
            <v>3.9999999999999998E-6</v>
          </cell>
        </row>
        <row r="56">
          <cell r="A56">
            <v>14</v>
          </cell>
          <cell r="B56">
            <v>9.3156000000000003E-2</v>
          </cell>
          <cell r="C56">
            <v>0.1358</v>
          </cell>
          <cell r="D56">
            <v>0.26050000000000001</v>
          </cell>
          <cell r="E56">
            <v>0.30480000000000002</v>
          </cell>
          <cell r="F56">
            <v>4.8228E-2</v>
          </cell>
          <cell r="G56">
            <v>6.9455000000000003E-2</v>
          </cell>
          <cell r="H56">
            <v>2.4974E-2</v>
          </cell>
          <cell r="I56">
            <v>0.14722199999999999</v>
          </cell>
          <cell r="J56">
            <v>1.6000000000000001E-3</v>
          </cell>
          <cell r="K56">
            <v>9.5090000000000001E-3</v>
          </cell>
          <cell r="L56">
            <v>5.9928000000000002E-2</v>
          </cell>
          <cell r="M56">
            <v>1.2999999999999999E-5</v>
          </cell>
          <cell r="N56">
            <v>8.4447999999999995E-2</v>
          </cell>
          <cell r="P56">
            <v>3.7850000000000002E-3</v>
          </cell>
          <cell r="Q56">
            <v>1.3070999999999999E-2</v>
          </cell>
          <cell r="R56">
            <v>1.22E-4</v>
          </cell>
          <cell r="S56">
            <v>0.25086999999999998</v>
          </cell>
          <cell r="U56">
            <v>0.29409999999999997</v>
          </cell>
          <cell r="V56">
            <v>2.1999999999999999E-5</v>
          </cell>
          <cell r="W56">
            <v>4.8500000000000001E-2</v>
          </cell>
          <cell r="X56">
            <v>2.5000000000000001E-2</v>
          </cell>
          <cell r="Y56">
            <v>0</v>
          </cell>
          <cell r="AA56">
            <v>2E-3</v>
          </cell>
          <cell r="AB56">
            <v>1.7000000000000001E-2</v>
          </cell>
        </row>
        <row r="57">
          <cell r="A57">
            <v>14.1</v>
          </cell>
          <cell r="E57">
            <v>0</v>
          </cell>
        </row>
        <row r="58">
          <cell r="A58">
            <v>14.2</v>
          </cell>
          <cell r="I58">
            <v>1.06E-4</v>
          </cell>
          <cell r="U58">
            <v>3.1800000000000002E-2</v>
          </cell>
          <cell r="X58">
            <v>4.0000000000000001E-3</v>
          </cell>
        </row>
        <row r="59">
          <cell r="A59">
            <v>14.3</v>
          </cell>
          <cell r="C59">
            <v>8.9999999999999993E-3</v>
          </cell>
          <cell r="I59">
            <v>6.9999999999999999E-6</v>
          </cell>
        </row>
        <row r="60">
          <cell r="A60">
            <v>15</v>
          </cell>
          <cell r="B60">
            <v>0.290991</v>
          </cell>
          <cell r="C60">
            <v>0.15870000000000001</v>
          </cell>
          <cell r="D60">
            <v>2.69E-2</v>
          </cell>
          <cell r="E60">
            <v>0.2102</v>
          </cell>
          <cell r="F60">
            <v>1.6900000000000001E-3</v>
          </cell>
          <cell r="G60">
            <v>6.1957999999999999E-2</v>
          </cell>
          <cell r="H60">
            <v>1.6900000000000001E-3</v>
          </cell>
          <cell r="I60">
            <v>0.15221299999999999</v>
          </cell>
          <cell r="J60">
            <v>1.6000000000000001E-3</v>
          </cell>
          <cell r="K60">
            <v>1.2329999999999999E-3</v>
          </cell>
          <cell r="L60">
            <v>1.9278E-2</v>
          </cell>
          <cell r="M60">
            <v>3.9999999999999998E-6</v>
          </cell>
          <cell r="N60">
            <v>0.13799400000000001</v>
          </cell>
          <cell r="P60">
            <v>5.5000000000000002E-5</v>
          </cell>
          <cell r="Q60">
            <v>1.6459999999999999E-3</v>
          </cell>
          <cell r="R60">
            <v>5.3000000000000001E-5</v>
          </cell>
          <cell r="S60">
            <v>0.13833100000000001</v>
          </cell>
          <cell r="T60">
            <v>4.5600000000000002E-2</v>
          </cell>
          <cell r="U60">
            <v>0.15179999999999999</v>
          </cell>
          <cell r="V60">
            <v>2.5999999999999998E-5</v>
          </cell>
          <cell r="W60">
            <v>0.36049999999999999</v>
          </cell>
          <cell r="X60">
            <v>3.9E-2</v>
          </cell>
          <cell r="AB60">
            <v>0.01</v>
          </cell>
        </row>
        <row r="61">
          <cell r="A61">
            <v>15.1</v>
          </cell>
          <cell r="G61">
            <v>3.9999999999999998E-6</v>
          </cell>
        </row>
        <row r="62">
          <cell r="A62">
            <v>15.2</v>
          </cell>
          <cell r="B62">
            <v>6.9999999999999994E-5</v>
          </cell>
          <cell r="I62">
            <v>1.17E-4</v>
          </cell>
          <cell r="N62">
            <v>3.9999999999999998E-6</v>
          </cell>
          <cell r="U62">
            <v>5.8799999999999998E-2</v>
          </cell>
        </row>
        <row r="63">
          <cell r="A63">
            <v>15.3</v>
          </cell>
          <cell r="C63">
            <v>4.3900000000000002E-2</v>
          </cell>
        </row>
        <row r="64">
          <cell r="A64">
            <v>16</v>
          </cell>
          <cell r="B64">
            <v>0.27030799999999999</v>
          </cell>
          <cell r="C64">
            <v>0.1328</v>
          </cell>
          <cell r="D64">
            <v>3.0000000000000001E-3</v>
          </cell>
          <cell r="E64">
            <v>0.11559999999999999</v>
          </cell>
          <cell r="F64">
            <v>5.5000000000000002E-5</v>
          </cell>
          <cell r="G64">
            <v>4.7588999999999999E-2</v>
          </cell>
          <cell r="H64">
            <v>5.5000000000000002E-5</v>
          </cell>
          <cell r="I64">
            <v>0.144487</v>
          </cell>
          <cell r="J64">
            <v>4.4999999999999998E-2</v>
          </cell>
          <cell r="K64">
            <v>4.0000000000000003E-5</v>
          </cell>
          <cell r="L64">
            <v>2.9589999999999998E-3</v>
          </cell>
          <cell r="M64">
            <v>3.9999999999999998E-6</v>
          </cell>
          <cell r="N64">
            <v>0.26001999999999997</v>
          </cell>
          <cell r="Q64">
            <v>1.8900000000000001E-4</v>
          </cell>
          <cell r="R64">
            <v>2.8E-5</v>
          </cell>
          <cell r="S64">
            <v>3.363E-2</v>
          </cell>
          <cell r="T64">
            <v>3.5400000000000001E-2</v>
          </cell>
          <cell r="U64">
            <v>3.5000000000000003E-2</v>
          </cell>
          <cell r="V64">
            <v>5.4799999999999998E-4</v>
          </cell>
          <cell r="W64">
            <v>0.32869999999999999</v>
          </cell>
          <cell r="X64">
            <v>0.04</v>
          </cell>
          <cell r="AB64">
            <v>0</v>
          </cell>
        </row>
        <row r="65">
          <cell r="A65">
            <v>16.100000000000001</v>
          </cell>
        </row>
        <row r="66">
          <cell r="A66">
            <v>16.2</v>
          </cell>
          <cell r="B66">
            <v>6.9999999999999999E-6</v>
          </cell>
          <cell r="E66"/>
          <cell r="G66">
            <v>3.9999999999999998E-6</v>
          </cell>
          <cell r="I66">
            <v>1.8E-5</v>
          </cell>
          <cell r="N66">
            <v>3.9999999999999998E-6</v>
          </cell>
          <cell r="U66">
            <v>2.1499999999999998E-2</v>
          </cell>
          <cell r="X66">
            <v>1E-3</v>
          </cell>
        </row>
        <row r="67">
          <cell r="A67">
            <v>16.3</v>
          </cell>
          <cell r="B67">
            <v>3.9999999999999998E-6</v>
          </cell>
          <cell r="C67">
            <v>5.0500000000000003E-2</v>
          </cell>
        </row>
        <row r="68">
          <cell r="A68">
            <v>17</v>
          </cell>
          <cell r="B68">
            <v>0.20327799999999999</v>
          </cell>
          <cell r="C68">
            <v>4.1500000000000002E-2</v>
          </cell>
          <cell r="E68">
            <v>2.46E-2</v>
          </cell>
          <cell r="F68">
            <v>1.8E-5</v>
          </cell>
          <cell r="G68">
            <v>3.9604E-2</v>
          </cell>
          <cell r="H68">
            <v>1.8E-5</v>
          </cell>
          <cell r="I68">
            <v>0.121915</v>
          </cell>
          <cell r="J68">
            <v>0.2077</v>
          </cell>
          <cell r="L68">
            <v>1.323E-3</v>
          </cell>
          <cell r="N68">
            <v>0.25484400000000001</v>
          </cell>
          <cell r="P68">
            <v>3.9999999999999998E-6</v>
          </cell>
          <cell r="Q68">
            <v>5.8999999999999998E-5</v>
          </cell>
          <cell r="R68">
            <v>7.9999999999999996E-6</v>
          </cell>
          <cell r="S68">
            <v>4.4260000000000002E-3</v>
          </cell>
          <cell r="T68">
            <v>9.6000000000000002E-2</v>
          </cell>
          <cell r="U68">
            <v>4.0000000000000001E-3</v>
          </cell>
          <cell r="V68">
            <v>1.5020000000000001E-3</v>
          </cell>
          <cell r="W68">
            <v>0.12039999999999999</v>
          </cell>
          <cell r="X68">
            <v>6.2E-2</v>
          </cell>
        </row>
        <row r="69">
          <cell r="A69">
            <v>17.100000000000001</v>
          </cell>
          <cell r="T69">
            <v>1.1999999999999999E-3</v>
          </cell>
        </row>
        <row r="70">
          <cell r="A70">
            <v>17.2</v>
          </cell>
          <cell r="N70">
            <v>3.9999999999999998E-6</v>
          </cell>
          <cell r="U70">
            <v>1.6000000000000001E-3</v>
          </cell>
          <cell r="V70">
            <v>2.5999999999999998E-5</v>
          </cell>
        </row>
        <row r="71">
          <cell r="A71">
            <v>17.3</v>
          </cell>
          <cell r="B71">
            <v>1.5E-5</v>
          </cell>
          <cell r="C71">
            <v>0.1376</v>
          </cell>
          <cell r="N71">
            <v>1.2E-5</v>
          </cell>
          <cell r="T71">
            <v>1.9199999999999998E-2</v>
          </cell>
          <cell r="X71">
            <v>2E-3</v>
          </cell>
        </row>
        <row r="72">
          <cell r="A72">
            <v>18</v>
          </cell>
          <cell r="B72">
            <v>0.12392599999999999</v>
          </cell>
          <cell r="C72">
            <v>6.0000000000000001E-3</v>
          </cell>
          <cell r="E72">
            <v>3.0000000000000001E-3</v>
          </cell>
          <cell r="G72">
            <v>2.2190000000000001E-2</v>
          </cell>
          <cell r="I72">
            <v>7.7560000000000004E-2</v>
          </cell>
          <cell r="J72">
            <v>7.4200000000000002E-2</v>
          </cell>
          <cell r="L72">
            <v>3.6000000000000001E-5</v>
          </cell>
          <cell r="M72">
            <v>1.2999999999999999E-5</v>
          </cell>
          <cell r="N72">
            <v>0.170153</v>
          </cell>
          <cell r="Q72">
            <v>1.5E-5</v>
          </cell>
          <cell r="R72">
            <v>7.9999999999999996E-6</v>
          </cell>
          <cell r="S72">
            <v>5.6999999999999998E-4</v>
          </cell>
          <cell r="T72">
            <v>0.18790000000000001</v>
          </cell>
          <cell r="V72">
            <v>9.3460000000000001E-3</v>
          </cell>
          <cell r="W72">
            <v>7.1999999999999998E-3</v>
          </cell>
          <cell r="X72">
            <v>7.1999999999999995E-2</v>
          </cell>
        </row>
        <row r="73">
          <cell r="A73">
            <v>18.100000000000001</v>
          </cell>
        </row>
        <row r="74">
          <cell r="A74">
            <v>18.2</v>
          </cell>
          <cell r="I74">
            <v>1.8E-5</v>
          </cell>
          <cell r="U74">
            <v>8.0000000000000004E-4</v>
          </cell>
          <cell r="V74">
            <v>2.359E-3</v>
          </cell>
        </row>
        <row r="75">
          <cell r="A75">
            <v>18.3</v>
          </cell>
          <cell r="C75">
            <v>4.5100000000000001E-2</v>
          </cell>
          <cell r="T75">
            <v>1.44E-2</v>
          </cell>
          <cell r="V75">
            <v>3.9999999999999998E-6</v>
          </cell>
          <cell r="X75">
            <v>1E-3</v>
          </cell>
        </row>
        <row r="76">
          <cell r="A76">
            <v>19</v>
          </cell>
          <cell r="B76">
            <v>9.8569999999999994E-3</v>
          </cell>
          <cell r="G76">
            <v>1.4130999999999999E-2</v>
          </cell>
          <cell r="I76">
            <v>4.8621999999999999E-2</v>
          </cell>
          <cell r="J76">
            <v>0.12239999999999999</v>
          </cell>
          <cell r="L76">
            <v>5.0000000000000004E-6</v>
          </cell>
          <cell r="N76">
            <v>6.5726000000000007E-2</v>
          </cell>
          <cell r="Q76">
            <v>3.9999999999999998E-6</v>
          </cell>
          <cell r="S76">
            <v>7.7999999999999999E-5</v>
          </cell>
          <cell r="T76">
            <v>0.1699</v>
          </cell>
          <cell r="V76">
            <v>7.5357999999999994E-2</v>
          </cell>
          <cell r="W76">
            <v>1.1999999999999999E-3</v>
          </cell>
          <cell r="X76">
            <v>6.6000000000000003E-2</v>
          </cell>
        </row>
        <row r="77">
          <cell r="A77">
            <v>19.100000000000001</v>
          </cell>
          <cell r="T77">
            <v>4.1999999999999997E-3</v>
          </cell>
        </row>
        <row r="78">
          <cell r="A78">
            <v>19.2</v>
          </cell>
          <cell r="I78">
            <v>1.5E-5</v>
          </cell>
          <cell r="V78">
            <v>5.9599999999999996E-4</v>
          </cell>
          <cell r="X78">
            <v>4.0000000000000001E-3</v>
          </cell>
        </row>
        <row r="79">
          <cell r="A79">
            <v>19.3</v>
          </cell>
          <cell r="C79">
            <v>3.5999999999999999E-3</v>
          </cell>
          <cell r="T79">
            <v>1.26E-2</v>
          </cell>
        </row>
        <row r="80">
          <cell r="A80">
            <v>20</v>
          </cell>
          <cell r="B80">
            <v>8.0699999999999999E-4</v>
          </cell>
          <cell r="E80">
            <v>5.9999999999999995E-4</v>
          </cell>
          <cell r="G80">
            <v>9.9220000000000003E-3</v>
          </cell>
          <cell r="I80">
            <v>2.9085E-2</v>
          </cell>
          <cell r="J80">
            <v>0.13669999999999999</v>
          </cell>
          <cell r="N80">
            <v>1.4139000000000001E-2</v>
          </cell>
          <cell r="S80">
            <v>1.1E-5</v>
          </cell>
          <cell r="T80">
            <v>0.1507</v>
          </cell>
          <cell r="V80">
            <v>0.11390699999999999</v>
          </cell>
          <cell r="X80">
            <v>5.3999999999999999E-2</v>
          </cell>
        </row>
        <row r="81">
          <cell r="A81">
            <v>20.100000000000001</v>
          </cell>
        </row>
        <row r="82">
          <cell r="A82">
            <v>20.2</v>
          </cell>
          <cell r="I82">
            <v>1.8E-5</v>
          </cell>
          <cell r="V82">
            <v>2.3900000000000001E-4</v>
          </cell>
          <cell r="X82">
            <v>1.0999999999999999E-2</v>
          </cell>
        </row>
        <row r="83">
          <cell r="A83">
            <v>20.3</v>
          </cell>
          <cell r="C83">
            <v>3.0000000000000001E-3</v>
          </cell>
          <cell r="T83">
            <v>1.8E-3</v>
          </cell>
        </row>
        <row r="84">
          <cell r="A84">
            <v>21</v>
          </cell>
          <cell r="B84">
            <v>3.3000000000000003E-5</v>
          </cell>
          <cell r="G84">
            <v>6.3879999999999996E-3</v>
          </cell>
          <cell r="I84">
            <v>1.3039E-2</v>
          </cell>
          <cell r="J84">
            <v>0.06</v>
          </cell>
          <cell r="N84">
            <v>2.1740000000000002E-3</v>
          </cell>
          <cell r="S84">
            <v>3.9999999999999998E-6</v>
          </cell>
          <cell r="T84">
            <v>8.3400000000000002E-2</v>
          </cell>
          <cell r="V84">
            <v>0.15107999999999999</v>
          </cell>
          <cell r="X84">
            <v>2.4E-2</v>
          </cell>
        </row>
        <row r="85">
          <cell r="A85">
            <v>21.1</v>
          </cell>
        </row>
        <row r="86">
          <cell r="A86">
            <v>21.2</v>
          </cell>
          <cell r="I86">
            <v>3.9999999999999998E-6</v>
          </cell>
          <cell r="V86">
            <v>1.3439999999999999E-3</v>
          </cell>
        </row>
        <row r="87">
          <cell r="A87">
            <v>21.3</v>
          </cell>
        </row>
        <row r="88">
          <cell r="A88">
            <v>22</v>
          </cell>
          <cell r="G88">
            <v>4.463E-3</v>
          </cell>
          <cell r="I88">
            <v>5.5319999999999996E-3</v>
          </cell>
          <cell r="J88">
            <v>8.14E-2</v>
          </cell>
          <cell r="K88">
            <v>3.9999999999999998E-6</v>
          </cell>
          <cell r="L88">
            <v>5.0000000000000004E-6</v>
          </cell>
          <cell r="N88">
            <v>1.7699999999999999E-4</v>
          </cell>
          <cell r="O88">
            <v>3.9999999999999998E-6</v>
          </cell>
          <cell r="S88">
            <v>1.1E-5</v>
          </cell>
          <cell r="T88">
            <v>6.3E-2</v>
          </cell>
          <cell r="V88">
            <v>0.161658</v>
          </cell>
          <cell r="X88">
            <v>1.4999999999999999E-2</v>
          </cell>
        </row>
        <row r="89">
          <cell r="A89">
            <v>22.1</v>
          </cell>
        </row>
        <row r="90">
          <cell r="A90">
            <v>22.2</v>
          </cell>
          <cell r="V90">
            <v>2.4369999999999999E-3</v>
          </cell>
          <cell r="X90">
            <v>3.7999999999999999E-2</v>
          </cell>
        </row>
        <row r="91">
          <cell r="A91">
            <v>22.3</v>
          </cell>
        </row>
        <row r="92">
          <cell r="A92">
            <v>23</v>
          </cell>
          <cell r="G92">
            <v>1.3630000000000001E-3</v>
          </cell>
          <cell r="I92">
            <v>1.379E-3</v>
          </cell>
          <cell r="J92">
            <v>0.1169</v>
          </cell>
          <cell r="K92">
            <v>3.9999999999999998E-6</v>
          </cell>
          <cell r="N92">
            <v>3.9999999999999998E-6</v>
          </cell>
          <cell r="O92">
            <v>3.9999999999999998E-6</v>
          </cell>
          <cell r="T92">
            <v>6.8400000000000002E-2</v>
          </cell>
          <cell r="V92">
            <v>0.149283</v>
          </cell>
          <cell r="X92">
            <v>2E-3</v>
          </cell>
        </row>
        <row r="93">
          <cell r="A93">
            <v>23.1</v>
          </cell>
        </row>
        <row r="94">
          <cell r="A94">
            <v>23.2</v>
          </cell>
          <cell r="I94">
            <v>3.9999999999999998E-6</v>
          </cell>
          <cell r="V94">
            <v>1.09E-3</v>
          </cell>
          <cell r="X94">
            <v>4.3999999999999997E-2</v>
          </cell>
        </row>
        <row r="95">
          <cell r="A95">
            <v>23.3</v>
          </cell>
        </row>
        <row r="96">
          <cell r="A96">
            <v>24</v>
          </cell>
          <cell r="G96">
            <v>4.6099999999999998E-4</v>
          </cell>
          <cell r="I96">
            <v>1.3799999999999999E-4</v>
          </cell>
          <cell r="J96">
            <v>7.5800000000000006E-2</v>
          </cell>
          <cell r="O96">
            <v>1.3799999999999999E-4</v>
          </cell>
          <cell r="T96">
            <v>3.4799999999999998E-2</v>
          </cell>
          <cell r="V96">
            <v>0.15093200000000001</v>
          </cell>
          <cell r="X96">
            <v>1E-3</v>
          </cell>
        </row>
        <row r="97">
          <cell r="A97">
            <v>24.1</v>
          </cell>
        </row>
        <row r="98">
          <cell r="A98">
            <v>24.2</v>
          </cell>
          <cell r="O98">
            <v>2.1189999999999998E-3</v>
          </cell>
          <cell r="V98">
            <v>3.3100000000000002E-4</v>
          </cell>
          <cell r="X98">
            <v>2.1999999999999999E-2</v>
          </cell>
        </row>
        <row r="99">
          <cell r="A99">
            <v>24.3</v>
          </cell>
        </row>
        <row r="100">
          <cell r="A100">
            <v>25</v>
          </cell>
          <cell r="G100">
            <v>7.3999999999999999E-4</v>
          </cell>
          <cell r="I100">
            <v>3.7300000000000001E-4</v>
          </cell>
          <cell r="J100">
            <v>5.5300000000000002E-2</v>
          </cell>
          <cell r="O100">
            <v>9.7599999999999998E-4</v>
          </cell>
          <cell r="T100">
            <v>8.9999999999999993E-3</v>
          </cell>
          <cell r="V100">
            <v>0.10340199999999999</v>
          </cell>
        </row>
        <row r="101">
          <cell r="A101">
            <v>25.1</v>
          </cell>
        </row>
        <row r="102">
          <cell r="A102">
            <v>25.2</v>
          </cell>
          <cell r="O102">
            <v>5.9199999999999997E-4</v>
          </cell>
          <cell r="V102">
            <v>2.1000000000000001E-4</v>
          </cell>
          <cell r="X102">
            <v>0.04</v>
          </cell>
        </row>
        <row r="103">
          <cell r="A103">
            <v>25.3</v>
          </cell>
        </row>
        <row r="104">
          <cell r="A104">
            <v>26</v>
          </cell>
          <cell r="G104">
            <v>1.5999999999999999E-5</v>
          </cell>
          <cell r="I104">
            <v>1.8599999999999999E-4</v>
          </cell>
          <cell r="J104">
            <v>1.7399999999999999E-2</v>
          </cell>
          <cell r="O104">
            <v>1.127E-3</v>
          </cell>
          <cell r="T104">
            <v>1.1999999999999999E-3</v>
          </cell>
          <cell r="V104">
            <v>4.7419999999999997E-2</v>
          </cell>
        </row>
        <row r="105">
          <cell r="A105">
            <v>26.1</v>
          </cell>
        </row>
        <row r="106">
          <cell r="A106">
            <v>26.2</v>
          </cell>
          <cell r="O106">
            <v>3.1000000000000001E-5</v>
          </cell>
          <cell r="V106">
            <v>2.9E-5</v>
          </cell>
          <cell r="X106">
            <v>4.3999999999999997E-2</v>
          </cell>
        </row>
        <row r="107">
          <cell r="A107">
            <v>26.3</v>
          </cell>
        </row>
        <row r="108">
          <cell r="A108">
            <v>27</v>
          </cell>
          <cell r="G108">
            <v>3.9999999999999998E-6</v>
          </cell>
          <cell r="I108">
            <v>2.8499999999999999E-4</v>
          </cell>
          <cell r="J108">
            <v>1.6000000000000001E-3</v>
          </cell>
          <cell r="O108">
            <v>3.0043E-2</v>
          </cell>
          <cell r="T108">
            <v>1.1999999999999999E-3</v>
          </cell>
          <cell r="V108">
            <v>1.5952999999999998E-2</v>
          </cell>
        </row>
        <row r="109">
          <cell r="A109">
            <v>27.1</v>
          </cell>
        </row>
        <row r="110">
          <cell r="A110">
            <v>27.2</v>
          </cell>
          <cell r="O110">
            <v>7.7000000000000001E-5</v>
          </cell>
          <cell r="X110">
            <v>9.5000000000000001E-2</v>
          </cell>
        </row>
        <row r="111">
          <cell r="A111">
            <v>27.3</v>
          </cell>
        </row>
        <row r="112">
          <cell r="A112">
            <v>28</v>
          </cell>
          <cell r="G112">
            <v>3.9999999999999998E-6</v>
          </cell>
          <cell r="I112">
            <v>2.9E-5</v>
          </cell>
          <cell r="O112">
            <v>0.15936700000000001</v>
          </cell>
          <cell r="V112">
            <v>5.0610000000000004E-3</v>
          </cell>
        </row>
        <row r="113">
          <cell r="A113">
            <v>28.1</v>
          </cell>
        </row>
        <row r="114">
          <cell r="A114">
            <v>28.2</v>
          </cell>
          <cell r="O114">
            <v>2.6189999999999998E-3</v>
          </cell>
          <cell r="V114">
            <v>6.9999999999999999E-6</v>
          </cell>
          <cell r="X114">
            <v>7.3999999999999996E-2</v>
          </cell>
        </row>
        <row r="115">
          <cell r="A115">
            <v>28.3</v>
          </cell>
          <cell r="X115">
            <v>1E-3</v>
          </cell>
        </row>
        <row r="116">
          <cell r="A116">
            <v>29</v>
          </cell>
          <cell r="O116">
            <v>0.20807800000000001</v>
          </cell>
          <cell r="V116">
            <v>1.807E-3</v>
          </cell>
        </row>
        <row r="117">
          <cell r="A117">
            <v>29.1</v>
          </cell>
        </row>
        <row r="118">
          <cell r="A118">
            <v>29.2</v>
          </cell>
          <cell r="O118">
            <v>4.934E-3</v>
          </cell>
          <cell r="V118">
            <v>2.1999999999999999E-5</v>
          </cell>
          <cell r="X118">
            <v>6.3E-2</v>
          </cell>
        </row>
        <row r="119">
          <cell r="A119">
            <v>29.3</v>
          </cell>
        </row>
        <row r="120">
          <cell r="A120">
            <v>30</v>
          </cell>
          <cell r="O120">
            <v>0.231679</v>
          </cell>
          <cell r="V120">
            <v>7.1000000000000002E-4</v>
          </cell>
        </row>
        <row r="121">
          <cell r="A121">
            <v>30.1</v>
          </cell>
        </row>
        <row r="122">
          <cell r="A122">
            <v>30.2</v>
          </cell>
          <cell r="O122">
            <v>2.8434999999999998E-2</v>
          </cell>
          <cell r="V122">
            <v>1.73E-4</v>
          </cell>
          <cell r="X122">
            <v>0.57999999999999996</v>
          </cell>
        </row>
        <row r="123">
          <cell r="A123">
            <v>30.3</v>
          </cell>
        </row>
        <row r="124">
          <cell r="A124">
            <v>31</v>
          </cell>
          <cell r="O124">
            <v>7.6919000000000001E-2</v>
          </cell>
          <cell r="V124">
            <v>1.07E-4</v>
          </cell>
          <cell r="X124">
            <v>2E-3</v>
          </cell>
        </row>
        <row r="125">
          <cell r="A125">
            <v>31.1</v>
          </cell>
        </row>
        <row r="126">
          <cell r="A126">
            <v>31.2</v>
          </cell>
          <cell r="O126">
            <v>8.9885999999999994E-2</v>
          </cell>
          <cell r="V126">
            <v>1.134E-3</v>
          </cell>
          <cell r="X126">
            <v>2.1999999999999999E-2</v>
          </cell>
        </row>
        <row r="127">
          <cell r="A127">
            <v>31.3</v>
          </cell>
        </row>
        <row r="128">
          <cell r="A128">
            <v>32</v>
          </cell>
          <cell r="O128">
            <v>2.8482E-2</v>
          </cell>
          <cell r="V128">
            <v>6.9999999999999994E-5</v>
          </cell>
          <cell r="X128">
            <v>1E-3</v>
          </cell>
        </row>
        <row r="129">
          <cell r="A129">
            <v>32.1</v>
          </cell>
        </row>
        <row r="130">
          <cell r="A130">
            <v>32.200000000000003</v>
          </cell>
          <cell r="O130">
            <v>7.5126999999999999E-2</v>
          </cell>
          <cell r="V130">
            <v>1.5100000000000001E-4</v>
          </cell>
          <cell r="X130">
            <v>1.2999999999999999E-2</v>
          </cell>
        </row>
        <row r="131">
          <cell r="A131">
            <v>32.299999999999997</v>
          </cell>
        </row>
        <row r="132">
          <cell r="A132">
            <v>33</v>
          </cell>
          <cell r="O132">
            <v>1.1826E-2</v>
          </cell>
          <cell r="V132">
            <v>3.6999999999999998E-5</v>
          </cell>
          <cell r="X132">
            <v>1E-3</v>
          </cell>
        </row>
        <row r="133">
          <cell r="A133">
            <v>33.1</v>
          </cell>
        </row>
        <row r="134">
          <cell r="A134">
            <v>33.200000000000003</v>
          </cell>
          <cell r="O134">
            <v>2.8434999999999998E-2</v>
          </cell>
          <cell r="V134">
            <v>1.8E-5</v>
          </cell>
          <cell r="X134">
            <v>5.0000000000000001E-3</v>
          </cell>
        </row>
        <row r="135">
          <cell r="A135">
            <v>33.299999999999997</v>
          </cell>
          <cell r="O135">
            <v>7.9999999999999996E-6</v>
          </cell>
        </row>
        <row r="136">
          <cell r="A136">
            <v>34</v>
          </cell>
          <cell r="O136">
            <v>4.5880000000000001E-3</v>
          </cell>
          <cell r="X136">
            <v>7.0000000000000001E-3</v>
          </cell>
        </row>
        <row r="137">
          <cell r="A137">
            <v>34.1</v>
          </cell>
        </row>
        <row r="138">
          <cell r="A138">
            <v>34.200000000000003</v>
          </cell>
          <cell r="O138">
            <v>3.7690000000000002E-3</v>
          </cell>
          <cell r="X138">
            <v>1E-3</v>
          </cell>
        </row>
        <row r="139">
          <cell r="A139">
            <v>34.299999999999997</v>
          </cell>
        </row>
        <row r="140">
          <cell r="A140">
            <v>35</v>
          </cell>
          <cell r="O140">
            <v>6.4419999999999998E-3</v>
          </cell>
        </row>
        <row r="141">
          <cell r="A141">
            <v>35.1</v>
          </cell>
          <cell r="O141">
            <v>3.9999999999999998E-6</v>
          </cell>
        </row>
        <row r="142">
          <cell r="A142">
            <v>35.200000000000003</v>
          </cell>
          <cell r="O142">
            <v>1.323E-3</v>
          </cell>
        </row>
        <row r="143">
          <cell r="A143">
            <v>35.299999999999997</v>
          </cell>
        </row>
        <row r="144">
          <cell r="A144">
            <v>36</v>
          </cell>
          <cell r="O144">
            <v>2.261E-3</v>
          </cell>
        </row>
        <row r="145">
          <cell r="A145">
            <v>36.1</v>
          </cell>
          <cell r="E145"/>
          <cell r="F145"/>
          <cell r="G145"/>
          <cell r="H145"/>
          <cell r="I145"/>
          <cell r="K145"/>
          <cell r="M145"/>
          <cell r="N145"/>
          <cell r="O145"/>
          <cell r="R145"/>
          <cell r="V145"/>
        </row>
        <row r="146">
          <cell r="A146">
            <v>36.200000000000003</v>
          </cell>
          <cell r="E146"/>
          <cell r="F146"/>
          <cell r="G146"/>
          <cell r="H146"/>
          <cell r="I146"/>
          <cell r="K146"/>
          <cell r="M146"/>
          <cell r="N146"/>
          <cell r="O146">
            <v>2.6999999999999999E-5</v>
          </cell>
          <cell r="R146"/>
          <cell r="V146"/>
        </row>
        <row r="147">
          <cell r="A147">
            <v>36.299999999999997</v>
          </cell>
          <cell r="E147"/>
          <cell r="F147"/>
          <cell r="G147"/>
          <cell r="H147"/>
          <cell r="I147"/>
          <cell r="K147"/>
          <cell r="M147"/>
          <cell r="N147"/>
          <cell r="O147"/>
          <cell r="R147"/>
          <cell r="V147"/>
        </row>
        <row r="148">
          <cell r="A148">
            <v>37</v>
          </cell>
          <cell r="E148"/>
          <cell r="F148"/>
          <cell r="G148"/>
          <cell r="H148"/>
          <cell r="I148"/>
          <cell r="K148"/>
          <cell r="M148"/>
          <cell r="N148"/>
          <cell r="O148">
            <v>5.6099999999999998E-4</v>
          </cell>
          <cell r="R148"/>
          <cell r="V148"/>
        </row>
        <row r="149">
          <cell r="A149">
            <v>37.1</v>
          </cell>
          <cell r="E149"/>
          <cell r="F149"/>
          <cell r="G149"/>
          <cell r="H149"/>
          <cell r="I149"/>
          <cell r="K149"/>
          <cell r="M149"/>
          <cell r="N149"/>
          <cell r="O149"/>
          <cell r="R149"/>
          <cell r="V149"/>
        </row>
        <row r="150">
          <cell r="A150">
            <v>37.200000000000003</v>
          </cell>
          <cell r="E150"/>
          <cell r="F150"/>
          <cell r="G150"/>
          <cell r="H150"/>
          <cell r="I150"/>
          <cell r="K150"/>
          <cell r="M150"/>
          <cell r="N150"/>
          <cell r="O150"/>
          <cell r="R150"/>
          <cell r="V150"/>
        </row>
        <row r="151">
          <cell r="A151">
            <v>37.299999999999997</v>
          </cell>
          <cell r="E151"/>
          <cell r="F151"/>
          <cell r="G151"/>
          <cell r="H151"/>
          <cell r="I151"/>
          <cell r="K151"/>
          <cell r="M151"/>
          <cell r="N151"/>
          <cell r="O151"/>
          <cell r="R151"/>
          <cell r="V151"/>
        </row>
        <row r="152">
          <cell r="A152">
            <v>38</v>
          </cell>
          <cell r="E152"/>
          <cell r="F152"/>
          <cell r="G152"/>
          <cell r="H152"/>
          <cell r="I152"/>
          <cell r="K152"/>
          <cell r="M152"/>
          <cell r="N152"/>
          <cell r="O152">
            <v>2.6499999999999999E-4</v>
          </cell>
          <cell r="R152"/>
          <cell r="V152"/>
        </row>
        <row r="153">
          <cell r="A153">
            <v>38.1</v>
          </cell>
          <cell r="E153"/>
          <cell r="F153"/>
          <cell r="G153"/>
          <cell r="H153"/>
          <cell r="I153"/>
          <cell r="K153"/>
          <cell r="M153"/>
          <cell r="N153"/>
          <cell r="O153"/>
          <cell r="R153"/>
          <cell r="V153"/>
        </row>
        <row r="154">
          <cell r="A154">
            <v>38.200000000000003</v>
          </cell>
          <cell r="E154"/>
          <cell r="F154"/>
          <cell r="G154"/>
          <cell r="H154"/>
          <cell r="I154"/>
          <cell r="K154"/>
          <cell r="M154"/>
          <cell r="N154"/>
          <cell r="O154"/>
          <cell r="R154"/>
          <cell r="V154"/>
        </row>
        <row r="155">
          <cell r="A155">
            <v>38.299999999999997</v>
          </cell>
          <cell r="E155"/>
          <cell r="F155"/>
          <cell r="G155"/>
          <cell r="H155"/>
          <cell r="I155"/>
          <cell r="K155"/>
          <cell r="M155"/>
          <cell r="N155"/>
          <cell r="O155"/>
          <cell r="R155"/>
          <cell r="V155"/>
        </row>
        <row r="156">
          <cell r="A156">
            <v>39</v>
          </cell>
          <cell r="E156"/>
          <cell r="F156"/>
          <cell r="G156"/>
          <cell r="H156"/>
          <cell r="I156"/>
          <cell r="K156"/>
          <cell r="M156"/>
          <cell r="N156"/>
          <cell r="O156">
            <v>3.1000000000000001E-5</v>
          </cell>
          <cell r="R156"/>
          <cell r="V156"/>
        </row>
        <row r="157">
          <cell r="A157">
            <v>39.1</v>
          </cell>
          <cell r="E157"/>
          <cell r="F157"/>
          <cell r="G157"/>
          <cell r="H157"/>
          <cell r="I157"/>
          <cell r="K157"/>
          <cell r="M157"/>
          <cell r="N157"/>
          <cell r="O157"/>
          <cell r="R157"/>
          <cell r="V157"/>
        </row>
        <row r="158">
          <cell r="A158">
            <v>39.200000000000003</v>
          </cell>
          <cell r="E158"/>
          <cell r="F158"/>
          <cell r="G158"/>
          <cell r="H158"/>
          <cell r="I158"/>
          <cell r="K158"/>
          <cell r="M158"/>
          <cell r="N158"/>
          <cell r="O158"/>
          <cell r="R158"/>
          <cell r="V158">
            <v>3.9999999999999998E-6</v>
          </cell>
        </row>
        <row r="159">
          <cell r="A159">
            <v>39.299999999999997</v>
          </cell>
          <cell r="E159"/>
          <cell r="F159"/>
          <cell r="G159"/>
          <cell r="H159"/>
          <cell r="I159"/>
          <cell r="K159"/>
          <cell r="M159"/>
          <cell r="N159"/>
          <cell r="O159"/>
          <cell r="R159"/>
          <cell r="V159"/>
        </row>
        <row r="160">
          <cell r="A160">
            <v>40</v>
          </cell>
          <cell r="E160"/>
          <cell r="F160"/>
          <cell r="G160"/>
          <cell r="H160"/>
          <cell r="I160"/>
          <cell r="K160"/>
          <cell r="M160"/>
          <cell r="N160"/>
          <cell r="O160"/>
          <cell r="R160"/>
          <cell r="V160">
            <v>6.9999999999999999E-6</v>
          </cell>
        </row>
        <row r="161">
          <cell r="A161">
            <v>40.1</v>
          </cell>
          <cell r="E161"/>
          <cell r="F161"/>
          <cell r="G161"/>
          <cell r="H161"/>
          <cell r="I161"/>
          <cell r="K161"/>
          <cell r="M161"/>
          <cell r="N161"/>
          <cell r="O161"/>
          <cell r="R161"/>
          <cell r="V161"/>
        </row>
        <row r="162">
          <cell r="A162">
            <v>40.200000000000003</v>
          </cell>
          <cell r="E162"/>
          <cell r="F162"/>
          <cell r="G162"/>
          <cell r="H162"/>
          <cell r="I162"/>
          <cell r="K162"/>
          <cell r="M162"/>
          <cell r="N162"/>
          <cell r="O162"/>
          <cell r="R162"/>
          <cell r="V162"/>
        </row>
        <row r="163">
          <cell r="A163">
            <v>40.299999999999997</v>
          </cell>
          <cell r="E163"/>
          <cell r="F163"/>
          <cell r="G163"/>
          <cell r="H163"/>
          <cell r="I163"/>
          <cell r="K163"/>
          <cell r="M163"/>
          <cell r="N163"/>
          <cell r="O163"/>
          <cell r="R163"/>
          <cell r="V163"/>
        </row>
        <row r="164">
          <cell r="A164">
            <v>41</v>
          </cell>
          <cell r="E164"/>
          <cell r="F164"/>
          <cell r="G164"/>
          <cell r="H164"/>
          <cell r="I164"/>
          <cell r="K164"/>
          <cell r="M164"/>
          <cell r="N164"/>
          <cell r="O164"/>
          <cell r="R164"/>
          <cell r="V164"/>
        </row>
        <row r="165">
          <cell r="A165">
            <v>41.1</v>
          </cell>
          <cell r="E165"/>
          <cell r="F165"/>
          <cell r="G165"/>
          <cell r="H165"/>
          <cell r="I165"/>
          <cell r="K165"/>
          <cell r="M165"/>
          <cell r="N165"/>
          <cell r="O165"/>
          <cell r="R165"/>
          <cell r="V165"/>
        </row>
        <row r="166">
          <cell r="A166">
            <v>41.2</v>
          </cell>
          <cell r="E166"/>
          <cell r="F166"/>
          <cell r="G166"/>
          <cell r="H166"/>
          <cell r="I166"/>
          <cell r="K166"/>
          <cell r="M166"/>
          <cell r="N166"/>
          <cell r="O166"/>
          <cell r="R166"/>
          <cell r="V166">
            <v>3.9999999999999998E-6</v>
          </cell>
        </row>
        <row r="167">
          <cell r="A167">
            <v>41.3</v>
          </cell>
          <cell r="E167"/>
          <cell r="F167"/>
          <cell r="G167"/>
          <cell r="H167"/>
          <cell r="I167"/>
          <cell r="K167"/>
          <cell r="M167"/>
          <cell r="N167"/>
          <cell r="O167"/>
          <cell r="R167"/>
          <cell r="V167"/>
        </row>
        <row r="168">
          <cell r="A168">
            <v>42</v>
          </cell>
          <cell r="E168"/>
          <cell r="F168"/>
          <cell r="G168"/>
          <cell r="H168"/>
          <cell r="I168"/>
          <cell r="K168"/>
          <cell r="M168"/>
          <cell r="N168"/>
          <cell r="O168"/>
          <cell r="R168"/>
          <cell r="V168">
            <v>6.9999999999999999E-6</v>
          </cell>
        </row>
        <row r="169">
          <cell r="A169">
            <v>42.1</v>
          </cell>
          <cell r="E169"/>
          <cell r="F169"/>
          <cell r="G169"/>
          <cell r="H169"/>
          <cell r="I169"/>
          <cell r="K169"/>
          <cell r="M169"/>
          <cell r="N169"/>
          <cell r="O169"/>
          <cell r="R169"/>
          <cell r="V169"/>
        </row>
        <row r="170">
          <cell r="A170">
            <v>42.2</v>
          </cell>
          <cell r="E170"/>
          <cell r="F170"/>
          <cell r="G170"/>
          <cell r="H170"/>
          <cell r="I170"/>
          <cell r="K170"/>
          <cell r="M170"/>
          <cell r="N170"/>
          <cell r="O170"/>
          <cell r="R170"/>
          <cell r="V170">
            <v>4.8000000000000001E-5</v>
          </cell>
        </row>
        <row r="171">
          <cell r="A171">
            <v>42.3</v>
          </cell>
          <cell r="E171"/>
          <cell r="F171"/>
          <cell r="G171"/>
          <cell r="H171"/>
          <cell r="I171"/>
          <cell r="K171"/>
          <cell r="M171"/>
          <cell r="N171"/>
          <cell r="O171"/>
          <cell r="R171"/>
          <cell r="V171"/>
        </row>
        <row r="172">
          <cell r="A172">
            <v>43</v>
          </cell>
          <cell r="E172"/>
          <cell r="F172"/>
          <cell r="G172"/>
          <cell r="H172"/>
          <cell r="I172"/>
          <cell r="K172"/>
          <cell r="M172"/>
          <cell r="N172"/>
          <cell r="O172"/>
          <cell r="R172"/>
          <cell r="V172">
            <v>3.9999999999999998E-6</v>
          </cell>
        </row>
        <row r="173">
          <cell r="A173">
            <v>43.1</v>
          </cell>
          <cell r="E173"/>
          <cell r="F173"/>
          <cell r="G173"/>
          <cell r="H173"/>
          <cell r="I173"/>
          <cell r="K173"/>
          <cell r="M173"/>
          <cell r="N173"/>
          <cell r="O173"/>
          <cell r="R173"/>
          <cell r="V173"/>
        </row>
        <row r="174">
          <cell r="A174">
            <v>43.2</v>
          </cell>
          <cell r="E174"/>
          <cell r="F174"/>
          <cell r="G174"/>
          <cell r="H174"/>
          <cell r="I174"/>
          <cell r="K174"/>
          <cell r="M174"/>
          <cell r="N174"/>
          <cell r="O174"/>
          <cell r="R174"/>
          <cell r="V174">
            <v>5.7799999999999995E-4</v>
          </cell>
        </row>
        <row r="175">
          <cell r="A175">
            <v>43.3</v>
          </cell>
          <cell r="E175"/>
          <cell r="F175"/>
          <cell r="G175"/>
          <cell r="H175"/>
          <cell r="I175"/>
          <cell r="K175"/>
          <cell r="M175"/>
          <cell r="N175"/>
          <cell r="O175"/>
          <cell r="R175"/>
          <cell r="V175"/>
        </row>
        <row r="176">
          <cell r="A176">
            <v>44</v>
          </cell>
          <cell r="E176"/>
          <cell r="F176"/>
          <cell r="G176"/>
          <cell r="H176"/>
          <cell r="I176"/>
          <cell r="K176"/>
          <cell r="M176"/>
          <cell r="N176"/>
          <cell r="O176"/>
          <cell r="R176"/>
          <cell r="V176"/>
        </row>
        <row r="177">
          <cell r="A177">
            <v>44.1</v>
          </cell>
          <cell r="E177"/>
          <cell r="F177"/>
          <cell r="G177"/>
          <cell r="H177"/>
          <cell r="I177"/>
          <cell r="K177"/>
          <cell r="M177"/>
          <cell r="N177"/>
          <cell r="O177"/>
          <cell r="R177"/>
          <cell r="V177"/>
        </row>
        <row r="178">
          <cell r="A178">
            <v>44.2</v>
          </cell>
          <cell r="E178"/>
          <cell r="F178"/>
          <cell r="G178"/>
          <cell r="H178"/>
          <cell r="I178"/>
          <cell r="K178"/>
          <cell r="M178"/>
          <cell r="N178"/>
          <cell r="O178"/>
          <cell r="R178"/>
          <cell r="V178">
            <v>2.6899999999999998E-4</v>
          </cell>
        </row>
        <row r="179">
          <cell r="A179">
            <v>44.3</v>
          </cell>
          <cell r="E179"/>
          <cell r="F179"/>
          <cell r="G179"/>
          <cell r="H179"/>
          <cell r="I179"/>
          <cell r="K179"/>
          <cell r="M179"/>
          <cell r="N179"/>
          <cell r="O179"/>
          <cell r="R179"/>
          <cell r="V179"/>
        </row>
        <row r="180">
          <cell r="A180">
            <v>45</v>
          </cell>
          <cell r="E180"/>
          <cell r="F180"/>
          <cell r="G180"/>
          <cell r="H180"/>
          <cell r="I180"/>
          <cell r="K180"/>
          <cell r="M180"/>
          <cell r="N180"/>
          <cell r="O180"/>
          <cell r="R180"/>
          <cell r="V180"/>
        </row>
        <row r="181">
          <cell r="A181">
            <v>45.1</v>
          </cell>
          <cell r="E181"/>
          <cell r="F181"/>
          <cell r="G181"/>
          <cell r="H181"/>
          <cell r="I181"/>
          <cell r="K181"/>
          <cell r="M181"/>
          <cell r="N181"/>
          <cell r="O181"/>
          <cell r="R181"/>
          <cell r="V181"/>
        </row>
        <row r="182">
          <cell r="A182">
            <v>45.2</v>
          </cell>
          <cell r="E182"/>
          <cell r="F182"/>
          <cell r="G182"/>
          <cell r="H182"/>
          <cell r="I182"/>
          <cell r="K182"/>
          <cell r="M182"/>
          <cell r="N182"/>
          <cell r="O182"/>
          <cell r="R182"/>
          <cell r="V182">
            <v>2.7599999999999999E-4</v>
          </cell>
        </row>
        <row r="183">
          <cell r="A183">
            <v>45.3</v>
          </cell>
          <cell r="E183"/>
          <cell r="F183"/>
          <cell r="G183"/>
          <cell r="H183"/>
          <cell r="I183"/>
          <cell r="K183"/>
          <cell r="M183"/>
          <cell r="N183"/>
          <cell r="O183"/>
          <cell r="R183"/>
          <cell r="V183"/>
        </row>
        <row r="184">
          <cell r="A184">
            <v>46</v>
          </cell>
          <cell r="E184"/>
          <cell r="F184"/>
          <cell r="G184"/>
          <cell r="H184"/>
          <cell r="I184"/>
          <cell r="K184"/>
          <cell r="M184"/>
          <cell r="N184"/>
          <cell r="O184"/>
          <cell r="R184"/>
          <cell r="V184"/>
        </row>
        <row r="185">
          <cell r="A185">
            <v>46.1</v>
          </cell>
          <cell r="E185"/>
          <cell r="F185"/>
          <cell r="G185"/>
          <cell r="H185"/>
          <cell r="I185"/>
          <cell r="K185"/>
          <cell r="M185"/>
          <cell r="N185"/>
          <cell r="O185"/>
          <cell r="R185"/>
          <cell r="V185"/>
        </row>
        <row r="186">
          <cell r="A186">
            <v>46.2</v>
          </cell>
          <cell r="E186"/>
          <cell r="F186"/>
          <cell r="G186"/>
          <cell r="H186"/>
          <cell r="I186"/>
          <cell r="K186"/>
          <cell r="M186"/>
          <cell r="N186"/>
          <cell r="O186"/>
          <cell r="R186"/>
          <cell r="V186">
            <v>2.5399999999999999E-4</v>
          </cell>
        </row>
        <row r="187">
          <cell r="A187">
            <v>46.3</v>
          </cell>
          <cell r="E187"/>
          <cell r="F187"/>
          <cell r="G187"/>
          <cell r="H187"/>
          <cell r="I187"/>
          <cell r="K187"/>
          <cell r="M187"/>
          <cell r="N187"/>
          <cell r="O187"/>
          <cell r="R187"/>
          <cell r="V187"/>
        </row>
        <row r="188">
          <cell r="A188">
            <v>47</v>
          </cell>
          <cell r="E188"/>
          <cell r="F188"/>
          <cell r="G188"/>
          <cell r="H188"/>
          <cell r="I188"/>
          <cell r="K188"/>
          <cell r="M188"/>
          <cell r="N188"/>
          <cell r="O188"/>
          <cell r="R188"/>
          <cell r="V188">
            <v>3.9999999999999998E-6</v>
          </cell>
        </row>
        <row r="189">
          <cell r="A189">
            <v>47.1</v>
          </cell>
          <cell r="E189"/>
          <cell r="F189"/>
          <cell r="G189"/>
          <cell r="H189"/>
          <cell r="I189"/>
          <cell r="K189"/>
          <cell r="M189"/>
          <cell r="N189"/>
          <cell r="O189"/>
          <cell r="R189"/>
          <cell r="V189"/>
        </row>
        <row r="190">
          <cell r="A190">
            <v>47.2</v>
          </cell>
          <cell r="E190"/>
          <cell r="F190"/>
          <cell r="G190"/>
          <cell r="H190"/>
          <cell r="I190"/>
          <cell r="K190"/>
          <cell r="M190"/>
          <cell r="N190"/>
          <cell r="O190"/>
          <cell r="R190"/>
          <cell r="V190">
            <v>4.0000000000000003E-5</v>
          </cell>
        </row>
        <row r="191">
          <cell r="A191">
            <v>47.3</v>
          </cell>
          <cell r="E191"/>
          <cell r="F191"/>
          <cell r="G191"/>
          <cell r="H191"/>
          <cell r="I191"/>
          <cell r="K191"/>
          <cell r="M191"/>
          <cell r="N191"/>
          <cell r="O191"/>
          <cell r="R191"/>
          <cell r="V191"/>
        </row>
        <row r="192">
          <cell r="A192">
            <v>48</v>
          </cell>
          <cell r="E192"/>
          <cell r="F192"/>
          <cell r="G192"/>
          <cell r="H192"/>
          <cell r="I192"/>
          <cell r="K192"/>
          <cell r="M192"/>
          <cell r="N192"/>
          <cell r="O192"/>
          <cell r="R192"/>
          <cell r="V192"/>
        </row>
        <row r="193">
          <cell r="A193">
            <v>48.1</v>
          </cell>
          <cell r="E193"/>
          <cell r="F193"/>
          <cell r="G193"/>
          <cell r="H193"/>
          <cell r="I193"/>
          <cell r="K193"/>
          <cell r="M193"/>
          <cell r="N193"/>
          <cell r="O193"/>
          <cell r="R193"/>
          <cell r="V193"/>
        </row>
        <row r="194">
          <cell r="A194">
            <v>48.2</v>
          </cell>
          <cell r="E194"/>
          <cell r="F194"/>
          <cell r="G194"/>
          <cell r="H194"/>
          <cell r="I194"/>
          <cell r="K194"/>
          <cell r="M194"/>
          <cell r="N194"/>
          <cell r="O194"/>
          <cell r="R194"/>
          <cell r="V194">
            <v>1.5E-5</v>
          </cell>
        </row>
        <row r="195">
          <cell r="A195">
            <v>48.3</v>
          </cell>
          <cell r="E195"/>
          <cell r="F195"/>
          <cell r="G195"/>
          <cell r="H195"/>
          <cell r="I195"/>
          <cell r="K195"/>
          <cell r="M195"/>
          <cell r="N195"/>
          <cell r="O195"/>
          <cell r="R195"/>
          <cell r="V195"/>
        </row>
        <row r="196">
          <cell r="A196">
            <v>49</v>
          </cell>
          <cell r="E196"/>
          <cell r="F196"/>
          <cell r="G196"/>
          <cell r="H196"/>
          <cell r="I196"/>
          <cell r="K196"/>
          <cell r="M196"/>
          <cell r="N196"/>
          <cell r="O196"/>
          <cell r="R196"/>
          <cell r="V196"/>
        </row>
        <row r="197">
          <cell r="A197">
            <v>49.1</v>
          </cell>
          <cell r="E197"/>
          <cell r="F197"/>
          <cell r="G197"/>
          <cell r="H197"/>
          <cell r="I197"/>
          <cell r="K197"/>
          <cell r="M197"/>
          <cell r="N197"/>
          <cell r="O197"/>
          <cell r="R197"/>
          <cell r="V197"/>
        </row>
        <row r="198">
          <cell r="A198">
            <v>49.2</v>
          </cell>
          <cell r="E198"/>
          <cell r="F198"/>
          <cell r="G198"/>
          <cell r="H198"/>
          <cell r="I198"/>
          <cell r="K198"/>
          <cell r="M198"/>
          <cell r="N198"/>
          <cell r="O198"/>
          <cell r="R198"/>
          <cell r="V198"/>
        </row>
        <row r="199">
          <cell r="A199">
            <v>49.3</v>
          </cell>
          <cell r="E199"/>
          <cell r="F199"/>
          <cell r="G199"/>
          <cell r="H199"/>
          <cell r="I199"/>
          <cell r="K199"/>
          <cell r="M199"/>
          <cell r="N199"/>
          <cell r="O199"/>
          <cell r="R199"/>
          <cell r="V199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>
        <row r="1">
          <cell r="A1" t="str">
            <v>Alelos</v>
          </cell>
          <cell r="B1" t="str">
            <v>D3S1358</v>
          </cell>
          <cell r="C1" t="str">
            <v>D1S1656</v>
          </cell>
          <cell r="D1" t="str">
            <v>D2S441</v>
          </cell>
          <cell r="E1" t="str">
            <v>D10S1248</v>
          </cell>
          <cell r="F1" t="str">
            <v>D13S317</v>
          </cell>
          <cell r="G1" t="str">
            <v>Penta_E</v>
          </cell>
          <cell r="H1" t="str">
            <v>D16S539</v>
          </cell>
          <cell r="I1" t="str">
            <v>D18S51</v>
          </cell>
          <cell r="J1" t="str">
            <v>D2S1338</v>
          </cell>
          <cell r="K1" t="str">
            <v>CSF1PO</v>
          </cell>
          <cell r="L1" t="str">
            <v>Penta_D</v>
          </cell>
          <cell r="M1" t="str">
            <v>TH01</v>
          </cell>
          <cell r="N1" t="str">
            <v>vWA</v>
          </cell>
          <cell r="O1" t="str">
            <v>D21S11</v>
          </cell>
          <cell r="P1" t="str">
            <v>D7S820</v>
          </cell>
          <cell r="Q1" t="str">
            <v>D5S818</v>
          </cell>
          <cell r="R1" t="str">
            <v>TPOX</v>
          </cell>
          <cell r="S1" t="str">
            <v>D8S1179</v>
          </cell>
          <cell r="T1" t="str">
            <v>D12S391</v>
          </cell>
          <cell r="U1" t="str">
            <v>D19S433</v>
          </cell>
          <cell r="V1" t="str">
            <v>FGA</v>
          </cell>
          <cell r="W1" t="str">
            <v>D22S1045</v>
          </cell>
          <cell r="X1" t="str">
            <v>SE33</v>
          </cell>
          <cell r="Y1">
            <v>1</v>
          </cell>
          <cell r="Z1">
            <v>2</v>
          </cell>
          <cell r="AA1">
            <v>3</v>
          </cell>
          <cell r="AB1">
            <v>4</v>
          </cell>
          <cell r="AC1">
            <v>5</v>
          </cell>
          <cell r="AD1">
            <v>6</v>
          </cell>
          <cell r="AE1">
            <v>7</v>
          </cell>
          <cell r="AF1">
            <v>8</v>
          </cell>
          <cell r="AG1">
            <v>9</v>
          </cell>
          <cell r="AH1">
            <v>10</v>
          </cell>
          <cell r="AI1">
            <v>11</v>
          </cell>
          <cell r="AJ1"/>
          <cell r="AK1"/>
          <cell r="AL1"/>
          <cell r="AM1"/>
        </row>
        <row r="2">
          <cell r="A2" t="str">
            <v>PE</v>
          </cell>
          <cell r="B2">
            <v>0.54900000000000004</v>
          </cell>
          <cell r="C2">
            <v>0.75900000000000001</v>
          </cell>
          <cell r="D2">
            <v>0.51300000000000001</v>
          </cell>
          <cell r="E2">
            <v>0.54300000000000004</v>
          </cell>
          <cell r="F2">
            <v>0.56899999999999995</v>
          </cell>
          <cell r="G2">
            <v>0.79</v>
          </cell>
          <cell r="H2">
            <v>0.754</v>
          </cell>
          <cell r="I2">
            <v>0.754</v>
          </cell>
          <cell r="J2">
            <v>0.71479999999999999</v>
          </cell>
          <cell r="K2">
            <v>0.46500000000000002</v>
          </cell>
          <cell r="L2">
            <v>0.70199999999999996</v>
          </cell>
          <cell r="M2">
            <v>0.58299999999999996</v>
          </cell>
          <cell r="N2">
            <v>0.61899999999999999</v>
          </cell>
          <cell r="O2">
            <v>0.68100000000000005</v>
          </cell>
          <cell r="P2">
            <v>0.59599999999999997</v>
          </cell>
          <cell r="Q2">
            <v>0.48</v>
          </cell>
          <cell r="R2">
            <v>0.40300000000000002</v>
          </cell>
          <cell r="S2">
            <v>0.61299999999999999</v>
          </cell>
          <cell r="T2">
            <v>0.74</v>
          </cell>
          <cell r="U2">
            <v>0.55600000000000005</v>
          </cell>
          <cell r="V2">
            <v>0.73599999999999999</v>
          </cell>
          <cell r="W2">
            <v>0.45400000000000001</v>
          </cell>
          <cell r="Y2">
            <v>0.54400000000000004</v>
          </cell>
          <cell r="Z2">
            <v>0.51200000000000001</v>
          </cell>
          <cell r="AA2">
            <v>0.42799999999999999</v>
          </cell>
          <cell r="AB2">
            <v>0.53300000000000003</v>
          </cell>
        </row>
        <row r="3">
          <cell r="A3" t="str">
            <v>MUT</v>
          </cell>
          <cell r="B3">
            <v>1.1999999999999999E-3</v>
          </cell>
          <cell r="F3">
            <v>1.4E-3</v>
          </cell>
          <cell r="G3">
            <v>1.6000000000000001E-3</v>
          </cell>
          <cell r="H3">
            <v>1.1000000000000001E-3</v>
          </cell>
          <cell r="I3">
            <v>2.2000000000000001E-3</v>
          </cell>
          <cell r="J3">
            <v>1.1999999999999999E-3</v>
          </cell>
          <cell r="K3">
            <v>1.6000000000000001E-3</v>
          </cell>
          <cell r="L3">
            <v>1.4E-3</v>
          </cell>
          <cell r="M3">
            <v>1E-4</v>
          </cell>
          <cell r="N3">
            <v>1.6999999999999999E-3</v>
          </cell>
          <cell r="O3">
            <v>1.9E-3</v>
          </cell>
          <cell r="P3">
            <v>1E-3</v>
          </cell>
          <cell r="Q3">
            <v>1.1000000000000001E-3</v>
          </cell>
          <cell r="R3">
            <v>1E-4</v>
          </cell>
          <cell r="S3">
            <v>1.4E-3</v>
          </cell>
          <cell r="U3">
            <v>1.1000000000000001E-3</v>
          </cell>
          <cell r="V3">
            <v>2.8E-3</v>
          </cell>
          <cell r="X3">
            <v>6.4000000000000003E-3</v>
          </cell>
        </row>
        <row r="4">
          <cell r="A4">
            <v>1</v>
          </cell>
          <cell r="L4">
            <v>5.0000000000000004E-6</v>
          </cell>
        </row>
        <row r="5">
          <cell r="A5">
            <v>1.1000000000000001</v>
          </cell>
        </row>
        <row r="6">
          <cell r="A6">
            <v>1.2</v>
          </cell>
        </row>
        <row r="7">
          <cell r="A7">
            <v>1.3</v>
          </cell>
        </row>
        <row r="8">
          <cell r="A8">
            <v>2</v>
          </cell>
          <cell r="G8">
            <v>3.9999999999999998E-6</v>
          </cell>
          <cell r="H8">
            <v>3.9999999999999998E-6</v>
          </cell>
        </row>
        <row r="9">
          <cell r="A9">
            <v>2.1</v>
          </cell>
        </row>
        <row r="10">
          <cell r="A10">
            <v>2.2000000000000002</v>
          </cell>
          <cell r="L10">
            <v>3.3499000000000001E-2</v>
          </cell>
        </row>
        <row r="11">
          <cell r="A11">
            <v>2.2999999999999998</v>
          </cell>
          <cell r="L11">
            <v>5.0000000000000004E-6</v>
          </cell>
        </row>
        <row r="12">
          <cell r="A12">
            <v>3</v>
          </cell>
          <cell r="G12">
            <v>7.9999999999999996E-6</v>
          </cell>
          <cell r="L12">
            <v>1.8E-5</v>
          </cell>
          <cell r="S12">
            <v>3.9999999999999998E-6</v>
          </cell>
        </row>
        <row r="13">
          <cell r="A13">
            <v>3.1</v>
          </cell>
        </row>
        <row r="14">
          <cell r="A14">
            <v>3.2</v>
          </cell>
          <cell r="L14">
            <v>2.529E-3</v>
          </cell>
          <cell r="AB14">
            <v>8.5000000000000006E-2</v>
          </cell>
        </row>
        <row r="15">
          <cell r="A15">
            <v>3.3</v>
          </cell>
        </row>
        <row r="16">
          <cell r="A16">
            <v>4</v>
          </cell>
          <cell r="F16">
            <v>3.9999999999999998E-6</v>
          </cell>
          <cell r="G16">
            <v>3.1000000000000001E-5</v>
          </cell>
          <cell r="I16">
            <v>6.9999999999999999E-6</v>
          </cell>
          <cell r="M16">
            <v>5.8E-5</v>
          </cell>
          <cell r="R16">
            <v>3.9999999999999998E-6</v>
          </cell>
          <cell r="S16">
            <v>6.9999999999999999E-6</v>
          </cell>
          <cell r="AB16">
            <v>4.1000000000000002E-2</v>
          </cell>
        </row>
        <row r="17">
          <cell r="A17">
            <v>4.0999999999999996</v>
          </cell>
          <cell r="E17"/>
          <cell r="F17"/>
          <cell r="G17"/>
          <cell r="H17"/>
          <cell r="I17"/>
          <cell r="K17"/>
          <cell r="M17"/>
          <cell r="N17"/>
          <cell r="O17"/>
          <cell r="R17"/>
          <cell r="V17"/>
        </row>
        <row r="18">
          <cell r="A18">
            <v>4.2</v>
          </cell>
          <cell r="E18"/>
          <cell r="F18"/>
          <cell r="G18"/>
          <cell r="H18"/>
          <cell r="I18"/>
          <cell r="K18"/>
          <cell r="M18"/>
          <cell r="N18"/>
          <cell r="O18"/>
          <cell r="R18"/>
          <cell r="V18"/>
        </row>
        <row r="19">
          <cell r="A19">
            <v>4.3</v>
          </cell>
          <cell r="E19"/>
          <cell r="F19"/>
          <cell r="G19"/>
          <cell r="H19"/>
          <cell r="I19"/>
          <cell r="K19"/>
          <cell r="M19"/>
          <cell r="N19"/>
          <cell r="O19"/>
          <cell r="R19"/>
          <cell r="V19"/>
        </row>
        <row r="20">
          <cell r="A20">
            <v>5</v>
          </cell>
          <cell r="E20"/>
          <cell r="F20">
            <v>1.1E-5</v>
          </cell>
          <cell r="G20">
            <v>6.0622000000000002E-2</v>
          </cell>
          <cell r="H20">
            <v>5.1099999999999995E-4</v>
          </cell>
          <cell r="I20">
            <v>6.9999999999999999E-6</v>
          </cell>
          <cell r="K20">
            <v>2.1999999999999999E-5</v>
          </cell>
          <cell r="L20">
            <v>1.2716E-2</v>
          </cell>
          <cell r="M20">
            <v>1.562E-3</v>
          </cell>
          <cell r="N20"/>
          <cell r="O20"/>
          <cell r="P20">
            <v>2.5999999999999998E-5</v>
          </cell>
          <cell r="Q20">
            <v>3.9999999999999998E-6</v>
          </cell>
          <cell r="R20">
            <v>5.5199999999999997E-4</v>
          </cell>
          <cell r="S20">
            <v>1.1E-5</v>
          </cell>
          <cell r="V20"/>
          <cell r="AB20">
            <v>0.20799999999999999</v>
          </cell>
        </row>
        <row r="21">
          <cell r="A21">
            <v>5.0999999999999996</v>
          </cell>
          <cell r="E21"/>
          <cell r="F21"/>
          <cell r="G21"/>
          <cell r="H21"/>
          <cell r="I21"/>
          <cell r="K21"/>
          <cell r="M21"/>
          <cell r="N21"/>
          <cell r="O21"/>
          <cell r="R21"/>
          <cell r="V21"/>
        </row>
        <row r="22">
          <cell r="A22">
            <v>5.2</v>
          </cell>
          <cell r="E22"/>
          <cell r="F22"/>
          <cell r="G22"/>
          <cell r="H22"/>
          <cell r="I22"/>
          <cell r="K22"/>
          <cell r="L22">
            <v>5.0000000000000004E-6</v>
          </cell>
          <cell r="M22"/>
          <cell r="N22"/>
          <cell r="O22"/>
          <cell r="R22"/>
          <cell r="V22"/>
        </row>
        <row r="23">
          <cell r="A23">
            <v>5.3</v>
          </cell>
          <cell r="E23"/>
          <cell r="F23"/>
          <cell r="G23"/>
          <cell r="H23"/>
          <cell r="I23"/>
          <cell r="K23"/>
          <cell r="M23"/>
          <cell r="N23"/>
          <cell r="O23"/>
          <cell r="R23"/>
          <cell r="V23"/>
        </row>
        <row r="24">
          <cell r="A24">
            <v>6</v>
          </cell>
          <cell r="B24">
            <v>1.9000000000000001E-5</v>
          </cell>
          <cell r="E24"/>
          <cell r="F24">
            <v>5.8E-5</v>
          </cell>
          <cell r="G24">
            <v>7.6689999999999996E-3</v>
          </cell>
          <cell r="H24">
            <v>2.9599999999999998E-4</v>
          </cell>
          <cell r="I24">
            <v>1.1E-5</v>
          </cell>
          <cell r="K24">
            <v>8.1899999999999996E-4</v>
          </cell>
          <cell r="L24">
            <v>1.1559999999999999E-3</v>
          </cell>
          <cell r="M24">
            <v>0.21123800000000001</v>
          </cell>
          <cell r="N24"/>
          <cell r="O24"/>
          <cell r="P24">
            <v>2.7E-4</v>
          </cell>
          <cell r="Q24">
            <v>5.5000000000000002E-5</v>
          </cell>
          <cell r="R24">
            <v>1.7713E-2</v>
          </cell>
          <cell r="S24">
            <v>1.15E-4</v>
          </cell>
          <cell r="V24"/>
          <cell r="Z24">
            <v>0.1</v>
          </cell>
          <cell r="AB24">
            <v>0.28699999999999998</v>
          </cell>
        </row>
        <row r="25">
          <cell r="A25">
            <v>6.1</v>
          </cell>
          <cell r="E25"/>
          <cell r="F25"/>
          <cell r="G25"/>
          <cell r="H25"/>
          <cell r="I25"/>
          <cell r="K25"/>
          <cell r="M25"/>
          <cell r="N25"/>
          <cell r="O25"/>
          <cell r="R25"/>
          <cell r="V25"/>
        </row>
        <row r="26">
          <cell r="A26">
            <v>6.2</v>
          </cell>
          <cell r="E26"/>
          <cell r="F26"/>
          <cell r="G26"/>
          <cell r="H26"/>
          <cell r="I26"/>
          <cell r="K26"/>
          <cell r="M26"/>
          <cell r="N26"/>
          <cell r="O26"/>
          <cell r="P26">
            <v>3.9999999999999998E-6</v>
          </cell>
          <cell r="R26"/>
          <cell r="V26"/>
        </row>
        <row r="27">
          <cell r="A27">
            <v>6.3</v>
          </cell>
          <cell r="E27"/>
          <cell r="F27"/>
          <cell r="G27"/>
          <cell r="H27"/>
          <cell r="I27"/>
          <cell r="K27"/>
          <cell r="M27"/>
          <cell r="N27"/>
          <cell r="O27"/>
          <cell r="R27"/>
          <cell r="V27"/>
        </row>
        <row r="28">
          <cell r="A28">
            <v>7</v>
          </cell>
          <cell r="B28">
            <v>3.3000000000000003E-5</v>
          </cell>
          <cell r="E28"/>
          <cell r="F28">
            <v>1.0859999999999999E-3</v>
          </cell>
          <cell r="G28">
            <v>0.10938299999999999</v>
          </cell>
          <cell r="H28">
            <v>3.8000000000000002E-4</v>
          </cell>
          <cell r="I28">
            <v>1.5E-5</v>
          </cell>
          <cell r="K28">
            <v>1.3376000000000001E-2</v>
          </cell>
          <cell r="L28">
            <v>1.3686E-2</v>
          </cell>
          <cell r="M28">
            <v>0.24045900000000001</v>
          </cell>
          <cell r="N28"/>
          <cell r="O28"/>
          <cell r="P28">
            <v>1.5032999999999999E-2</v>
          </cell>
          <cell r="Q28">
            <v>1.7458000000000001E-2</v>
          </cell>
          <cell r="R28">
            <v>8.404E-3</v>
          </cell>
          <cell r="S28">
            <v>3.4600000000000001E-4</v>
          </cell>
          <cell r="V28">
            <v>3.9999999999999998E-6</v>
          </cell>
          <cell r="Y28">
            <v>0</v>
          </cell>
          <cell r="Z28">
            <v>0.02</v>
          </cell>
          <cell r="AA28">
            <v>0</v>
          </cell>
          <cell r="AB28">
            <v>0.32900000000000001</v>
          </cell>
        </row>
        <row r="29">
          <cell r="A29">
            <v>7.1</v>
          </cell>
          <cell r="E29"/>
          <cell r="F29"/>
          <cell r="G29"/>
          <cell r="H29"/>
          <cell r="I29"/>
          <cell r="K29"/>
          <cell r="M29"/>
          <cell r="N29"/>
          <cell r="O29"/>
          <cell r="R29"/>
          <cell r="V29"/>
        </row>
        <row r="30">
          <cell r="A30">
            <v>7.2</v>
          </cell>
          <cell r="E30"/>
          <cell r="F30"/>
          <cell r="G30"/>
          <cell r="H30"/>
          <cell r="I30"/>
          <cell r="K30"/>
          <cell r="M30"/>
          <cell r="N30"/>
          <cell r="O30"/>
          <cell r="R30"/>
          <cell r="V30"/>
        </row>
        <row r="31">
          <cell r="A31">
            <v>7.3</v>
          </cell>
          <cell r="E31"/>
          <cell r="F31"/>
          <cell r="G31"/>
          <cell r="H31"/>
          <cell r="I31"/>
          <cell r="K31"/>
          <cell r="M31"/>
          <cell r="N31"/>
          <cell r="O31"/>
          <cell r="R31"/>
          <cell r="V31"/>
        </row>
        <row r="32">
          <cell r="A32">
            <v>8</v>
          </cell>
          <cell r="B32">
            <v>2.1999999999999999E-5</v>
          </cell>
          <cell r="E32"/>
          <cell r="F32">
            <v>9.9838999999999997E-2</v>
          </cell>
          <cell r="G32">
            <v>5.7986999999999997E-2</v>
          </cell>
          <cell r="H32">
            <v>2.4126999999999999E-2</v>
          </cell>
          <cell r="I32">
            <v>9.1000000000000003E-5</v>
          </cell>
          <cell r="K32">
            <v>2.0035000000000001E-2</v>
          </cell>
          <cell r="L32">
            <v>5.0805000000000003E-2</v>
          </cell>
          <cell r="M32">
            <v>0.14935399999999999</v>
          </cell>
          <cell r="N32">
            <v>7.9999999999999996E-6</v>
          </cell>
          <cell r="O32"/>
          <cell r="P32">
            <v>0.157085</v>
          </cell>
          <cell r="Q32">
            <v>1.7610000000000001E-2</v>
          </cell>
          <cell r="R32">
            <v>0.45586199999999999</v>
          </cell>
          <cell r="S32">
            <v>8.2439999999999996E-3</v>
          </cell>
          <cell r="V32">
            <v>6.9999999999999999E-6</v>
          </cell>
          <cell r="Y32">
            <v>2E-3</v>
          </cell>
          <cell r="Z32">
            <v>0.25900000000000001</v>
          </cell>
          <cell r="AA32">
            <v>1.4E-2</v>
          </cell>
          <cell r="AB32">
            <v>1.7000000000000001E-2</v>
          </cell>
        </row>
        <row r="33">
          <cell r="A33">
            <v>8.1</v>
          </cell>
        </row>
        <row r="34">
          <cell r="A34">
            <v>8.1999999999999993</v>
          </cell>
          <cell r="M34">
            <v>9.0000000000000002E-6</v>
          </cell>
        </row>
        <row r="35">
          <cell r="A35">
            <v>8.3000000000000007</v>
          </cell>
        </row>
        <row r="36">
          <cell r="A36">
            <v>9</v>
          </cell>
          <cell r="B36">
            <v>1E-4</v>
          </cell>
          <cell r="C36">
            <v>5.9999999999999995E-4</v>
          </cell>
          <cell r="D36">
            <v>1.1999999999999999E-3</v>
          </cell>
          <cell r="F36">
            <v>8.1736000000000003E-2</v>
          </cell>
          <cell r="G36">
            <v>2.3213000000000001E-2</v>
          </cell>
          <cell r="H36">
            <v>0.160298</v>
          </cell>
          <cell r="I36">
            <v>1.199E-3</v>
          </cell>
          <cell r="K36">
            <v>3.286E-2</v>
          </cell>
          <cell r="L36">
            <v>0.18413299999999999</v>
          </cell>
          <cell r="M36">
            <v>0.16256300000000001</v>
          </cell>
          <cell r="P36">
            <v>0.12053</v>
          </cell>
          <cell r="Q36">
            <v>3.8122999999999997E-2</v>
          </cell>
          <cell r="R36">
            <v>0.12411700000000001</v>
          </cell>
          <cell r="S36">
            <v>9.4289999999999999E-3</v>
          </cell>
          <cell r="U36">
            <v>8.0000000000000004E-4</v>
          </cell>
          <cell r="V36">
            <v>1.8E-5</v>
          </cell>
          <cell r="Y36">
            <v>4.7E-2</v>
          </cell>
          <cell r="Z36">
            <v>0.215</v>
          </cell>
          <cell r="AA36">
            <v>7.0000000000000001E-3</v>
          </cell>
          <cell r="AB36">
            <v>0</v>
          </cell>
        </row>
        <row r="37">
          <cell r="A37">
            <v>9.1</v>
          </cell>
        </row>
        <row r="38">
          <cell r="A38">
            <v>9.1999999999999993</v>
          </cell>
          <cell r="H38">
            <v>6.9999999999999999E-6</v>
          </cell>
          <cell r="L38">
            <v>2.5799999999999998E-4</v>
          </cell>
          <cell r="M38">
            <v>3.9999999999999998E-6</v>
          </cell>
        </row>
        <row r="39">
          <cell r="A39">
            <v>9.3000000000000007</v>
          </cell>
          <cell r="G39">
            <v>7.9999999999999996E-6</v>
          </cell>
          <cell r="L39">
            <v>1.8E-5</v>
          </cell>
          <cell r="M39">
            <v>0.226159</v>
          </cell>
          <cell r="P39">
            <v>1.1E-5</v>
          </cell>
        </row>
        <row r="40">
          <cell r="A40">
            <v>10</v>
          </cell>
          <cell r="B40">
            <v>1.0399999999999999E-4</v>
          </cell>
          <cell r="C40">
            <v>4.7999999999999996E-3</v>
          </cell>
          <cell r="D40">
            <v>0.2611</v>
          </cell>
          <cell r="E40">
            <v>1.8E-3</v>
          </cell>
          <cell r="F40">
            <v>5.2623999999999997E-2</v>
          </cell>
          <cell r="G40">
            <v>7.2113999999999998E-2</v>
          </cell>
          <cell r="H40">
            <v>8.8405999999999998E-2</v>
          </cell>
          <cell r="I40">
            <v>9.8840000000000004E-3</v>
          </cell>
          <cell r="K40">
            <v>0.262376</v>
          </cell>
          <cell r="L40">
            <v>0.14096400000000001</v>
          </cell>
          <cell r="M40">
            <v>8.0389999999999993E-3</v>
          </cell>
          <cell r="N40">
            <v>4.3000000000000002E-5</v>
          </cell>
          <cell r="P40">
            <v>0.275034</v>
          </cell>
          <cell r="Q40">
            <v>6.1853999999999999E-2</v>
          </cell>
          <cell r="R40">
            <v>6.7302000000000001E-2</v>
          </cell>
          <cell r="S40">
            <v>6.8212999999999996E-2</v>
          </cell>
          <cell r="U40">
            <v>1.6000000000000001E-3</v>
          </cell>
          <cell r="V40">
            <v>1.8E-5</v>
          </cell>
          <cell r="W40">
            <v>1.7399999999999999E-2</v>
          </cell>
          <cell r="Y40">
            <v>0.41199999999999998</v>
          </cell>
          <cell r="Z40">
            <v>0.40200000000000002</v>
          </cell>
          <cell r="AA40">
            <v>0.28399999999999997</v>
          </cell>
          <cell r="AB40">
            <v>0</v>
          </cell>
        </row>
        <row r="41">
          <cell r="A41">
            <v>10.1</v>
          </cell>
        </row>
        <row r="42">
          <cell r="A42">
            <v>10.199999999999999</v>
          </cell>
          <cell r="H42">
            <v>3.9999999999999998E-6</v>
          </cell>
          <cell r="I42">
            <v>5.5900000000000004E-4</v>
          </cell>
          <cell r="L42">
            <v>9.0000000000000002E-6</v>
          </cell>
          <cell r="P42">
            <v>3.9999999999999998E-6</v>
          </cell>
          <cell r="U42">
            <v>0</v>
          </cell>
        </row>
        <row r="43">
          <cell r="A43">
            <v>10.3</v>
          </cell>
        </row>
        <row r="44">
          <cell r="A44">
            <v>11</v>
          </cell>
          <cell r="B44">
            <v>6.0700000000000001E-4</v>
          </cell>
          <cell r="C44">
            <v>4.2099999999999999E-2</v>
          </cell>
          <cell r="D44">
            <v>0.28860000000000002</v>
          </cell>
          <cell r="E44">
            <v>8.9999999999999993E-3</v>
          </cell>
          <cell r="F44">
            <v>2.95179E-2</v>
          </cell>
          <cell r="G44">
            <v>1.10308E-2</v>
          </cell>
          <cell r="H44">
            <v>0.28868100000000002</v>
          </cell>
          <cell r="I44">
            <v>1.0769000000000001E-2</v>
          </cell>
          <cell r="K44">
            <v>0.29358499999999998</v>
          </cell>
          <cell r="L44">
            <v>0.15679799999999999</v>
          </cell>
          <cell r="M44">
            <v>4.84E-4</v>
          </cell>
          <cell r="N44">
            <v>3.8059999999999999E-3</v>
          </cell>
          <cell r="P44">
            <v>0.23635999999999999</v>
          </cell>
          <cell r="Q44">
            <v>0.32906299999999999</v>
          </cell>
          <cell r="R44">
            <v>0.275532</v>
          </cell>
          <cell r="S44">
            <v>7.7105999999999994E-2</v>
          </cell>
          <cell r="U44">
            <v>1.7500000000000002E-2</v>
          </cell>
          <cell r="V44">
            <v>1.5E-5</v>
          </cell>
          <cell r="W44">
            <v>0.1012</v>
          </cell>
          <cell r="X44">
            <v>1E-3</v>
          </cell>
          <cell r="Y44">
            <v>0.28699999999999998</v>
          </cell>
          <cell r="Z44">
            <v>2E-3</v>
          </cell>
          <cell r="AA44">
            <v>0.439</v>
          </cell>
          <cell r="AB44">
            <v>0</v>
          </cell>
        </row>
        <row r="45">
          <cell r="A45">
            <v>11.1</v>
          </cell>
        </row>
        <row r="46">
          <cell r="A46">
            <v>11.2</v>
          </cell>
          <cell r="L46">
            <v>9.0000000000000002E-6</v>
          </cell>
          <cell r="U46">
            <v>8.0000000000000004E-4</v>
          </cell>
        </row>
        <row r="47">
          <cell r="A47">
            <v>11.3</v>
          </cell>
          <cell r="D47">
            <v>4.5499999999999999E-2</v>
          </cell>
        </row>
        <row r="48">
          <cell r="A48">
            <v>12</v>
          </cell>
          <cell r="B48">
            <v>2.4420000000000002E-3</v>
          </cell>
          <cell r="C48">
            <v>9.98E-2</v>
          </cell>
          <cell r="D48">
            <v>7.3099999999999998E-2</v>
          </cell>
          <cell r="E48">
            <v>6.0499999999999998E-2</v>
          </cell>
          <cell r="F48">
            <v>0.29337999999999997</v>
          </cell>
          <cell r="G48">
            <v>1.6804900000000001E-2</v>
          </cell>
          <cell r="H48">
            <v>0.25604300000000002</v>
          </cell>
          <cell r="I48">
            <v>0.121118</v>
          </cell>
          <cell r="K48">
            <v>0.30245100000000003</v>
          </cell>
          <cell r="L48">
            <v>0.16545399999999999</v>
          </cell>
          <cell r="M48">
            <v>9.0000000000000002E-6</v>
          </cell>
          <cell r="N48">
            <v>6.5499999999999998E-4</v>
          </cell>
          <cell r="O48">
            <v>3.9999999999999998E-6</v>
          </cell>
          <cell r="P48">
            <v>0.161387</v>
          </cell>
          <cell r="Q48">
            <v>0.34637600000000002</v>
          </cell>
          <cell r="R48">
            <v>4.8122999999999999E-2</v>
          </cell>
          <cell r="S48">
            <v>0.12992999999999999</v>
          </cell>
          <cell r="U48">
            <v>0.10100000000000001</v>
          </cell>
          <cell r="V48">
            <v>1.5E-5</v>
          </cell>
          <cell r="W48">
            <v>1.38E-2</v>
          </cell>
          <cell r="X48">
            <v>5.0000000000000001E-3</v>
          </cell>
          <cell r="Y48">
            <v>0.20300000000000001</v>
          </cell>
          <cell r="Z48">
            <v>2E-3</v>
          </cell>
          <cell r="AA48">
            <v>0.22500000000000001</v>
          </cell>
          <cell r="AB48">
            <v>2E-3</v>
          </cell>
        </row>
        <row r="49">
          <cell r="A49">
            <v>12.1</v>
          </cell>
        </row>
        <row r="50">
          <cell r="A50">
            <v>12.2</v>
          </cell>
          <cell r="G50">
            <v>7.9999999999999996E-6</v>
          </cell>
          <cell r="I50">
            <v>1.4E-5</v>
          </cell>
          <cell r="L50">
            <v>5.3999999999999998E-5</v>
          </cell>
          <cell r="U50">
            <v>9.4999999999999998E-3</v>
          </cell>
        </row>
        <row r="51">
          <cell r="A51">
            <v>12.3</v>
          </cell>
          <cell r="D51">
            <v>4.7999999999999996E-3</v>
          </cell>
          <cell r="I51">
            <v>3.9999999999999998E-6</v>
          </cell>
        </row>
        <row r="52">
          <cell r="A52">
            <v>13</v>
          </cell>
          <cell r="B52">
            <v>4.2180000000000004E-3</v>
          </cell>
          <cell r="C52">
            <v>8.5300000000000001E-2</v>
          </cell>
          <cell r="D52">
            <v>3.4099999999999998E-2</v>
          </cell>
          <cell r="E52">
            <v>0.27010000000000001</v>
          </cell>
          <cell r="F52">
            <v>0.12642100000000001</v>
          </cell>
          <cell r="G52">
            <v>0.112971</v>
          </cell>
          <cell r="H52">
            <v>0.15450700000000001</v>
          </cell>
          <cell r="I52">
            <v>0.108532</v>
          </cell>
          <cell r="J52">
            <v>2.3999999999999998E-3</v>
          </cell>
          <cell r="K52">
            <v>6.3686000000000006E-2</v>
          </cell>
          <cell r="L52">
            <v>0.15434600000000001</v>
          </cell>
          <cell r="M52">
            <v>1.8E-5</v>
          </cell>
          <cell r="N52">
            <v>5.7840000000000001E-3</v>
          </cell>
          <cell r="P52">
            <v>3.0415000000000001E-2</v>
          </cell>
          <cell r="Q52">
            <v>0.17447299999999999</v>
          </cell>
          <cell r="R52">
            <v>2.173E-3</v>
          </cell>
          <cell r="S52">
            <v>0.27866200000000002</v>
          </cell>
          <cell r="U52">
            <v>0.2369</v>
          </cell>
          <cell r="V52">
            <v>1.5E-5</v>
          </cell>
          <cell r="W52">
            <v>1.1999999999999999E-3</v>
          </cell>
          <cell r="X52">
            <v>1.6E-2</v>
          </cell>
          <cell r="Y52">
            <v>4.9000000000000002E-2</v>
          </cell>
          <cell r="AA52">
            <v>2.8000000000000001E-2</v>
          </cell>
          <cell r="AB52">
            <v>5.0000000000000001E-3</v>
          </cell>
        </row>
        <row r="53">
          <cell r="A53">
            <v>13.1</v>
          </cell>
        </row>
        <row r="54">
          <cell r="A54">
            <v>13.2</v>
          </cell>
          <cell r="I54">
            <v>4.7609999999999996E-3</v>
          </cell>
          <cell r="U54">
            <v>3.2599999999999997E-2</v>
          </cell>
        </row>
        <row r="55">
          <cell r="A55">
            <v>13.3</v>
          </cell>
          <cell r="D55">
            <v>1.1999999999999999E-3</v>
          </cell>
          <cell r="I55">
            <v>3.9999999999999998E-6</v>
          </cell>
          <cell r="M55">
            <v>3.9999999999999998E-6</v>
          </cell>
        </row>
        <row r="56">
          <cell r="A56">
            <v>14</v>
          </cell>
          <cell r="B56">
            <v>9.3156000000000003E-2</v>
          </cell>
          <cell r="C56">
            <v>0.1358</v>
          </cell>
          <cell r="D56">
            <v>0.26050000000000001</v>
          </cell>
          <cell r="E56">
            <v>0.30480000000000002</v>
          </cell>
          <cell r="F56">
            <v>4.8228E-2</v>
          </cell>
          <cell r="G56">
            <v>6.9455000000000003E-2</v>
          </cell>
          <cell r="H56">
            <v>2.4974E-2</v>
          </cell>
          <cell r="I56">
            <v>0.14722199999999999</v>
          </cell>
          <cell r="J56">
            <v>1.6000000000000001E-3</v>
          </cell>
          <cell r="K56">
            <v>9.5090000000000001E-3</v>
          </cell>
          <cell r="L56">
            <v>5.9928000000000002E-2</v>
          </cell>
          <cell r="M56">
            <v>1.2999999999999999E-5</v>
          </cell>
          <cell r="N56">
            <v>8.4447999999999995E-2</v>
          </cell>
          <cell r="P56">
            <v>3.7850000000000002E-3</v>
          </cell>
          <cell r="Q56">
            <v>1.3070999999999999E-2</v>
          </cell>
          <cell r="R56">
            <v>1.22E-4</v>
          </cell>
          <cell r="S56">
            <v>0.25086999999999998</v>
          </cell>
          <cell r="U56">
            <v>0.29409999999999997</v>
          </cell>
          <cell r="V56">
            <v>2.1999999999999999E-5</v>
          </cell>
          <cell r="W56">
            <v>4.8500000000000001E-2</v>
          </cell>
          <cell r="X56">
            <v>2.5000000000000001E-2</v>
          </cell>
          <cell r="Y56">
            <v>0</v>
          </cell>
          <cell r="AA56">
            <v>2E-3</v>
          </cell>
          <cell r="AB56">
            <v>1.7000000000000001E-2</v>
          </cell>
        </row>
        <row r="57">
          <cell r="A57">
            <v>14.1</v>
          </cell>
          <cell r="E57">
            <v>0</v>
          </cell>
        </row>
        <row r="58">
          <cell r="A58">
            <v>14.2</v>
          </cell>
          <cell r="I58">
            <v>1.06E-4</v>
          </cell>
          <cell r="U58">
            <v>3.1800000000000002E-2</v>
          </cell>
          <cell r="X58">
            <v>4.0000000000000001E-3</v>
          </cell>
        </row>
        <row r="59">
          <cell r="A59">
            <v>14.3</v>
          </cell>
          <cell r="C59">
            <v>8.9999999999999993E-3</v>
          </cell>
          <cell r="I59">
            <v>6.9999999999999999E-6</v>
          </cell>
        </row>
        <row r="60">
          <cell r="A60">
            <v>15</v>
          </cell>
          <cell r="B60">
            <v>0.290991</v>
          </cell>
          <cell r="C60">
            <v>0.15870000000000001</v>
          </cell>
          <cell r="D60">
            <v>2.69E-2</v>
          </cell>
          <cell r="E60">
            <v>0.2102</v>
          </cell>
          <cell r="F60">
            <v>1.6900000000000001E-3</v>
          </cell>
          <cell r="G60">
            <v>6.1957999999999999E-2</v>
          </cell>
          <cell r="H60">
            <v>1.6900000000000001E-3</v>
          </cell>
          <cell r="I60">
            <v>0.15221299999999999</v>
          </cell>
          <cell r="J60">
            <v>1.6000000000000001E-3</v>
          </cell>
          <cell r="K60">
            <v>1.2329999999999999E-3</v>
          </cell>
          <cell r="L60">
            <v>1.9278E-2</v>
          </cell>
          <cell r="M60">
            <v>3.9999999999999998E-6</v>
          </cell>
          <cell r="N60">
            <v>0.13799400000000001</v>
          </cell>
          <cell r="P60">
            <v>5.5000000000000002E-5</v>
          </cell>
          <cell r="Q60">
            <v>1.6459999999999999E-3</v>
          </cell>
          <cell r="R60">
            <v>5.3000000000000001E-5</v>
          </cell>
          <cell r="S60">
            <v>0.13833100000000001</v>
          </cell>
          <cell r="T60">
            <v>4.5600000000000002E-2</v>
          </cell>
          <cell r="U60">
            <v>0.15179999999999999</v>
          </cell>
          <cell r="V60">
            <v>2.5999999999999998E-5</v>
          </cell>
          <cell r="W60">
            <v>0.36049999999999999</v>
          </cell>
          <cell r="X60">
            <v>3.9E-2</v>
          </cell>
          <cell r="AB60">
            <v>0.01</v>
          </cell>
        </row>
        <row r="61">
          <cell r="A61">
            <v>15.1</v>
          </cell>
          <cell r="G61">
            <v>3.9999999999999998E-6</v>
          </cell>
        </row>
        <row r="62">
          <cell r="A62">
            <v>15.2</v>
          </cell>
          <cell r="B62">
            <v>6.9999999999999994E-5</v>
          </cell>
          <cell r="I62">
            <v>1.17E-4</v>
          </cell>
          <cell r="N62">
            <v>3.9999999999999998E-6</v>
          </cell>
          <cell r="U62">
            <v>5.8799999999999998E-2</v>
          </cell>
        </row>
        <row r="63">
          <cell r="A63">
            <v>15.3</v>
          </cell>
          <cell r="C63">
            <v>4.3900000000000002E-2</v>
          </cell>
        </row>
        <row r="64">
          <cell r="A64">
            <v>16</v>
          </cell>
          <cell r="B64">
            <v>0.27030799999999999</v>
          </cell>
          <cell r="C64">
            <v>0.1328</v>
          </cell>
          <cell r="D64">
            <v>3.0000000000000001E-3</v>
          </cell>
          <cell r="E64">
            <v>0.11559999999999999</v>
          </cell>
          <cell r="F64">
            <v>5.5000000000000002E-5</v>
          </cell>
          <cell r="G64">
            <v>4.7588999999999999E-2</v>
          </cell>
          <cell r="H64">
            <v>5.5000000000000002E-5</v>
          </cell>
          <cell r="I64">
            <v>0.144487</v>
          </cell>
          <cell r="J64">
            <v>4.4999999999999998E-2</v>
          </cell>
          <cell r="K64">
            <v>4.0000000000000003E-5</v>
          </cell>
          <cell r="L64">
            <v>2.9589999999999998E-3</v>
          </cell>
          <cell r="M64">
            <v>3.9999999999999998E-6</v>
          </cell>
          <cell r="N64">
            <v>0.26001999999999997</v>
          </cell>
          <cell r="Q64">
            <v>1.8900000000000001E-4</v>
          </cell>
          <cell r="R64">
            <v>2.8E-5</v>
          </cell>
          <cell r="S64">
            <v>3.363E-2</v>
          </cell>
          <cell r="T64">
            <v>3.5400000000000001E-2</v>
          </cell>
          <cell r="U64">
            <v>3.5000000000000003E-2</v>
          </cell>
          <cell r="V64">
            <v>5.4799999999999998E-4</v>
          </cell>
          <cell r="W64">
            <v>0.32869999999999999</v>
          </cell>
          <cell r="X64">
            <v>0.04</v>
          </cell>
          <cell r="AB64">
            <v>0</v>
          </cell>
        </row>
        <row r="65">
          <cell r="A65">
            <v>16.100000000000001</v>
          </cell>
        </row>
        <row r="66">
          <cell r="A66">
            <v>16.2</v>
          </cell>
          <cell r="B66">
            <v>6.9999999999999999E-6</v>
          </cell>
          <cell r="E66"/>
          <cell r="G66">
            <v>3.9999999999999998E-6</v>
          </cell>
          <cell r="I66">
            <v>1.8E-5</v>
          </cell>
          <cell r="N66">
            <v>3.9999999999999998E-6</v>
          </cell>
          <cell r="U66">
            <v>2.1499999999999998E-2</v>
          </cell>
          <cell r="X66">
            <v>1E-3</v>
          </cell>
        </row>
        <row r="67">
          <cell r="A67">
            <v>16.3</v>
          </cell>
          <cell r="B67">
            <v>3.9999999999999998E-6</v>
          </cell>
          <cell r="C67">
            <v>5.0500000000000003E-2</v>
          </cell>
        </row>
        <row r="68">
          <cell r="A68">
            <v>17</v>
          </cell>
          <cell r="B68">
            <v>0.20327799999999999</v>
          </cell>
          <cell r="C68">
            <v>4.1500000000000002E-2</v>
          </cell>
          <cell r="E68">
            <v>2.46E-2</v>
          </cell>
          <cell r="F68">
            <v>1.8E-5</v>
          </cell>
          <cell r="G68">
            <v>3.9604E-2</v>
          </cell>
          <cell r="H68">
            <v>1.8E-5</v>
          </cell>
          <cell r="I68">
            <v>0.121915</v>
          </cell>
          <cell r="J68">
            <v>0.2077</v>
          </cell>
          <cell r="L68">
            <v>1.323E-3</v>
          </cell>
          <cell r="N68">
            <v>0.25484400000000001</v>
          </cell>
          <cell r="P68">
            <v>3.9999999999999998E-6</v>
          </cell>
          <cell r="Q68">
            <v>5.8999999999999998E-5</v>
          </cell>
          <cell r="R68">
            <v>7.9999999999999996E-6</v>
          </cell>
          <cell r="S68">
            <v>4.4260000000000002E-3</v>
          </cell>
          <cell r="T68">
            <v>9.6000000000000002E-2</v>
          </cell>
          <cell r="U68">
            <v>4.0000000000000001E-3</v>
          </cell>
          <cell r="V68">
            <v>1.5020000000000001E-3</v>
          </cell>
          <cell r="W68">
            <v>0.12039999999999999</v>
          </cell>
          <cell r="X68">
            <v>6.2E-2</v>
          </cell>
        </row>
        <row r="69">
          <cell r="A69">
            <v>17.100000000000001</v>
          </cell>
          <cell r="T69">
            <v>1.1999999999999999E-3</v>
          </cell>
        </row>
        <row r="70">
          <cell r="A70">
            <v>17.2</v>
          </cell>
          <cell r="N70">
            <v>3.9999999999999998E-6</v>
          </cell>
          <cell r="U70">
            <v>1.6000000000000001E-3</v>
          </cell>
          <cell r="V70">
            <v>2.5999999999999998E-5</v>
          </cell>
        </row>
        <row r="71">
          <cell r="A71">
            <v>17.3</v>
          </cell>
          <cell r="B71">
            <v>1.5E-5</v>
          </cell>
          <cell r="C71">
            <v>0.1376</v>
          </cell>
          <cell r="N71">
            <v>1.2E-5</v>
          </cell>
          <cell r="T71">
            <v>1.9199999999999998E-2</v>
          </cell>
          <cell r="X71">
            <v>2E-3</v>
          </cell>
        </row>
        <row r="72">
          <cell r="A72">
            <v>18</v>
          </cell>
          <cell r="B72">
            <v>0.12392599999999999</v>
          </cell>
          <cell r="C72">
            <v>6.0000000000000001E-3</v>
          </cell>
          <cell r="E72">
            <v>3.0000000000000001E-3</v>
          </cell>
          <cell r="G72">
            <v>2.2190000000000001E-2</v>
          </cell>
          <cell r="I72">
            <v>7.7560000000000004E-2</v>
          </cell>
          <cell r="J72">
            <v>7.4200000000000002E-2</v>
          </cell>
          <cell r="L72">
            <v>3.6000000000000001E-5</v>
          </cell>
          <cell r="M72">
            <v>1.2999999999999999E-5</v>
          </cell>
          <cell r="N72">
            <v>0.170153</v>
          </cell>
          <cell r="Q72">
            <v>1.5E-5</v>
          </cell>
          <cell r="R72">
            <v>7.9999999999999996E-6</v>
          </cell>
          <cell r="S72">
            <v>5.6999999999999998E-4</v>
          </cell>
          <cell r="T72">
            <v>0.18790000000000001</v>
          </cell>
          <cell r="V72">
            <v>9.3460000000000001E-3</v>
          </cell>
          <cell r="W72">
            <v>7.1999999999999998E-3</v>
          </cell>
          <cell r="X72">
            <v>7.1999999999999995E-2</v>
          </cell>
        </row>
        <row r="73">
          <cell r="A73">
            <v>18.100000000000001</v>
          </cell>
        </row>
        <row r="74">
          <cell r="A74">
            <v>18.2</v>
          </cell>
          <cell r="I74">
            <v>1.8E-5</v>
          </cell>
          <cell r="U74">
            <v>8.0000000000000004E-4</v>
          </cell>
          <cell r="V74">
            <v>2.359E-3</v>
          </cell>
        </row>
        <row r="75">
          <cell r="A75">
            <v>18.3</v>
          </cell>
          <cell r="C75">
            <v>4.5100000000000001E-2</v>
          </cell>
          <cell r="T75">
            <v>1.44E-2</v>
          </cell>
          <cell r="V75">
            <v>3.9999999999999998E-6</v>
          </cell>
          <cell r="X75">
            <v>1E-3</v>
          </cell>
        </row>
        <row r="76">
          <cell r="A76">
            <v>19</v>
          </cell>
          <cell r="B76">
            <v>9.8569999999999994E-3</v>
          </cell>
          <cell r="G76">
            <v>1.4130999999999999E-2</v>
          </cell>
          <cell r="I76">
            <v>4.8621999999999999E-2</v>
          </cell>
          <cell r="J76">
            <v>0.12239999999999999</v>
          </cell>
          <cell r="L76">
            <v>5.0000000000000004E-6</v>
          </cell>
          <cell r="N76">
            <v>6.5726000000000007E-2</v>
          </cell>
          <cell r="Q76">
            <v>3.9999999999999998E-6</v>
          </cell>
          <cell r="S76">
            <v>7.7999999999999999E-5</v>
          </cell>
          <cell r="T76">
            <v>0.1699</v>
          </cell>
          <cell r="V76">
            <v>7.5357999999999994E-2</v>
          </cell>
          <cell r="W76">
            <v>1.1999999999999999E-3</v>
          </cell>
          <cell r="X76">
            <v>6.6000000000000003E-2</v>
          </cell>
        </row>
        <row r="77">
          <cell r="A77">
            <v>19.100000000000001</v>
          </cell>
          <cell r="T77">
            <v>4.1999999999999997E-3</v>
          </cell>
        </row>
        <row r="78">
          <cell r="A78">
            <v>19.2</v>
          </cell>
          <cell r="I78">
            <v>1.5E-5</v>
          </cell>
          <cell r="V78">
            <v>5.9599999999999996E-4</v>
          </cell>
          <cell r="X78">
            <v>4.0000000000000001E-3</v>
          </cell>
        </row>
        <row r="79">
          <cell r="A79">
            <v>19.3</v>
          </cell>
          <cell r="C79">
            <v>3.5999999999999999E-3</v>
          </cell>
          <cell r="T79">
            <v>1.26E-2</v>
          </cell>
        </row>
        <row r="80">
          <cell r="A80">
            <v>20</v>
          </cell>
          <cell r="B80">
            <v>8.0699999999999999E-4</v>
          </cell>
          <cell r="E80">
            <v>5.9999999999999995E-4</v>
          </cell>
          <cell r="G80">
            <v>9.9220000000000003E-3</v>
          </cell>
          <cell r="I80">
            <v>2.9085E-2</v>
          </cell>
          <cell r="J80">
            <v>0.13669999999999999</v>
          </cell>
          <cell r="N80">
            <v>1.4139000000000001E-2</v>
          </cell>
          <cell r="S80">
            <v>1.1E-5</v>
          </cell>
          <cell r="T80">
            <v>0.1507</v>
          </cell>
          <cell r="V80">
            <v>0.11390699999999999</v>
          </cell>
          <cell r="X80">
            <v>5.3999999999999999E-2</v>
          </cell>
        </row>
        <row r="81">
          <cell r="A81">
            <v>20.100000000000001</v>
          </cell>
        </row>
        <row r="82">
          <cell r="A82">
            <v>20.2</v>
          </cell>
          <cell r="I82">
            <v>1.8E-5</v>
          </cell>
          <cell r="V82">
            <v>2.3900000000000001E-4</v>
          </cell>
          <cell r="X82">
            <v>1.0999999999999999E-2</v>
          </cell>
        </row>
        <row r="83">
          <cell r="A83">
            <v>20.3</v>
          </cell>
          <cell r="C83">
            <v>3.0000000000000001E-3</v>
          </cell>
          <cell r="T83">
            <v>1.8E-3</v>
          </cell>
        </row>
        <row r="84">
          <cell r="A84">
            <v>21</v>
          </cell>
          <cell r="B84">
            <v>3.3000000000000003E-5</v>
          </cell>
          <cell r="G84">
            <v>6.3879999999999996E-3</v>
          </cell>
          <cell r="I84">
            <v>1.3039E-2</v>
          </cell>
          <cell r="J84">
            <v>0.06</v>
          </cell>
          <cell r="N84">
            <v>2.1740000000000002E-3</v>
          </cell>
          <cell r="S84">
            <v>3.9999999999999998E-6</v>
          </cell>
          <cell r="T84">
            <v>8.3400000000000002E-2</v>
          </cell>
          <cell r="V84">
            <v>0.15107999999999999</v>
          </cell>
          <cell r="X84">
            <v>2.4E-2</v>
          </cell>
        </row>
        <row r="85">
          <cell r="A85">
            <v>21.1</v>
          </cell>
        </row>
        <row r="86">
          <cell r="A86">
            <v>21.2</v>
          </cell>
          <cell r="I86">
            <v>3.9999999999999998E-6</v>
          </cell>
          <cell r="V86">
            <v>1.3439999999999999E-3</v>
          </cell>
        </row>
        <row r="87">
          <cell r="A87">
            <v>21.3</v>
          </cell>
        </row>
        <row r="88">
          <cell r="A88">
            <v>22</v>
          </cell>
          <cell r="G88">
            <v>4.463E-3</v>
          </cell>
          <cell r="I88">
            <v>5.5319999999999996E-3</v>
          </cell>
          <cell r="J88">
            <v>8.14E-2</v>
          </cell>
          <cell r="K88">
            <v>3.9999999999999998E-6</v>
          </cell>
          <cell r="L88">
            <v>5.0000000000000004E-6</v>
          </cell>
          <cell r="N88">
            <v>1.7699999999999999E-4</v>
          </cell>
          <cell r="O88">
            <v>3.9999999999999998E-6</v>
          </cell>
          <cell r="S88">
            <v>1.1E-5</v>
          </cell>
          <cell r="T88">
            <v>6.3E-2</v>
          </cell>
          <cell r="V88">
            <v>0.161658</v>
          </cell>
          <cell r="X88">
            <v>1.4999999999999999E-2</v>
          </cell>
        </row>
        <row r="89">
          <cell r="A89">
            <v>22.1</v>
          </cell>
        </row>
        <row r="90">
          <cell r="A90">
            <v>22.2</v>
          </cell>
          <cell r="V90">
            <v>2.4369999999999999E-3</v>
          </cell>
          <cell r="X90">
            <v>3.7999999999999999E-2</v>
          </cell>
        </row>
        <row r="91">
          <cell r="A91">
            <v>22.3</v>
          </cell>
        </row>
        <row r="92">
          <cell r="A92">
            <v>23</v>
          </cell>
          <cell r="G92">
            <v>1.3630000000000001E-3</v>
          </cell>
          <cell r="I92">
            <v>1.379E-3</v>
          </cell>
          <cell r="J92">
            <v>0.1169</v>
          </cell>
          <cell r="K92">
            <v>3.9999999999999998E-6</v>
          </cell>
          <cell r="N92">
            <v>3.9999999999999998E-6</v>
          </cell>
          <cell r="O92">
            <v>3.9999999999999998E-6</v>
          </cell>
          <cell r="T92">
            <v>6.8400000000000002E-2</v>
          </cell>
          <cell r="V92">
            <v>0.149283</v>
          </cell>
          <cell r="X92">
            <v>2E-3</v>
          </cell>
        </row>
        <row r="93">
          <cell r="A93">
            <v>23.1</v>
          </cell>
        </row>
        <row r="94">
          <cell r="A94">
            <v>23.2</v>
          </cell>
          <cell r="I94">
            <v>3.9999999999999998E-6</v>
          </cell>
          <cell r="V94">
            <v>1.09E-3</v>
          </cell>
          <cell r="X94">
            <v>4.3999999999999997E-2</v>
          </cell>
        </row>
        <row r="95">
          <cell r="A95">
            <v>23.3</v>
          </cell>
        </row>
        <row r="96">
          <cell r="A96">
            <v>24</v>
          </cell>
          <cell r="G96">
            <v>4.6099999999999998E-4</v>
          </cell>
          <cell r="I96">
            <v>1.3799999999999999E-4</v>
          </cell>
          <cell r="J96">
            <v>7.5800000000000006E-2</v>
          </cell>
          <cell r="O96">
            <v>1.3799999999999999E-4</v>
          </cell>
          <cell r="T96">
            <v>3.4799999999999998E-2</v>
          </cell>
          <cell r="V96">
            <v>0.15093200000000001</v>
          </cell>
          <cell r="X96">
            <v>1E-3</v>
          </cell>
        </row>
        <row r="97">
          <cell r="A97">
            <v>24.1</v>
          </cell>
        </row>
        <row r="98">
          <cell r="A98">
            <v>24.2</v>
          </cell>
          <cell r="O98">
            <v>2.1189999999999998E-3</v>
          </cell>
          <cell r="V98">
            <v>3.3100000000000002E-4</v>
          </cell>
          <cell r="X98">
            <v>2.1999999999999999E-2</v>
          </cell>
        </row>
        <row r="99">
          <cell r="A99">
            <v>24.3</v>
          </cell>
        </row>
        <row r="100">
          <cell r="A100">
            <v>25</v>
          </cell>
          <cell r="G100">
            <v>7.3999999999999999E-4</v>
          </cell>
          <cell r="I100">
            <v>3.7300000000000001E-4</v>
          </cell>
          <cell r="J100">
            <v>5.5300000000000002E-2</v>
          </cell>
          <cell r="O100">
            <v>9.7599999999999998E-4</v>
          </cell>
          <cell r="T100">
            <v>8.9999999999999993E-3</v>
          </cell>
          <cell r="V100">
            <v>0.10340199999999999</v>
          </cell>
        </row>
        <row r="101">
          <cell r="A101">
            <v>25.1</v>
          </cell>
        </row>
        <row r="102">
          <cell r="A102">
            <v>25.2</v>
          </cell>
          <cell r="O102">
            <v>5.9199999999999997E-4</v>
          </cell>
          <cell r="V102">
            <v>2.1000000000000001E-4</v>
          </cell>
          <cell r="X102">
            <v>0.04</v>
          </cell>
        </row>
        <row r="103">
          <cell r="A103">
            <v>25.3</v>
          </cell>
        </row>
        <row r="104">
          <cell r="A104">
            <v>26</v>
          </cell>
          <cell r="G104">
            <v>1.5999999999999999E-5</v>
          </cell>
          <cell r="I104">
            <v>1.8599999999999999E-4</v>
          </cell>
          <cell r="J104">
            <v>1.7399999999999999E-2</v>
          </cell>
          <cell r="O104">
            <v>1.127E-3</v>
          </cell>
          <cell r="T104">
            <v>1.1999999999999999E-3</v>
          </cell>
          <cell r="V104">
            <v>4.7419999999999997E-2</v>
          </cell>
        </row>
        <row r="105">
          <cell r="A105">
            <v>26.1</v>
          </cell>
        </row>
        <row r="106">
          <cell r="A106">
            <v>26.2</v>
          </cell>
          <cell r="O106">
            <v>3.1000000000000001E-5</v>
          </cell>
          <cell r="V106">
            <v>2.9E-5</v>
          </cell>
          <cell r="X106">
            <v>4.3999999999999997E-2</v>
          </cell>
        </row>
        <row r="107">
          <cell r="A107">
            <v>26.3</v>
          </cell>
        </row>
        <row r="108">
          <cell r="A108">
            <v>27</v>
          </cell>
          <cell r="G108">
            <v>3.9999999999999998E-6</v>
          </cell>
          <cell r="I108">
            <v>2.8499999999999999E-4</v>
          </cell>
          <cell r="J108">
            <v>1.6000000000000001E-3</v>
          </cell>
          <cell r="O108">
            <v>3.0043E-2</v>
          </cell>
          <cell r="T108">
            <v>1.1999999999999999E-3</v>
          </cell>
          <cell r="V108">
            <v>1.5952999999999998E-2</v>
          </cell>
        </row>
        <row r="109">
          <cell r="A109">
            <v>27.1</v>
          </cell>
        </row>
        <row r="110">
          <cell r="A110">
            <v>27.2</v>
          </cell>
          <cell r="O110">
            <v>7.7000000000000001E-5</v>
          </cell>
          <cell r="X110">
            <v>9.5000000000000001E-2</v>
          </cell>
        </row>
        <row r="111">
          <cell r="A111">
            <v>27.3</v>
          </cell>
        </row>
        <row r="112">
          <cell r="A112">
            <v>28</v>
          </cell>
          <cell r="G112">
            <v>3.9999999999999998E-6</v>
          </cell>
          <cell r="I112">
            <v>2.9E-5</v>
          </cell>
          <cell r="O112">
            <v>0.15936700000000001</v>
          </cell>
          <cell r="V112">
            <v>5.0610000000000004E-3</v>
          </cell>
        </row>
        <row r="113">
          <cell r="A113">
            <v>28.1</v>
          </cell>
        </row>
        <row r="114">
          <cell r="A114">
            <v>28.2</v>
          </cell>
          <cell r="O114">
            <v>2.6189999999999998E-3</v>
          </cell>
          <cell r="V114">
            <v>6.9999999999999999E-6</v>
          </cell>
          <cell r="X114">
            <v>7.3999999999999996E-2</v>
          </cell>
        </row>
        <row r="115">
          <cell r="A115">
            <v>28.3</v>
          </cell>
          <cell r="X115">
            <v>1E-3</v>
          </cell>
        </row>
        <row r="116">
          <cell r="A116">
            <v>29</v>
          </cell>
          <cell r="O116">
            <v>0.20807800000000001</v>
          </cell>
          <cell r="V116">
            <v>1.807E-3</v>
          </cell>
        </row>
        <row r="117">
          <cell r="A117">
            <v>29.1</v>
          </cell>
        </row>
        <row r="118">
          <cell r="A118">
            <v>29.2</v>
          </cell>
          <cell r="O118">
            <v>4.934E-3</v>
          </cell>
          <cell r="V118">
            <v>2.1999999999999999E-5</v>
          </cell>
          <cell r="X118">
            <v>6.3E-2</v>
          </cell>
        </row>
        <row r="119">
          <cell r="A119">
            <v>29.3</v>
          </cell>
        </row>
        <row r="120">
          <cell r="A120">
            <v>30</v>
          </cell>
          <cell r="O120">
            <v>0.231679</v>
          </cell>
          <cell r="V120">
            <v>7.1000000000000002E-4</v>
          </cell>
        </row>
        <row r="121">
          <cell r="A121">
            <v>30.1</v>
          </cell>
        </row>
        <row r="122">
          <cell r="A122">
            <v>30.2</v>
          </cell>
          <cell r="O122">
            <v>2.8434999999999998E-2</v>
          </cell>
          <cell r="V122">
            <v>1.73E-4</v>
          </cell>
          <cell r="X122">
            <v>0.57999999999999996</v>
          </cell>
        </row>
        <row r="123">
          <cell r="A123">
            <v>30.3</v>
          </cell>
        </row>
        <row r="124">
          <cell r="A124">
            <v>31</v>
          </cell>
          <cell r="O124">
            <v>7.6919000000000001E-2</v>
          </cell>
          <cell r="V124">
            <v>1.07E-4</v>
          </cell>
          <cell r="X124">
            <v>2E-3</v>
          </cell>
        </row>
        <row r="125">
          <cell r="A125">
            <v>31.1</v>
          </cell>
        </row>
        <row r="126">
          <cell r="A126">
            <v>31.2</v>
          </cell>
          <cell r="O126">
            <v>8.9885999999999994E-2</v>
          </cell>
          <cell r="V126">
            <v>1.134E-3</v>
          </cell>
          <cell r="X126">
            <v>2.1999999999999999E-2</v>
          </cell>
        </row>
        <row r="127">
          <cell r="A127">
            <v>31.3</v>
          </cell>
        </row>
        <row r="128">
          <cell r="A128">
            <v>32</v>
          </cell>
          <cell r="O128">
            <v>2.8482E-2</v>
          </cell>
          <cell r="V128">
            <v>6.9999999999999994E-5</v>
          </cell>
          <cell r="X128">
            <v>1E-3</v>
          </cell>
        </row>
        <row r="129">
          <cell r="A129">
            <v>32.1</v>
          </cell>
        </row>
        <row r="130">
          <cell r="A130">
            <v>32.200000000000003</v>
          </cell>
          <cell r="O130">
            <v>7.5126999999999999E-2</v>
          </cell>
          <cell r="V130">
            <v>1.5100000000000001E-4</v>
          </cell>
          <cell r="X130">
            <v>1.2999999999999999E-2</v>
          </cell>
        </row>
        <row r="131">
          <cell r="A131">
            <v>32.299999999999997</v>
          </cell>
        </row>
        <row r="132">
          <cell r="A132">
            <v>33</v>
          </cell>
          <cell r="O132">
            <v>1.1826E-2</v>
          </cell>
          <cell r="V132">
            <v>3.6999999999999998E-5</v>
          </cell>
          <cell r="X132">
            <v>1E-3</v>
          </cell>
        </row>
        <row r="133">
          <cell r="A133">
            <v>33.1</v>
          </cell>
        </row>
        <row r="134">
          <cell r="A134">
            <v>33.200000000000003</v>
          </cell>
          <cell r="O134">
            <v>2.8434999999999998E-2</v>
          </cell>
          <cell r="V134">
            <v>1.8E-5</v>
          </cell>
          <cell r="X134">
            <v>5.0000000000000001E-3</v>
          </cell>
        </row>
        <row r="135">
          <cell r="A135">
            <v>33.299999999999997</v>
          </cell>
          <cell r="O135">
            <v>7.9999999999999996E-6</v>
          </cell>
        </row>
        <row r="136">
          <cell r="A136">
            <v>34</v>
          </cell>
          <cell r="O136">
            <v>4.5880000000000001E-3</v>
          </cell>
          <cell r="X136">
            <v>7.0000000000000001E-3</v>
          </cell>
        </row>
        <row r="137">
          <cell r="A137">
            <v>34.1</v>
          </cell>
        </row>
        <row r="138">
          <cell r="A138">
            <v>34.200000000000003</v>
          </cell>
          <cell r="O138">
            <v>3.7690000000000002E-3</v>
          </cell>
          <cell r="X138">
            <v>1E-3</v>
          </cell>
        </row>
        <row r="139">
          <cell r="A139">
            <v>34.299999999999997</v>
          </cell>
        </row>
        <row r="140">
          <cell r="A140">
            <v>35</v>
          </cell>
          <cell r="O140">
            <v>6.4419999999999998E-3</v>
          </cell>
        </row>
        <row r="141">
          <cell r="A141">
            <v>35.1</v>
          </cell>
          <cell r="O141">
            <v>3.9999999999999998E-6</v>
          </cell>
        </row>
        <row r="142">
          <cell r="A142">
            <v>35.200000000000003</v>
          </cell>
          <cell r="O142">
            <v>1.323E-3</v>
          </cell>
        </row>
        <row r="143">
          <cell r="A143">
            <v>35.299999999999997</v>
          </cell>
        </row>
        <row r="144">
          <cell r="A144">
            <v>36</v>
          </cell>
          <cell r="O144">
            <v>2.261E-3</v>
          </cell>
        </row>
        <row r="145">
          <cell r="A145">
            <v>36.1</v>
          </cell>
          <cell r="E145"/>
          <cell r="F145"/>
          <cell r="G145"/>
          <cell r="H145"/>
          <cell r="I145"/>
          <cell r="K145"/>
          <cell r="M145"/>
          <cell r="N145"/>
          <cell r="O145"/>
          <cell r="R145"/>
          <cell r="V145"/>
        </row>
        <row r="146">
          <cell r="A146">
            <v>36.200000000000003</v>
          </cell>
          <cell r="E146"/>
          <cell r="F146"/>
          <cell r="G146"/>
          <cell r="H146"/>
          <cell r="I146"/>
          <cell r="K146"/>
          <cell r="M146"/>
          <cell r="N146"/>
          <cell r="O146">
            <v>2.6999999999999999E-5</v>
          </cell>
          <cell r="R146"/>
          <cell r="V146"/>
        </row>
        <row r="147">
          <cell r="A147">
            <v>36.299999999999997</v>
          </cell>
          <cell r="E147"/>
          <cell r="F147"/>
          <cell r="G147"/>
          <cell r="H147"/>
          <cell r="I147"/>
          <cell r="K147"/>
          <cell r="M147"/>
          <cell r="N147"/>
          <cell r="O147"/>
          <cell r="R147"/>
          <cell r="V147"/>
        </row>
        <row r="148">
          <cell r="A148">
            <v>37</v>
          </cell>
          <cell r="E148"/>
          <cell r="F148"/>
          <cell r="G148"/>
          <cell r="H148"/>
          <cell r="I148"/>
          <cell r="K148"/>
          <cell r="M148"/>
          <cell r="N148"/>
          <cell r="O148">
            <v>5.6099999999999998E-4</v>
          </cell>
          <cell r="R148"/>
          <cell r="V148"/>
        </row>
        <row r="149">
          <cell r="A149">
            <v>37.1</v>
          </cell>
          <cell r="E149"/>
          <cell r="F149"/>
          <cell r="G149"/>
          <cell r="H149"/>
          <cell r="I149"/>
          <cell r="K149"/>
          <cell r="M149"/>
          <cell r="N149"/>
          <cell r="O149"/>
          <cell r="R149"/>
          <cell r="V149"/>
        </row>
        <row r="150">
          <cell r="A150">
            <v>37.200000000000003</v>
          </cell>
          <cell r="E150"/>
          <cell r="F150"/>
          <cell r="G150"/>
          <cell r="H150"/>
          <cell r="I150"/>
          <cell r="K150"/>
          <cell r="M150"/>
          <cell r="N150"/>
          <cell r="O150"/>
          <cell r="R150"/>
          <cell r="V150"/>
        </row>
        <row r="151">
          <cell r="A151">
            <v>37.299999999999997</v>
          </cell>
          <cell r="E151"/>
          <cell r="F151"/>
          <cell r="G151"/>
          <cell r="H151"/>
          <cell r="I151"/>
          <cell r="K151"/>
          <cell r="M151"/>
          <cell r="N151"/>
          <cell r="O151"/>
          <cell r="R151"/>
          <cell r="V151"/>
        </row>
        <row r="152">
          <cell r="A152">
            <v>38</v>
          </cell>
          <cell r="E152"/>
          <cell r="F152"/>
          <cell r="G152"/>
          <cell r="H152"/>
          <cell r="I152"/>
          <cell r="K152"/>
          <cell r="M152"/>
          <cell r="N152"/>
          <cell r="O152">
            <v>2.6499999999999999E-4</v>
          </cell>
          <cell r="R152"/>
          <cell r="V152"/>
        </row>
        <row r="153">
          <cell r="A153">
            <v>38.1</v>
          </cell>
          <cell r="E153"/>
          <cell r="F153"/>
          <cell r="G153"/>
          <cell r="H153"/>
          <cell r="I153"/>
          <cell r="K153"/>
          <cell r="M153"/>
          <cell r="N153"/>
          <cell r="O153"/>
          <cell r="R153"/>
          <cell r="V153"/>
        </row>
        <row r="154">
          <cell r="A154">
            <v>38.200000000000003</v>
          </cell>
          <cell r="E154"/>
          <cell r="F154"/>
          <cell r="G154"/>
          <cell r="H154"/>
          <cell r="I154"/>
          <cell r="K154"/>
          <cell r="M154"/>
          <cell r="N154"/>
          <cell r="O154"/>
          <cell r="R154"/>
          <cell r="V154"/>
        </row>
        <row r="155">
          <cell r="A155">
            <v>38.299999999999997</v>
          </cell>
          <cell r="E155"/>
          <cell r="F155"/>
          <cell r="G155"/>
          <cell r="H155"/>
          <cell r="I155"/>
          <cell r="K155"/>
          <cell r="M155"/>
          <cell r="N155"/>
          <cell r="O155"/>
          <cell r="R155"/>
          <cell r="V155"/>
        </row>
        <row r="156">
          <cell r="A156">
            <v>39</v>
          </cell>
          <cell r="E156"/>
          <cell r="F156"/>
          <cell r="G156"/>
          <cell r="H156"/>
          <cell r="I156"/>
          <cell r="K156"/>
          <cell r="M156"/>
          <cell r="N156"/>
          <cell r="O156">
            <v>3.1000000000000001E-5</v>
          </cell>
          <cell r="R156"/>
          <cell r="V156"/>
        </row>
        <row r="157">
          <cell r="A157">
            <v>39.1</v>
          </cell>
          <cell r="E157"/>
          <cell r="F157"/>
          <cell r="G157"/>
          <cell r="H157"/>
          <cell r="I157"/>
          <cell r="K157"/>
          <cell r="M157"/>
          <cell r="N157"/>
          <cell r="O157"/>
          <cell r="R157"/>
          <cell r="V157"/>
        </row>
        <row r="158">
          <cell r="A158">
            <v>39.200000000000003</v>
          </cell>
          <cell r="E158"/>
          <cell r="F158"/>
          <cell r="G158"/>
          <cell r="H158"/>
          <cell r="I158"/>
          <cell r="K158"/>
          <cell r="M158"/>
          <cell r="N158"/>
          <cell r="O158"/>
          <cell r="R158"/>
          <cell r="V158">
            <v>3.9999999999999998E-6</v>
          </cell>
        </row>
        <row r="159">
          <cell r="A159">
            <v>39.299999999999997</v>
          </cell>
          <cell r="E159"/>
          <cell r="F159"/>
          <cell r="G159"/>
          <cell r="H159"/>
          <cell r="I159"/>
          <cell r="K159"/>
          <cell r="M159"/>
          <cell r="N159"/>
          <cell r="O159"/>
          <cell r="R159"/>
          <cell r="V159"/>
        </row>
        <row r="160">
          <cell r="A160">
            <v>40</v>
          </cell>
          <cell r="E160"/>
          <cell r="F160"/>
          <cell r="G160"/>
          <cell r="H160"/>
          <cell r="I160"/>
          <cell r="K160"/>
          <cell r="M160"/>
          <cell r="N160"/>
          <cell r="O160"/>
          <cell r="R160"/>
          <cell r="V160">
            <v>6.9999999999999999E-6</v>
          </cell>
        </row>
        <row r="161">
          <cell r="A161">
            <v>40.1</v>
          </cell>
          <cell r="E161"/>
          <cell r="F161"/>
          <cell r="G161"/>
          <cell r="H161"/>
          <cell r="I161"/>
          <cell r="K161"/>
          <cell r="M161"/>
          <cell r="N161"/>
          <cell r="O161"/>
          <cell r="R161"/>
          <cell r="V161"/>
        </row>
        <row r="162">
          <cell r="A162">
            <v>40.200000000000003</v>
          </cell>
          <cell r="E162"/>
          <cell r="F162"/>
          <cell r="G162"/>
          <cell r="H162"/>
          <cell r="I162"/>
          <cell r="K162"/>
          <cell r="M162"/>
          <cell r="N162"/>
          <cell r="O162"/>
          <cell r="R162"/>
          <cell r="V162"/>
        </row>
        <row r="163">
          <cell r="A163">
            <v>40.299999999999997</v>
          </cell>
          <cell r="E163"/>
          <cell r="F163"/>
          <cell r="G163"/>
          <cell r="H163"/>
          <cell r="I163"/>
          <cell r="K163"/>
          <cell r="M163"/>
          <cell r="N163"/>
          <cell r="O163"/>
          <cell r="R163"/>
          <cell r="V163"/>
        </row>
        <row r="164">
          <cell r="A164">
            <v>41</v>
          </cell>
          <cell r="E164"/>
          <cell r="F164"/>
          <cell r="G164"/>
          <cell r="H164"/>
          <cell r="I164"/>
          <cell r="K164"/>
          <cell r="M164"/>
          <cell r="N164"/>
          <cell r="O164"/>
          <cell r="R164"/>
          <cell r="V164"/>
        </row>
        <row r="165">
          <cell r="A165">
            <v>41.1</v>
          </cell>
          <cell r="E165"/>
          <cell r="F165"/>
          <cell r="G165"/>
          <cell r="H165"/>
          <cell r="I165"/>
          <cell r="K165"/>
          <cell r="M165"/>
          <cell r="N165"/>
          <cell r="O165"/>
          <cell r="R165"/>
          <cell r="V165"/>
        </row>
        <row r="166">
          <cell r="A166">
            <v>41.2</v>
          </cell>
          <cell r="E166"/>
          <cell r="F166"/>
          <cell r="G166"/>
          <cell r="H166"/>
          <cell r="I166"/>
          <cell r="K166"/>
          <cell r="M166"/>
          <cell r="N166"/>
          <cell r="O166"/>
          <cell r="R166"/>
          <cell r="V166">
            <v>3.9999999999999998E-6</v>
          </cell>
        </row>
        <row r="167">
          <cell r="A167">
            <v>41.3</v>
          </cell>
          <cell r="E167"/>
          <cell r="F167"/>
          <cell r="G167"/>
          <cell r="H167"/>
          <cell r="I167"/>
          <cell r="K167"/>
          <cell r="M167"/>
          <cell r="N167"/>
          <cell r="O167"/>
          <cell r="R167"/>
          <cell r="V167"/>
        </row>
        <row r="168">
          <cell r="A168">
            <v>42</v>
          </cell>
          <cell r="E168"/>
          <cell r="F168"/>
          <cell r="G168"/>
          <cell r="H168"/>
          <cell r="I168"/>
          <cell r="K168"/>
          <cell r="M168"/>
          <cell r="N168"/>
          <cell r="O168"/>
          <cell r="R168"/>
          <cell r="V168">
            <v>6.9999999999999999E-6</v>
          </cell>
        </row>
        <row r="169">
          <cell r="A169">
            <v>42.1</v>
          </cell>
          <cell r="E169"/>
          <cell r="F169"/>
          <cell r="G169"/>
          <cell r="H169"/>
          <cell r="I169"/>
          <cell r="K169"/>
          <cell r="M169"/>
          <cell r="N169"/>
          <cell r="O169"/>
          <cell r="R169"/>
          <cell r="V169"/>
        </row>
        <row r="170">
          <cell r="A170">
            <v>42.2</v>
          </cell>
          <cell r="E170"/>
          <cell r="F170"/>
          <cell r="G170"/>
          <cell r="H170"/>
          <cell r="I170"/>
          <cell r="K170"/>
          <cell r="M170"/>
          <cell r="N170"/>
          <cell r="O170"/>
          <cell r="R170"/>
          <cell r="V170">
            <v>4.8000000000000001E-5</v>
          </cell>
        </row>
        <row r="171">
          <cell r="A171">
            <v>42.3</v>
          </cell>
          <cell r="E171"/>
          <cell r="F171"/>
          <cell r="G171"/>
          <cell r="H171"/>
          <cell r="I171"/>
          <cell r="K171"/>
          <cell r="M171"/>
          <cell r="N171"/>
          <cell r="O171"/>
          <cell r="R171"/>
          <cell r="V171"/>
        </row>
        <row r="172">
          <cell r="A172">
            <v>43</v>
          </cell>
          <cell r="E172"/>
          <cell r="F172"/>
          <cell r="G172"/>
          <cell r="H172"/>
          <cell r="I172"/>
          <cell r="K172"/>
          <cell r="M172"/>
          <cell r="N172"/>
          <cell r="O172"/>
          <cell r="R172"/>
          <cell r="V172">
            <v>3.9999999999999998E-6</v>
          </cell>
        </row>
        <row r="173">
          <cell r="A173">
            <v>43.1</v>
          </cell>
          <cell r="E173"/>
          <cell r="F173"/>
          <cell r="G173"/>
          <cell r="H173"/>
          <cell r="I173"/>
          <cell r="K173"/>
          <cell r="M173"/>
          <cell r="N173"/>
          <cell r="O173"/>
          <cell r="R173"/>
          <cell r="V173"/>
        </row>
        <row r="174">
          <cell r="A174">
            <v>43.2</v>
          </cell>
          <cell r="E174"/>
          <cell r="F174"/>
          <cell r="G174"/>
          <cell r="H174"/>
          <cell r="I174"/>
          <cell r="K174"/>
          <cell r="M174"/>
          <cell r="N174"/>
          <cell r="O174"/>
          <cell r="R174"/>
          <cell r="V174">
            <v>5.7799999999999995E-4</v>
          </cell>
        </row>
        <row r="175">
          <cell r="A175">
            <v>43.3</v>
          </cell>
          <cell r="E175"/>
          <cell r="F175"/>
          <cell r="G175"/>
          <cell r="H175"/>
          <cell r="I175"/>
          <cell r="K175"/>
          <cell r="M175"/>
          <cell r="N175"/>
          <cell r="O175"/>
          <cell r="R175"/>
          <cell r="V175"/>
        </row>
        <row r="176">
          <cell r="A176">
            <v>44</v>
          </cell>
          <cell r="E176"/>
          <cell r="F176"/>
          <cell r="G176"/>
          <cell r="H176"/>
          <cell r="I176"/>
          <cell r="K176"/>
          <cell r="M176"/>
          <cell r="N176"/>
          <cell r="O176"/>
          <cell r="R176"/>
          <cell r="V176"/>
        </row>
        <row r="177">
          <cell r="A177">
            <v>44.1</v>
          </cell>
          <cell r="E177"/>
          <cell r="F177"/>
          <cell r="G177"/>
          <cell r="H177"/>
          <cell r="I177"/>
          <cell r="K177"/>
          <cell r="M177"/>
          <cell r="N177"/>
          <cell r="O177"/>
          <cell r="R177"/>
          <cell r="V177"/>
        </row>
        <row r="178">
          <cell r="A178">
            <v>44.2</v>
          </cell>
          <cell r="E178"/>
          <cell r="F178"/>
          <cell r="G178"/>
          <cell r="H178"/>
          <cell r="I178"/>
          <cell r="K178"/>
          <cell r="M178"/>
          <cell r="N178"/>
          <cell r="O178"/>
          <cell r="R178"/>
          <cell r="V178">
            <v>2.6899999999999998E-4</v>
          </cell>
        </row>
        <row r="179">
          <cell r="A179">
            <v>44.3</v>
          </cell>
          <cell r="E179"/>
          <cell r="F179"/>
          <cell r="G179"/>
          <cell r="H179"/>
          <cell r="I179"/>
          <cell r="K179"/>
          <cell r="M179"/>
          <cell r="N179"/>
          <cell r="O179"/>
          <cell r="R179"/>
          <cell r="V179"/>
        </row>
        <row r="180">
          <cell r="A180">
            <v>45</v>
          </cell>
          <cell r="E180"/>
          <cell r="F180"/>
          <cell r="G180"/>
          <cell r="H180"/>
          <cell r="I180"/>
          <cell r="K180"/>
          <cell r="M180"/>
          <cell r="N180"/>
          <cell r="O180"/>
          <cell r="R180"/>
          <cell r="V180"/>
        </row>
        <row r="181">
          <cell r="A181">
            <v>45.1</v>
          </cell>
          <cell r="E181"/>
          <cell r="F181"/>
          <cell r="G181"/>
          <cell r="H181"/>
          <cell r="I181"/>
          <cell r="K181"/>
          <cell r="M181"/>
          <cell r="N181"/>
          <cell r="O181"/>
          <cell r="R181"/>
          <cell r="V181"/>
        </row>
        <row r="182">
          <cell r="A182">
            <v>45.2</v>
          </cell>
          <cell r="E182"/>
          <cell r="F182"/>
          <cell r="G182"/>
          <cell r="H182"/>
          <cell r="I182"/>
          <cell r="K182"/>
          <cell r="M182"/>
          <cell r="N182"/>
          <cell r="O182"/>
          <cell r="R182"/>
          <cell r="V182">
            <v>2.7599999999999999E-4</v>
          </cell>
        </row>
        <row r="183">
          <cell r="A183">
            <v>45.3</v>
          </cell>
          <cell r="E183"/>
          <cell r="F183"/>
          <cell r="G183"/>
          <cell r="H183"/>
          <cell r="I183"/>
          <cell r="K183"/>
          <cell r="M183"/>
          <cell r="N183"/>
          <cell r="O183"/>
          <cell r="R183"/>
          <cell r="V183"/>
        </row>
        <row r="184">
          <cell r="A184">
            <v>46</v>
          </cell>
          <cell r="E184"/>
          <cell r="F184"/>
          <cell r="G184"/>
          <cell r="H184"/>
          <cell r="I184"/>
          <cell r="K184"/>
          <cell r="M184"/>
          <cell r="N184"/>
          <cell r="O184"/>
          <cell r="R184"/>
          <cell r="V184"/>
        </row>
        <row r="185">
          <cell r="A185">
            <v>46.1</v>
          </cell>
          <cell r="E185"/>
          <cell r="F185"/>
          <cell r="G185"/>
          <cell r="H185"/>
          <cell r="I185"/>
          <cell r="K185"/>
          <cell r="M185"/>
          <cell r="N185"/>
          <cell r="O185"/>
          <cell r="R185"/>
          <cell r="V185"/>
        </row>
        <row r="186">
          <cell r="A186">
            <v>46.2</v>
          </cell>
          <cell r="E186"/>
          <cell r="F186"/>
          <cell r="G186"/>
          <cell r="H186"/>
          <cell r="I186"/>
          <cell r="K186"/>
          <cell r="M186"/>
          <cell r="N186"/>
          <cell r="O186"/>
          <cell r="R186"/>
          <cell r="V186">
            <v>2.5399999999999999E-4</v>
          </cell>
        </row>
        <row r="187">
          <cell r="A187">
            <v>46.3</v>
          </cell>
          <cell r="E187"/>
          <cell r="F187"/>
          <cell r="G187"/>
          <cell r="H187"/>
          <cell r="I187"/>
          <cell r="K187"/>
          <cell r="M187"/>
          <cell r="N187"/>
          <cell r="O187"/>
          <cell r="R187"/>
          <cell r="V187"/>
        </row>
        <row r="188">
          <cell r="A188">
            <v>47</v>
          </cell>
          <cell r="E188"/>
          <cell r="F188"/>
          <cell r="G188"/>
          <cell r="H188"/>
          <cell r="I188"/>
          <cell r="K188"/>
          <cell r="M188"/>
          <cell r="N188"/>
          <cell r="O188"/>
          <cell r="R188"/>
          <cell r="V188">
            <v>3.9999999999999998E-6</v>
          </cell>
        </row>
        <row r="189">
          <cell r="A189">
            <v>47.1</v>
          </cell>
          <cell r="E189"/>
          <cell r="F189"/>
          <cell r="G189"/>
          <cell r="H189"/>
          <cell r="I189"/>
          <cell r="K189"/>
          <cell r="M189"/>
          <cell r="N189"/>
          <cell r="O189"/>
          <cell r="R189"/>
          <cell r="V189"/>
        </row>
        <row r="190">
          <cell r="A190">
            <v>47.2</v>
          </cell>
          <cell r="E190"/>
          <cell r="F190"/>
          <cell r="G190"/>
          <cell r="H190"/>
          <cell r="I190"/>
          <cell r="K190"/>
          <cell r="M190"/>
          <cell r="N190"/>
          <cell r="O190"/>
          <cell r="R190"/>
          <cell r="V190">
            <v>4.0000000000000003E-5</v>
          </cell>
        </row>
        <row r="191">
          <cell r="A191">
            <v>47.3</v>
          </cell>
          <cell r="E191"/>
          <cell r="F191"/>
          <cell r="G191"/>
          <cell r="H191"/>
          <cell r="I191"/>
          <cell r="K191"/>
          <cell r="M191"/>
          <cell r="N191"/>
          <cell r="O191"/>
          <cell r="R191"/>
          <cell r="V191"/>
        </row>
        <row r="192">
          <cell r="A192">
            <v>48</v>
          </cell>
          <cell r="E192"/>
          <cell r="F192"/>
          <cell r="G192"/>
          <cell r="H192"/>
          <cell r="I192"/>
          <cell r="K192"/>
          <cell r="M192"/>
          <cell r="N192"/>
          <cell r="O192"/>
          <cell r="R192"/>
          <cell r="V192"/>
        </row>
        <row r="193">
          <cell r="A193">
            <v>48.1</v>
          </cell>
          <cell r="E193"/>
          <cell r="F193"/>
          <cell r="G193"/>
          <cell r="H193"/>
          <cell r="I193"/>
          <cell r="K193"/>
          <cell r="M193"/>
          <cell r="N193"/>
          <cell r="O193"/>
          <cell r="R193"/>
          <cell r="V193"/>
        </row>
        <row r="194">
          <cell r="A194">
            <v>48.2</v>
          </cell>
          <cell r="E194"/>
          <cell r="F194"/>
          <cell r="G194"/>
          <cell r="H194"/>
          <cell r="I194"/>
          <cell r="K194"/>
          <cell r="M194"/>
          <cell r="N194"/>
          <cell r="O194"/>
          <cell r="R194"/>
          <cell r="V194">
            <v>1.5E-5</v>
          </cell>
        </row>
        <row r="195">
          <cell r="A195">
            <v>48.3</v>
          </cell>
          <cell r="E195"/>
          <cell r="F195"/>
          <cell r="G195"/>
          <cell r="H195"/>
          <cell r="I195"/>
          <cell r="K195"/>
          <cell r="M195"/>
          <cell r="N195"/>
          <cell r="O195"/>
          <cell r="R195"/>
          <cell r="V195"/>
        </row>
        <row r="196">
          <cell r="A196">
            <v>49</v>
          </cell>
          <cell r="E196"/>
          <cell r="F196"/>
          <cell r="G196"/>
          <cell r="H196"/>
          <cell r="I196"/>
          <cell r="K196"/>
          <cell r="M196"/>
          <cell r="N196"/>
          <cell r="O196"/>
          <cell r="R196"/>
          <cell r="V196"/>
        </row>
        <row r="197">
          <cell r="A197">
            <v>49.1</v>
          </cell>
          <cell r="E197"/>
          <cell r="F197"/>
          <cell r="G197"/>
          <cell r="H197"/>
          <cell r="I197"/>
          <cell r="K197"/>
          <cell r="M197"/>
          <cell r="N197"/>
          <cell r="O197"/>
          <cell r="R197"/>
          <cell r="V197"/>
        </row>
        <row r="198">
          <cell r="A198">
            <v>49.2</v>
          </cell>
          <cell r="E198"/>
          <cell r="F198"/>
          <cell r="G198"/>
          <cell r="H198"/>
          <cell r="I198"/>
          <cell r="K198"/>
          <cell r="M198"/>
          <cell r="N198"/>
          <cell r="O198"/>
          <cell r="R198"/>
          <cell r="V198"/>
        </row>
        <row r="199">
          <cell r="A199">
            <v>49.3</v>
          </cell>
          <cell r="E199"/>
          <cell r="F199"/>
          <cell r="G199"/>
          <cell r="H199"/>
          <cell r="I199"/>
          <cell r="K199"/>
          <cell r="M199"/>
          <cell r="N199"/>
          <cell r="O199"/>
          <cell r="R199"/>
          <cell r="V199"/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2" dataDxfId="1">
  <autoFilter ref="BF47:BF49" xr:uid="{00000000-0009-0000-0100-000001000000}"/>
  <tableColumns count="1">
    <tableColumn id="1" xr3:uid="{92CD019D-7016-487E-8157-3B6FBD862F03}" name="Colunas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V344"/>
  <sheetViews>
    <sheetView tabSelected="1" zoomScale="110" zoomScaleNormal="110" workbookViewId="0">
      <selection activeCell="A44" sqref="A44"/>
    </sheetView>
  </sheetViews>
  <sheetFormatPr defaultColWidth="8.85546875" defaultRowHeight="12.75" x14ac:dyDescent="0.2"/>
  <cols>
    <col min="1" max="1" width="10.5703125" style="345" customWidth="1"/>
    <col min="2" max="7" width="5.7109375" style="345" customWidth="1"/>
    <col min="8" max="11" width="6.7109375" style="1" customWidth="1"/>
    <col min="12" max="12" width="5.5703125" style="345" hidden="1" customWidth="1"/>
    <col min="13" max="16" width="6.7109375" style="345" hidden="1" customWidth="1"/>
    <col min="17" max="18" width="5.42578125" style="345" hidden="1" customWidth="1"/>
    <col min="19" max="19" width="5.7109375" style="345" customWidth="1"/>
    <col min="20" max="26" width="5.7109375" style="345" hidden="1" customWidth="1"/>
    <col min="27" max="27" width="5.7109375" style="345" customWidth="1"/>
    <col min="28" max="33" width="5.7109375" style="382" hidden="1" customWidth="1"/>
    <col min="34" max="34" width="5.7109375" style="345" hidden="1" customWidth="1"/>
    <col min="35" max="35" width="5.7109375" style="382" customWidth="1"/>
    <col min="36" max="42" width="5.7109375" style="345" hidden="1" customWidth="1"/>
    <col min="43" max="43" width="5.7109375" style="345" customWidth="1"/>
    <col min="44" max="50" width="5.7109375" style="345" hidden="1" customWidth="1"/>
    <col min="51" max="51" width="5.7109375" style="345" customWidth="1"/>
    <col min="52" max="58" width="5.7109375" style="345" hidden="1" customWidth="1"/>
    <col min="59" max="59" width="5.7109375" style="345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45"/>
    <col min="94" max="94" width="12.7109375" style="345" bestFit="1" customWidth="1"/>
    <col min="95" max="16384" width="8.85546875" style="345"/>
  </cols>
  <sheetData>
    <row r="1" spans="1:100" ht="15" customHeight="1" thickBot="1" x14ac:dyDescent="0.25">
      <c r="A1" s="80" t="s">
        <v>63</v>
      </c>
      <c r="B1" s="340"/>
      <c r="C1" s="341" t="s">
        <v>187</v>
      </c>
      <c r="D1" s="342"/>
      <c r="E1" s="342"/>
      <c r="F1" s="342"/>
      <c r="G1" s="343"/>
      <c r="H1" s="342"/>
      <c r="I1" s="342"/>
      <c r="J1" s="342"/>
      <c r="K1" s="342"/>
      <c r="L1" s="344"/>
      <c r="M1" s="344"/>
      <c r="N1" s="344"/>
      <c r="O1" s="344"/>
      <c r="P1" s="344"/>
      <c r="Q1" s="344"/>
      <c r="R1" s="344"/>
      <c r="S1" s="84" t="str">
        <f>(IF((A2=1),"Helder - MS",(IF((A2=2),"Carlos - PR",(IF((A2=3),"Rui - PR",(IF((A2=4),"Helder - PR",(IF((A2=5),"Carlos - MS","Opção Incorreta"))))))))))</f>
        <v>Helder - MS</v>
      </c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4"/>
      <c r="AF1" s="344"/>
      <c r="AG1" s="344"/>
      <c r="AH1" s="344"/>
      <c r="AI1" s="344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4"/>
      <c r="AZ1" s="344"/>
      <c r="BA1" s="344"/>
      <c r="BB1" s="344"/>
      <c r="BC1" s="344"/>
      <c r="BD1" s="344"/>
      <c r="BE1" s="344"/>
      <c r="BF1" s="344"/>
      <c r="BG1" s="344"/>
      <c r="BH1" s="383"/>
      <c r="BI1" s="383"/>
      <c r="BJ1" s="383"/>
      <c r="BK1" s="383"/>
      <c r="BL1" s="383"/>
      <c r="BM1" s="383"/>
      <c r="BN1" s="383"/>
      <c r="BO1" s="383"/>
      <c r="BP1" s="383"/>
      <c r="BQ1" s="383"/>
      <c r="BR1" s="383"/>
      <c r="BS1" s="383"/>
      <c r="BT1" s="383"/>
      <c r="BU1" s="383"/>
      <c r="BV1" s="383"/>
      <c r="BW1" s="383"/>
      <c r="BX1" s="383"/>
      <c r="BY1" s="383"/>
      <c r="BZ1" s="383"/>
      <c r="CA1" s="383"/>
      <c r="CB1" s="383"/>
      <c r="CC1" s="383"/>
      <c r="CD1" s="383"/>
      <c r="CE1" s="383"/>
      <c r="CF1" s="383"/>
      <c r="CG1" s="383"/>
      <c r="CH1" s="383"/>
      <c r="CI1" s="383"/>
      <c r="CJ1" s="383"/>
      <c r="CK1" s="383"/>
      <c r="CL1" s="383"/>
      <c r="CM1" s="383"/>
    </row>
    <row r="2" spans="1:100" ht="15" customHeight="1" thickTop="1" thickBot="1" x14ac:dyDescent="0.25">
      <c r="A2" s="346">
        <v>1</v>
      </c>
      <c r="B2" s="708" t="str">
        <f>IF(OR(($S$17="ERRO"),($AA$17="ERRO"),($AY$17="ERRO"),($BG$17="ERRO")),"VERIFICAR ERRO NA AMELOGENINA","DADOS IMPORTADOS")</f>
        <v>DADOS IMPORTADOS</v>
      </c>
      <c r="C2" s="709"/>
      <c r="D2" s="709"/>
      <c r="E2" s="709"/>
      <c r="F2" s="709"/>
      <c r="G2" s="709"/>
      <c r="H2" s="709"/>
      <c r="I2" s="709"/>
      <c r="J2" s="709"/>
      <c r="K2" s="709"/>
      <c r="L2" s="347"/>
      <c r="M2" s="347"/>
      <c r="N2" s="347"/>
      <c r="O2" s="347"/>
      <c r="P2" s="347"/>
      <c r="Q2" s="347"/>
      <c r="R2" s="347"/>
      <c r="S2" s="710" t="s">
        <v>42</v>
      </c>
      <c r="T2" s="711"/>
      <c r="U2" s="711"/>
      <c r="V2" s="711"/>
      <c r="W2" s="711"/>
      <c r="X2" s="711"/>
      <c r="Y2" s="711"/>
      <c r="Z2" s="711"/>
      <c r="AA2" s="711"/>
      <c r="AB2" s="711"/>
      <c r="AC2" s="711"/>
      <c r="AD2" s="711"/>
      <c r="AE2" s="711"/>
      <c r="AF2" s="711"/>
      <c r="AG2" s="711"/>
      <c r="AH2" s="711"/>
      <c r="AI2" s="711"/>
      <c r="AJ2" s="711"/>
      <c r="AK2" s="711"/>
      <c r="AL2" s="711"/>
      <c r="AM2" s="711"/>
      <c r="AN2" s="711"/>
      <c r="AO2" s="711"/>
      <c r="AP2" s="711"/>
      <c r="AQ2" s="711"/>
      <c r="AR2" s="711"/>
      <c r="AS2" s="711"/>
      <c r="AT2" s="711"/>
      <c r="AU2" s="711"/>
      <c r="AV2" s="711"/>
      <c r="AW2" s="711"/>
      <c r="AX2" s="711"/>
      <c r="AY2" s="711"/>
      <c r="AZ2" s="711"/>
      <c r="BA2" s="711"/>
      <c r="BB2" s="711"/>
      <c r="BC2" s="711"/>
      <c r="BD2" s="711"/>
      <c r="BE2" s="711"/>
      <c r="BF2" s="711"/>
      <c r="BG2" s="711"/>
      <c r="BH2" s="711"/>
      <c r="BI2" s="711"/>
      <c r="BJ2" s="711"/>
      <c r="BK2" s="711"/>
      <c r="BL2" s="711"/>
      <c r="BM2" s="711"/>
      <c r="BN2" s="711"/>
      <c r="BO2" s="711"/>
      <c r="BP2" s="711"/>
      <c r="BQ2" s="711"/>
      <c r="BR2" s="711"/>
      <c r="BS2" s="711"/>
      <c r="BT2" s="711"/>
      <c r="BU2" s="711"/>
      <c r="BV2" s="711"/>
      <c r="BW2" s="711"/>
      <c r="BX2" s="711"/>
      <c r="BY2" s="711"/>
      <c r="BZ2" s="711"/>
      <c r="CA2" s="711"/>
      <c r="CB2" s="711"/>
      <c r="CC2" s="711"/>
      <c r="CD2" s="711"/>
      <c r="CE2" s="711"/>
      <c r="CF2" s="711"/>
      <c r="CG2" s="711"/>
      <c r="CH2" s="711"/>
      <c r="CI2" s="711"/>
      <c r="CJ2" s="711"/>
      <c r="CK2" s="711"/>
      <c r="CL2" s="711"/>
      <c r="CM2" s="711"/>
      <c r="CP2" s="348"/>
      <c r="CQ2" s="348"/>
      <c r="CR2" s="348"/>
      <c r="CS2" s="348"/>
      <c r="CT2" s="348"/>
      <c r="CU2" s="348"/>
      <c r="CV2" s="348"/>
    </row>
    <row r="3" spans="1:100" ht="15" customHeight="1" thickTop="1" thickBot="1" x14ac:dyDescent="0.25">
      <c r="A3" s="349" t="s">
        <v>64</v>
      </c>
      <c r="B3" s="350" t="s">
        <v>65</v>
      </c>
      <c r="C3" s="350" t="s">
        <v>66</v>
      </c>
      <c r="D3" s="350" t="s">
        <v>67</v>
      </c>
      <c r="E3" s="350" t="s">
        <v>68</v>
      </c>
      <c r="F3" s="350" t="s">
        <v>69</v>
      </c>
      <c r="G3" s="350" t="s">
        <v>70</v>
      </c>
      <c r="H3" s="349" t="s">
        <v>294</v>
      </c>
      <c r="I3" s="349" t="s">
        <v>295</v>
      </c>
      <c r="J3" s="349" t="s">
        <v>296</v>
      </c>
      <c r="K3" s="349" t="s">
        <v>297</v>
      </c>
      <c r="L3" s="351" t="s">
        <v>95</v>
      </c>
      <c r="M3" s="351" t="s">
        <v>2</v>
      </c>
      <c r="N3" s="351" t="s">
        <v>3</v>
      </c>
      <c r="O3" s="351" t="s">
        <v>4</v>
      </c>
      <c r="P3" s="351" t="s">
        <v>5</v>
      </c>
      <c r="Q3" s="351" t="s">
        <v>6</v>
      </c>
      <c r="R3" s="351" t="s">
        <v>180</v>
      </c>
      <c r="S3" s="351" t="s">
        <v>1</v>
      </c>
      <c r="T3" s="352" t="s">
        <v>13</v>
      </c>
      <c r="U3" s="352" t="s">
        <v>7</v>
      </c>
      <c r="V3" s="352" t="s">
        <v>8</v>
      </c>
      <c r="W3" s="352" t="s">
        <v>9</v>
      </c>
      <c r="X3" s="352" t="s">
        <v>10</v>
      </c>
      <c r="Y3" s="352" t="s">
        <v>11</v>
      </c>
      <c r="Z3" s="352" t="s">
        <v>181</v>
      </c>
      <c r="AA3" s="352" t="s">
        <v>12</v>
      </c>
      <c r="AB3" s="353" t="s">
        <v>20</v>
      </c>
      <c r="AC3" s="353" t="s">
        <v>14</v>
      </c>
      <c r="AD3" s="353" t="s">
        <v>15</v>
      </c>
      <c r="AE3" s="353" t="s">
        <v>16</v>
      </c>
      <c r="AF3" s="353" t="s">
        <v>17</v>
      </c>
      <c r="AG3" s="353" t="s">
        <v>18</v>
      </c>
      <c r="AH3" s="353" t="s">
        <v>182</v>
      </c>
      <c r="AI3" s="353" t="s">
        <v>19</v>
      </c>
      <c r="AJ3" s="354" t="s">
        <v>27</v>
      </c>
      <c r="AK3" s="354" t="s">
        <v>21</v>
      </c>
      <c r="AL3" s="354" t="s">
        <v>22</v>
      </c>
      <c r="AM3" s="354" t="s">
        <v>23</v>
      </c>
      <c r="AN3" s="354" t="s">
        <v>24</v>
      </c>
      <c r="AO3" s="354" t="s">
        <v>25</v>
      </c>
      <c r="AP3" s="354" t="s">
        <v>183</v>
      </c>
      <c r="AQ3" s="354" t="s">
        <v>26</v>
      </c>
      <c r="AR3" s="355" t="s">
        <v>34</v>
      </c>
      <c r="AS3" s="355" t="s">
        <v>28</v>
      </c>
      <c r="AT3" s="355" t="s">
        <v>29</v>
      </c>
      <c r="AU3" s="355" t="s">
        <v>30</v>
      </c>
      <c r="AV3" s="355" t="s">
        <v>31</v>
      </c>
      <c r="AW3" s="355" t="s">
        <v>32</v>
      </c>
      <c r="AX3" s="355" t="s">
        <v>184</v>
      </c>
      <c r="AY3" s="355" t="s">
        <v>33</v>
      </c>
      <c r="AZ3" s="356" t="s">
        <v>41</v>
      </c>
      <c r="BA3" s="356" t="s">
        <v>35</v>
      </c>
      <c r="BB3" s="356" t="s">
        <v>36</v>
      </c>
      <c r="BC3" s="356" t="s">
        <v>37</v>
      </c>
      <c r="BD3" s="356" t="s">
        <v>38</v>
      </c>
      <c r="BE3" s="356" t="s">
        <v>39</v>
      </c>
      <c r="BF3" s="356" t="s">
        <v>185</v>
      </c>
      <c r="BG3" s="356" t="s">
        <v>40</v>
      </c>
      <c r="BH3" s="298" t="s">
        <v>270</v>
      </c>
      <c r="BI3" s="298" t="s">
        <v>271</v>
      </c>
      <c r="BJ3" s="298" t="s">
        <v>272</v>
      </c>
      <c r="BK3" s="298" t="s">
        <v>273</v>
      </c>
      <c r="BL3" s="298" t="s">
        <v>274</v>
      </c>
      <c r="BM3" s="298" t="s">
        <v>275</v>
      </c>
      <c r="BN3" s="298" t="s">
        <v>276</v>
      </c>
      <c r="BO3" s="298" t="s">
        <v>277</v>
      </c>
      <c r="BP3" s="299" t="s">
        <v>278</v>
      </c>
      <c r="BQ3" s="299" t="s">
        <v>279</v>
      </c>
      <c r="BR3" s="299" t="s">
        <v>280</v>
      </c>
      <c r="BS3" s="299" t="s">
        <v>281</v>
      </c>
      <c r="BT3" s="299" t="s">
        <v>282</v>
      </c>
      <c r="BU3" s="299" t="s">
        <v>283</v>
      </c>
      <c r="BV3" s="299" t="s">
        <v>284</v>
      </c>
      <c r="BW3" s="299" t="s">
        <v>285</v>
      </c>
      <c r="BX3" s="385" t="s">
        <v>262</v>
      </c>
      <c r="BY3" s="385" t="s">
        <v>263</v>
      </c>
      <c r="BZ3" s="385" t="s">
        <v>264</v>
      </c>
      <c r="CA3" s="385" t="s">
        <v>265</v>
      </c>
      <c r="CB3" s="385" t="s">
        <v>266</v>
      </c>
      <c r="CC3" s="385" t="s">
        <v>267</v>
      </c>
      <c r="CD3" s="385" t="s">
        <v>268</v>
      </c>
      <c r="CE3" s="386" t="s">
        <v>269</v>
      </c>
      <c r="CF3" s="297" t="s">
        <v>286</v>
      </c>
      <c r="CG3" s="297" t="s">
        <v>287</v>
      </c>
      <c r="CH3" s="297" t="s">
        <v>288</v>
      </c>
      <c r="CI3" s="297" t="s">
        <v>289</v>
      </c>
      <c r="CJ3" s="297" t="s">
        <v>290</v>
      </c>
      <c r="CK3" s="297" t="s">
        <v>291</v>
      </c>
      <c r="CL3" s="297" t="s">
        <v>292</v>
      </c>
      <c r="CM3" s="387" t="s">
        <v>293</v>
      </c>
      <c r="CP3" s="215" t="str" cm="1">
        <f t="array" ref="CP3:CQ24">IF(B5:C26="","PD0201",IF(F5:G26="","RD0301","PD101"))</f>
        <v>PD0201</v>
      </c>
      <c r="CQ3" s="215" t="str">
        <v>PD0201</v>
      </c>
      <c r="CR3" s="215"/>
      <c r="CS3" s="215"/>
      <c r="CT3" s="215"/>
      <c r="CU3" s="215"/>
      <c r="CV3" s="348"/>
    </row>
    <row r="4" spans="1:100" ht="15" customHeight="1" thickTop="1" thickBot="1" x14ac:dyDescent="0.25">
      <c r="A4" s="357" t="s">
        <v>71</v>
      </c>
      <c r="B4" s="402"/>
      <c r="C4" s="403"/>
      <c r="D4" s="403"/>
      <c r="E4" s="403"/>
      <c r="F4" s="403"/>
      <c r="G4" s="403"/>
      <c r="H4" s="403"/>
      <c r="I4" s="403"/>
      <c r="J4" s="403"/>
      <c r="K4" s="403"/>
      <c r="L4" s="399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399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59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59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59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59">
        <f>((IF(($B4="34.1"),34.1,((IF(($B4="35.1"),35.1,((IF(($B4=38733),16.1,((IF(($B4=38768),20.2,((IF(($B4=38774),26.2,0)))))))))))))))</f>
        <v>0</v>
      </c>
      <c r="R4" s="359"/>
      <c r="S4" s="360">
        <f>(IF(AND(($B$4=0),($C$4=0)),0,(IF(OR(($B$4&lt;&gt;"X"),($C$4&lt;&gt;"X")),"ERRO",(IF((SUM($T4:$Z4)&lt;&gt;0),(SUM($T4:$Z4)),$B4))))))</f>
        <v>0</v>
      </c>
      <c r="T4" s="361">
        <f>((IF(($C4=38785),9.3,((IF(($C4=38761),13.2,((IF(($C4="31.2"),31.2,((IF(($C4=38787),11.3,((IF(($C4=38759),11.2,((IF(($C4=38763),15.2,((IF(($C4=38765),4.2,((IF(($C4=38772),24.2,0))))))))))))))))))))))))</f>
        <v>0</v>
      </c>
      <c r="U4" s="361">
        <f>((IF(($C4=38800),24.3,((IF(($C4=38773),25.2,((IF(($C4=38046),29.2,((IF(($C4=38075),29.3,((IF(($C4="32.2"),32.2,((IF(($C4="33.2"),33.2,((IF(($C4="34.2"),34.2,((IF(($C4="35.2"),35.2,0))))))))))))))))))))))))</f>
        <v>0</v>
      </c>
      <c r="V4" s="361">
        <f>((IF(($C4=38767),19.2,((IF(($C4="21.2"),21.2,((IF(($C4="22.2"),22.2,((IF(($C4="22.3"),22.3,((IF(($C4="26.2"),26.2,((IF(($C4="42.2"),42.2,((IF(($C4="44.2"),44.2,((IF(($C4="46.2"),46.2,0))))))))))))))))))))))))</f>
        <v>0</v>
      </c>
      <c r="W4" s="361">
        <f>((IF(($C4="47.2"),47.2,((IF(($C4="50.2"),50.2,((IF(($C4="8.3"),8.3,((IF(($C4="23.2"),23.2,((IF(($C4="43.2"),43.2,((IF(($C4="45.2"),45.2,((IF(($C4="48.2"),48.2,((IF(($C4="51.2"),51.2,0))))))))))))))))))))))))</f>
        <v>0</v>
      </c>
      <c r="X4" s="361">
        <f>((IF(($C4="13.3"),13.3,((IF(($C4=38758),10.2,((IF(($C4=38762),14.2,((IF(($C4=38760),12.2,((IF(($C4=38764),16.2,((IF(($C4=38766),18.2,((IF(($C4=38776),28.2,((IF(($C4="30.2"),30.2,0))))))))))))))))))))))))</f>
        <v>0</v>
      </c>
      <c r="Y4" s="361">
        <f>((IF(($C4="34.1"),34.1,((IF(($C4="35.1"),35.1,((IF(($C4=38733),16.1,((IF(($C4=38768),20.2,((IF(($C4=38774),26.2,((IF(($C4=38771),23.2,0))))))))))))))))))</f>
        <v>0</v>
      </c>
      <c r="Z4" s="361"/>
      <c r="AA4" s="362">
        <f>(IF(AND(($B$4=0),($C$4=0)),0,(IF(OR(($B$4&lt;&gt;"X"),($C$4&lt;&gt;"X")),"ERRO",(IF((SUM($T4:$Z4)&lt;&gt;0),(SUM($T4:$Z4)),$C4))))))</f>
        <v>0</v>
      </c>
      <c r="AB4" s="363">
        <f>((IF(($D4=38785),9.3,((IF(($D4=38761),13.2,((IF(($D4="31.2"),31.2,((IF(($D4=38787),11.3,((IF(($D4=38759),11.2,((IF(($D4=38763),15.2,((IF(($D4=38765),4.2,((IF(($D4=38772),24.2,0))))))))))))))))))))))))</f>
        <v>0</v>
      </c>
      <c r="AC4" s="363">
        <f>((IF(($D4=38800),24.3,((IF(($D4=38773),25.2,((IF(($D4=38046),29.2,((IF(($D4=38075),29.3,((IF(($D4="32.2"),32.2,((IF(($D4="33.2"),33.2,((IF(($D4="34.2"),34.2,((IF(($D4="35.2"),35.2,0))))))))))))))))))))))))</f>
        <v>0</v>
      </c>
      <c r="AD4" s="363">
        <f>((IF(($D4=38767),19.2,((IF(($D4="21.2"),21.2,((IF(($D4="22.2"),22.2,((IF(($D4="22.3"),22.3,((IF(($D4="26.2"),26.2,((IF(($D4="42.2"),42.2,((IF(($D4="44.2"),44.2,((IF(($D4="46.2"),46.2,0))))))))))))))))))))))))</f>
        <v>0</v>
      </c>
      <c r="AE4" s="363">
        <f>((IF(($D4="47.2"),47.2,((IF(($D4="50.2"),50.2,((IF(($D4="8.3"),8.3,((IF(($D4="23.2"),23.2,((IF(($D4="43.2"),43.2,((IF(($D4="45.2"),45.2,((IF(($D4="48.2"),48.2,((IF(($D4="51.2"),51.2,0))))))))))))))))))))))))</f>
        <v>0</v>
      </c>
      <c r="AF4" s="363">
        <f>((IF(($D4="13.3"),13.3,((IF(($D4=38758),10.2,((IF(($D4=38762),14.2,((IF(($D4=38760),12.2,((IF(($D4=38764),16.2,((IF(($D4=38766),18.2,((IF(($D4=38776),28.2,((IF(($D4="30.2"),30.2,0))))))))))))))))))))))))</f>
        <v>0</v>
      </c>
      <c r="AG4" s="363">
        <f>((IF(($D4="34.1"),34.1,((IF(($D4="35.1"),35.1,((IF(($D4=38733),16.1,((IF(($D4=38768),20.2,((IF(($D4=38774),26.2,0)))))))))))))))</f>
        <v>0</v>
      </c>
      <c r="AH4" s="363"/>
      <c r="AI4" s="364">
        <f>(IF((SUM(AB4:AH4)&lt;&gt;0),(SUM(AB4:AH4)),$D4))</f>
        <v>0</v>
      </c>
      <c r="AJ4" s="365">
        <f>((IF(($E4=38785),9.3,((IF(($E4=38761),13.2,((IF(($E4="31.2"),31.2,((IF(($E4=38787),11.3,((IF(($E4=38759),11.2,((IF(($E4=38763),15.2,((IF(($E4=38765),4.2,((IF(($E4=38772),24.2,0))))))))))))))))))))))))</f>
        <v>0</v>
      </c>
      <c r="AK4" s="365">
        <f>((IF(($E4=38800),24.3,((IF(($E4=38773),25.2,((IF(($E4=38046),29.2,((IF(($E4=38075),29.3,((IF(($E4="32.2"),32.2,((IF(($E4="33.2"),33.2,((IF(($E4="34.2"),34.2,((IF(($E4="35.2"),35.2,0))))))))))))))))))))))))</f>
        <v>0</v>
      </c>
      <c r="AL4" s="365">
        <f>((IF(($E4=38767),19.2,((IF(($E4="21.2"),21.2,((IF(($E4="22.2"),22.2,((IF(($E4="22.3"),22.3,((IF(($E4="26.2"),26.2,((IF(($E4="42.2"),42.2,((IF(($E4="44.2"),44.2,((IF(($E4="46.2"),46.2,0))))))))))))))))))))))))</f>
        <v>0</v>
      </c>
      <c r="AM4" s="365">
        <f>((IF(($E4="47.2"),47.2,((IF(($E4="50.2"),50.2,((IF(($E4="8.3"),8.3,((IF(($E4="23.2"),23.2,((IF(($E4="43.2"),43.2,((IF(($E4="45.2"),45.2,((IF(($E4="48.2"),48.2,((IF(($E4="51.2"),51.2,0))))))))))))))))))))))))</f>
        <v>0</v>
      </c>
      <c r="AN4" s="365">
        <f>((IF(($E4="13.3"),13.3,((IF(($E4=38758),10.2,((IF(($E4=38762),14.2,((IF(($E4=38760),12.2,((IF(($E4=38764),16.2,((IF(($E4=38766),18.2,((IF(($E4=38776),28.2,((IF(($E4="30.2"),30.2,0))))))))))))))))))))))))</f>
        <v>0</v>
      </c>
      <c r="AO4" s="365">
        <f>((IF(($E4="34.1"),34.1,((IF(($E4="35.1"),35.1,((IF(($E4=38733),16.1,((IF(($E4=38768),20.2,((IF(($E4=38774),26.2,((IF(($E4=38771),23.2,0))))))))))))))))))</f>
        <v>0</v>
      </c>
      <c r="AP4" s="365"/>
      <c r="AQ4" s="366">
        <f>(IF((SUM(AJ4:AP4)&lt;&gt;0),(SUM(AJ4:AP4)),$E4))</f>
        <v>0</v>
      </c>
      <c r="AR4" s="367">
        <f>((IF(($F4=38785),9.3,((IF(($F4=38761),13.2,((IF(($F4="31.2"),31.2,((IF(($F4=38787),11.3,((IF(($F4=38759),11.2,((IF(($F4=38763),15.2,((IF(($F4=38765),4.2,((IF(($F4=38772),24.2,0))))))))))))))))))))))))</f>
        <v>0</v>
      </c>
      <c r="AS4" s="367">
        <f>((IF(($F4=38800),24.3,((IF(($F4=38773),25.2,((IF(($F4=38046),29.2,((IF(($F4=38075),29.3,((IF(($F4="32.2"),32.2,((IF(($F4="33.2"),33.2,((IF(($F4="34.2"),34.2,((IF(($F4="35.2"),35.2,0))))))))))))))))))))))))</f>
        <v>0</v>
      </c>
      <c r="AT4" s="367">
        <f>((IF(($F4=38767),19.2,((IF(($F4="21.2"),21.2,((IF(($F4="22.2"),22.2,((IF(($F4="22.3"),22.3,((IF(($F4="26.2"),26.2,((IF(($F4="42.2"),42.2,((IF(($F4="44.2"),44.2,((IF(($F4="46.2"),46.2,0))))))))))))))))))))))))</f>
        <v>0</v>
      </c>
      <c r="AU4" s="367">
        <f>((IF(($F4="47.2"),47.2,((IF(($F4="50.2"),50.2,((IF(($F4="8.3"),8.3,((IF(($F4="23.2"),23.2,((IF(($F4="43.2"),43.2,((IF(($F4="45.2"),45.2,((IF(($F4="48.2"),48.2,((IF(($F4="51.2"),51.2,0))))))))))))))))))))))))</f>
        <v>0</v>
      </c>
      <c r="AV4" s="367">
        <f>((IF(($F4="13.3"),13.3,((IF(($F4=38758),10.2,((IF(($F4=38762),14.2,((IF(($F4=38760),12.2,((IF(($F4=38764),16.2,((IF(($F4=38766),18.2,((IF(($F4=38776),28.2,((IF(($F4="30.2"),30.2,0))))))))))))))))))))))))</f>
        <v>0</v>
      </c>
      <c r="AW4" s="367">
        <f>((IF(($F4="34.1"),34.1,((IF(($F4="35.1"),35.1,((IF(($F4=38733),16.1,((IF(($F4=38768),20.2,((IF(($F4=38774),26.2,0)))))))))))))))</f>
        <v>0</v>
      </c>
      <c r="AX4" s="367"/>
      <c r="AY4" s="368">
        <f>(IF(AND(($F$4=0),($G$4=0)),0,(IF(OR(($F$4&lt;&gt;"X"),($G$4&lt;&gt;"Y")),"ERRO",(IF((SUM($AR4:$AX4)&lt;&gt;0),(SUM($AR4:$AX4)),$F4))))))</f>
        <v>0</v>
      </c>
      <c r="AZ4" s="369">
        <f>((IF(($G4=38785),9.3,((IF(($G4=38761),13.2,((IF(($G4="31.2"),31.2,((IF(($G4=38787),11.3,((IF(($G4=38759),11.2,((IF(($G4=38763),15.2,((IF(($G4=38765),4.2,((IF(($G4=38772),24.2,0))))))))))))))))))))))))</f>
        <v>0</v>
      </c>
      <c r="BA4" s="369">
        <f>((IF(($G4=38800),24.3,((IF(($G4=38773),25.2,((IF(($G4=38046),29.2,((IF(($G4=38075),29.3,((IF(($G4="32.2"),32.2,((IF(($G4="33.2"),33.2,((IF(($G4="34.2"),34.2,((IF(($G4="35.2"),35.2,0))))))))))))))))))))))))</f>
        <v>0</v>
      </c>
      <c r="BB4" s="369">
        <f>((IF(($G4=38767),19.2,((IF(($G4="21.2"),21.2,((IF(($G4="22.2"),22.2,((IF(($G4="22.3"),22.3,((IF(($G4="26.2"),26.2,((IF(($G4="42.2"),42.2,((IF(($G4="44.2"),44.2,((IF(($G4="46.2"),46.2,0))))))))))))))))))))))))</f>
        <v>0</v>
      </c>
      <c r="BC4" s="369">
        <f>((IF(($G4="47.2"),47.2,((IF(($G4="50.2"),50.2,((IF(($G4="8.3"),8.3,((IF(($G4="23.2"),23.2,((IF(($G4="43.2"),43.2,((IF(($G4="45.2"),45.2,((IF(($G4="48.2"),48.2,((IF(($G4="51.2"),51.2,0))))))))))))))))))))))))</f>
        <v>0</v>
      </c>
      <c r="BD4" s="369">
        <f>((IF(($G4="13.3"),13.3,((IF(($G4=38758),10.2,((IF(($G4=38762),14.2,((IF(($G4=38760),12.2,((IF(($G4=38764),16.2,((IF(($G4=38766),18.2,((IF(($G4=38776),28.2,((IF(($G4="30.2"),30.2,0))))))))))))))))))))))))</f>
        <v>0</v>
      </c>
      <c r="BE4" s="369">
        <f>((IF(($G4="34.1"),34.1,((IF(($G4="35.1"),35.1,((IF(($G4=38733),16.1,((IF(($G4=38768),20.2,((IF(($G4=38774),26.2,((IF(($G4=38771),23.2,0))))))))))))))))))</f>
        <v>0</v>
      </c>
      <c r="BF4" s="369"/>
      <c r="BG4" s="370">
        <f>(IF(AND(($F$4=0),($G$4=0)),0,(IF(OR(($F$4&lt;&gt;"X"),($G$4&lt;&gt;"Y")),"ERRO",(IF((SUM($AR4:$AX4)&lt;&gt;0),(SUM($AR4:$AX4)),$G4))))))</f>
        <v>0</v>
      </c>
      <c r="BH4" s="388">
        <f>((IF(($H4=38785),9.3,((IF(($H4=38761),13.2,((IF(($H4="31.2"),31.2,((IF(($H4=38787),11.3,((IF(($H4=38759),11.2,((IF(($H4=38763),15.2,((IF(($H4=38765),4.2,((IF(($H4=38772),24.2,0))))))))))))))))))))))))</f>
        <v>0</v>
      </c>
      <c r="BI4" s="388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88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88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88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88">
        <f>((IF(($H4="34.1"),34.1,((IF(($H4="35.1"),35.1,((IF(($H4=38733),16.1,((IF(($H4=38768),20.2,((IF(($H4=38774),26.2,0)))))))))))))))</f>
        <v>0</v>
      </c>
      <c r="BN4" s="388"/>
      <c r="BO4" s="389">
        <f t="shared" ref="BO4:BO38" si="9">(IF((SUM(BH4:BN4)&lt;&gt;0),(SUM(BH4:BN4)),$H4))</f>
        <v>0</v>
      </c>
      <c r="BP4" s="390">
        <f>((IF(($I4=38785),9.3,((IF(($I4=38761),13.2,((IF(($I4="31.2"),31.2,((IF(($I4=38787),11.3,((IF(($I4=38759),11.2,((IF(($I4=38763),15.2,((IF(($I4=38765),4.2,((IF(($I4=38772),24.2,0))))))))))))))))))))))))</f>
        <v>0</v>
      </c>
      <c r="BQ4" s="390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90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90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90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90">
        <f>((IF(($I4="34.1"),34.1,((IF(($I4="35.1"),35.1,((IF(($I4=38733),16.1,((IF(($I4=38768),20.2,((IF(($I4=38774),26.2,((IF(($I4=38771),23.2,0))))))))))))))))))</f>
        <v>0</v>
      </c>
      <c r="BV4" s="390"/>
      <c r="BW4" s="391">
        <f t="shared" ref="BW4:BW38" si="14">(IF((SUM(BP4:BV4)&lt;&gt;0),(SUM(BP4:BV4)),$I4))</f>
        <v>0</v>
      </c>
      <c r="BX4" s="392">
        <f>((IF(($J4=38785),9.3,((IF(($J4=38761),13.2,((IF(($J4="31.2"),31.2,((IF(($J4=38787),11.3,((IF(($J4=38759),11.2,((IF(($J4=38763),15.2,((IF(($J4=38765),4.2,((IF(($J4=38772),24.2,0))))))))))))))))))))))))</f>
        <v>0</v>
      </c>
      <c r="BY4" s="392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92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92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92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92">
        <f>((IF(($J4="34.1"),34.1,((IF(($J4="35.1"),35.1,((IF(($J4=38733),16.1,((IF(($J4=38768),20.2,((IF(($J4=38774),26.2,0)))))))))))))))</f>
        <v>0</v>
      </c>
      <c r="CD4" s="392"/>
      <c r="CE4" s="393">
        <f t="shared" ref="CE4:CE38" si="19">(IF((SUM(BX4:CD4)&lt;&gt;0),(SUM(BX4:CD4)),$J4))</f>
        <v>0</v>
      </c>
      <c r="CF4" s="394">
        <f>((IF(($K4=38785),9.3,((IF(($K4=38761),13.2,((IF(($K4="31.2"),31.2,((IF(($K4=38787),11.3,((IF(($K4=38759),11.2,((IF(($K4=38763),15.2,((IF(($K4=38765),4.2,((IF(($K4=38772),24.2,0))))))))))))))))))))))))</f>
        <v>0</v>
      </c>
      <c r="CG4" s="394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94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94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94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94">
        <f>((IF(($K4="34.1"),34.1,((IF(($K4="35.1"),35.1,((IF(($K4=38733),16.1,((IF(($K4=38768),20.2,((IF(($K4=38774),26.2,((IF(($K4=38771),23.2,0))))))))))))))))))</f>
        <v>0</v>
      </c>
      <c r="CL4" s="394"/>
      <c r="CM4" s="395">
        <f t="shared" ref="CM4:CM38" si="24">(IF((SUM(CF4:CL4)&lt;&gt;0),(SUM(CF4:CL4)),$K4))</f>
        <v>0</v>
      </c>
      <c r="CO4" s="345" t="s">
        <v>301</v>
      </c>
      <c r="CP4" s="371" t="str">
        <v>PD0201</v>
      </c>
      <c r="CQ4" s="371" t="str">
        <v>PD0201</v>
      </c>
      <c r="CR4" s="371"/>
      <c r="CS4" s="371"/>
      <c r="CT4" s="371"/>
      <c r="CU4" s="371"/>
      <c r="CV4" s="348"/>
    </row>
    <row r="5" spans="1:100" ht="15" customHeight="1" thickTop="1" thickBot="1" x14ac:dyDescent="0.25">
      <c r="A5" s="372" t="str">
        <f>FREQUENCIAS!B$1</f>
        <v>D3S1358</v>
      </c>
      <c r="B5" s="404"/>
      <c r="C5" s="405"/>
      <c r="D5" s="405"/>
      <c r="E5" s="405"/>
      <c r="F5" s="405"/>
      <c r="G5" s="405"/>
      <c r="H5" s="405"/>
      <c r="I5" s="405"/>
      <c r="J5" s="405"/>
      <c r="K5" s="405"/>
      <c r="L5" s="399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399">
        <f t="shared" si="25"/>
        <v>0</v>
      </c>
      <c r="N5" s="359">
        <f t="shared" si="4"/>
        <v>0</v>
      </c>
      <c r="O5" s="359">
        <f t="shared" si="4"/>
        <v>0</v>
      </c>
      <c r="P5" s="359">
        <f t="shared" si="4"/>
        <v>0</v>
      </c>
      <c r="Q5" s="359">
        <f>((IF(($B5="34.1"),34.1,((IF(($B5="35.1"),35.1,((IF(($B5=38733),16.1,((IF(($B5=38768),20.2,((IF(($B5=38774),26.2,((IF(($B5=38771),23.2,((IF(($B5="29.2"),29.2,0)))))))))))))))))))))</f>
        <v>0</v>
      </c>
      <c r="R5" s="359"/>
      <c r="S5" s="360">
        <f t="shared" ref="S5:S18" si="26">(IF((SUM(L5:R5)&lt;&gt;0),(SUM(L5:R5)),$B5))</f>
        <v>0</v>
      </c>
      <c r="T5" s="361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61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61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61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61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61">
        <f>((IF(($C5="34.1"),34.1,((IF(($C5="35.1"),35.1,((IF(($C5=38733),16.1,((IF(($C5=38768),20.2,((IF(($C5=38774),26.2,((IF(($C5=38771),23.2,((IF(($C5="29.2"),29.2,0)))))))))))))))))))))</f>
        <v>0</v>
      </c>
      <c r="Z5" s="361"/>
      <c r="AA5" s="362">
        <f t="shared" ref="AA5:AA18" si="32">(IF((SUM(T5:Z5)&lt;&gt;0),(SUM(T5:Z5)),$C5))</f>
        <v>0</v>
      </c>
      <c r="AB5" s="363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63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63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63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63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63">
        <f>((IF(($D5="34.1"),34.1,((IF(($D5="35.1"),35.1,((IF(($D5=38733),16.1,((IF(($D5=38768),20.2,((IF(($D5=38774),26.2,((IF(($D5=38771),23.2,((IF(($D5="29.2"),29.2,0)))))))))))))))))))))</f>
        <v>0</v>
      </c>
      <c r="AH5" s="363"/>
      <c r="AI5" s="364">
        <f t="shared" ref="AI5:AI18" si="38">(IF((SUM(AB5:AH5)&lt;&gt;0),(SUM(AB5:AH5)),$D5))</f>
        <v>0</v>
      </c>
      <c r="AJ5" s="365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65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65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65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65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65">
        <f>((IF(($E5="34.1"),34.1,((IF(($E5="35.1"),35.1,((IF(($E5=38733),16.1,((IF(($E5=38768),20.2,((IF(($E5=38774),26.2,((IF(($E5=38771),23.2,((IF(($E5="29.2"),29.2,0)))))))))))))))))))))</f>
        <v>0</v>
      </c>
      <c r="AP5" s="365"/>
      <c r="AQ5" s="366">
        <f t="shared" ref="AQ5:AQ18" si="44">(IF((SUM(AJ5:AP5)&lt;&gt;0),(SUM(AJ5:AP5)),$E5))</f>
        <v>0</v>
      </c>
      <c r="AR5" s="367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67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67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67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67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67">
        <f>((IF(($F5="34.1"),34.1,((IF(($F5="35.1"),35.1,((IF(($F5=38733),16.1,((IF(($F5=38768),20.2,((IF(($F5=38774),26.2,((IF(($F5=38771),23.2,((IF(($F5="29.2"),29.2,0)))))))))))))))))))))</f>
        <v>0</v>
      </c>
      <c r="AX5" s="367"/>
      <c r="AY5" s="368">
        <f t="shared" ref="AY5:AY18" si="50">(IF((SUM(AR5:AX5)&lt;&gt;0),(SUM(AR5:AX5)),$F5))</f>
        <v>0</v>
      </c>
      <c r="AZ5" s="369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69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69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69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69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69">
        <f>((IF(($G5="34.1"),34.1,((IF(($G5="35.1"),35.1,((IF(($G5=38733),16.1,((IF(($G5=38768),20.2,((IF(($G5=38774),26.2,((IF(($G5=38771),23.2,((IF(($G5="29.2"),29.2,0)))))))))))))))))))))</f>
        <v>0</v>
      </c>
      <c r="BF5" s="369"/>
      <c r="BG5" s="370">
        <f t="shared" ref="BG5:BG18" si="56">(IF((SUM(AZ5:BF5)&lt;&gt;0),(SUM(AZ5:BF5)),$G5))</f>
        <v>0</v>
      </c>
      <c r="BH5" s="388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88">
        <f t="shared" si="5"/>
        <v>0</v>
      </c>
      <c r="BJ5" s="388">
        <f t="shared" si="6"/>
        <v>0</v>
      </c>
      <c r="BK5" s="388">
        <f t="shared" si="7"/>
        <v>0</v>
      </c>
      <c r="BL5" s="388">
        <f t="shared" si="8"/>
        <v>0</v>
      </c>
      <c r="BM5" s="388">
        <f>((IF(($H5="34.1"),34.1,((IF(($H5="35.1"),35.1,((IF(($H5=38733),16.1,((IF(($H5=38768),20.2,((IF(($H5=38774),26.2,0)))))))))))))))</f>
        <v>0</v>
      </c>
      <c r="BN5" s="388"/>
      <c r="BO5" s="389">
        <f t="shared" si="9"/>
        <v>0</v>
      </c>
      <c r="BP5" s="390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90">
        <f t="shared" si="10"/>
        <v>0</v>
      </c>
      <c r="BR5" s="390">
        <f t="shared" si="11"/>
        <v>0</v>
      </c>
      <c r="BS5" s="390">
        <f t="shared" si="12"/>
        <v>0</v>
      </c>
      <c r="BT5" s="390">
        <f t="shared" si="13"/>
        <v>0</v>
      </c>
      <c r="BU5" s="390">
        <f>((IF(($I5="34.1"),34.1,((IF(($I5="35.1"),35.1,((IF(($I5=38733),16.1,((IF(($I5=38768),20.2,((IF(($I5=38774),26.2,((IF(($I5=38771),23.2,0))))))))))))))))))</f>
        <v>0</v>
      </c>
      <c r="BV5" s="390"/>
      <c r="BW5" s="391">
        <f t="shared" si="14"/>
        <v>0</v>
      </c>
      <c r="BX5" s="396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96">
        <f t="shared" si="15"/>
        <v>0</v>
      </c>
      <c r="BZ5" s="396">
        <f t="shared" si="16"/>
        <v>0</v>
      </c>
      <c r="CA5" s="396">
        <f t="shared" si="17"/>
        <v>0</v>
      </c>
      <c r="CB5" s="396">
        <f t="shared" si="18"/>
        <v>0</v>
      </c>
      <c r="CC5" s="396">
        <f>((IF(($J5="34.1"),34.1,((IF(($J5="35.1"),35.1,((IF(($J5=38733),16.1,((IF(($J5=38768),20.2,((IF(($J5=38774),26.2,0)))))))))))))))</f>
        <v>0</v>
      </c>
      <c r="CD5" s="396"/>
      <c r="CE5" s="393">
        <f t="shared" si="19"/>
        <v>0</v>
      </c>
      <c r="CF5" s="394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94">
        <f t="shared" si="20"/>
        <v>0</v>
      </c>
      <c r="CH5" s="394">
        <f t="shared" si="21"/>
        <v>0</v>
      </c>
      <c r="CI5" s="394">
        <f t="shared" si="22"/>
        <v>0</v>
      </c>
      <c r="CJ5" s="394">
        <f t="shared" si="23"/>
        <v>0</v>
      </c>
      <c r="CK5" s="394">
        <f>((IF(($K5="34.1"),34.1,((IF(($K5="35.1"),35.1,((IF(($K5=38733),16.1,((IF(($K5=38768),20.2,((IF(($K5=38774),26.2,((IF(($K5=38771),23.2,0))))))))))))))))))</f>
        <v>0</v>
      </c>
      <c r="CL5" s="394"/>
      <c r="CM5" s="395">
        <f t="shared" si="24"/>
        <v>0</v>
      </c>
      <c r="CP5" s="371" t="str">
        <v>PD0201</v>
      </c>
      <c r="CQ5" s="371" t="str">
        <v>PD0201</v>
      </c>
      <c r="CR5" s="371"/>
      <c r="CS5" s="371"/>
      <c r="CT5" s="371"/>
      <c r="CU5" s="371"/>
      <c r="CV5" s="348"/>
    </row>
    <row r="6" spans="1:100" ht="15" customHeight="1" thickTop="1" thickBot="1" x14ac:dyDescent="0.25">
      <c r="A6" s="372" t="str">
        <f>FREQUENCIAS!C$1</f>
        <v>D1S1656</v>
      </c>
      <c r="B6" s="404"/>
      <c r="C6" s="405"/>
      <c r="D6" s="405"/>
      <c r="E6" s="405"/>
      <c r="F6" s="405"/>
      <c r="G6" s="405"/>
      <c r="H6" s="405"/>
      <c r="I6" s="405"/>
      <c r="J6" s="405"/>
      <c r="K6" s="405"/>
      <c r="L6" s="399">
        <f t="shared" si="0"/>
        <v>0</v>
      </c>
      <c r="M6" s="399">
        <f t="shared" si="1"/>
        <v>0</v>
      </c>
      <c r="N6" s="359">
        <f t="shared" si="2"/>
        <v>0</v>
      </c>
      <c r="O6" s="359">
        <f t="shared" si="3"/>
        <v>0</v>
      </c>
      <c r="P6" s="359">
        <f t="shared" si="4"/>
        <v>0</v>
      </c>
      <c r="Q6" s="359">
        <f>((IF(($B6="34.1"),34.1,((IF(($B6="35.1"),35.1,((IF(($B6=38733),16.1,((IF(($B6=38768),20.2,((IF(($B6=38774),26.2,0)))))))))))))))</f>
        <v>0</v>
      </c>
      <c r="R6" s="359"/>
      <c r="S6" s="360">
        <f t="shared" si="26"/>
        <v>0</v>
      </c>
      <c r="T6" s="361">
        <f t="shared" si="27"/>
        <v>0</v>
      </c>
      <c r="U6" s="361">
        <f t="shared" si="28"/>
        <v>0</v>
      </c>
      <c r="V6" s="361">
        <f t="shared" si="29"/>
        <v>0</v>
      </c>
      <c r="W6" s="361">
        <f t="shared" si="30"/>
        <v>0</v>
      </c>
      <c r="X6" s="361">
        <f t="shared" si="31"/>
        <v>0</v>
      </c>
      <c r="Y6" s="361">
        <f>((IF(($C6="34.1"),34.1,((IF(($C6="35.1"),35.1,((IF(($C6=38733),16.1,((IF(($C6=38768),20.2,((IF(($C6=38774),26.2,((IF(($C6=38771),23.2,0))))))))))))))))))</f>
        <v>0</v>
      </c>
      <c r="Z6" s="361"/>
      <c r="AA6" s="362">
        <f t="shared" si="32"/>
        <v>0</v>
      </c>
      <c r="AB6" s="363">
        <f t="shared" si="33"/>
        <v>0</v>
      </c>
      <c r="AC6" s="363">
        <f t="shared" si="34"/>
        <v>0</v>
      </c>
      <c r="AD6" s="363">
        <f t="shared" si="35"/>
        <v>0</v>
      </c>
      <c r="AE6" s="363">
        <f t="shared" si="36"/>
        <v>0</v>
      </c>
      <c r="AF6" s="363">
        <f t="shared" si="37"/>
        <v>0</v>
      </c>
      <c r="AG6" s="363">
        <f>((IF(($D6="34.1"),34.1,((IF(($D6="35.1"),35.1,((IF(($D6=38733),16.1,((IF(($D6=38768),20.2,((IF(($D6=38774),26.2,0)))))))))))))))</f>
        <v>0</v>
      </c>
      <c r="AH6" s="363"/>
      <c r="AI6" s="364">
        <f t="shared" si="38"/>
        <v>0</v>
      </c>
      <c r="AJ6" s="365">
        <f t="shared" si="39"/>
        <v>0</v>
      </c>
      <c r="AK6" s="365">
        <f t="shared" si="40"/>
        <v>0</v>
      </c>
      <c r="AL6" s="365">
        <f t="shared" si="41"/>
        <v>0</v>
      </c>
      <c r="AM6" s="365">
        <f t="shared" si="42"/>
        <v>0</v>
      </c>
      <c r="AN6" s="365">
        <f t="shared" si="43"/>
        <v>0</v>
      </c>
      <c r="AO6" s="365">
        <f>((IF(($E6="34.1"),34.1,((IF(($E6="35.1"),35.1,((IF(($E6=38733),16.1,((IF(($E6=38768),20.2,((IF(($E6=38774),26.2,((IF(($E6=38771),23.2,0))))))))))))))))))</f>
        <v>0</v>
      </c>
      <c r="AP6" s="365"/>
      <c r="AQ6" s="366">
        <f t="shared" si="44"/>
        <v>0</v>
      </c>
      <c r="AR6" s="367">
        <f t="shared" si="45"/>
        <v>0</v>
      </c>
      <c r="AS6" s="367">
        <f t="shared" si="46"/>
        <v>0</v>
      </c>
      <c r="AT6" s="367">
        <f t="shared" si="47"/>
        <v>0</v>
      </c>
      <c r="AU6" s="367">
        <f t="shared" si="48"/>
        <v>0</v>
      </c>
      <c r="AV6" s="367">
        <f t="shared" si="49"/>
        <v>0</v>
      </c>
      <c r="AW6" s="367">
        <f>((IF(($F6="34.1"),34.1,((IF(($F6="35.1"),35.1,((IF(($F6=38733),16.1,((IF(($F6=38768),20.2,((IF(($F6=38774),26.2,0)))))))))))))))</f>
        <v>0</v>
      </c>
      <c r="AX6" s="367"/>
      <c r="AY6" s="368">
        <f t="shared" si="50"/>
        <v>0</v>
      </c>
      <c r="AZ6" s="369">
        <f t="shared" si="51"/>
        <v>0</v>
      </c>
      <c r="BA6" s="369">
        <f t="shared" si="52"/>
        <v>0</v>
      </c>
      <c r="BB6" s="369">
        <f t="shared" si="53"/>
        <v>0</v>
      </c>
      <c r="BC6" s="369">
        <f t="shared" si="54"/>
        <v>0</v>
      </c>
      <c r="BD6" s="369">
        <f t="shared" si="55"/>
        <v>0</v>
      </c>
      <c r="BE6" s="369">
        <f>((IF(($G6="34.1"),34.1,((IF(($G6="35.1"),35.1,((IF(($G6=38733),16.1,((IF(($G6=38768),20.2,((IF(($G6=38774),26.2,((IF(($G6=38771),23.2,0))))))))))))))))))</f>
        <v>0</v>
      </c>
      <c r="BF6" s="369"/>
      <c r="BG6" s="370">
        <f t="shared" si="56"/>
        <v>0</v>
      </c>
      <c r="BH6" s="388">
        <f t="shared" si="57"/>
        <v>0</v>
      </c>
      <c r="BI6" s="388">
        <f t="shared" si="5"/>
        <v>0</v>
      </c>
      <c r="BJ6" s="388">
        <f t="shared" si="6"/>
        <v>0</v>
      </c>
      <c r="BK6" s="388">
        <f t="shared" si="7"/>
        <v>0</v>
      </c>
      <c r="BL6" s="388">
        <f t="shared" si="8"/>
        <v>0</v>
      </c>
      <c r="BM6" s="388">
        <f>((IF(($H6="34.1"),34.1,((IF(($H6="35.1"),35.1,((IF(($H6=38733),16.1,((IF(($H6=38768),20.2,((IF(($H6=38774),26.2,0)))))))))))))))</f>
        <v>0</v>
      </c>
      <c r="BN6" s="388"/>
      <c r="BO6" s="389">
        <f t="shared" si="9"/>
        <v>0</v>
      </c>
      <c r="BP6" s="390">
        <f t="shared" si="58"/>
        <v>0</v>
      </c>
      <c r="BQ6" s="390">
        <f t="shared" si="10"/>
        <v>0</v>
      </c>
      <c r="BR6" s="390">
        <f t="shared" si="11"/>
        <v>0</v>
      </c>
      <c r="BS6" s="390">
        <f t="shared" si="12"/>
        <v>0</v>
      </c>
      <c r="BT6" s="390">
        <f t="shared" si="13"/>
        <v>0</v>
      </c>
      <c r="BU6" s="390">
        <f>((IF(($I6="34.1"),34.1,((IF(($I6="35.1"),35.1,((IF(($I6=38733),16.1,((IF(($I6=38768),20.2,((IF(($I6=38774),26.2,((IF(($I6=38771),23.2,0))))))))))))))))))</f>
        <v>0</v>
      </c>
      <c r="BV6" s="390"/>
      <c r="BW6" s="391">
        <f t="shared" si="14"/>
        <v>0</v>
      </c>
      <c r="BX6" s="396">
        <f t="shared" si="59"/>
        <v>0</v>
      </c>
      <c r="BY6" s="396">
        <f t="shared" si="15"/>
        <v>0</v>
      </c>
      <c r="BZ6" s="396">
        <f t="shared" si="16"/>
        <v>0</v>
      </c>
      <c r="CA6" s="396">
        <f t="shared" si="17"/>
        <v>0</v>
      </c>
      <c r="CB6" s="396">
        <f t="shared" si="18"/>
        <v>0</v>
      </c>
      <c r="CC6" s="396">
        <f>((IF(($J6="34.1"),34.1,((IF(($J6="35.1"),35.1,((IF(($J6=38733),16.1,((IF(($J6=38768),20.2,((IF(($J6=38774),26.2,0)))))))))))))))</f>
        <v>0</v>
      </c>
      <c r="CD6" s="396"/>
      <c r="CE6" s="393">
        <f t="shared" si="19"/>
        <v>0</v>
      </c>
      <c r="CF6" s="394">
        <f t="shared" si="60"/>
        <v>0</v>
      </c>
      <c r="CG6" s="394">
        <f t="shared" si="20"/>
        <v>0</v>
      </c>
      <c r="CH6" s="394">
        <f t="shared" si="21"/>
        <v>0</v>
      </c>
      <c r="CI6" s="394">
        <f t="shared" si="22"/>
        <v>0</v>
      </c>
      <c r="CJ6" s="394">
        <f t="shared" si="23"/>
        <v>0</v>
      </c>
      <c r="CK6" s="394">
        <f>((IF(($K6="34.1"),34.1,((IF(($K6="35.1"),35.1,((IF(($K6=38733),16.1,((IF(($K6=38768),20.2,((IF(($K6=38774),26.2,((IF(($K6=38771),23.2,0))))))))))))))))))</f>
        <v>0</v>
      </c>
      <c r="CL6" s="394"/>
      <c r="CM6" s="395">
        <f t="shared" si="24"/>
        <v>0</v>
      </c>
      <c r="CP6" s="371" t="str">
        <v>PD0201</v>
      </c>
      <c r="CQ6" s="371" t="str">
        <v>PD0201</v>
      </c>
      <c r="CR6" s="371"/>
      <c r="CS6" s="371"/>
      <c r="CT6" s="371"/>
      <c r="CU6" s="371"/>
      <c r="CV6" s="348"/>
    </row>
    <row r="7" spans="1:100" ht="15" customHeight="1" thickTop="1" thickBot="1" x14ac:dyDescent="0.25">
      <c r="A7" s="372" t="str">
        <f>FREQUENCIAS!D$1</f>
        <v>D2S441</v>
      </c>
      <c r="B7" s="404"/>
      <c r="C7" s="405"/>
      <c r="D7" s="405"/>
      <c r="E7" s="405"/>
      <c r="F7" s="405"/>
      <c r="G7" s="405"/>
      <c r="H7" s="405"/>
      <c r="I7" s="405"/>
      <c r="J7" s="405"/>
      <c r="K7" s="405"/>
      <c r="L7" s="399">
        <f t="shared" si="0"/>
        <v>0</v>
      </c>
      <c r="M7" s="399">
        <f t="shared" si="1"/>
        <v>0</v>
      </c>
      <c r="N7" s="359">
        <f t="shared" si="2"/>
        <v>0</v>
      </c>
      <c r="O7" s="359">
        <f t="shared" si="3"/>
        <v>0</v>
      </c>
      <c r="P7" s="359">
        <f t="shared" si="4"/>
        <v>0</v>
      </c>
      <c r="Q7" s="359">
        <f>((IF(($B7="34.1"),34.1,((IF(($B7="35.1"),35.1,((IF(($B7=38733),16.1,((IF(($B7=38768),20.2,((IF(($B7=38774),26.2,0)))))))))))))))</f>
        <v>0</v>
      </c>
      <c r="R7" s="359"/>
      <c r="S7" s="360">
        <f t="shared" si="26"/>
        <v>0</v>
      </c>
      <c r="T7" s="361">
        <f t="shared" si="27"/>
        <v>0</v>
      </c>
      <c r="U7" s="361">
        <f t="shared" si="28"/>
        <v>0</v>
      </c>
      <c r="V7" s="361">
        <f t="shared" si="29"/>
        <v>0</v>
      </c>
      <c r="W7" s="361">
        <f t="shared" si="30"/>
        <v>0</v>
      </c>
      <c r="X7" s="361">
        <f t="shared" si="31"/>
        <v>0</v>
      </c>
      <c r="Y7" s="361">
        <f>((IF(($C7="34.1"),34.1,((IF(($C7="35.1"),35.1,((IF(($C7=38733),16.1,((IF(($C7=38768),20.2,((IF(($C7=38774),26.2,((IF(($C7=38771),23.2,0))))))))))))))))))</f>
        <v>0</v>
      </c>
      <c r="Z7" s="361"/>
      <c r="AA7" s="362">
        <f t="shared" si="32"/>
        <v>0</v>
      </c>
      <c r="AB7" s="363">
        <f t="shared" si="33"/>
        <v>0</v>
      </c>
      <c r="AC7" s="363">
        <f t="shared" si="34"/>
        <v>0</v>
      </c>
      <c r="AD7" s="363">
        <f t="shared" si="35"/>
        <v>0</v>
      </c>
      <c r="AE7" s="363">
        <f t="shared" si="36"/>
        <v>0</v>
      </c>
      <c r="AF7" s="363">
        <f t="shared" si="37"/>
        <v>0</v>
      </c>
      <c r="AG7" s="363">
        <f>((IF(($D7="34.1"),34.1,((IF(($D7="35.1"),35.1,((IF(($D7=38733),16.1,((IF(($D7=38768),20.2,((IF(($D7=38774),26.2,0)))))))))))))))</f>
        <v>0</v>
      </c>
      <c r="AH7" s="363"/>
      <c r="AI7" s="364">
        <f t="shared" si="38"/>
        <v>0</v>
      </c>
      <c r="AJ7" s="365">
        <f t="shared" si="39"/>
        <v>0</v>
      </c>
      <c r="AK7" s="365">
        <f t="shared" si="40"/>
        <v>0</v>
      </c>
      <c r="AL7" s="365">
        <f t="shared" si="41"/>
        <v>0</v>
      </c>
      <c r="AM7" s="365">
        <f t="shared" si="42"/>
        <v>0</v>
      </c>
      <c r="AN7" s="365">
        <f t="shared" si="43"/>
        <v>0</v>
      </c>
      <c r="AO7" s="365">
        <f>((IF(($E7="34.1"),34.1,((IF(($E7="35.1"),35.1,((IF(($E7=38733),16.1,((IF(($E7=38768),20.2,((IF(($E7=38774),26.2,((IF(($E7=38771),23.2,0))))))))))))))))))</f>
        <v>0</v>
      </c>
      <c r="AP7" s="365"/>
      <c r="AQ7" s="366">
        <f t="shared" si="44"/>
        <v>0</v>
      </c>
      <c r="AR7" s="367">
        <f t="shared" si="45"/>
        <v>0</v>
      </c>
      <c r="AS7" s="367">
        <f t="shared" si="46"/>
        <v>0</v>
      </c>
      <c r="AT7" s="367">
        <f t="shared" si="47"/>
        <v>0</v>
      </c>
      <c r="AU7" s="367">
        <f t="shared" si="48"/>
        <v>0</v>
      </c>
      <c r="AV7" s="367">
        <f t="shared" si="49"/>
        <v>0</v>
      </c>
      <c r="AW7" s="367">
        <f>((IF(($F7="34.1"),34.1,((IF(($F7="35.1"),35.1,((IF(($F7=38733),16.1,((IF(($F7=38768),20.2,((IF(($F7=38774),26.2,0)))))))))))))))</f>
        <v>0</v>
      </c>
      <c r="AX7" s="367"/>
      <c r="AY7" s="368">
        <f t="shared" si="50"/>
        <v>0</v>
      </c>
      <c r="AZ7" s="369">
        <f t="shared" si="51"/>
        <v>0</v>
      </c>
      <c r="BA7" s="369">
        <f t="shared" si="52"/>
        <v>0</v>
      </c>
      <c r="BB7" s="369">
        <f t="shared" si="53"/>
        <v>0</v>
      </c>
      <c r="BC7" s="369">
        <f t="shared" si="54"/>
        <v>0</v>
      </c>
      <c r="BD7" s="369">
        <f t="shared" si="55"/>
        <v>0</v>
      </c>
      <c r="BE7" s="369">
        <f>((IF(($G7="34.1"),34.1,((IF(($G7="35.1"),35.1,((IF(($G7=38733),16.1,((IF(($G7=38768),20.2,((IF(($G7=38774),26.2,((IF(($G7=38771),23.2,0))))))))))))))))))</f>
        <v>0</v>
      </c>
      <c r="BF7" s="369"/>
      <c r="BG7" s="370">
        <f t="shared" si="56"/>
        <v>0</v>
      </c>
      <c r="BH7" s="388">
        <f t="shared" si="57"/>
        <v>0</v>
      </c>
      <c r="BI7" s="388">
        <f t="shared" si="5"/>
        <v>0</v>
      </c>
      <c r="BJ7" s="388">
        <f t="shared" si="6"/>
        <v>0</v>
      </c>
      <c r="BK7" s="388">
        <f t="shared" si="7"/>
        <v>0</v>
      </c>
      <c r="BL7" s="388">
        <f t="shared" si="8"/>
        <v>0</v>
      </c>
      <c r="BM7" s="388">
        <f>((IF(($H7="34.1"),34.1,((IF(($H7="35.1"),35.1,((IF(($H7=38733),16.1,((IF(($H7=38768),20.2,((IF(($H7=38774),26.2,0)))))))))))))))</f>
        <v>0</v>
      </c>
      <c r="BN7" s="388"/>
      <c r="BO7" s="389">
        <f t="shared" si="9"/>
        <v>0</v>
      </c>
      <c r="BP7" s="390">
        <f t="shared" si="58"/>
        <v>0</v>
      </c>
      <c r="BQ7" s="390">
        <f t="shared" si="10"/>
        <v>0</v>
      </c>
      <c r="BR7" s="390">
        <f t="shared" si="11"/>
        <v>0</v>
      </c>
      <c r="BS7" s="390">
        <f t="shared" si="12"/>
        <v>0</v>
      </c>
      <c r="BT7" s="390">
        <f t="shared" si="13"/>
        <v>0</v>
      </c>
      <c r="BU7" s="390">
        <f>((IF(($I7="34.1"),34.1,((IF(($I7="35.1"),35.1,((IF(($I7=38733),16.1,((IF(($I7=38768),20.2,((IF(($I7=38774),26.2,((IF(($I7=38771),23.2,0))))))))))))))))))</f>
        <v>0</v>
      </c>
      <c r="BV7" s="390"/>
      <c r="BW7" s="391">
        <f t="shared" si="14"/>
        <v>0</v>
      </c>
      <c r="BX7" s="396">
        <f t="shared" si="59"/>
        <v>0</v>
      </c>
      <c r="BY7" s="396">
        <f t="shared" si="15"/>
        <v>0</v>
      </c>
      <c r="BZ7" s="396">
        <f t="shared" si="16"/>
        <v>0</v>
      </c>
      <c r="CA7" s="396">
        <f t="shared" si="17"/>
        <v>0</v>
      </c>
      <c r="CB7" s="396">
        <f t="shared" si="18"/>
        <v>0</v>
      </c>
      <c r="CC7" s="396">
        <f>((IF(($J7="34.1"),34.1,((IF(($J7="35.1"),35.1,((IF(($J7=38733),16.1,((IF(($J7=38768),20.2,((IF(($J7=38774),26.2,0)))))))))))))))</f>
        <v>0</v>
      </c>
      <c r="CD7" s="396"/>
      <c r="CE7" s="393">
        <f t="shared" si="19"/>
        <v>0</v>
      </c>
      <c r="CF7" s="394">
        <f t="shared" si="60"/>
        <v>0</v>
      </c>
      <c r="CG7" s="394">
        <f t="shared" si="20"/>
        <v>0</v>
      </c>
      <c r="CH7" s="394">
        <f t="shared" si="21"/>
        <v>0</v>
      </c>
      <c r="CI7" s="394">
        <f t="shared" si="22"/>
        <v>0</v>
      </c>
      <c r="CJ7" s="394">
        <f t="shared" si="23"/>
        <v>0</v>
      </c>
      <c r="CK7" s="394">
        <f>((IF(($K7="34.1"),34.1,((IF(($K7="35.1"),35.1,((IF(($K7=38733),16.1,((IF(($K7=38768),20.2,((IF(($K7=38774),26.2,((IF(($K7=38771),23.2,0))))))))))))))))))</f>
        <v>0</v>
      </c>
      <c r="CL7" s="394"/>
      <c r="CM7" s="395">
        <f t="shared" si="24"/>
        <v>0</v>
      </c>
      <c r="CP7" s="371" t="str">
        <v>PD0201</v>
      </c>
      <c r="CQ7" s="371" t="str">
        <v>PD0201</v>
      </c>
      <c r="CR7" s="371"/>
      <c r="CS7" s="371"/>
      <c r="CT7" s="371"/>
      <c r="CU7" s="371"/>
      <c r="CV7" s="348"/>
    </row>
    <row r="8" spans="1:100" ht="15" customHeight="1" thickTop="1" thickBot="1" x14ac:dyDescent="0.25">
      <c r="A8" s="372" t="str">
        <f>FREQUENCIAS!E$1</f>
        <v>D10S1248</v>
      </c>
      <c r="B8" s="404"/>
      <c r="C8" s="405"/>
      <c r="D8" s="405"/>
      <c r="E8" s="405"/>
      <c r="F8" s="405"/>
      <c r="G8" s="405"/>
      <c r="H8" s="405"/>
      <c r="I8" s="405"/>
      <c r="J8" s="405"/>
      <c r="K8" s="405"/>
      <c r="L8" s="399">
        <f t="shared" si="0"/>
        <v>0</v>
      </c>
      <c r="M8" s="399">
        <f t="shared" si="1"/>
        <v>0</v>
      </c>
      <c r="N8" s="359">
        <f t="shared" si="2"/>
        <v>0</v>
      </c>
      <c r="O8" s="359">
        <f t="shared" si="3"/>
        <v>0</v>
      </c>
      <c r="P8" s="359">
        <f t="shared" si="4"/>
        <v>0</v>
      </c>
      <c r="Q8" s="359">
        <f>((IF(($B8="34.1"),34.1,((IF(($B8="35.1"),35.1,((IF(($B8=38733),16.1,((IF(($B8=38768),20.2,((IF(($B8=38774),26.2,0)))))))))))))))</f>
        <v>0</v>
      </c>
      <c r="R8" s="359"/>
      <c r="S8" s="360">
        <f t="shared" si="26"/>
        <v>0</v>
      </c>
      <c r="T8" s="361">
        <f t="shared" si="27"/>
        <v>0</v>
      </c>
      <c r="U8" s="361">
        <f t="shared" si="28"/>
        <v>0</v>
      </c>
      <c r="V8" s="361">
        <f t="shared" si="29"/>
        <v>0</v>
      </c>
      <c r="W8" s="361">
        <f t="shared" si="30"/>
        <v>0</v>
      </c>
      <c r="X8" s="361">
        <f t="shared" si="31"/>
        <v>0</v>
      </c>
      <c r="Y8" s="361">
        <f>((IF(($C8="34.1"),34.1,((IF(($C8="35.1"),35.1,((IF(($C8=38733),16.1,((IF(($C8=38768),20.2,((IF(($C8=38774),26.2,((IF(($C8=38771),23.2,0))))))))))))))))))</f>
        <v>0</v>
      </c>
      <c r="Z8" s="361"/>
      <c r="AA8" s="362">
        <f t="shared" si="32"/>
        <v>0</v>
      </c>
      <c r="AB8" s="363">
        <f t="shared" si="33"/>
        <v>0</v>
      </c>
      <c r="AC8" s="363">
        <f t="shared" si="34"/>
        <v>0</v>
      </c>
      <c r="AD8" s="363">
        <f t="shared" si="35"/>
        <v>0</v>
      </c>
      <c r="AE8" s="363">
        <f t="shared" si="36"/>
        <v>0</v>
      </c>
      <c r="AF8" s="363">
        <f t="shared" si="37"/>
        <v>0</v>
      </c>
      <c r="AG8" s="363">
        <f>((IF(($D8="34.1"),34.1,((IF(($D8="35.1"),35.1,((IF(($D8=38733),16.1,((IF(($D8=38768),20.2,((IF(($D8=38774),26.2,0)))))))))))))))</f>
        <v>0</v>
      </c>
      <c r="AH8" s="363"/>
      <c r="AI8" s="364">
        <f t="shared" si="38"/>
        <v>0</v>
      </c>
      <c r="AJ8" s="365">
        <f t="shared" si="39"/>
        <v>0</v>
      </c>
      <c r="AK8" s="365">
        <f t="shared" si="40"/>
        <v>0</v>
      </c>
      <c r="AL8" s="365">
        <f t="shared" si="41"/>
        <v>0</v>
      </c>
      <c r="AM8" s="365">
        <f t="shared" si="42"/>
        <v>0</v>
      </c>
      <c r="AN8" s="365">
        <f t="shared" si="43"/>
        <v>0</v>
      </c>
      <c r="AO8" s="365">
        <f>((IF(($E8="34.1"),34.1,((IF(($E8="35.1"),35.1,((IF(($E8=38733),16.1,((IF(($E8=38768),20.2,((IF(($E8=38774),26.2,((IF(($E8=38771),23.2,0))))))))))))))))))</f>
        <v>0</v>
      </c>
      <c r="AP8" s="365"/>
      <c r="AQ8" s="366">
        <f t="shared" si="44"/>
        <v>0</v>
      </c>
      <c r="AR8" s="367">
        <f t="shared" si="45"/>
        <v>0</v>
      </c>
      <c r="AS8" s="367">
        <f t="shared" si="46"/>
        <v>0</v>
      </c>
      <c r="AT8" s="367">
        <f t="shared" si="47"/>
        <v>0</v>
      </c>
      <c r="AU8" s="367">
        <f t="shared" si="48"/>
        <v>0</v>
      </c>
      <c r="AV8" s="367">
        <f t="shared" si="49"/>
        <v>0</v>
      </c>
      <c r="AW8" s="367">
        <f>((IF(($F8="34.1"),34.1,((IF(($F8="35.1"),35.1,((IF(($F8=38733),16.1,((IF(($F8=38768),20.2,((IF(($F8=38774),26.2,0)))))))))))))))</f>
        <v>0</v>
      </c>
      <c r="AX8" s="367"/>
      <c r="AY8" s="368">
        <f t="shared" si="50"/>
        <v>0</v>
      </c>
      <c r="AZ8" s="369">
        <f t="shared" si="51"/>
        <v>0</v>
      </c>
      <c r="BA8" s="369">
        <f t="shared" si="52"/>
        <v>0</v>
      </c>
      <c r="BB8" s="369">
        <f t="shared" si="53"/>
        <v>0</v>
      </c>
      <c r="BC8" s="369">
        <f t="shared" si="54"/>
        <v>0</v>
      </c>
      <c r="BD8" s="369">
        <f t="shared" si="55"/>
        <v>0</v>
      </c>
      <c r="BE8" s="369">
        <f>((IF(($G8="34.1"),34.1,((IF(($G8="35.1"),35.1,((IF(($G8=38733),16.1,((IF(($G8=38768),20.2,((IF(($G8=38774),26.2,((IF(($G8=38771),23.2,0))))))))))))))))))</f>
        <v>0</v>
      </c>
      <c r="BF8" s="369"/>
      <c r="BG8" s="370">
        <f t="shared" si="56"/>
        <v>0</v>
      </c>
      <c r="BH8" s="388">
        <f t="shared" si="57"/>
        <v>0</v>
      </c>
      <c r="BI8" s="388">
        <f t="shared" si="5"/>
        <v>0</v>
      </c>
      <c r="BJ8" s="388">
        <f t="shared" si="6"/>
        <v>0</v>
      </c>
      <c r="BK8" s="388">
        <f t="shared" si="7"/>
        <v>0</v>
      </c>
      <c r="BL8" s="388">
        <f t="shared" si="8"/>
        <v>0</v>
      </c>
      <c r="BM8" s="388">
        <f>((IF(($H8="34.1"),34.1,((IF(($H8="35.1"),35.1,((IF(($H8=38733),16.1,((IF(($H8=38768),20.2,((IF(($H8=38774),26.2,0)))))))))))))))</f>
        <v>0</v>
      </c>
      <c r="BN8" s="388"/>
      <c r="BO8" s="389">
        <f t="shared" si="9"/>
        <v>0</v>
      </c>
      <c r="BP8" s="390">
        <f t="shared" si="58"/>
        <v>0</v>
      </c>
      <c r="BQ8" s="390">
        <f t="shared" si="10"/>
        <v>0</v>
      </c>
      <c r="BR8" s="390">
        <f t="shared" si="11"/>
        <v>0</v>
      </c>
      <c r="BS8" s="390">
        <f t="shared" si="12"/>
        <v>0</v>
      </c>
      <c r="BT8" s="390">
        <f t="shared" si="13"/>
        <v>0</v>
      </c>
      <c r="BU8" s="390">
        <f>((IF(($I8="34.1"),34.1,((IF(($I8="35.1"),35.1,((IF(($I8=38733),16.1,((IF(($I8=38768),20.2,((IF(($I8=38774),26.2,((IF(($I8=38771),23.2,0))))))))))))))))))</f>
        <v>0</v>
      </c>
      <c r="BV8" s="390"/>
      <c r="BW8" s="391">
        <f t="shared" si="14"/>
        <v>0</v>
      </c>
      <c r="BX8" s="396">
        <f t="shared" si="59"/>
        <v>0</v>
      </c>
      <c r="BY8" s="396">
        <f t="shared" si="15"/>
        <v>0</v>
      </c>
      <c r="BZ8" s="396">
        <f t="shared" si="16"/>
        <v>0</v>
      </c>
      <c r="CA8" s="396">
        <f t="shared" si="17"/>
        <v>0</v>
      </c>
      <c r="CB8" s="396">
        <f t="shared" si="18"/>
        <v>0</v>
      </c>
      <c r="CC8" s="396">
        <f>((IF(($J8="34.1"),34.1,((IF(($J8="35.1"),35.1,((IF(($J8=38733),16.1,((IF(($J8=38768),20.2,((IF(($J8=38774),26.2,0)))))))))))))))</f>
        <v>0</v>
      </c>
      <c r="CD8" s="396"/>
      <c r="CE8" s="393">
        <f t="shared" si="19"/>
        <v>0</v>
      </c>
      <c r="CF8" s="394">
        <f t="shared" si="60"/>
        <v>0</v>
      </c>
      <c r="CG8" s="394">
        <f t="shared" si="20"/>
        <v>0</v>
      </c>
      <c r="CH8" s="394">
        <f t="shared" si="21"/>
        <v>0</v>
      </c>
      <c r="CI8" s="394">
        <f t="shared" si="22"/>
        <v>0</v>
      </c>
      <c r="CJ8" s="394">
        <f t="shared" si="23"/>
        <v>0</v>
      </c>
      <c r="CK8" s="394">
        <f>((IF(($K8="34.1"),34.1,((IF(($K8="35.1"),35.1,((IF(($K8=38733),16.1,((IF(($K8=38768),20.2,((IF(($K8=38774),26.2,((IF(($K8=38771),23.2,0))))))))))))))))))</f>
        <v>0</v>
      </c>
      <c r="CL8" s="394"/>
      <c r="CM8" s="395">
        <f t="shared" si="24"/>
        <v>0</v>
      </c>
      <c r="CN8" s="373"/>
      <c r="CP8" s="371" t="str">
        <v>PD0201</v>
      </c>
      <c r="CQ8" s="371" t="str">
        <v>PD0201</v>
      </c>
      <c r="CR8" s="371"/>
      <c r="CS8" s="371"/>
      <c r="CT8" s="371"/>
      <c r="CU8" s="371"/>
      <c r="CV8" s="348"/>
    </row>
    <row r="9" spans="1:100" ht="15" customHeight="1" thickTop="1" thickBot="1" x14ac:dyDescent="0.25">
      <c r="A9" s="372" t="str">
        <f>FREQUENCIAS!F$1</f>
        <v>D13S317</v>
      </c>
      <c r="B9" s="404"/>
      <c r="C9" s="405"/>
      <c r="D9" s="405"/>
      <c r="E9" s="405"/>
      <c r="F9" s="405"/>
      <c r="G9" s="405"/>
      <c r="H9" s="405"/>
      <c r="I9" s="405"/>
      <c r="J9" s="405"/>
      <c r="K9" s="405"/>
      <c r="L9" s="300">
        <f t="shared" si="0"/>
        <v>0</v>
      </c>
      <c r="M9" s="399">
        <f t="shared" si="1"/>
        <v>0</v>
      </c>
      <c r="N9" s="359">
        <f t="shared" si="2"/>
        <v>0</v>
      </c>
      <c r="O9" s="359">
        <f t="shared" si="3"/>
        <v>0</v>
      </c>
      <c r="P9" s="359">
        <f t="shared" si="4"/>
        <v>0</v>
      </c>
      <c r="Q9" s="359">
        <f>((IF(($B9="34.1"),34.1,((IF(($B9="35.1"),35.1,((IF(($B9=38733),16.1,((IF(($B9=38768),20.2,((IF(($B9=38774),26.2,((IF(($B9=38784),8.3,((IF(($B9=38789),13.3,0)))))))))))))))))))))</f>
        <v>0</v>
      </c>
      <c r="R9" s="359"/>
      <c r="S9" s="360">
        <f t="shared" si="26"/>
        <v>0</v>
      </c>
      <c r="T9" s="361">
        <f t="shared" si="27"/>
        <v>0</v>
      </c>
      <c r="U9" s="361">
        <f t="shared" si="28"/>
        <v>0</v>
      </c>
      <c r="V9" s="361">
        <f t="shared" si="29"/>
        <v>0</v>
      </c>
      <c r="W9" s="361">
        <f t="shared" si="30"/>
        <v>0</v>
      </c>
      <c r="X9" s="361">
        <f t="shared" si="31"/>
        <v>0</v>
      </c>
      <c r="Y9" s="361">
        <f>((IF(($C9="34.1"),34.1,((IF(($C9="35.1"),35.1,((IF(($C9=38733),16.1,((IF(($C9=38768),20.2,((IF(($C9=38774),26.2,((IF(($C9=38771),23.2,((IF(($C9=38784),8.3,((IF(($C9=38789),13.3,0))))))))))))))))))))))))</f>
        <v>0</v>
      </c>
      <c r="Z9" s="361"/>
      <c r="AA9" s="362">
        <f t="shared" si="32"/>
        <v>0</v>
      </c>
      <c r="AB9" s="363">
        <f t="shared" si="33"/>
        <v>0</v>
      </c>
      <c r="AC9" s="363">
        <f t="shared" si="34"/>
        <v>0</v>
      </c>
      <c r="AD9" s="363">
        <f t="shared" si="35"/>
        <v>0</v>
      </c>
      <c r="AE9" s="363">
        <f t="shared" si="36"/>
        <v>0</v>
      </c>
      <c r="AF9" s="363">
        <f t="shared" si="37"/>
        <v>0</v>
      </c>
      <c r="AG9" s="363">
        <f>((IF(($D9="34.1"),34.1,((IF(($D9="35.1"),35.1,((IF(($D9=38733),16.1,((IF(($D9=38768),20.2,((IF(($D9=38774),26.2,((IF(($D9=38784),8.3,((IF(($D9=38789),13.3,0)))))))))))))))))))))</f>
        <v>0</v>
      </c>
      <c r="AH9" s="363"/>
      <c r="AI9" s="364">
        <f t="shared" si="38"/>
        <v>0</v>
      </c>
      <c r="AJ9" s="365">
        <f t="shared" si="39"/>
        <v>0</v>
      </c>
      <c r="AK9" s="365">
        <f t="shared" si="40"/>
        <v>0</v>
      </c>
      <c r="AL9" s="365">
        <f t="shared" si="41"/>
        <v>0</v>
      </c>
      <c r="AM9" s="365">
        <f t="shared" si="42"/>
        <v>0</v>
      </c>
      <c r="AN9" s="365">
        <f t="shared" si="43"/>
        <v>0</v>
      </c>
      <c r="AO9" s="365">
        <f>((IF(($E9="34.1"),34.1,((IF(($E9="35.1"),35.1,((IF(($E9=38733),16.1,((IF(($E9=38768),20.2,((IF(($E9=38774),26.2,((IF(($E9=38771),23.2,((IF(($E9=38784),8.3,((IF(($E9=38789),13.3,0))))))))))))))))))))))))</f>
        <v>0</v>
      </c>
      <c r="AP9" s="365"/>
      <c r="AQ9" s="366">
        <f t="shared" si="44"/>
        <v>0</v>
      </c>
      <c r="AR9" s="367">
        <f t="shared" si="45"/>
        <v>0</v>
      </c>
      <c r="AS9" s="367">
        <f t="shared" si="46"/>
        <v>0</v>
      </c>
      <c r="AT9" s="367">
        <f t="shared" si="47"/>
        <v>0</v>
      </c>
      <c r="AU9" s="367">
        <f t="shared" si="48"/>
        <v>0</v>
      </c>
      <c r="AV9" s="367">
        <f t="shared" si="49"/>
        <v>0</v>
      </c>
      <c r="AW9" s="367">
        <f>((IF(($F9="34.1"),34.1,((IF(($F9="35.1"),35.1,((IF(($F9=38733),16.1,((IF(($F9=38768),20.2,((IF(($F9=38774),26.2,((IF(($F9=38784),8.3,((IF(($F9=38789),13.3,0)))))))))))))))))))))</f>
        <v>0</v>
      </c>
      <c r="AX9" s="367"/>
      <c r="AY9" s="368">
        <f t="shared" si="50"/>
        <v>0</v>
      </c>
      <c r="AZ9" s="369">
        <f t="shared" si="51"/>
        <v>0</v>
      </c>
      <c r="BA9" s="369">
        <f t="shared" si="52"/>
        <v>0</v>
      </c>
      <c r="BB9" s="369">
        <f t="shared" si="53"/>
        <v>0</v>
      </c>
      <c r="BC9" s="369">
        <f t="shared" si="54"/>
        <v>0</v>
      </c>
      <c r="BD9" s="369">
        <f t="shared" si="55"/>
        <v>0</v>
      </c>
      <c r="BE9" s="369">
        <f>((IF(($G9="34.1"),34.1,((IF(($G9="35.1"),35.1,((IF(($G9=38733),16.1,((IF(($G9=38768),20.2,((IF(($G9=38774),26.2,((IF(($G9=38771),23.2,((IF(($G9=38784),8.3,((IF(($G9=38789),13.3,0))))))))))))))))))))))))</f>
        <v>0</v>
      </c>
      <c r="BF9" s="369"/>
      <c r="BG9" s="370">
        <f t="shared" si="56"/>
        <v>0</v>
      </c>
      <c r="BH9" s="388">
        <f t="shared" si="57"/>
        <v>0</v>
      </c>
      <c r="BI9" s="388">
        <f t="shared" si="5"/>
        <v>0</v>
      </c>
      <c r="BJ9" s="388">
        <f t="shared" si="6"/>
        <v>0</v>
      </c>
      <c r="BK9" s="388">
        <f t="shared" si="7"/>
        <v>0</v>
      </c>
      <c r="BL9" s="388">
        <f t="shared" si="8"/>
        <v>0</v>
      </c>
      <c r="BM9" s="388">
        <f>((IF(($H9="34.1"),34.1,((IF(($H9="35.1"),35.1,((IF(($H9=38733),16.1,((IF(($H9=38768),20.2,((IF(($H9=38774),26.2,((IF(($H9=38784),8.3,((IF(($H9=38789),13.3,0)))))))))))))))))))))</f>
        <v>0</v>
      </c>
      <c r="BN9" s="388"/>
      <c r="BO9" s="389">
        <f t="shared" si="9"/>
        <v>0</v>
      </c>
      <c r="BP9" s="390">
        <f t="shared" si="58"/>
        <v>0</v>
      </c>
      <c r="BQ9" s="390">
        <f t="shared" si="10"/>
        <v>0</v>
      </c>
      <c r="BR9" s="390">
        <f t="shared" si="11"/>
        <v>0</v>
      </c>
      <c r="BS9" s="390">
        <f t="shared" si="12"/>
        <v>0</v>
      </c>
      <c r="BT9" s="390">
        <f t="shared" si="13"/>
        <v>0</v>
      </c>
      <c r="BU9" s="390">
        <f>((IF(($I9="34.1"),34.1,((IF(($I9="35.1"),35.1,((IF(($I9=38733),16.1,((IF(($I9=38768),20.2,((IF(($I9=38774),26.2,((IF(($I9=38771),23.2,((IF(($I9=38784),8.3,((IF(($I9=38789),13.3,0))))))))))))))))))))))))</f>
        <v>0</v>
      </c>
      <c r="BV9" s="390"/>
      <c r="BW9" s="391">
        <f t="shared" si="14"/>
        <v>0</v>
      </c>
      <c r="BX9" s="396">
        <f t="shared" si="59"/>
        <v>0</v>
      </c>
      <c r="BY9" s="396">
        <f t="shared" si="15"/>
        <v>0</v>
      </c>
      <c r="BZ9" s="396">
        <f t="shared" si="16"/>
        <v>0</v>
      </c>
      <c r="CA9" s="396">
        <f t="shared" si="17"/>
        <v>0</v>
      </c>
      <c r="CB9" s="396">
        <f t="shared" si="18"/>
        <v>0</v>
      </c>
      <c r="CC9" s="396">
        <f>((IF(($J9="34.1"),34.1,((IF(($J9="35.1"),35.1,((IF(($J9=38733),16.1,((IF(($J9=38768),20.2,((IF(($J9=38774),26.2,((IF(($J9=38784),8.3,((IF(($J9=38789),13.3,0)))))))))))))))))))))</f>
        <v>0</v>
      </c>
      <c r="CD9" s="396"/>
      <c r="CE9" s="393">
        <f t="shared" si="19"/>
        <v>0</v>
      </c>
      <c r="CF9" s="394">
        <f t="shared" si="60"/>
        <v>0</v>
      </c>
      <c r="CG9" s="394">
        <f t="shared" si="20"/>
        <v>0</v>
      </c>
      <c r="CH9" s="394">
        <f t="shared" si="21"/>
        <v>0</v>
      </c>
      <c r="CI9" s="394">
        <f t="shared" si="22"/>
        <v>0</v>
      </c>
      <c r="CJ9" s="394">
        <f t="shared" si="23"/>
        <v>0</v>
      </c>
      <c r="CK9" s="394">
        <f>((IF(($K9="34.1"),34.1,((IF(($K9="35.1"),35.1,((IF(($K9=38733),16.1,((IF(($K9=38768),20.2,((IF(($K9=38774),26.2,((IF(($K9=38771),23.2,((IF(($K9=38784),8.3,((IF(($K9=38789),13.3,0))))))))))))))))))))))))</f>
        <v>0</v>
      </c>
      <c r="CL9" s="394"/>
      <c r="CM9" s="395">
        <f t="shared" si="24"/>
        <v>0</v>
      </c>
      <c r="CP9" s="371" t="str">
        <v>PD0201</v>
      </c>
      <c r="CQ9" s="371" t="str">
        <v>PD0201</v>
      </c>
      <c r="CR9" s="371"/>
      <c r="CS9" s="371"/>
      <c r="CT9" s="371"/>
      <c r="CU9" s="371"/>
      <c r="CV9" s="348"/>
    </row>
    <row r="10" spans="1:100" ht="15" customHeight="1" thickTop="1" thickBot="1" x14ac:dyDescent="0.25">
      <c r="A10" s="372" t="str">
        <f>FREQUENCIAS!G$1</f>
        <v>Penta_E</v>
      </c>
      <c r="B10" s="404"/>
      <c r="C10" s="405"/>
      <c r="D10" s="405"/>
      <c r="E10" s="405"/>
      <c r="F10" s="405"/>
      <c r="G10" s="405"/>
      <c r="H10" s="405"/>
      <c r="I10" s="405"/>
      <c r="J10" s="405"/>
      <c r="K10" s="405"/>
      <c r="L10" s="399">
        <f t="shared" si="0"/>
        <v>0</v>
      </c>
      <c r="M10" s="399">
        <f t="shared" si="1"/>
        <v>0</v>
      </c>
      <c r="N10" s="359">
        <f t="shared" si="2"/>
        <v>0</v>
      </c>
      <c r="O10" s="359">
        <f t="shared" si="3"/>
        <v>0</v>
      </c>
      <c r="P10" s="359">
        <f t="shared" si="4"/>
        <v>0</v>
      </c>
      <c r="Q10" s="359">
        <f t="shared" ref="Q10:Q18" si="61">((IF(($B10="34.1"),34.1,((IF(($B10="35.1"),35.1,((IF(($B10=38733),16.1,((IF(($B10=38768),20.2,((IF(($B10=38774),26.2,0)))))))))))))))</f>
        <v>0</v>
      </c>
      <c r="R10" s="359"/>
      <c r="S10" s="360">
        <f t="shared" si="26"/>
        <v>0</v>
      </c>
      <c r="T10" s="361">
        <f t="shared" si="27"/>
        <v>0</v>
      </c>
      <c r="U10" s="361">
        <f t="shared" si="28"/>
        <v>0</v>
      </c>
      <c r="V10" s="361">
        <f t="shared" si="29"/>
        <v>0</v>
      </c>
      <c r="W10" s="361">
        <f t="shared" si="30"/>
        <v>0</v>
      </c>
      <c r="X10" s="361">
        <f t="shared" si="31"/>
        <v>0</v>
      </c>
      <c r="Y10" s="361">
        <f t="shared" ref="Y10:Y18" si="62">((IF(($C10="34.1"),34.1,((IF(($C10="35.1"),35.1,((IF(($C10=38733),16.1,((IF(($C10=38768),20.2,((IF(($C10=38774),26.2,((IF(($C10=38771),23.2,0))))))))))))))))))</f>
        <v>0</v>
      </c>
      <c r="Z10" s="361"/>
      <c r="AA10" s="362">
        <f t="shared" si="32"/>
        <v>0</v>
      </c>
      <c r="AB10" s="363">
        <f t="shared" si="33"/>
        <v>0</v>
      </c>
      <c r="AC10" s="363">
        <f t="shared" si="34"/>
        <v>0</v>
      </c>
      <c r="AD10" s="363">
        <f t="shared" si="35"/>
        <v>0</v>
      </c>
      <c r="AE10" s="363">
        <f t="shared" si="36"/>
        <v>0</v>
      </c>
      <c r="AF10" s="363">
        <f t="shared" si="37"/>
        <v>0</v>
      </c>
      <c r="AG10" s="363">
        <f t="shared" ref="AG10:AG18" si="63">((IF(($D10="34.1"),34.1,((IF(($D10="35.1"),35.1,((IF(($D10=38733),16.1,((IF(($D10=38768),20.2,((IF(($D10=38774),26.2,0)))))))))))))))</f>
        <v>0</v>
      </c>
      <c r="AH10" s="363"/>
      <c r="AI10" s="364">
        <f t="shared" si="38"/>
        <v>0</v>
      </c>
      <c r="AJ10" s="365">
        <f t="shared" si="39"/>
        <v>0</v>
      </c>
      <c r="AK10" s="365">
        <f t="shared" si="40"/>
        <v>0</v>
      </c>
      <c r="AL10" s="365">
        <f t="shared" si="41"/>
        <v>0</v>
      </c>
      <c r="AM10" s="365">
        <f t="shared" si="42"/>
        <v>0</v>
      </c>
      <c r="AN10" s="365">
        <f t="shared" si="43"/>
        <v>0</v>
      </c>
      <c r="AO10" s="365">
        <f t="shared" ref="AO10:AO18" si="64">((IF(($E10="34.1"),34.1,((IF(($E10="35.1"),35.1,((IF(($E10=38733),16.1,((IF(($E10=38768),20.2,((IF(($E10=38774),26.2,((IF(($E10=38771),23.2,0))))))))))))))))))</f>
        <v>0</v>
      </c>
      <c r="AP10" s="365"/>
      <c r="AQ10" s="366">
        <f t="shared" si="44"/>
        <v>0</v>
      </c>
      <c r="AR10" s="367">
        <f t="shared" si="45"/>
        <v>0</v>
      </c>
      <c r="AS10" s="367">
        <f t="shared" si="46"/>
        <v>0</v>
      </c>
      <c r="AT10" s="367">
        <f t="shared" si="47"/>
        <v>0</v>
      </c>
      <c r="AU10" s="367">
        <f t="shared" si="48"/>
        <v>0</v>
      </c>
      <c r="AV10" s="367">
        <f t="shared" si="49"/>
        <v>0</v>
      </c>
      <c r="AW10" s="367">
        <f t="shared" ref="AW10:AW18" si="65">((IF(($F10="34.1"),34.1,((IF(($F10="35.1"),35.1,((IF(($F10=38733),16.1,((IF(($F10=38768),20.2,((IF(($F10=38774),26.2,0)))))))))))))))</f>
        <v>0</v>
      </c>
      <c r="AX10" s="367"/>
      <c r="AY10" s="368">
        <f t="shared" si="50"/>
        <v>0</v>
      </c>
      <c r="AZ10" s="369">
        <f t="shared" si="51"/>
        <v>0</v>
      </c>
      <c r="BA10" s="369">
        <f t="shared" si="52"/>
        <v>0</v>
      </c>
      <c r="BB10" s="369">
        <f t="shared" si="53"/>
        <v>0</v>
      </c>
      <c r="BC10" s="369">
        <f t="shared" si="54"/>
        <v>0</v>
      </c>
      <c r="BD10" s="369">
        <f t="shared" si="55"/>
        <v>0</v>
      </c>
      <c r="BE10" s="369">
        <f t="shared" ref="BE10:BE18" si="66">((IF(($G10="34.1"),34.1,((IF(($G10="35.1"),35.1,((IF(($G10=38733),16.1,((IF(($G10=38768),20.2,((IF(($G10=38774),26.2,((IF(($G10=38771),23.2,0))))))))))))))))))</f>
        <v>0</v>
      </c>
      <c r="BF10" s="369"/>
      <c r="BG10" s="370">
        <f t="shared" si="56"/>
        <v>0</v>
      </c>
      <c r="BH10" s="388">
        <f t="shared" si="57"/>
        <v>0</v>
      </c>
      <c r="BI10" s="388">
        <f t="shared" si="5"/>
        <v>0</v>
      </c>
      <c r="BJ10" s="388">
        <f t="shared" si="6"/>
        <v>0</v>
      </c>
      <c r="BK10" s="388">
        <f t="shared" si="7"/>
        <v>0</v>
      </c>
      <c r="BL10" s="388">
        <f t="shared" si="8"/>
        <v>0</v>
      </c>
      <c r="BM10" s="388">
        <f t="shared" ref="BM10:BM18" si="67">((IF(($H10="34.1"),34.1,((IF(($H10="35.1"),35.1,((IF(($H10=38733),16.1,((IF(($H10=38768),20.2,((IF(($H10=38774),26.2,0)))))))))))))))</f>
        <v>0</v>
      </c>
      <c r="BN10" s="388"/>
      <c r="BO10" s="389">
        <f t="shared" si="9"/>
        <v>0</v>
      </c>
      <c r="BP10" s="390">
        <f t="shared" si="58"/>
        <v>0</v>
      </c>
      <c r="BQ10" s="390">
        <f t="shared" si="10"/>
        <v>0</v>
      </c>
      <c r="BR10" s="390">
        <f t="shared" si="11"/>
        <v>0</v>
      </c>
      <c r="BS10" s="390">
        <f t="shared" si="12"/>
        <v>0</v>
      </c>
      <c r="BT10" s="390">
        <f t="shared" si="13"/>
        <v>0</v>
      </c>
      <c r="BU10" s="390">
        <f t="shared" ref="BU10:BU18" si="68">((IF(($I10="34.1"),34.1,((IF(($I10="35.1"),35.1,((IF(($I10=38733),16.1,((IF(($I10=38768),20.2,((IF(($I10=38774),26.2,((IF(($I10=38771),23.2,0))))))))))))))))))</f>
        <v>0</v>
      </c>
      <c r="BV10" s="390"/>
      <c r="BW10" s="391">
        <f t="shared" si="14"/>
        <v>0</v>
      </c>
      <c r="BX10" s="396">
        <f t="shared" si="59"/>
        <v>0</v>
      </c>
      <c r="BY10" s="396">
        <f t="shared" si="15"/>
        <v>0</v>
      </c>
      <c r="BZ10" s="396">
        <f t="shared" si="16"/>
        <v>0</v>
      </c>
      <c r="CA10" s="396">
        <f t="shared" si="17"/>
        <v>0</v>
      </c>
      <c r="CB10" s="396">
        <f t="shared" si="18"/>
        <v>0</v>
      </c>
      <c r="CC10" s="396">
        <f t="shared" ref="CC10:CC18" si="69">((IF(($J10="34.1"),34.1,((IF(($J10="35.1"),35.1,((IF(($J10=38733),16.1,((IF(($J10=38768),20.2,((IF(($J10=38774),26.2,0)))))))))))))))</f>
        <v>0</v>
      </c>
      <c r="CD10" s="396"/>
      <c r="CE10" s="393">
        <f t="shared" si="19"/>
        <v>0</v>
      </c>
      <c r="CF10" s="394">
        <f t="shared" si="60"/>
        <v>0</v>
      </c>
      <c r="CG10" s="394">
        <f t="shared" si="20"/>
        <v>0</v>
      </c>
      <c r="CH10" s="394">
        <f t="shared" si="21"/>
        <v>0</v>
      </c>
      <c r="CI10" s="394">
        <f t="shared" si="22"/>
        <v>0</v>
      </c>
      <c r="CJ10" s="394">
        <f t="shared" si="23"/>
        <v>0</v>
      </c>
      <c r="CK10" s="394">
        <f t="shared" ref="CK10:CK18" si="70">((IF(($K10="34.1"),34.1,((IF(($K10="35.1"),35.1,((IF(($K10=38733),16.1,((IF(($K10=38768),20.2,((IF(($K10=38774),26.2,((IF(($K10=38771),23.2,0))))))))))))))))))</f>
        <v>0</v>
      </c>
      <c r="CL10" s="394"/>
      <c r="CM10" s="395">
        <f t="shared" si="24"/>
        <v>0</v>
      </c>
      <c r="CP10" s="371" t="str">
        <v>PD0201</v>
      </c>
      <c r="CQ10" s="371" t="str">
        <v>PD0201</v>
      </c>
      <c r="CR10" s="371"/>
      <c r="CS10" s="371"/>
      <c r="CT10" s="371"/>
      <c r="CU10" s="371"/>
      <c r="CV10" s="348"/>
    </row>
    <row r="11" spans="1:100" ht="15" customHeight="1" thickTop="1" thickBot="1" x14ac:dyDescent="0.25">
      <c r="A11" s="372" t="str">
        <f>FREQUENCIAS!H$1</f>
        <v>D16S539</v>
      </c>
      <c r="B11" s="404"/>
      <c r="C11" s="405"/>
      <c r="D11" s="405"/>
      <c r="E11" s="405"/>
      <c r="F11" s="405"/>
      <c r="G11" s="405"/>
      <c r="H11" s="405"/>
      <c r="I11" s="405"/>
      <c r="J11" s="405"/>
      <c r="K11" s="405"/>
      <c r="L11" s="359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59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59">
        <f t="shared" si="2"/>
        <v>0</v>
      </c>
      <c r="O11" s="359">
        <f t="shared" si="3"/>
        <v>0</v>
      </c>
      <c r="P11" s="359">
        <f t="shared" si="4"/>
        <v>0</v>
      </c>
      <c r="Q11" s="359">
        <f t="shared" si="61"/>
        <v>0</v>
      </c>
      <c r="R11" s="359"/>
      <c r="S11" s="360">
        <f t="shared" si="26"/>
        <v>0</v>
      </c>
      <c r="T11" s="361">
        <f t="shared" si="27"/>
        <v>0</v>
      </c>
      <c r="U11" s="361">
        <f t="shared" si="28"/>
        <v>0</v>
      </c>
      <c r="V11" s="361">
        <f t="shared" si="29"/>
        <v>0</v>
      </c>
      <c r="W11" s="361">
        <f t="shared" si="30"/>
        <v>0</v>
      </c>
      <c r="X11" s="361">
        <f t="shared" si="31"/>
        <v>0</v>
      </c>
      <c r="Y11" s="361">
        <f t="shared" si="62"/>
        <v>0</v>
      </c>
      <c r="Z11" s="361"/>
      <c r="AA11" s="362">
        <f t="shared" si="32"/>
        <v>0</v>
      </c>
      <c r="AB11" s="363">
        <f t="shared" si="33"/>
        <v>0</v>
      </c>
      <c r="AC11" s="363">
        <f t="shared" si="34"/>
        <v>0</v>
      </c>
      <c r="AD11" s="363">
        <f t="shared" si="35"/>
        <v>0</v>
      </c>
      <c r="AE11" s="363">
        <f t="shared" si="36"/>
        <v>0</v>
      </c>
      <c r="AF11" s="363">
        <f t="shared" si="37"/>
        <v>0</v>
      </c>
      <c r="AG11" s="363">
        <f t="shared" si="63"/>
        <v>0</v>
      </c>
      <c r="AH11" s="363"/>
      <c r="AI11" s="364">
        <f t="shared" si="38"/>
        <v>0</v>
      </c>
      <c r="AJ11" s="365">
        <f t="shared" si="39"/>
        <v>0</v>
      </c>
      <c r="AK11" s="365">
        <f t="shared" si="40"/>
        <v>0</v>
      </c>
      <c r="AL11" s="365">
        <f t="shared" si="41"/>
        <v>0</v>
      </c>
      <c r="AM11" s="365">
        <f t="shared" si="42"/>
        <v>0</v>
      </c>
      <c r="AN11" s="365">
        <f t="shared" si="43"/>
        <v>0</v>
      </c>
      <c r="AO11" s="365">
        <f t="shared" si="64"/>
        <v>0</v>
      </c>
      <c r="AP11" s="365"/>
      <c r="AQ11" s="366">
        <f t="shared" si="44"/>
        <v>0</v>
      </c>
      <c r="AR11" s="367">
        <f t="shared" si="45"/>
        <v>0</v>
      </c>
      <c r="AS11" s="367">
        <f t="shared" si="46"/>
        <v>0</v>
      </c>
      <c r="AT11" s="367">
        <f t="shared" si="47"/>
        <v>0</v>
      </c>
      <c r="AU11" s="367">
        <f t="shared" si="48"/>
        <v>0</v>
      </c>
      <c r="AV11" s="367">
        <f t="shared" si="49"/>
        <v>0</v>
      </c>
      <c r="AW11" s="367">
        <f t="shared" si="65"/>
        <v>0</v>
      </c>
      <c r="AX11" s="367"/>
      <c r="AY11" s="368">
        <f t="shared" si="50"/>
        <v>0</v>
      </c>
      <c r="AZ11" s="369">
        <f t="shared" si="51"/>
        <v>0</v>
      </c>
      <c r="BA11" s="369">
        <f t="shared" si="52"/>
        <v>0</v>
      </c>
      <c r="BB11" s="369">
        <f t="shared" si="53"/>
        <v>0</v>
      </c>
      <c r="BC11" s="369">
        <f t="shared" si="54"/>
        <v>0</v>
      </c>
      <c r="BD11" s="369">
        <f t="shared" si="55"/>
        <v>0</v>
      </c>
      <c r="BE11" s="369">
        <f t="shared" si="66"/>
        <v>0</v>
      </c>
      <c r="BF11" s="369"/>
      <c r="BG11" s="370">
        <f t="shared" si="56"/>
        <v>0</v>
      </c>
      <c r="BH11" s="388">
        <f t="shared" si="57"/>
        <v>0</v>
      </c>
      <c r="BI11" s="388">
        <f t="shared" si="5"/>
        <v>0</v>
      </c>
      <c r="BJ11" s="388">
        <f t="shared" si="6"/>
        <v>0</v>
      </c>
      <c r="BK11" s="388">
        <f t="shared" si="7"/>
        <v>0</v>
      </c>
      <c r="BL11" s="388">
        <f t="shared" si="8"/>
        <v>0</v>
      </c>
      <c r="BM11" s="388">
        <f t="shared" si="67"/>
        <v>0</v>
      </c>
      <c r="BN11" s="388"/>
      <c r="BO11" s="389">
        <f t="shared" si="9"/>
        <v>0</v>
      </c>
      <c r="BP11" s="390">
        <f t="shared" si="58"/>
        <v>0</v>
      </c>
      <c r="BQ11" s="390">
        <f t="shared" si="10"/>
        <v>0</v>
      </c>
      <c r="BR11" s="390">
        <f t="shared" si="11"/>
        <v>0</v>
      </c>
      <c r="BS11" s="390">
        <f t="shared" si="12"/>
        <v>0</v>
      </c>
      <c r="BT11" s="390">
        <f t="shared" si="13"/>
        <v>0</v>
      </c>
      <c r="BU11" s="390">
        <f t="shared" si="68"/>
        <v>0</v>
      </c>
      <c r="BV11" s="390"/>
      <c r="BW11" s="391">
        <f t="shared" si="14"/>
        <v>0</v>
      </c>
      <c r="BX11" s="396">
        <f t="shared" si="59"/>
        <v>0</v>
      </c>
      <c r="BY11" s="396">
        <f t="shared" si="15"/>
        <v>0</v>
      </c>
      <c r="BZ11" s="396">
        <f t="shared" si="16"/>
        <v>0</v>
      </c>
      <c r="CA11" s="396">
        <f t="shared" si="17"/>
        <v>0</v>
      </c>
      <c r="CB11" s="396">
        <f t="shared" si="18"/>
        <v>0</v>
      </c>
      <c r="CC11" s="396">
        <f t="shared" si="69"/>
        <v>0</v>
      </c>
      <c r="CD11" s="396"/>
      <c r="CE11" s="393">
        <f t="shared" si="19"/>
        <v>0</v>
      </c>
      <c r="CF11" s="394">
        <f t="shared" si="60"/>
        <v>0</v>
      </c>
      <c r="CG11" s="394">
        <f t="shared" si="20"/>
        <v>0</v>
      </c>
      <c r="CH11" s="394">
        <f t="shared" si="21"/>
        <v>0</v>
      </c>
      <c r="CI11" s="394">
        <f t="shared" si="22"/>
        <v>0</v>
      </c>
      <c r="CJ11" s="394">
        <f t="shared" si="23"/>
        <v>0</v>
      </c>
      <c r="CK11" s="394">
        <f t="shared" si="70"/>
        <v>0</v>
      </c>
      <c r="CL11" s="394"/>
      <c r="CM11" s="395">
        <f t="shared" si="24"/>
        <v>0</v>
      </c>
      <c r="CP11" s="371" t="str">
        <v>PD0201</v>
      </c>
      <c r="CQ11" s="371" t="str">
        <v>PD0201</v>
      </c>
      <c r="CR11" s="371"/>
      <c r="CS11" s="371"/>
      <c r="CT11" s="371"/>
      <c r="CU11" s="371"/>
      <c r="CV11" s="348"/>
    </row>
    <row r="12" spans="1:100" ht="15" customHeight="1" thickTop="1" thickBot="1" x14ac:dyDescent="0.25">
      <c r="A12" s="372" t="str">
        <f>FREQUENCIAS!I$1</f>
        <v>D18S51</v>
      </c>
      <c r="B12" s="404"/>
      <c r="C12" s="405"/>
      <c r="D12" s="405"/>
      <c r="E12" s="405"/>
      <c r="F12" s="405"/>
      <c r="G12" s="405"/>
      <c r="H12" s="405"/>
      <c r="I12" s="405"/>
      <c r="J12" s="405"/>
      <c r="K12" s="405"/>
      <c r="L12" s="359">
        <f t="shared" si="71"/>
        <v>0</v>
      </c>
      <c r="M12" s="359">
        <f t="shared" si="72"/>
        <v>0</v>
      </c>
      <c r="N12" s="359">
        <f t="shared" si="2"/>
        <v>0</v>
      </c>
      <c r="O12" s="359">
        <f t="shared" si="3"/>
        <v>0</v>
      </c>
      <c r="P12" s="359">
        <f t="shared" si="4"/>
        <v>0</v>
      </c>
      <c r="Q12" s="359">
        <f t="shared" si="61"/>
        <v>0</v>
      </c>
      <c r="R12" s="359"/>
      <c r="S12" s="360">
        <f t="shared" si="26"/>
        <v>0</v>
      </c>
      <c r="T12" s="361">
        <f t="shared" si="27"/>
        <v>0</v>
      </c>
      <c r="U12" s="361">
        <f t="shared" si="28"/>
        <v>0</v>
      </c>
      <c r="V12" s="361">
        <f t="shared" si="29"/>
        <v>0</v>
      </c>
      <c r="W12" s="361">
        <f t="shared" si="30"/>
        <v>0</v>
      </c>
      <c r="X12" s="361">
        <f t="shared" si="31"/>
        <v>0</v>
      </c>
      <c r="Y12" s="361">
        <f t="shared" si="62"/>
        <v>0</v>
      </c>
      <c r="Z12" s="361"/>
      <c r="AA12" s="362">
        <f t="shared" si="32"/>
        <v>0</v>
      </c>
      <c r="AB12" s="363">
        <f t="shared" si="33"/>
        <v>0</v>
      </c>
      <c r="AC12" s="363">
        <f t="shared" si="34"/>
        <v>0</v>
      </c>
      <c r="AD12" s="363">
        <f t="shared" si="35"/>
        <v>0</v>
      </c>
      <c r="AE12" s="363">
        <f t="shared" si="36"/>
        <v>0</v>
      </c>
      <c r="AF12" s="363">
        <f t="shared" si="37"/>
        <v>0</v>
      </c>
      <c r="AG12" s="363">
        <f t="shared" si="63"/>
        <v>0</v>
      </c>
      <c r="AH12" s="363"/>
      <c r="AI12" s="364">
        <f t="shared" si="38"/>
        <v>0</v>
      </c>
      <c r="AJ12" s="365">
        <f t="shared" si="39"/>
        <v>0</v>
      </c>
      <c r="AK12" s="365">
        <f t="shared" si="40"/>
        <v>0</v>
      </c>
      <c r="AL12" s="365">
        <f t="shared" si="41"/>
        <v>0</v>
      </c>
      <c r="AM12" s="365">
        <f t="shared" si="42"/>
        <v>0</v>
      </c>
      <c r="AN12" s="365">
        <f t="shared" si="43"/>
        <v>0</v>
      </c>
      <c r="AO12" s="365">
        <f t="shared" si="64"/>
        <v>0</v>
      </c>
      <c r="AP12" s="365"/>
      <c r="AQ12" s="366">
        <f t="shared" si="44"/>
        <v>0</v>
      </c>
      <c r="AR12" s="367">
        <f t="shared" si="45"/>
        <v>0</v>
      </c>
      <c r="AS12" s="367">
        <f t="shared" si="46"/>
        <v>0</v>
      </c>
      <c r="AT12" s="367">
        <f t="shared" si="47"/>
        <v>0</v>
      </c>
      <c r="AU12" s="367">
        <f t="shared" si="48"/>
        <v>0</v>
      </c>
      <c r="AV12" s="367">
        <f t="shared" si="49"/>
        <v>0</v>
      </c>
      <c r="AW12" s="367">
        <f t="shared" si="65"/>
        <v>0</v>
      </c>
      <c r="AX12" s="367"/>
      <c r="AY12" s="368">
        <f t="shared" si="50"/>
        <v>0</v>
      </c>
      <c r="AZ12" s="369">
        <f t="shared" si="51"/>
        <v>0</v>
      </c>
      <c r="BA12" s="369">
        <f t="shared" si="52"/>
        <v>0</v>
      </c>
      <c r="BB12" s="369">
        <f t="shared" si="53"/>
        <v>0</v>
      </c>
      <c r="BC12" s="369">
        <f t="shared" si="54"/>
        <v>0</v>
      </c>
      <c r="BD12" s="369">
        <f t="shared" si="55"/>
        <v>0</v>
      </c>
      <c r="BE12" s="369">
        <f t="shared" si="66"/>
        <v>0</v>
      </c>
      <c r="BF12" s="369"/>
      <c r="BG12" s="370">
        <f t="shared" si="56"/>
        <v>0</v>
      </c>
      <c r="BH12" s="388">
        <f t="shared" si="57"/>
        <v>0</v>
      </c>
      <c r="BI12" s="388">
        <f t="shared" si="5"/>
        <v>0</v>
      </c>
      <c r="BJ12" s="388">
        <f t="shared" si="6"/>
        <v>0</v>
      </c>
      <c r="BK12" s="388">
        <f t="shared" si="7"/>
        <v>0</v>
      </c>
      <c r="BL12" s="388">
        <f t="shared" si="8"/>
        <v>0</v>
      </c>
      <c r="BM12" s="388">
        <f t="shared" si="67"/>
        <v>0</v>
      </c>
      <c r="BN12" s="388"/>
      <c r="BO12" s="389">
        <f t="shared" si="9"/>
        <v>0</v>
      </c>
      <c r="BP12" s="390">
        <f t="shared" si="58"/>
        <v>0</v>
      </c>
      <c r="BQ12" s="390">
        <f t="shared" si="10"/>
        <v>0</v>
      </c>
      <c r="BR12" s="390">
        <f t="shared" si="11"/>
        <v>0</v>
      </c>
      <c r="BS12" s="390">
        <f t="shared" si="12"/>
        <v>0</v>
      </c>
      <c r="BT12" s="390">
        <f t="shared" si="13"/>
        <v>0</v>
      </c>
      <c r="BU12" s="390">
        <f t="shared" si="68"/>
        <v>0</v>
      </c>
      <c r="BV12" s="390"/>
      <c r="BW12" s="391">
        <f t="shared" si="14"/>
        <v>0</v>
      </c>
      <c r="BX12" s="396">
        <f t="shared" si="59"/>
        <v>0</v>
      </c>
      <c r="BY12" s="396">
        <f t="shared" si="15"/>
        <v>0</v>
      </c>
      <c r="BZ12" s="396">
        <f t="shared" si="16"/>
        <v>0</v>
      </c>
      <c r="CA12" s="396">
        <f t="shared" si="17"/>
        <v>0</v>
      </c>
      <c r="CB12" s="396">
        <f t="shared" si="18"/>
        <v>0</v>
      </c>
      <c r="CC12" s="396">
        <f t="shared" si="69"/>
        <v>0</v>
      </c>
      <c r="CD12" s="396"/>
      <c r="CE12" s="393">
        <f t="shared" si="19"/>
        <v>0</v>
      </c>
      <c r="CF12" s="394">
        <f t="shared" si="60"/>
        <v>0</v>
      </c>
      <c r="CG12" s="394">
        <f t="shared" si="20"/>
        <v>0</v>
      </c>
      <c r="CH12" s="394">
        <f t="shared" si="21"/>
        <v>0</v>
      </c>
      <c r="CI12" s="394">
        <f t="shared" si="22"/>
        <v>0</v>
      </c>
      <c r="CJ12" s="394">
        <f t="shared" si="23"/>
        <v>0</v>
      </c>
      <c r="CK12" s="394">
        <f t="shared" si="70"/>
        <v>0</v>
      </c>
      <c r="CL12" s="394"/>
      <c r="CM12" s="395">
        <f t="shared" si="24"/>
        <v>0</v>
      </c>
      <c r="CP12" s="371" t="str">
        <v>PD0201</v>
      </c>
      <c r="CQ12" s="371" t="str">
        <v>PD0201</v>
      </c>
      <c r="CR12" s="371"/>
      <c r="CS12" s="371"/>
      <c r="CT12" s="371"/>
      <c r="CU12" s="371"/>
      <c r="CV12" s="348"/>
    </row>
    <row r="13" spans="1:100" ht="15" customHeight="1" thickTop="1" thickBot="1" x14ac:dyDescent="0.25">
      <c r="A13" s="372" t="str">
        <f>FREQUENCIAS!J$1</f>
        <v>D2S1338</v>
      </c>
      <c r="B13" s="404"/>
      <c r="C13" s="405"/>
      <c r="D13" s="405"/>
      <c r="E13" s="405"/>
      <c r="F13" s="405"/>
      <c r="G13" s="405"/>
      <c r="H13" s="405"/>
      <c r="I13" s="405"/>
      <c r="J13" s="405"/>
      <c r="K13" s="405"/>
      <c r="L13" s="359">
        <f t="shared" si="71"/>
        <v>0</v>
      </c>
      <c r="M13" s="359">
        <f t="shared" si="72"/>
        <v>0</v>
      </c>
      <c r="N13" s="359">
        <f t="shared" si="2"/>
        <v>0</v>
      </c>
      <c r="O13" s="359">
        <f t="shared" si="3"/>
        <v>0</v>
      </c>
      <c r="P13" s="359">
        <f t="shared" si="4"/>
        <v>0</v>
      </c>
      <c r="Q13" s="359">
        <f t="shared" si="61"/>
        <v>0</v>
      </c>
      <c r="R13" s="359"/>
      <c r="S13" s="360">
        <f t="shared" si="26"/>
        <v>0</v>
      </c>
      <c r="T13" s="361">
        <f t="shared" si="27"/>
        <v>0</v>
      </c>
      <c r="U13" s="361">
        <f t="shared" si="28"/>
        <v>0</v>
      </c>
      <c r="V13" s="361">
        <f t="shared" si="29"/>
        <v>0</v>
      </c>
      <c r="W13" s="361">
        <f t="shared" si="30"/>
        <v>0</v>
      </c>
      <c r="X13" s="361">
        <f t="shared" si="31"/>
        <v>0</v>
      </c>
      <c r="Y13" s="361">
        <f t="shared" si="62"/>
        <v>0</v>
      </c>
      <c r="Z13" s="361"/>
      <c r="AA13" s="362">
        <f t="shared" si="32"/>
        <v>0</v>
      </c>
      <c r="AB13" s="363">
        <f t="shared" si="33"/>
        <v>0</v>
      </c>
      <c r="AC13" s="363">
        <f t="shared" si="34"/>
        <v>0</v>
      </c>
      <c r="AD13" s="363">
        <f t="shared" si="35"/>
        <v>0</v>
      </c>
      <c r="AE13" s="363">
        <f t="shared" si="36"/>
        <v>0</v>
      </c>
      <c r="AF13" s="363">
        <f t="shared" si="37"/>
        <v>0</v>
      </c>
      <c r="AG13" s="363">
        <f t="shared" si="63"/>
        <v>0</v>
      </c>
      <c r="AH13" s="363"/>
      <c r="AI13" s="364">
        <f t="shared" si="38"/>
        <v>0</v>
      </c>
      <c r="AJ13" s="365">
        <f t="shared" si="39"/>
        <v>0</v>
      </c>
      <c r="AK13" s="365">
        <f t="shared" si="40"/>
        <v>0</v>
      </c>
      <c r="AL13" s="365">
        <f t="shared" si="41"/>
        <v>0</v>
      </c>
      <c r="AM13" s="365">
        <f t="shared" si="42"/>
        <v>0</v>
      </c>
      <c r="AN13" s="365">
        <f t="shared" si="43"/>
        <v>0</v>
      </c>
      <c r="AO13" s="365">
        <f t="shared" si="64"/>
        <v>0</v>
      </c>
      <c r="AP13" s="365"/>
      <c r="AQ13" s="366">
        <f t="shared" si="44"/>
        <v>0</v>
      </c>
      <c r="AR13" s="367">
        <f t="shared" si="45"/>
        <v>0</v>
      </c>
      <c r="AS13" s="367">
        <f t="shared" si="46"/>
        <v>0</v>
      </c>
      <c r="AT13" s="367">
        <f t="shared" si="47"/>
        <v>0</v>
      </c>
      <c r="AU13" s="367">
        <f t="shared" si="48"/>
        <v>0</v>
      </c>
      <c r="AV13" s="367">
        <f t="shared" si="49"/>
        <v>0</v>
      </c>
      <c r="AW13" s="367">
        <f t="shared" si="65"/>
        <v>0</v>
      </c>
      <c r="AX13" s="367"/>
      <c r="AY13" s="368">
        <f t="shared" si="50"/>
        <v>0</v>
      </c>
      <c r="AZ13" s="369">
        <f t="shared" si="51"/>
        <v>0</v>
      </c>
      <c r="BA13" s="369">
        <f t="shared" si="52"/>
        <v>0</v>
      </c>
      <c r="BB13" s="369">
        <f t="shared" si="53"/>
        <v>0</v>
      </c>
      <c r="BC13" s="369">
        <f t="shared" si="54"/>
        <v>0</v>
      </c>
      <c r="BD13" s="369">
        <f t="shared" si="55"/>
        <v>0</v>
      </c>
      <c r="BE13" s="369">
        <f t="shared" si="66"/>
        <v>0</v>
      </c>
      <c r="BF13" s="369"/>
      <c r="BG13" s="370">
        <f t="shared" si="56"/>
        <v>0</v>
      </c>
      <c r="BH13" s="388">
        <f t="shared" si="57"/>
        <v>0</v>
      </c>
      <c r="BI13" s="388">
        <f t="shared" si="5"/>
        <v>0</v>
      </c>
      <c r="BJ13" s="388">
        <f t="shared" si="6"/>
        <v>0</v>
      </c>
      <c r="BK13" s="388">
        <f t="shared" si="7"/>
        <v>0</v>
      </c>
      <c r="BL13" s="388">
        <f t="shared" si="8"/>
        <v>0</v>
      </c>
      <c r="BM13" s="388">
        <f t="shared" si="67"/>
        <v>0</v>
      </c>
      <c r="BN13" s="388"/>
      <c r="BO13" s="389">
        <f t="shared" si="9"/>
        <v>0</v>
      </c>
      <c r="BP13" s="390">
        <f t="shared" si="58"/>
        <v>0</v>
      </c>
      <c r="BQ13" s="390">
        <f t="shared" si="10"/>
        <v>0</v>
      </c>
      <c r="BR13" s="390">
        <f t="shared" si="11"/>
        <v>0</v>
      </c>
      <c r="BS13" s="390">
        <f t="shared" si="12"/>
        <v>0</v>
      </c>
      <c r="BT13" s="390">
        <f t="shared" si="13"/>
        <v>0</v>
      </c>
      <c r="BU13" s="390">
        <f t="shared" si="68"/>
        <v>0</v>
      </c>
      <c r="BV13" s="390"/>
      <c r="BW13" s="391">
        <f t="shared" si="14"/>
        <v>0</v>
      </c>
      <c r="BX13" s="396">
        <f t="shared" si="59"/>
        <v>0</v>
      </c>
      <c r="BY13" s="396">
        <f t="shared" si="15"/>
        <v>0</v>
      </c>
      <c r="BZ13" s="396">
        <f t="shared" si="16"/>
        <v>0</v>
      </c>
      <c r="CA13" s="396">
        <f t="shared" si="17"/>
        <v>0</v>
      </c>
      <c r="CB13" s="396">
        <f t="shared" si="18"/>
        <v>0</v>
      </c>
      <c r="CC13" s="396">
        <f t="shared" si="69"/>
        <v>0</v>
      </c>
      <c r="CD13" s="396"/>
      <c r="CE13" s="393">
        <f t="shared" si="19"/>
        <v>0</v>
      </c>
      <c r="CF13" s="394">
        <f t="shared" si="60"/>
        <v>0</v>
      </c>
      <c r="CG13" s="394">
        <f t="shared" si="20"/>
        <v>0</v>
      </c>
      <c r="CH13" s="394">
        <f t="shared" si="21"/>
        <v>0</v>
      </c>
      <c r="CI13" s="394">
        <f t="shared" si="22"/>
        <v>0</v>
      </c>
      <c r="CJ13" s="394">
        <f t="shared" si="23"/>
        <v>0</v>
      </c>
      <c r="CK13" s="394">
        <f t="shared" si="70"/>
        <v>0</v>
      </c>
      <c r="CL13" s="394"/>
      <c r="CM13" s="395">
        <f t="shared" si="24"/>
        <v>0</v>
      </c>
      <c r="CP13" s="371" t="str">
        <v>PD0201</v>
      </c>
      <c r="CQ13" s="371" t="str">
        <v>PD0201</v>
      </c>
      <c r="CR13" s="371"/>
      <c r="CS13" s="371"/>
      <c r="CT13" s="371"/>
      <c r="CU13" s="371"/>
      <c r="CV13" s="348"/>
    </row>
    <row r="14" spans="1:100" ht="15" customHeight="1" thickTop="1" thickBot="1" x14ac:dyDescent="0.25">
      <c r="A14" s="372" t="str">
        <f>FREQUENCIAS!K$1</f>
        <v>CSF1PO</v>
      </c>
      <c r="B14" s="404"/>
      <c r="C14" s="405"/>
      <c r="D14" s="405"/>
      <c r="E14" s="405"/>
      <c r="F14" s="405"/>
      <c r="G14" s="405"/>
      <c r="H14" s="405"/>
      <c r="I14" s="405"/>
      <c r="J14" s="405"/>
      <c r="K14" s="405"/>
      <c r="L14" s="359">
        <f t="shared" si="71"/>
        <v>0</v>
      </c>
      <c r="M14" s="359">
        <f t="shared" si="72"/>
        <v>0</v>
      </c>
      <c r="N14" s="359">
        <f t="shared" si="2"/>
        <v>0</v>
      </c>
      <c r="O14" s="359">
        <f t="shared" si="3"/>
        <v>0</v>
      </c>
      <c r="P14" s="359">
        <f t="shared" si="4"/>
        <v>0</v>
      </c>
      <c r="Q14" s="359">
        <f t="shared" si="61"/>
        <v>0</v>
      </c>
      <c r="R14" s="359"/>
      <c r="S14" s="360">
        <f t="shared" si="26"/>
        <v>0</v>
      </c>
      <c r="T14" s="361">
        <f t="shared" si="27"/>
        <v>0</v>
      </c>
      <c r="U14" s="361">
        <f t="shared" si="28"/>
        <v>0</v>
      </c>
      <c r="V14" s="361">
        <f t="shared" si="29"/>
        <v>0</v>
      </c>
      <c r="W14" s="361">
        <f t="shared" si="30"/>
        <v>0</v>
      </c>
      <c r="X14" s="361">
        <f t="shared" si="31"/>
        <v>0</v>
      </c>
      <c r="Y14" s="361">
        <f t="shared" si="62"/>
        <v>0</v>
      </c>
      <c r="Z14" s="361"/>
      <c r="AA14" s="362">
        <f t="shared" si="32"/>
        <v>0</v>
      </c>
      <c r="AB14" s="363">
        <f t="shared" si="33"/>
        <v>0</v>
      </c>
      <c r="AC14" s="363">
        <f t="shared" si="34"/>
        <v>0</v>
      </c>
      <c r="AD14" s="363">
        <f t="shared" si="35"/>
        <v>0</v>
      </c>
      <c r="AE14" s="363">
        <f t="shared" si="36"/>
        <v>0</v>
      </c>
      <c r="AF14" s="363">
        <f t="shared" si="37"/>
        <v>0</v>
      </c>
      <c r="AG14" s="363">
        <f t="shared" si="63"/>
        <v>0</v>
      </c>
      <c r="AH14" s="363"/>
      <c r="AI14" s="364">
        <f t="shared" si="38"/>
        <v>0</v>
      </c>
      <c r="AJ14" s="365">
        <f t="shared" si="39"/>
        <v>0</v>
      </c>
      <c r="AK14" s="365">
        <f t="shared" si="40"/>
        <v>0</v>
      </c>
      <c r="AL14" s="365">
        <f t="shared" si="41"/>
        <v>0</v>
      </c>
      <c r="AM14" s="365">
        <f t="shared" si="42"/>
        <v>0</v>
      </c>
      <c r="AN14" s="365">
        <f t="shared" si="43"/>
        <v>0</v>
      </c>
      <c r="AO14" s="365">
        <f t="shared" si="64"/>
        <v>0</v>
      </c>
      <c r="AP14" s="365"/>
      <c r="AQ14" s="366">
        <f t="shared" si="44"/>
        <v>0</v>
      </c>
      <c r="AR14" s="367">
        <f t="shared" si="45"/>
        <v>0</v>
      </c>
      <c r="AS14" s="367">
        <f t="shared" si="46"/>
        <v>0</v>
      </c>
      <c r="AT14" s="367">
        <f t="shared" si="47"/>
        <v>0</v>
      </c>
      <c r="AU14" s="367">
        <f t="shared" si="48"/>
        <v>0</v>
      </c>
      <c r="AV14" s="367">
        <f t="shared" si="49"/>
        <v>0</v>
      </c>
      <c r="AW14" s="367">
        <f t="shared" si="65"/>
        <v>0</v>
      </c>
      <c r="AX14" s="367"/>
      <c r="AY14" s="368">
        <f t="shared" si="50"/>
        <v>0</v>
      </c>
      <c r="AZ14" s="369">
        <f t="shared" si="51"/>
        <v>0</v>
      </c>
      <c r="BA14" s="369">
        <f t="shared" si="52"/>
        <v>0</v>
      </c>
      <c r="BB14" s="369">
        <f t="shared" si="53"/>
        <v>0</v>
      </c>
      <c r="BC14" s="369">
        <f t="shared" si="54"/>
        <v>0</v>
      </c>
      <c r="BD14" s="369">
        <f t="shared" si="55"/>
        <v>0</v>
      </c>
      <c r="BE14" s="369">
        <f t="shared" si="66"/>
        <v>0</v>
      </c>
      <c r="BF14" s="369"/>
      <c r="BG14" s="370">
        <f t="shared" si="56"/>
        <v>0</v>
      </c>
      <c r="BH14" s="388">
        <f t="shared" si="57"/>
        <v>0</v>
      </c>
      <c r="BI14" s="388">
        <f t="shared" si="5"/>
        <v>0</v>
      </c>
      <c r="BJ14" s="388">
        <f t="shared" si="6"/>
        <v>0</v>
      </c>
      <c r="BK14" s="388">
        <f t="shared" si="7"/>
        <v>0</v>
      </c>
      <c r="BL14" s="388">
        <f t="shared" si="8"/>
        <v>0</v>
      </c>
      <c r="BM14" s="388">
        <f t="shared" si="67"/>
        <v>0</v>
      </c>
      <c r="BN14" s="388"/>
      <c r="BO14" s="389">
        <f t="shared" si="9"/>
        <v>0</v>
      </c>
      <c r="BP14" s="390">
        <f t="shared" si="58"/>
        <v>0</v>
      </c>
      <c r="BQ14" s="390">
        <f t="shared" si="10"/>
        <v>0</v>
      </c>
      <c r="BR14" s="390">
        <f t="shared" si="11"/>
        <v>0</v>
      </c>
      <c r="BS14" s="390">
        <f t="shared" si="12"/>
        <v>0</v>
      </c>
      <c r="BT14" s="390">
        <f t="shared" si="13"/>
        <v>0</v>
      </c>
      <c r="BU14" s="390">
        <f t="shared" si="68"/>
        <v>0</v>
      </c>
      <c r="BV14" s="390"/>
      <c r="BW14" s="391">
        <f t="shared" si="14"/>
        <v>0</v>
      </c>
      <c r="BX14" s="396">
        <f t="shared" si="59"/>
        <v>0</v>
      </c>
      <c r="BY14" s="396">
        <f t="shared" si="15"/>
        <v>0</v>
      </c>
      <c r="BZ14" s="396">
        <f t="shared" si="16"/>
        <v>0</v>
      </c>
      <c r="CA14" s="396">
        <f t="shared" si="17"/>
        <v>0</v>
      </c>
      <c r="CB14" s="396">
        <f t="shared" si="18"/>
        <v>0</v>
      </c>
      <c r="CC14" s="396">
        <f t="shared" si="69"/>
        <v>0</v>
      </c>
      <c r="CD14" s="396"/>
      <c r="CE14" s="393">
        <f t="shared" si="19"/>
        <v>0</v>
      </c>
      <c r="CF14" s="394">
        <f t="shared" si="60"/>
        <v>0</v>
      </c>
      <c r="CG14" s="394">
        <f t="shared" si="20"/>
        <v>0</v>
      </c>
      <c r="CH14" s="394">
        <f t="shared" si="21"/>
        <v>0</v>
      </c>
      <c r="CI14" s="394">
        <f t="shared" si="22"/>
        <v>0</v>
      </c>
      <c r="CJ14" s="394">
        <f t="shared" si="23"/>
        <v>0</v>
      </c>
      <c r="CK14" s="394">
        <f t="shared" si="70"/>
        <v>0</v>
      </c>
      <c r="CL14" s="394"/>
      <c r="CM14" s="395">
        <f t="shared" si="24"/>
        <v>0</v>
      </c>
      <c r="CP14" s="371" t="str">
        <v>PD0201</v>
      </c>
      <c r="CQ14" s="371" t="str">
        <v>PD0201</v>
      </c>
      <c r="CR14" s="371"/>
      <c r="CS14" s="371"/>
      <c r="CT14" s="371"/>
      <c r="CU14" s="371"/>
      <c r="CV14" s="348"/>
    </row>
    <row r="15" spans="1:100" ht="15" customHeight="1" thickTop="1" thickBot="1" x14ac:dyDescent="0.25">
      <c r="A15" s="372" t="str">
        <f>FREQUENCIAS!L$1</f>
        <v>Penta_D</v>
      </c>
      <c r="B15" s="404"/>
      <c r="C15" s="405"/>
      <c r="D15" s="405"/>
      <c r="E15" s="405"/>
      <c r="F15" s="405"/>
      <c r="G15" s="405"/>
      <c r="H15" s="405"/>
      <c r="I15" s="405"/>
      <c r="J15" s="405"/>
      <c r="K15" s="405"/>
      <c r="L15" s="359">
        <f t="shared" si="71"/>
        <v>0</v>
      </c>
      <c r="M15" s="359">
        <f t="shared" si="72"/>
        <v>0</v>
      </c>
      <c r="N15" s="359">
        <f t="shared" si="2"/>
        <v>0</v>
      </c>
      <c r="O15" s="359">
        <f t="shared" si="3"/>
        <v>0</v>
      </c>
      <c r="P15" s="359">
        <f t="shared" si="4"/>
        <v>0</v>
      </c>
      <c r="Q15" s="359">
        <f t="shared" si="61"/>
        <v>0</v>
      </c>
      <c r="R15" s="359"/>
      <c r="S15" s="360">
        <f t="shared" si="26"/>
        <v>0</v>
      </c>
      <c r="T15" s="361">
        <f t="shared" si="27"/>
        <v>0</v>
      </c>
      <c r="U15" s="361">
        <f t="shared" si="28"/>
        <v>0</v>
      </c>
      <c r="V15" s="361">
        <f t="shared" si="29"/>
        <v>0</v>
      </c>
      <c r="W15" s="361">
        <f t="shared" si="30"/>
        <v>0</v>
      </c>
      <c r="X15" s="361">
        <f t="shared" si="31"/>
        <v>0</v>
      </c>
      <c r="Y15" s="361">
        <f t="shared" si="62"/>
        <v>0</v>
      </c>
      <c r="Z15" s="361"/>
      <c r="AA15" s="362">
        <f t="shared" si="32"/>
        <v>0</v>
      </c>
      <c r="AB15" s="363">
        <f t="shared" si="33"/>
        <v>0</v>
      </c>
      <c r="AC15" s="363">
        <f t="shared" si="34"/>
        <v>0</v>
      </c>
      <c r="AD15" s="363">
        <f t="shared" si="35"/>
        <v>0</v>
      </c>
      <c r="AE15" s="363">
        <f t="shared" si="36"/>
        <v>0</v>
      </c>
      <c r="AF15" s="363">
        <f t="shared" si="37"/>
        <v>0</v>
      </c>
      <c r="AG15" s="363">
        <f t="shared" si="63"/>
        <v>0</v>
      </c>
      <c r="AH15" s="363"/>
      <c r="AI15" s="364">
        <f t="shared" si="38"/>
        <v>0</v>
      </c>
      <c r="AJ15" s="365">
        <f t="shared" si="39"/>
        <v>0</v>
      </c>
      <c r="AK15" s="365">
        <f t="shared" si="40"/>
        <v>0</v>
      </c>
      <c r="AL15" s="365">
        <f t="shared" si="41"/>
        <v>0</v>
      </c>
      <c r="AM15" s="365">
        <f t="shared" si="42"/>
        <v>0</v>
      </c>
      <c r="AN15" s="365">
        <f t="shared" si="43"/>
        <v>0</v>
      </c>
      <c r="AO15" s="365">
        <f t="shared" si="64"/>
        <v>0</v>
      </c>
      <c r="AP15" s="365"/>
      <c r="AQ15" s="366">
        <f t="shared" si="44"/>
        <v>0</v>
      </c>
      <c r="AR15" s="367">
        <f t="shared" si="45"/>
        <v>0</v>
      </c>
      <c r="AS15" s="367">
        <f t="shared" si="46"/>
        <v>0</v>
      </c>
      <c r="AT15" s="367">
        <f t="shared" si="47"/>
        <v>0</v>
      </c>
      <c r="AU15" s="367">
        <f t="shared" si="48"/>
        <v>0</v>
      </c>
      <c r="AV15" s="367">
        <f t="shared" si="49"/>
        <v>0</v>
      </c>
      <c r="AW15" s="367">
        <f t="shared" si="65"/>
        <v>0</v>
      </c>
      <c r="AX15" s="367"/>
      <c r="AY15" s="368">
        <f t="shared" si="50"/>
        <v>0</v>
      </c>
      <c r="AZ15" s="369">
        <f t="shared" si="51"/>
        <v>0</v>
      </c>
      <c r="BA15" s="369">
        <f t="shared" si="52"/>
        <v>0</v>
      </c>
      <c r="BB15" s="369">
        <f t="shared" si="53"/>
        <v>0</v>
      </c>
      <c r="BC15" s="369">
        <f t="shared" si="54"/>
        <v>0</v>
      </c>
      <c r="BD15" s="369">
        <f t="shared" si="55"/>
        <v>0</v>
      </c>
      <c r="BE15" s="369">
        <f t="shared" si="66"/>
        <v>0</v>
      </c>
      <c r="BF15" s="369"/>
      <c r="BG15" s="370">
        <f t="shared" si="56"/>
        <v>0</v>
      </c>
      <c r="BH15" s="388">
        <f t="shared" si="57"/>
        <v>0</v>
      </c>
      <c r="BI15" s="388">
        <f t="shared" si="5"/>
        <v>0</v>
      </c>
      <c r="BJ15" s="388">
        <f t="shared" si="6"/>
        <v>0</v>
      </c>
      <c r="BK15" s="388">
        <f t="shared" si="7"/>
        <v>0</v>
      </c>
      <c r="BL15" s="388">
        <f t="shared" si="8"/>
        <v>0</v>
      </c>
      <c r="BM15" s="388">
        <f t="shared" si="67"/>
        <v>0</v>
      </c>
      <c r="BN15" s="388"/>
      <c r="BO15" s="389">
        <f t="shared" si="9"/>
        <v>0</v>
      </c>
      <c r="BP15" s="390">
        <f t="shared" si="58"/>
        <v>0</v>
      </c>
      <c r="BQ15" s="390">
        <f t="shared" si="10"/>
        <v>0</v>
      </c>
      <c r="BR15" s="390">
        <f t="shared" si="11"/>
        <v>0</v>
      </c>
      <c r="BS15" s="390">
        <f t="shared" si="12"/>
        <v>0</v>
      </c>
      <c r="BT15" s="390">
        <f t="shared" si="13"/>
        <v>0</v>
      </c>
      <c r="BU15" s="390">
        <f t="shared" si="68"/>
        <v>0</v>
      </c>
      <c r="BV15" s="390"/>
      <c r="BW15" s="391">
        <f t="shared" si="14"/>
        <v>0</v>
      </c>
      <c r="BX15" s="396">
        <f t="shared" si="59"/>
        <v>0</v>
      </c>
      <c r="BY15" s="396">
        <f t="shared" si="15"/>
        <v>0</v>
      </c>
      <c r="BZ15" s="396">
        <f t="shared" si="16"/>
        <v>0</v>
      </c>
      <c r="CA15" s="396">
        <f t="shared" si="17"/>
        <v>0</v>
      </c>
      <c r="CB15" s="396">
        <f t="shared" si="18"/>
        <v>0</v>
      </c>
      <c r="CC15" s="396">
        <f t="shared" si="69"/>
        <v>0</v>
      </c>
      <c r="CD15" s="396"/>
      <c r="CE15" s="393">
        <f t="shared" si="19"/>
        <v>0</v>
      </c>
      <c r="CF15" s="394">
        <f t="shared" si="60"/>
        <v>0</v>
      </c>
      <c r="CG15" s="394">
        <f t="shared" si="20"/>
        <v>0</v>
      </c>
      <c r="CH15" s="394">
        <f t="shared" si="21"/>
        <v>0</v>
      </c>
      <c r="CI15" s="394">
        <f t="shared" si="22"/>
        <v>0</v>
      </c>
      <c r="CJ15" s="394">
        <f t="shared" si="23"/>
        <v>0</v>
      </c>
      <c r="CK15" s="394">
        <f t="shared" si="70"/>
        <v>0</v>
      </c>
      <c r="CL15" s="394"/>
      <c r="CM15" s="395">
        <f t="shared" si="24"/>
        <v>0</v>
      </c>
      <c r="CP15" s="371" t="str">
        <v>PD0201</v>
      </c>
      <c r="CQ15" s="371" t="str">
        <v>PD0201</v>
      </c>
      <c r="CR15" s="371"/>
      <c r="CS15" s="371"/>
      <c r="CT15" s="371"/>
      <c r="CU15" s="371"/>
      <c r="CV15" s="348"/>
    </row>
    <row r="16" spans="1:100" ht="15" customHeight="1" thickTop="1" thickBot="1" x14ac:dyDescent="0.25">
      <c r="A16" s="372" t="str">
        <f>FREQUENCIAS!M$1</f>
        <v>TH01</v>
      </c>
      <c r="B16" s="404"/>
      <c r="C16" s="405"/>
      <c r="D16" s="405"/>
      <c r="E16" s="405"/>
      <c r="F16" s="405"/>
      <c r="G16" s="405"/>
      <c r="H16" s="405"/>
      <c r="I16" s="405"/>
      <c r="J16" s="405"/>
      <c r="K16" s="405"/>
      <c r="L16" s="359">
        <f t="shared" si="71"/>
        <v>0</v>
      </c>
      <c r="M16" s="359">
        <f t="shared" si="72"/>
        <v>0</v>
      </c>
      <c r="N16" s="359">
        <f t="shared" si="2"/>
        <v>0</v>
      </c>
      <c r="O16" s="359">
        <f t="shared" si="3"/>
        <v>0</v>
      </c>
      <c r="P16" s="359">
        <f t="shared" si="4"/>
        <v>0</v>
      </c>
      <c r="Q16" s="359">
        <f t="shared" si="61"/>
        <v>0</v>
      </c>
      <c r="R16" s="359"/>
      <c r="S16" s="360">
        <f t="shared" si="26"/>
        <v>0</v>
      </c>
      <c r="T16" s="361">
        <f t="shared" si="27"/>
        <v>0</v>
      </c>
      <c r="U16" s="361">
        <f t="shared" si="28"/>
        <v>0</v>
      </c>
      <c r="V16" s="361">
        <f t="shared" si="29"/>
        <v>0</v>
      </c>
      <c r="W16" s="361">
        <f t="shared" si="30"/>
        <v>0</v>
      </c>
      <c r="X16" s="361">
        <f t="shared" si="31"/>
        <v>0</v>
      </c>
      <c r="Y16" s="361">
        <f t="shared" si="62"/>
        <v>0</v>
      </c>
      <c r="Z16" s="361"/>
      <c r="AA16" s="362">
        <f t="shared" si="32"/>
        <v>0</v>
      </c>
      <c r="AB16" s="363">
        <f t="shared" si="33"/>
        <v>0</v>
      </c>
      <c r="AC16" s="363">
        <f t="shared" si="34"/>
        <v>0</v>
      </c>
      <c r="AD16" s="363">
        <f t="shared" si="35"/>
        <v>0</v>
      </c>
      <c r="AE16" s="363">
        <f t="shared" si="36"/>
        <v>0</v>
      </c>
      <c r="AF16" s="363">
        <f t="shared" si="37"/>
        <v>0</v>
      </c>
      <c r="AG16" s="363">
        <f t="shared" si="63"/>
        <v>0</v>
      </c>
      <c r="AH16" s="363"/>
      <c r="AI16" s="364">
        <f t="shared" si="38"/>
        <v>0</v>
      </c>
      <c r="AJ16" s="365">
        <f t="shared" si="39"/>
        <v>0</v>
      </c>
      <c r="AK16" s="365">
        <f t="shared" si="40"/>
        <v>0</v>
      </c>
      <c r="AL16" s="365">
        <f t="shared" si="41"/>
        <v>0</v>
      </c>
      <c r="AM16" s="365">
        <f t="shared" si="42"/>
        <v>0</v>
      </c>
      <c r="AN16" s="365">
        <f t="shared" si="43"/>
        <v>0</v>
      </c>
      <c r="AO16" s="365">
        <f t="shared" si="64"/>
        <v>0</v>
      </c>
      <c r="AP16" s="365"/>
      <c r="AQ16" s="366">
        <f t="shared" si="44"/>
        <v>0</v>
      </c>
      <c r="AR16" s="367">
        <f t="shared" si="45"/>
        <v>0</v>
      </c>
      <c r="AS16" s="367">
        <f t="shared" si="46"/>
        <v>0</v>
      </c>
      <c r="AT16" s="367">
        <f t="shared" si="47"/>
        <v>0</v>
      </c>
      <c r="AU16" s="367">
        <f t="shared" si="48"/>
        <v>0</v>
      </c>
      <c r="AV16" s="367">
        <f t="shared" si="49"/>
        <v>0</v>
      </c>
      <c r="AW16" s="367">
        <f t="shared" si="65"/>
        <v>0</v>
      </c>
      <c r="AX16" s="367"/>
      <c r="AY16" s="368">
        <f t="shared" si="50"/>
        <v>0</v>
      </c>
      <c r="AZ16" s="369">
        <f t="shared" si="51"/>
        <v>0</v>
      </c>
      <c r="BA16" s="369">
        <f t="shared" si="52"/>
        <v>0</v>
      </c>
      <c r="BB16" s="369">
        <f t="shared" si="53"/>
        <v>0</v>
      </c>
      <c r="BC16" s="369">
        <f t="shared" si="54"/>
        <v>0</v>
      </c>
      <c r="BD16" s="369">
        <f t="shared" si="55"/>
        <v>0</v>
      </c>
      <c r="BE16" s="369">
        <f t="shared" si="66"/>
        <v>0</v>
      </c>
      <c r="BF16" s="369"/>
      <c r="BG16" s="370">
        <f t="shared" si="56"/>
        <v>0</v>
      </c>
      <c r="BH16" s="388">
        <f t="shared" si="57"/>
        <v>0</v>
      </c>
      <c r="BI16" s="388">
        <f t="shared" si="5"/>
        <v>0</v>
      </c>
      <c r="BJ16" s="388">
        <f t="shared" si="6"/>
        <v>0</v>
      </c>
      <c r="BK16" s="388">
        <f t="shared" si="7"/>
        <v>0</v>
      </c>
      <c r="BL16" s="388">
        <f t="shared" si="8"/>
        <v>0</v>
      </c>
      <c r="BM16" s="388">
        <f t="shared" si="67"/>
        <v>0</v>
      </c>
      <c r="BN16" s="388"/>
      <c r="BO16" s="389">
        <f t="shared" si="9"/>
        <v>0</v>
      </c>
      <c r="BP16" s="390">
        <f t="shared" si="58"/>
        <v>0</v>
      </c>
      <c r="BQ16" s="390">
        <f t="shared" si="10"/>
        <v>0</v>
      </c>
      <c r="BR16" s="390">
        <f t="shared" si="11"/>
        <v>0</v>
      </c>
      <c r="BS16" s="390">
        <f t="shared" si="12"/>
        <v>0</v>
      </c>
      <c r="BT16" s="390">
        <f t="shared" si="13"/>
        <v>0</v>
      </c>
      <c r="BU16" s="390">
        <f t="shared" si="68"/>
        <v>0</v>
      </c>
      <c r="BV16" s="390"/>
      <c r="BW16" s="391">
        <f t="shared" si="14"/>
        <v>0</v>
      </c>
      <c r="BX16" s="396">
        <f t="shared" si="59"/>
        <v>0</v>
      </c>
      <c r="BY16" s="396">
        <f t="shared" si="15"/>
        <v>0</v>
      </c>
      <c r="BZ16" s="396">
        <f t="shared" si="16"/>
        <v>0</v>
      </c>
      <c r="CA16" s="396">
        <f t="shared" si="17"/>
        <v>0</v>
      </c>
      <c r="CB16" s="396">
        <f t="shared" si="18"/>
        <v>0</v>
      </c>
      <c r="CC16" s="396">
        <f t="shared" si="69"/>
        <v>0</v>
      </c>
      <c r="CD16" s="396"/>
      <c r="CE16" s="393">
        <f t="shared" si="19"/>
        <v>0</v>
      </c>
      <c r="CF16" s="394">
        <f t="shared" si="60"/>
        <v>0</v>
      </c>
      <c r="CG16" s="394">
        <f t="shared" si="20"/>
        <v>0</v>
      </c>
      <c r="CH16" s="394">
        <f t="shared" si="21"/>
        <v>0</v>
      </c>
      <c r="CI16" s="394">
        <f t="shared" si="22"/>
        <v>0</v>
      </c>
      <c r="CJ16" s="394">
        <f t="shared" si="23"/>
        <v>0</v>
      </c>
      <c r="CK16" s="394">
        <f t="shared" si="70"/>
        <v>0</v>
      </c>
      <c r="CL16" s="394"/>
      <c r="CM16" s="395">
        <f t="shared" si="24"/>
        <v>0</v>
      </c>
      <c r="CP16" s="371" t="str">
        <v>PD0201</v>
      </c>
      <c r="CQ16" s="371" t="str">
        <v>PD0201</v>
      </c>
      <c r="CR16" s="371"/>
      <c r="CS16" s="371"/>
      <c r="CT16" s="371"/>
      <c r="CU16" s="371"/>
      <c r="CV16" s="348"/>
    </row>
    <row r="17" spans="1:100" ht="15" customHeight="1" thickTop="1" thickBot="1" x14ac:dyDescent="0.25">
      <c r="A17" s="372" t="str">
        <f>FREQUENCIAS!N$1</f>
        <v>vWA</v>
      </c>
      <c r="B17" s="404"/>
      <c r="C17" s="405"/>
      <c r="D17" s="405"/>
      <c r="E17" s="405"/>
      <c r="F17" s="405"/>
      <c r="G17" s="405"/>
      <c r="H17" s="405"/>
      <c r="I17" s="405"/>
      <c r="J17" s="405"/>
      <c r="K17" s="405"/>
      <c r="L17" s="400">
        <f t="shared" si="71"/>
        <v>0</v>
      </c>
      <c r="M17" s="374">
        <f t="shared" si="72"/>
        <v>0</v>
      </c>
      <c r="N17" s="374">
        <f t="shared" si="2"/>
        <v>0</v>
      </c>
      <c r="O17" s="374">
        <f t="shared" si="3"/>
        <v>0</v>
      </c>
      <c r="P17" s="374">
        <f t="shared" si="4"/>
        <v>0</v>
      </c>
      <c r="Q17" s="374">
        <f t="shared" si="61"/>
        <v>0</v>
      </c>
      <c r="R17" s="374"/>
      <c r="S17" s="360">
        <f>(IF((SUM(L17:R17)&lt;&gt;0),(SUM(L17:R17)),$B17))</f>
        <v>0</v>
      </c>
      <c r="T17" s="361">
        <f t="shared" si="27"/>
        <v>0</v>
      </c>
      <c r="U17" s="361">
        <f t="shared" si="28"/>
        <v>0</v>
      </c>
      <c r="V17" s="361">
        <f t="shared" si="29"/>
        <v>0</v>
      </c>
      <c r="W17" s="361">
        <f t="shared" si="30"/>
        <v>0</v>
      </c>
      <c r="X17" s="361">
        <f t="shared" si="31"/>
        <v>0</v>
      </c>
      <c r="Y17" s="361">
        <f t="shared" si="62"/>
        <v>0</v>
      </c>
      <c r="Z17" s="361"/>
      <c r="AA17" s="362">
        <f>(IF((SUM(T17:Z17)&lt;&gt;0),(SUM(T17:Z17)),$C17))</f>
        <v>0</v>
      </c>
      <c r="AB17" s="363">
        <f t="shared" si="33"/>
        <v>0</v>
      </c>
      <c r="AC17" s="363">
        <f t="shared" si="34"/>
        <v>0</v>
      </c>
      <c r="AD17" s="363">
        <f t="shared" si="35"/>
        <v>0</v>
      </c>
      <c r="AE17" s="363">
        <f t="shared" si="36"/>
        <v>0</v>
      </c>
      <c r="AF17" s="363">
        <f t="shared" si="37"/>
        <v>0</v>
      </c>
      <c r="AG17" s="363">
        <f t="shared" si="63"/>
        <v>0</v>
      </c>
      <c r="AH17" s="363"/>
      <c r="AI17" s="364">
        <f>(IF((SUM(AB17:AH17)&lt;&gt;0),(SUM(AB17:AH17)),$D17))</f>
        <v>0</v>
      </c>
      <c r="AJ17" s="365">
        <f t="shared" si="39"/>
        <v>0</v>
      </c>
      <c r="AK17" s="365">
        <f t="shared" si="40"/>
        <v>0</v>
      </c>
      <c r="AL17" s="365">
        <f t="shared" si="41"/>
        <v>0</v>
      </c>
      <c r="AM17" s="365">
        <f t="shared" si="42"/>
        <v>0</v>
      </c>
      <c r="AN17" s="365">
        <f t="shared" si="43"/>
        <v>0</v>
      </c>
      <c r="AO17" s="365">
        <f t="shared" si="64"/>
        <v>0</v>
      </c>
      <c r="AP17" s="365"/>
      <c r="AQ17" s="366">
        <f>(IF((SUM(AJ17:AP17)&lt;&gt;0),(SUM(AJ17:AP17)),$E17))</f>
        <v>0</v>
      </c>
      <c r="AR17" s="367">
        <f t="shared" si="45"/>
        <v>0</v>
      </c>
      <c r="AS17" s="367">
        <f t="shared" si="46"/>
        <v>0</v>
      </c>
      <c r="AT17" s="367">
        <f t="shared" si="47"/>
        <v>0</v>
      </c>
      <c r="AU17" s="367">
        <f t="shared" si="48"/>
        <v>0</v>
      </c>
      <c r="AV17" s="367">
        <f t="shared" si="49"/>
        <v>0</v>
      </c>
      <c r="AW17" s="367">
        <f t="shared" si="65"/>
        <v>0</v>
      </c>
      <c r="AX17" s="367"/>
      <c r="AY17" s="368">
        <f>(IF((SUM(AR17:AX17)&lt;&gt;0),(SUM(AR17:AX17)),$F17))</f>
        <v>0</v>
      </c>
      <c r="AZ17" s="369">
        <f t="shared" si="51"/>
        <v>0</v>
      </c>
      <c r="BA17" s="369">
        <f t="shared" si="52"/>
        <v>0</v>
      </c>
      <c r="BB17" s="369">
        <f t="shared" si="53"/>
        <v>0</v>
      </c>
      <c r="BC17" s="369">
        <f t="shared" si="54"/>
        <v>0</v>
      </c>
      <c r="BD17" s="369">
        <f t="shared" si="55"/>
        <v>0</v>
      </c>
      <c r="BE17" s="369">
        <f t="shared" si="66"/>
        <v>0</v>
      </c>
      <c r="BF17" s="369"/>
      <c r="BG17" s="370">
        <f>(IF((SUM(AZ17:BF17)&lt;&gt;0),(SUM(AZ17:BF17)),$G17))</f>
        <v>0</v>
      </c>
      <c r="BH17" s="388">
        <f t="shared" si="57"/>
        <v>0</v>
      </c>
      <c r="BI17" s="388">
        <f t="shared" si="5"/>
        <v>0</v>
      </c>
      <c r="BJ17" s="388">
        <f t="shared" si="6"/>
        <v>0</v>
      </c>
      <c r="BK17" s="388">
        <f t="shared" si="7"/>
        <v>0</v>
      </c>
      <c r="BL17" s="388">
        <f t="shared" si="8"/>
        <v>0</v>
      </c>
      <c r="BM17" s="388">
        <f t="shared" si="67"/>
        <v>0</v>
      </c>
      <c r="BN17" s="388"/>
      <c r="BO17" s="389">
        <f t="shared" si="9"/>
        <v>0</v>
      </c>
      <c r="BP17" s="390">
        <f t="shared" si="58"/>
        <v>0</v>
      </c>
      <c r="BQ17" s="390">
        <f t="shared" si="10"/>
        <v>0</v>
      </c>
      <c r="BR17" s="390">
        <f t="shared" si="11"/>
        <v>0</v>
      </c>
      <c r="BS17" s="390">
        <f t="shared" si="12"/>
        <v>0</v>
      </c>
      <c r="BT17" s="390">
        <f t="shared" si="13"/>
        <v>0</v>
      </c>
      <c r="BU17" s="390">
        <f t="shared" si="68"/>
        <v>0</v>
      </c>
      <c r="BV17" s="390"/>
      <c r="BW17" s="391">
        <f t="shared" si="14"/>
        <v>0</v>
      </c>
      <c r="BX17" s="396">
        <f t="shared" si="59"/>
        <v>0</v>
      </c>
      <c r="BY17" s="396">
        <f t="shared" si="15"/>
        <v>0</v>
      </c>
      <c r="BZ17" s="396">
        <f t="shared" si="16"/>
        <v>0</v>
      </c>
      <c r="CA17" s="396">
        <f t="shared" si="17"/>
        <v>0</v>
      </c>
      <c r="CB17" s="396">
        <f t="shared" si="18"/>
        <v>0</v>
      </c>
      <c r="CC17" s="396">
        <f t="shared" si="69"/>
        <v>0</v>
      </c>
      <c r="CD17" s="396"/>
      <c r="CE17" s="393">
        <f t="shared" si="19"/>
        <v>0</v>
      </c>
      <c r="CF17" s="394">
        <f t="shared" si="60"/>
        <v>0</v>
      </c>
      <c r="CG17" s="394">
        <f t="shared" si="20"/>
        <v>0</v>
      </c>
      <c r="CH17" s="394">
        <f t="shared" si="21"/>
        <v>0</v>
      </c>
      <c r="CI17" s="394">
        <f t="shared" si="22"/>
        <v>0</v>
      </c>
      <c r="CJ17" s="394">
        <f t="shared" si="23"/>
        <v>0</v>
      </c>
      <c r="CK17" s="394">
        <f t="shared" si="70"/>
        <v>0</v>
      </c>
      <c r="CL17" s="394"/>
      <c r="CM17" s="395">
        <f t="shared" si="24"/>
        <v>0</v>
      </c>
      <c r="CP17" s="371" t="str">
        <v>PD0201</v>
      </c>
      <c r="CQ17" s="371" t="str">
        <v>PD0201</v>
      </c>
      <c r="CR17" s="371"/>
      <c r="CS17" s="371"/>
      <c r="CT17" s="371"/>
      <c r="CU17" s="371"/>
      <c r="CV17" s="348"/>
    </row>
    <row r="18" spans="1:100" ht="15" customHeight="1" thickTop="1" thickBot="1" x14ac:dyDescent="0.25">
      <c r="A18" s="372" t="str">
        <f>FREQUENCIAS!O$1</f>
        <v>D21S11</v>
      </c>
      <c r="B18" s="404"/>
      <c r="C18" s="405"/>
      <c r="D18" s="405"/>
      <c r="E18" s="405"/>
      <c r="F18" s="405"/>
      <c r="G18" s="405"/>
      <c r="H18" s="405"/>
      <c r="I18" s="405"/>
      <c r="J18" s="405"/>
      <c r="K18" s="405"/>
      <c r="L18" s="359">
        <f t="shared" si="71"/>
        <v>0</v>
      </c>
      <c r="M18" s="359">
        <f t="shared" si="72"/>
        <v>0</v>
      </c>
      <c r="N18" s="359">
        <f t="shared" si="2"/>
        <v>0</v>
      </c>
      <c r="O18" s="359">
        <f t="shared" si="3"/>
        <v>0</v>
      </c>
      <c r="P18" s="359">
        <f t="shared" si="4"/>
        <v>0</v>
      </c>
      <c r="Q18" s="359">
        <f t="shared" si="61"/>
        <v>0</v>
      </c>
      <c r="R18" s="359"/>
      <c r="S18" s="360">
        <f t="shared" si="26"/>
        <v>0</v>
      </c>
      <c r="T18" s="361">
        <f t="shared" si="27"/>
        <v>0</v>
      </c>
      <c r="U18" s="361">
        <f t="shared" si="28"/>
        <v>0</v>
      </c>
      <c r="V18" s="361">
        <f t="shared" si="29"/>
        <v>0</v>
      </c>
      <c r="W18" s="361">
        <f t="shared" si="30"/>
        <v>0</v>
      </c>
      <c r="X18" s="361">
        <f t="shared" si="31"/>
        <v>0</v>
      </c>
      <c r="Y18" s="361">
        <f t="shared" si="62"/>
        <v>0</v>
      </c>
      <c r="Z18" s="361"/>
      <c r="AA18" s="362">
        <f t="shared" si="32"/>
        <v>0</v>
      </c>
      <c r="AB18" s="363">
        <f t="shared" si="33"/>
        <v>0</v>
      </c>
      <c r="AC18" s="363">
        <f t="shared" si="34"/>
        <v>0</v>
      </c>
      <c r="AD18" s="363">
        <f t="shared" si="35"/>
        <v>0</v>
      </c>
      <c r="AE18" s="363">
        <f t="shared" si="36"/>
        <v>0</v>
      </c>
      <c r="AF18" s="363">
        <f t="shared" si="37"/>
        <v>0</v>
      </c>
      <c r="AG18" s="363">
        <f t="shared" si="63"/>
        <v>0</v>
      </c>
      <c r="AH18" s="363"/>
      <c r="AI18" s="364">
        <f t="shared" si="38"/>
        <v>0</v>
      </c>
      <c r="AJ18" s="365">
        <f t="shared" si="39"/>
        <v>0</v>
      </c>
      <c r="AK18" s="365">
        <f t="shared" si="40"/>
        <v>0</v>
      </c>
      <c r="AL18" s="365">
        <f t="shared" si="41"/>
        <v>0</v>
      </c>
      <c r="AM18" s="365">
        <f t="shared" si="42"/>
        <v>0</v>
      </c>
      <c r="AN18" s="365">
        <f t="shared" si="43"/>
        <v>0</v>
      </c>
      <c r="AO18" s="365">
        <f t="shared" si="64"/>
        <v>0</v>
      </c>
      <c r="AP18" s="365"/>
      <c r="AQ18" s="366">
        <f t="shared" si="44"/>
        <v>0</v>
      </c>
      <c r="AR18" s="367">
        <f t="shared" si="45"/>
        <v>0</v>
      </c>
      <c r="AS18" s="367">
        <f t="shared" si="46"/>
        <v>0</v>
      </c>
      <c r="AT18" s="367">
        <f t="shared" si="47"/>
        <v>0</v>
      </c>
      <c r="AU18" s="367">
        <f t="shared" si="48"/>
        <v>0</v>
      </c>
      <c r="AV18" s="367">
        <f t="shared" si="49"/>
        <v>0</v>
      </c>
      <c r="AW18" s="367">
        <f t="shared" si="65"/>
        <v>0</v>
      </c>
      <c r="AX18" s="367"/>
      <c r="AY18" s="368">
        <f t="shared" si="50"/>
        <v>0</v>
      </c>
      <c r="AZ18" s="369">
        <f t="shared" si="51"/>
        <v>0</v>
      </c>
      <c r="BA18" s="369">
        <f t="shared" si="52"/>
        <v>0</v>
      </c>
      <c r="BB18" s="369">
        <f t="shared" si="53"/>
        <v>0</v>
      </c>
      <c r="BC18" s="369">
        <f t="shared" si="54"/>
        <v>0</v>
      </c>
      <c r="BD18" s="369">
        <f t="shared" si="55"/>
        <v>0</v>
      </c>
      <c r="BE18" s="369">
        <f t="shared" si="66"/>
        <v>0</v>
      </c>
      <c r="BF18" s="369"/>
      <c r="BG18" s="370">
        <f t="shared" si="56"/>
        <v>0</v>
      </c>
      <c r="BH18" s="388">
        <f t="shared" si="57"/>
        <v>0</v>
      </c>
      <c r="BI18" s="388">
        <f t="shared" si="5"/>
        <v>0</v>
      </c>
      <c r="BJ18" s="388">
        <f t="shared" si="6"/>
        <v>0</v>
      </c>
      <c r="BK18" s="388">
        <f t="shared" si="7"/>
        <v>0</v>
      </c>
      <c r="BL18" s="388">
        <f t="shared" si="8"/>
        <v>0</v>
      </c>
      <c r="BM18" s="388">
        <f t="shared" si="67"/>
        <v>0</v>
      </c>
      <c r="BN18" s="388"/>
      <c r="BO18" s="389">
        <f t="shared" si="9"/>
        <v>0</v>
      </c>
      <c r="BP18" s="390">
        <f t="shared" si="58"/>
        <v>0</v>
      </c>
      <c r="BQ18" s="390">
        <f t="shared" si="10"/>
        <v>0</v>
      </c>
      <c r="BR18" s="390">
        <f t="shared" si="11"/>
        <v>0</v>
      </c>
      <c r="BS18" s="390">
        <f t="shared" si="12"/>
        <v>0</v>
      </c>
      <c r="BT18" s="390">
        <f t="shared" si="13"/>
        <v>0</v>
      </c>
      <c r="BU18" s="390">
        <f t="shared" si="68"/>
        <v>0</v>
      </c>
      <c r="BV18" s="390"/>
      <c r="BW18" s="391">
        <f t="shared" si="14"/>
        <v>0</v>
      </c>
      <c r="BX18" s="396">
        <f t="shared" si="59"/>
        <v>0</v>
      </c>
      <c r="BY18" s="396">
        <f t="shared" si="15"/>
        <v>0</v>
      </c>
      <c r="BZ18" s="396">
        <f t="shared" si="16"/>
        <v>0</v>
      </c>
      <c r="CA18" s="396">
        <f t="shared" si="17"/>
        <v>0</v>
      </c>
      <c r="CB18" s="396">
        <f t="shared" si="18"/>
        <v>0</v>
      </c>
      <c r="CC18" s="396">
        <f t="shared" si="69"/>
        <v>0</v>
      </c>
      <c r="CD18" s="396"/>
      <c r="CE18" s="393">
        <f t="shared" si="19"/>
        <v>0</v>
      </c>
      <c r="CF18" s="394">
        <f t="shared" si="60"/>
        <v>0</v>
      </c>
      <c r="CG18" s="394">
        <f t="shared" si="20"/>
        <v>0</v>
      </c>
      <c r="CH18" s="394">
        <f t="shared" si="21"/>
        <v>0</v>
      </c>
      <c r="CI18" s="394">
        <f t="shared" si="22"/>
        <v>0</v>
      </c>
      <c r="CJ18" s="394">
        <f t="shared" si="23"/>
        <v>0</v>
      </c>
      <c r="CK18" s="394">
        <f t="shared" si="70"/>
        <v>0</v>
      </c>
      <c r="CL18" s="394"/>
      <c r="CM18" s="395">
        <f t="shared" si="24"/>
        <v>0</v>
      </c>
      <c r="CP18" s="371" t="str">
        <v>PD0201</v>
      </c>
      <c r="CQ18" s="371" t="str">
        <v>PD0201</v>
      </c>
      <c r="CR18" s="371"/>
      <c r="CS18" s="371"/>
      <c r="CT18" s="371"/>
      <c r="CU18" s="371"/>
      <c r="CV18" s="348"/>
    </row>
    <row r="19" spans="1:100" ht="15" customHeight="1" thickTop="1" thickBot="1" x14ac:dyDescent="0.25">
      <c r="A19" s="372" t="str">
        <f>FREQUENCIAS!P$1</f>
        <v>D7S820</v>
      </c>
      <c r="B19" s="404"/>
      <c r="C19" s="405"/>
      <c r="D19" s="405"/>
      <c r="E19" s="405"/>
      <c r="F19" s="405"/>
      <c r="G19" s="405"/>
      <c r="H19" s="405"/>
      <c r="I19" s="405"/>
      <c r="J19" s="405"/>
      <c r="K19" s="405"/>
      <c r="L19" s="359">
        <f t="shared" si="71"/>
        <v>0</v>
      </c>
      <c r="M19" s="359">
        <f t="shared" si="72"/>
        <v>0</v>
      </c>
      <c r="N19" s="359">
        <f t="shared" si="2"/>
        <v>0</v>
      </c>
      <c r="O19" s="359">
        <f t="shared" si="3"/>
        <v>0</v>
      </c>
      <c r="P19" s="359">
        <f t="shared" si="4"/>
        <v>0</v>
      </c>
      <c r="Q19" s="359">
        <f>((IF(($B19="34.1"),34.1,((IF(($B19="35.1"),35.1,((IF(($B19=38733),16.1,((IF(($B19=38768),20.2,((IF(($B19=38774),26.2,((IF(($B19=38769),21.2,((IF(($B19=38770),22.2,0)))))))))))))))))))))</f>
        <v>0</v>
      </c>
      <c r="R19" s="359">
        <f>((IF(($B19=38771),23.2,((IF(($B19=38800),24.3,((IF(($B19=38798),22.3,0)))))))))</f>
        <v>0</v>
      </c>
      <c r="S19" s="360">
        <f>(IF((SUM(L19:R19)&lt;&gt;0),(SUM(L19:R19)),$B19))</f>
        <v>0</v>
      </c>
      <c r="T19" s="361">
        <f t="shared" si="27"/>
        <v>0</v>
      </c>
      <c r="U19" s="361">
        <f t="shared" si="28"/>
        <v>0</v>
      </c>
      <c r="V19" s="361">
        <f t="shared" si="29"/>
        <v>0</v>
      </c>
      <c r="W19" s="361">
        <f t="shared" si="30"/>
        <v>0</v>
      </c>
      <c r="X19" s="361">
        <f t="shared" si="31"/>
        <v>0</v>
      </c>
      <c r="Y19" s="361">
        <f>((IF(($C19="34.1"),34.1,((IF(($C19="35.1"),35.1,((IF(($C19=38733),16.1,((IF(($C19=38768),20.2,((IF(($C19=38774),26.2,((IF(($C19=38769),21.2,((IF(($C19=38770),22.2,0)))))))))))))))))))))</f>
        <v>0</v>
      </c>
      <c r="Z19" s="361">
        <f>((IF(($C19=38771),23.2,((IF(($C19=38800),24.3,((IF(($C19=38798),22.3,0)))))))))</f>
        <v>0</v>
      </c>
      <c r="AA19" s="362">
        <f>(IF((SUM(T19:Z19)&lt;&gt;0),(SUM(T19:Z19)),$C19))</f>
        <v>0</v>
      </c>
      <c r="AB19" s="363">
        <f t="shared" si="33"/>
        <v>0</v>
      </c>
      <c r="AC19" s="363">
        <f t="shared" si="34"/>
        <v>0</v>
      </c>
      <c r="AD19" s="363">
        <f t="shared" si="35"/>
        <v>0</v>
      </c>
      <c r="AE19" s="363">
        <f t="shared" si="36"/>
        <v>0</v>
      </c>
      <c r="AF19" s="363">
        <f t="shared" si="37"/>
        <v>0</v>
      </c>
      <c r="AG19" s="363">
        <f>((IF(($D19="34.1"),34.1,((IF(($D19="35.1"),35.1,((IF(($D19=38733),16.1,((IF(($D19=38768),20.2,((IF(($D19=38774),26.2,((IF(($D19=38769),21.2,((IF(($D19=38770),22.2,0)))))))))))))))))))))</f>
        <v>0</v>
      </c>
      <c r="AH19" s="363">
        <f>((IF(($D19=38771),23.2,((IF(($D19=38800),24.3,((IF(($D19=38798),22.3,0)))))))))</f>
        <v>0</v>
      </c>
      <c r="AI19" s="364">
        <f>(IF((SUM(AB19:AH19)&lt;&gt;0),(SUM(AB19:AH19)),$D19))</f>
        <v>0</v>
      </c>
      <c r="AJ19" s="365">
        <f t="shared" si="39"/>
        <v>0</v>
      </c>
      <c r="AK19" s="365">
        <f t="shared" si="40"/>
        <v>0</v>
      </c>
      <c r="AL19" s="365">
        <f t="shared" si="41"/>
        <v>0</v>
      </c>
      <c r="AM19" s="365">
        <f t="shared" si="42"/>
        <v>0</v>
      </c>
      <c r="AN19" s="365">
        <f t="shared" si="43"/>
        <v>0</v>
      </c>
      <c r="AO19" s="365">
        <f>((IF(($E19="34.1"),34.1,((IF(($E19="35.1"),35.1,((IF(($E19=38733),16.1,((IF(($E19=38768),20.2,((IF(($E19=38774),26.2,((IF(($E19=38769),21.2,((IF(($E19=38770),22.2,0)))))))))))))))))))))</f>
        <v>0</v>
      </c>
      <c r="AP19" s="365">
        <f>((IF(($E19=38771),23.2,((IF(($E19=38800),24.3,((IF(($E19=38798),22.3,0)))))))))</f>
        <v>0</v>
      </c>
      <c r="AQ19" s="366">
        <f>(IF((SUM(AJ19:AP19)&lt;&gt;0),(SUM(AJ19:AP19)),$E19))</f>
        <v>0</v>
      </c>
      <c r="AR19" s="367">
        <f t="shared" si="45"/>
        <v>0</v>
      </c>
      <c r="AS19" s="367">
        <f t="shared" si="46"/>
        <v>0</v>
      </c>
      <c r="AT19" s="367">
        <f t="shared" si="47"/>
        <v>0</v>
      </c>
      <c r="AU19" s="367">
        <f t="shared" si="48"/>
        <v>0</v>
      </c>
      <c r="AV19" s="367">
        <f t="shared" si="49"/>
        <v>0</v>
      </c>
      <c r="AW19" s="367">
        <f>((IF(($F19="34.1"),34.1,((IF(($F19="35.1"),35.1,((IF(($F19=38733),16.1,((IF(($F19=38768),20.2,((IF(($F19=38774),26.2,((IF(($F19=38769),21.2,((IF(($F19=38770),22.2,0)))))))))))))))))))))</f>
        <v>0</v>
      </c>
      <c r="AX19" s="367">
        <f>((IF(($F19=38771),23.2,((IF(($F19=38800),24.3,((IF(($F19=38798),22.3,0)))))))))</f>
        <v>0</v>
      </c>
      <c r="AY19" s="368">
        <f>(IF((SUM(AR19:AX19)&lt;&gt;0),(SUM(AR19:AX19)),$F19))</f>
        <v>0</v>
      </c>
      <c r="AZ19" s="369">
        <f t="shared" si="51"/>
        <v>0</v>
      </c>
      <c r="BA19" s="369">
        <f t="shared" si="52"/>
        <v>0</v>
      </c>
      <c r="BB19" s="369">
        <f t="shared" si="53"/>
        <v>0</v>
      </c>
      <c r="BC19" s="369">
        <f t="shared" si="54"/>
        <v>0</v>
      </c>
      <c r="BD19" s="369">
        <f t="shared" si="55"/>
        <v>0</v>
      </c>
      <c r="BE19" s="369">
        <f>((IF(($G19="34.1"),34.1,((IF(($G19="35.1"),35.1,((IF(($G19=38733),16.1,((IF(($G19=38768),20.2,((IF(($G19=38774),26.2,((IF(($G19=38769),21.2,((IF(($G19=38770),22.2,0)))))))))))))))))))))</f>
        <v>0</v>
      </c>
      <c r="BF19" s="369">
        <f>((IF(($G19=38771),23.2,((IF(($G19=38800),24.3,((IF(($G19=38798),22.3,0)))))))))</f>
        <v>0</v>
      </c>
      <c r="BG19" s="370">
        <f>(IF((SUM(AZ19:BF19)&lt;&gt;0),(SUM(AZ19:BF19)),$G19))</f>
        <v>0</v>
      </c>
      <c r="BH19" s="388">
        <f t="shared" si="57"/>
        <v>0</v>
      </c>
      <c r="BI19" s="388">
        <f t="shared" si="5"/>
        <v>0</v>
      </c>
      <c r="BJ19" s="388">
        <f t="shared" si="6"/>
        <v>0</v>
      </c>
      <c r="BK19" s="388">
        <f t="shared" si="7"/>
        <v>0</v>
      </c>
      <c r="BL19" s="388">
        <f t="shared" si="8"/>
        <v>0</v>
      </c>
      <c r="BM19" s="388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88">
        <f t="shared" ref="BN19:BN38" si="74">((IF(($H19=38771),23.2,((IF(($H19=38800),24.3,((IF(($H19=38798),22.3,0)))))))))</f>
        <v>0</v>
      </c>
      <c r="BO19" s="389">
        <f t="shared" si="9"/>
        <v>0</v>
      </c>
      <c r="BP19" s="390">
        <f t="shared" si="58"/>
        <v>0</v>
      </c>
      <c r="BQ19" s="390">
        <f t="shared" si="10"/>
        <v>0</v>
      </c>
      <c r="BR19" s="390">
        <f t="shared" si="11"/>
        <v>0</v>
      </c>
      <c r="BS19" s="390">
        <f t="shared" si="12"/>
        <v>0</v>
      </c>
      <c r="BT19" s="390">
        <f t="shared" si="13"/>
        <v>0</v>
      </c>
      <c r="BU19" s="390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90">
        <f t="shared" ref="BV19:BV38" si="76">((IF(($I19=38771),23.2,((IF(($I19=38800),24.3,((IF(($I19=38798),22.3,0)))))))))</f>
        <v>0</v>
      </c>
      <c r="BW19" s="391">
        <f t="shared" si="14"/>
        <v>0</v>
      </c>
      <c r="BX19" s="397">
        <f t="shared" si="59"/>
        <v>0</v>
      </c>
      <c r="BY19" s="396">
        <f t="shared" si="15"/>
        <v>0</v>
      </c>
      <c r="BZ19" s="396">
        <f t="shared" si="16"/>
        <v>0</v>
      </c>
      <c r="CA19" s="396">
        <f t="shared" si="17"/>
        <v>0</v>
      </c>
      <c r="CB19" s="396">
        <f t="shared" si="18"/>
        <v>0</v>
      </c>
      <c r="CC19" s="396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96">
        <f t="shared" ref="CD19:CD38" si="78">((IF(($J19=38771),23.2,((IF(($J19=38800),24.3,((IF(($J19=38798),22.3,0)))))))))</f>
        <v>0</v>
      </c>
      <c r="CE19" s="393">
        <f t="shared" si="19"/>
        <v>0</v>
      </c>
      <c r="CF19" s="394">
        <f t="shared" si="60"/>
        <v>0</v>
      </c>
      <c r="CG19" s="394">
        <f t="shared" si="20"/>
        <v>0</v>
      </c>
      <c r="CH19" s="394">
        <f t="shared" si="21"/>
        <v>0</v>
      </c>
      <c r="CI19" s="394">
        <f t="shared" si="22"/>
        <v>0</v>
      </c>
      <c r="CJ19" s="394">
        <f t="shared" si="23"/>
        <v>0</v>
      </c>
      <c r="CK19" s="394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94">
        <f t="shared" ref="CL19:CL38" si="80">((IF(($K19=38771),23.2,((IF(($K19=38800),24.3,((IF(($K19=38798),22.3,0)))))))))</f>
        <v>0</v>
      </c>
      <c r="CM19" s="395">
        <f t="shared" si="24"/>
        <v>0</v>
      </c>
      <c r="CP19" s="371" t="str">
        <v>PD0201</v>
      </c>
      <c r="CQ19" s="371" t="str">
        <v>PD0201</v>
      </c>
      <c r="CR19" s="371"/>
      <c r="CS19" s="371"/>
      <c r="CT19" s="371"/>
      <c r="CU19" s="371"/>
      <c r="CV19" s="348"/>
    </row>
    <row r="20" spans="1:100" ht="15" customHeight="1" thickTop="1" thickBot="1" x14ac:dyDescent="0.25">
      <c r="A20" s="372" t="str">
        <f>FREQUENCIAS!Q$1</f>
        <v>D5S818</v>
      </c>
      <c r="B20" s="404"/>
      <c r="C20" s="405"/>
      <c r="D20" s="405"/>
      <c r="E20" s="405"/>
      <c r="F20" s="405"/>
      <c r="G20" s="405"/>
      <c r="H20" s="405"/>
      <c r="I20" s="405"/>
      <c r="J20" s="405"/>
      <c r="K20" s="405"/>
      <c r="L20" s="359">
        <f t="shared" si="71"/>
        <v>0</v>
      </c>
      <c r="M20" s="359">
        <f t="shared" si="72"/>
        <v>0</v>
      </c>
      <c r="N20" s="359">
        <f t="shared" si="2"/>
        <v>0</v>
      </c>
      <c r="O20" s="359">
        <f t="shared" si="3"/>
        <v>0</v>
      </c>
      <c r="P20" s="359">
        <f t="shared" si="4"/>
        <v>0</v>
      </c>
      <c r="Q20" s="359">
        <f>((IF(($B20="34.1"),34.1,((IF(($B20="35.1"),35.1,((IF(($B20=38733),16.1,((IF(($B20=38768),20.2,((IF(($B20=38774),26.2,0)))))))))))))))</f>
        <v>0</v>
      </c>
      <c r="R20" s="359"/>
      <c r="S20" s="360">
        <f t="shared" ref="S20:S26" si="81">(IF((SUM(L20:R20)&lt;&gt;0),(SUM(L20:R20)),$B20))</f>
        <v>0</v>
      </c>
      <c r="T20" s="361">
        <f t="shared" si="27"/>
        <v>0</v>
      </c>
      <c r="U20" s="361">
        <f t="shared" si="28"/>
        <v>0</v>
      </c>
      <c r="V20" s="361">
        <f t="shared" si="29"/>
        <v>0</v>
      </c>
      <c r="W20" s="361">
        <f t="shared" si="30"/>
        <v>0</v>
      </c>
      <c r="X20" s="361">
        <f t="shared" si="31"/>
        <v>0</v>
      </c>
      <c r="Y20" s="361">
        <f>((IF(($C20="34.1"),34.1,((IF(($C20="35.1"),35.1,((IF(($C20=38733),16.1,((IF(($C20=38768),20.2,((IF(($C20=38774),26.2,((IF(($C20=38771),23.2,0))))))))))))))))))</f>
        <v>0</v>
      </c>
      <c r="Z20" s="361"/>
      <c r="AA20" s="362">
        <f t="shared" ref="AA20:AA26" si="82">(IF((SUM(T20:Z20)&lt;&gt;0),(SUM(T20:Z20)),$C20))</f>
        <v>0</v>
      </c>
      <c r="AB20" s="363">
        <f t="shared" si="33"/>
        <v>0</v>
      </c>
      <c r="AC20" s="363">
        <f t="shared" si="34"/>
        <v>0</v>
      </c>
      <c r="AD20" s="363">
        <f t="shared" si="35"/>
        <v>0</v>
      </c>
      <c r="AE20" s="363">
        <f t="shared" si="36"/>
        <v>0</v>
      </c>
      <c r="AF20" s="363">
        <f t="shared" si="37"/>
        <v>0</v>
      </c>
      <c r="AG20" s="363">
        <f>((IF(($D20="34.1"),34.1,((IF(($D20="35.1"),35.1,((IF(($D20=38733),16.1,((IF(($D20=38768),20.2,((IF(($D20=38774),26.2,0)))))))))))))))</f>
        <v>0</v>
      </c>
      <c r="AH20" s="363"/>
      <c r="AI20" s="364">
        <f t="shared" ref="AI20:AI26" si="83">(IF((SUM(AB20:AH20)&lt;&gt;0),(SUM(AB20:AH20)),$D20))</f>
        <v>0</v>
      </c>
      <c r="AJ20" s="365">
        <f t="shared" si="39"/>
        <v>0</v>
      </c>
      <c r="AK20" s="365">
        <f t="shared" si="40"/>
        <v>0</v>
      </c>
      <c r="AL20" s="365">
        <f t="shared" si="41"/>
        <v>0</v>
      </c>
      <c r="AM20" s="365">
        <f t="shared" si="42"/>
        <v>0</v>
      </c>
      <c r="AN20" s="365">
        <f t="shared" si="43"/>
        <v>0</v>
      </c>
      <c r="AO20" s="365">
        <f>((IF(($E20="34.1"),34.1,((IF(($E20="35.1"),35.1,((IF(($E20=38733),16.1,((IF(($E20=38768),20.2,((IF(($E20=38774),26.2,((IF(($E20=38771),23.2,0))))))))))))))))))</f>
        <v>0</v>
      </c>
      <c r="AP20" s="365"/>
      <c r="AQ20" s="366">
        <f t="shared" ref="AQ20:AQ26" si="84">(IF((SUM(AJ20:AP20)&lt;&gt;0),(SUM(AJ20:AP20)),$E20))</f>
        <v>0</v>
      </c>
      <c r="AR20" s="367">
        <f t="shared" si="45"/>
        <v>0</v>
      </c>
      <c r="AS20" s="367">
        <f t="shared" si="46"/>
        <v>0</v>
      </c>
      <c r="AT20" s="367">
        <f t="shared" si="47"/>
        <v>0</v>
      </c>
      <c r="AU20" s="367">
        <f t="shared" si="48"/>
        <v>0</v>
      </c>
      <c r="AV20" s="367">
        <f t="shared" si="49"/>
        <v>0</v>
      </c>
      <c r="AW20" s="367">
        <f>((IF(($F20="34.1"),34.1,((IF(($F20="35.1"),35.1,((IF(($F20=38733),16.1,((IF(($F20=38768),20.2,((IF(($F20=38774),26.2,0)))))))))))))))</f>
        <v>0</v>
      </c>
      <c r="AX20" s="367"/>
      <c r="AY20" s="368">
        <f t="shared" ref="AY20:AY26" si="85">(IF((SUM(AR20:AX20)&lt;&gt;0),(SUM(AR20:AX20)),$F20))</f>
        <v>0</v>
      </c>
      <c r="AZ20" s="369">
        <f t="shared" si="51"/>
        <v>0</v>
      </c>
      <c r="BA20" s="369">
        <f t="shared" si="52"/>
        <v>0</v>
      </c>
      <c r="BB20" s="369">
        <f t="shared" si="53"/>
        <v>0</v>
      </c>
      <c r="BC20" s="369">
        <f t="shared" si="54"/>
        <v>0</v>
      </c>
      <c r="BD20" s="369">
        <f t="shared" si="55"/>
        <v>0</v>
      </c>
      <c r="BE20" s="369">
        <f>((IF(($G20="34.1"),34.1,((IF(($G20="35.1"),35.1,((IF(($G20=38733),16.1,((IF(($G20=38768),20.2,((IF(($G20=38774),26.2,((IF(($G20=38771),23.2,0))))))))))))))))))</f>
        <v>0</v>
      </c>
      <c r="BF20" s="369"/>
      <c r="BG20" s="370">
        <f t="shared" ref="BG20:BG26" si="86">(IF((SUM(AZ20:BF20)&lt;&gt;0),(SUM(AZ20:BF20)),$G20))</f>
        <v>0</v>
      </c>
      <c r="BH20" s="388">
        <f t="shared" si="57"/>
        <v>0</v>
      </c>
      <c r="BI20" s="388">
        <f t="shared" si="5"/>
        <v>0</v>
      </c>
      <c r="BJ20" s="388">
        <f t="shared" si="6"/>
        <v>0</v>
      </c>
      <c r="BK20" s="388">
        <f t="shared" si="7"/>
        <v>0</v>
      </c>
      <c r="BL20" s="388">
        <f t="shared" si="8"/>
        <v>0</v>
      </c>
      <c r="BM20" s="388">
        <f t="shared" si="73"/>
        <v>0</v>
      </c>
      <c r="BN20" s="388">
        <f t="shared" si="74"/>
        <v>0</v>
      </c>
      <c r="BO20" s="389">
        <f t="shared" si="9"/>
        <v>0</v>
      </c>
      <c r="BP20" s="390">
        <f t="shared" si="58"/>
        <v>0</v>
      </c>
      <c r="BQ20" s="390">
        <f t="shared" si="10"/>
        <v>0</v>
      </c>
      <c r="BR20" s="390">
        <f t="shared" si="11"/>
        <v>0</v>
      </c>
      <c r="BS20" s="390">
        <f t="shared" si="12"/>
        <v>0</v>
      </c>
      <c r="BT20" s="390">
        <f t="shared" si="13"/>
        <v>0</v>
      </c>
      <c r="BU20" s="390">
        <f t="shared" si="75"/>
        <v>0</v>
      </c>
      <c r="BV20" s="390">
        <f t="shared" si="76"/>
        <v>0</v>
      </c>
      <c r="BW20" s="391">
        <f t="shared" si="14"/>
        <v>0</v>
      </c>
      <c r="BX20" s="397">
        <f t="shared" si="59"/>
        <v>0</v>
      </c>
      <c r="BY20" s="396">
        <f t="shared" si="15"/>
        <v>0</v>
      </c>
      <c r="BZ20" s="396">
        <f t="shared" si="16"/>
        <v>0</v>
      </c>
      <c r="CA20" s="396">
        <f t="shared" si="17"/>
        <v>0</v>
      </c>
      <c r="CB20" s="396">
        <f t="shared" si="18"/>
        <v>0</v>
      </c>
      <c r="CC20" s="396">
        <f t="shared" si="77"/>
        <v>0</v>
      </c>
      <c r="CD20" s="396">
        <f t="shared" si="78"/>
        <v>0</v>
      </c>
      <c r="CE20" s="393">
        <f t="shared" si="19"/>
        <v>0</v>
      </c>
      <c r="CF20" s="394">
        <f t="shared" si="60"/>
        <v>0</v>
      </c>
      <c r="CG20" s="394">
        <f t="shared" si="20"/>
        <v>0</v>
      </c>
      <c r="CH20" s="394">
        <f t="shared" si="21"/>
        <v>0</v>
      </c>
      <c r="CI20" s="394">
        <f t="shared" si="22"/>
        <v>0</v>
      </c>
      <c r="CJ20" s="394">
        <f t="shared" si="23"/>
        <v>0</v>
      </c>
      <c r="CK20" s="394">
        <f t="shared" si="79"/>
        <v>0</v>
      </c>
      <c r="CL20" s="394">
        <f t="shared" si="80"/>
        <v>0</v>
      </c>
      <c r="CM20" s="395">
        <f t="shared" si="24"/>
        <v>0</v>
      </c>
      <c r="CP20" s="371" t="str">
        <v>PD0201</v>
      </c>
      <c r="CQ20" s="371" t="str">
        <v>PD0201</v>
      </c>
      <c r="CR20" s="371"/>
      <c r="CS20" s="371"/>
      <c r="CT20" s="371"/>
      <c r="CU20" s="371"/>
      <c r="CV20" s="348"/>
    </row>
    <row r="21" spans="1:100" ht="15" customHeight="1" thickTop="1" thickBot="1" x14ac:dyDescent="0.25">
      <c r="A21" s="372" t="str">
        <f>FREQUENCIAS!R$1</f>
        <v>TPOX</v>
      </c>
      <c r="B21" s="404"/>
      <c r="C21" s="405"/>
      <c r="D21" s="405"/>
      <c r="E21" s="405"/>
      <c r="F21" s="405"/>
      <c r="G21" s="405"/>
      <c r="H21" s="405"/>
      <c r="I21" s="405"/>
      <c r="J21" s="405"/>
      <c r="K21" s="405"/>
      <c r="L21" s="359">
        <f t="shared" si="71"/>
        <v>0</v>
      </c>
      <c r="M21" s="359">
        <f t="shared" si="72"/>
        <v>0</v>
      </c>
      <c r="N21" s="359">
        <f t="shared" si="2"/>
        <v>0</v>
      </c>
      <c r="O21" s="359">
        <f t="shared" si="3"/>
        <v>0</v>
      </c>
      <c r="P21" s="359">
        <f t="shared" si="4"/>
        <v>0</v>
      </c>
      <c r="Q21" s="359">
        <f>((IF(($B21="34.1"),34.1,((IF(($B21="35.1"),35.1,((IF(($B21=38733),16.1,((IF(($B21=38768),20.2,((IF(($B21=38774),26.2,((IF(($B21=38771),23.2,((IF(($B21="29.2"),29.2,0)))))))))))))))))))))</f>
        <v>0</v>
      </c>
      <c r="R21" s="359"/>
      <c r="S21" s="360">
        <f t="shared" si="81"/>
        <v>0</v>
      </c>
      <c r="T21" s="361">
        <f t="shared" si="27"/>
        <v>0</v>
      </c>
      <c r="U21" s="361">
        <f t="shared" si="28"/>
        <v>0</v>
      </c>
      <c r="V21" s="361">
        <f t="shared" si="29"/>
        <v>0</v>
      </c>
      <c r="W21" s="361">
        <f t="shared" si="30"/>
        <v>0</v>
      </c>
      <c r="X21" s="361">
        <f t="shared" si="31"/>
        <v>0</v>
      </c>
      <c r="Y21" s="361">
        <f>((IF(($C21="34.1"),34.1,((IF(($C21="35.1"),35.1,((IF(($C21=38733),16.1,((IF(($C21=38768),20.2,((IF(($C21=38774),26.2,((IF(($C21=38771),23.2,((IF(($C21="29.2"),29.2,0)))))))))))))))))))))</f>
        <v>0</v>
      </c>
      <c r="Z21" s="361"/>
      <c r="AA21" s="362">
        <f t="shared" si="82"/>
        <v>0</v>
      </c>
      <c r="AB21" s="363">
        <f t="shared" si="33"/>
        <v>0</v>
      </c>
      <c r="AC21" s="363">
        <f t="shared" si="34"/>
        <v>0</v>
      </c>
      <c r="AD21" s="363">
        <f t="shared" si="35"/>
        <v>0</v>
      </c>
      <c r="AE21" s="363">
        <f t="shared" si="36"/>
        <v>0</v>
      </c>
      <c r="AF21" s="363">
        <f t="shared" si="37"/>
        <v>0</v>
      </c>
      <c r="AG21" s="363">
        <f>((IF(($D21="34.1"),34.1,((IF(($D21="35.1"),35.1,((IF(($D21=38733),16.1,((IF(($D21=38768),20.2,((IF(($D21=38774),26.2,((IF(($D21=38771),23.2,((IF(($D21="29.2"),29.2,0)))))))))))))))))))))</f>
        <v>0</v>
      </c>
      <c r="AH21" s="363"/>
      <c r="AI21" s="364">
        <f t="shared" si="83"/>
        <v>0</v>
      </c>
      <c r="AJ21" s="365">
        <f t="shared" si="39"/>
        <v>0</v>
      </c>
      <c r="AK21" s="365">
        <f t="shared" si="40"/>
        <v>0</v>
      </c>
      <c r="AL21" s="365">
        <f t="shared" si="41"/>
        <v>0</v>
      </c>
      <c r="AM21" s="365">
        <f t="shared" si="42"/>
        <v>0</v>
      </c>
      <c r="AN21" s="365">
        <f t="shared" si="43"/>
        <v>0</v>
      </c>
      <c r="AO21" s="365">
        <f>((IF(($E21="34.1"),34.1,((IF(($E21="35.1"),35.1,((IF(($E21=38733),16.1,((IF(($E21=38768),20.2,((IF(($E21=38774),26.2,((IF(($E21=38771),23.2,((IF(($E21="29.2"),29.2,0)))))))))))))))))))))</f>
        <v>0</v>
      </c>
      <c r="AP21" s="365"/>
      <c r="AQ21" s="366">
        <f t="shared" si="84"/>
        <v>0</v>
      </c>
      <c r="AR21" s="367">
        <f t="shared" si="45"/>
        <v>0</v>
      </c>
      <c r="AS21" s="367">
        <f t="shared" si="46"/>
        <v>0</v>
      </c>
      <c r="AT21" s="367">
        <f t="shared" si="47"/>
        <v>0</v>
      </c>
      <c r="AU21" s="367">
        <f t="shared" si="48"/>
        <v>0</v>
      </c>
      <c r="AV21" s="367">
        <f t="shared" si="49"/>
        <v>0</v>
      </c>
      <c r="AW21" s="367">
        <f>((IF(($F21="34.1"),34.1,((IF(($F21="35.1"),35.1,((IF(($F21=38733),16.1,((IF(($F21=38768),20.2,((IF(($F21=38774),26.2,((IF(($F21=38771),23.2,((IF(($F21="29.2"),29.2,0)))))))))))))))))))))</f>
        <v>0</v>
      </c>
      <c r="AX21" s="367"/>
      <c r="AY21" s="368">
        <f t="shared" si="85"/>
        <v>0</v>
      </c>
      <c r="AZ21" s="369">
        <f t="shared" si="51"/>
        <v>0</v>
      </c>
      <c r="BA21" s="369">
        <f t="shared" si="52"/>
        <v>0</v>
      </c>
      <c r="BB21" s="369">
        <f t="shared" si="53"/>
        <v>0</v>
      </c>
      <c r="BC21" s="369">
        <f t="shared" si="54"/>
        <v>0</v>
      </c>
      <c r="BD21" s="369">
        <f t="shared" si="55"/>
        <v>0</v>
      </c>
      <c r="BE21" s="369">
        <f>((IF(($G21="34.1"),34.1,((IF(($G21="35.1"),35.1,((IF(($G21=38733),16.1,((IF(($G21=38768),20.2,((IF(($G21=38774),26.2,((IF(($G21=38771),23.2,((IF(($G21="29.2"),29.2,0)))))))))))))))))))))</f>
        <v>0</v>
      </c>
      <c r="BF21" s="369"/>
      <c r="BG21" s="370">
        <f t="shared" si="86"/>
        <v>0</v>
      </c>
      <c r="BH21" s="388">
        <f t="shared" si="57"/>
        <v>0</v>
      </c>
      <c r="BI21" s="388">
        <f t="shared" si="5"/>
        <v>0</v>
      </c>
      <c r="BJ21" s="388">
        <f t="shared" si="6"/>
        <v>0</v>
      </c>
      <c r="BK21" s="388">
        <f t="shared" si="7"/>
        <v>0</v>
      </c>
      <c r="BL21" s="388">
        <f t="shared" si="8"/>
        <v>0</v>
      </c>
      <c r="BM21" s="388">
        <f t="shared" si="73"/>
        <v>0</v>
      </c>
      <c r="BN21" s="388">
        <f t="shared" si="74"/>
        <v>0</v>
      </c>
      <c r="BO21" s="389">
        <f t="shared" si="9"/>
        <v>0</v>
      </c>
      <c r="BP21" s="390">
        <f t="shared" si="58"/>
        <v>0</v>
      </c>
      <c r="BQ21" s="390">
        <f t="shared" si="10"/>
        <v>0</v>
      </c>
      <c r="BR21" s="390">
        <f t="shared" si="11"/>
        <v>0</v>
      </c>
      <c r="BS21" s="390">
        <f t="shared" si="12"/>
        <v>0</v>
      </c>
      <c r="BT21" s="390">
        <f t="shared" si="13"/>
        <v>0</v>
      </c>
      <c r="BU21" s="390">
        <f t="shared" si="75"/>
        <v>0</v>
      </c>
      <c r="BV21" s="390">
        <f t="shared" si="76"/>
        <v>0</v>
      </c>
      <c r="BW21" s="391">
        <f t="shared" si="14"/>
        <v>0</v>
      </c>
      <c r="BX21" s="397">
        <f t="shared" si="59"/>
        <v>0</v>
      </c>
      <c r="BY21" s="396">
        <f t="shared" si="15"/>
        <v>0</v>
      </c>
      <c r="BZ21" s="396">
        <f t="shared" si="16"/>
        <v>0</v>
      </c>
      <c r="CA21" s="396">
        <f t="shared" si="17"/>
        <v>0</v>
      </c>
      <c r="CB21" s="396">
        <f t="shared" si="18"/>
        <v>0</v>
      </c>
      <c r="CC21" s="396">
        <f t="shared" si="77"/>
        <v>0</v>
      </c>
      <c r="CD21" s="396">
        <f t="shared" si="78"/>
        <v>0</v>
      </c>
      <c r="CE21" s="393">
        <f t="shared" si="19"/>
        <v>0</v>
      </c>
      <c r="CF21" s="394">
        <f t="shared" si="60"/>
        <v>0</v>
      </c>
      <c r="CG21" s="394">
        <f t="shared" si="20"/>
        <v>0</v>
      </c>
      <c r="CH21" s="394">
        <f t="shared" si="21"/>
        <v>0</v>
      </c>
      <c r="CI21" s="394">
        <f t="shared" si="22"/>
        <v>0</v>
      </c>
      <c r="CJ21" s="394">
        <f t="shared" si="23"/>
        <v>0</v>
      </c>
      <c r="CK21" s="394">
        <f t="shared" si="79"/>
        <v>0</v>
      </c>
      <c r="CL21" s="394">
        <f t="shared" si="80"/>
        <v>0</v>
      </c>
      <c r="CM21" s="395">
        <f t="shared" si="24"/>
        <v>0</v>
      </c>
      <c r="CP21" s="371" t="str">
        <v>PD0201</v>
      </c>
      <c r="CQ21" s="371" t="str">
        <v>PD0201</v>
      </c>
      <c r="CR21" s="371"/>
      <c r="CS21" s="371"/>
      <c r="CT21" s="371"/>
      <c r="CU21" s="371"/>
      <c r="CV21" s="348"/>
    </row>
    <row r="22" spans="1:100" ht="15" customHeight="1" thickTop="1" thickBot="1" x14ac:dyDescent="0.25">
      <c r="A22" s="372" t="str">
        <f>FREQUENCIAS!S$1</f>
        <v>D8S1179</v>
      </c>
      <c r="B22" s="404"/>
      <c r="C22" s="405"/>
      <c r="D22" s="405"/>
      <c r="E22" s="405"/>
      <c r="F22" s="405"/>
      <c r="G22" s="405"/>
      <c r="H22" s="405"/>
      <c r="I22" s="405"/>
      <c r="J22" s="405"/>
      <c r="K22" s="405"/>
      <c r="L22" s="359">
        <f t="shared" si="71"/>
        <v>0</v>
      </c>
      <c r="M22" s="359">
        <f t="shared" si="72"/>
        <v>0</v>
      </c>
      <c r="N22" s="359">
        <f t="shared" si="2"/>
        <v>0</v>
      </c>
      <c r="O22" s="359">
        <f t="shared" si="3"/>
        <v>0</v>
      </c>
      <c r="P22" s="359">
        <f t="shared" si="4"/>
        <v>0</v>
      </c>
      <c r="Q22" s="359">
        <f>((IF(($B22="34.1"),34.1,((IF(($B22="35.1"),35.1,((IF(($B22=38733),16.1,((IF(($B22=38768),20.2,((IF(($B22=38774),26.2,0)))))))))))))))</f>
        <v>0</v>
      </c>
      <c r="R22" s="359"/>
      <c r="S22" s="360">
        <f t="shared" si="81"/>
        <v>0</v>
      </c>
      <c r="T22" s="361">
        <f t="shared" si="27"/>
        <v>0</v>
      </c>
      <c r="U22" s="361">
        <f t="shared" si="28"/>
        <v>0</v>
      </c>
      <c r="V22" s="361">
        <f t="shared" si="29"/>
        <v>0</v>
      </c>
      <c r="W22" s="361">
        <f t="shared" si="30"/>
        <v>0</v>
      </c>
      <c r="X22" s="361">
        <f t="shared" si="31"/>
        <v>0</v>
      </c>
      <c r="Y22" s="361">
        <f>((IF(($C22="34.1"),34.1,((IF(($C22="35.1"),35.1,((IF(($C22=38733),16.1,((IF(($C22=38768),20.2,((IF(($C22=38774),26.2,((IF(($C22=38771),23.2,0))))))))))))))))))</f>
        <v>0</v>
      </c>
      <c r="Z22" s="361"/>
      <c r="AA22" s="362">
        <f t="shared" si="82"/>
        <v>0</v>
      </c>
      <c r="AB22" s="363">
        <f t="shared" si="33"/>
        <v>0</v>
      </c>
      <c r="AC22" s="363">
        <f t="shared" si="34"/>
        <v>0</v>
      </c>
      <c r="AD22" s="363">
        <f t="shared" si="35"/>
        <v>0</v>
      </c>
      <c r="AE22" s="363">
        <f t="shared" si="36"/>
        <v>0</v>
      </c>
      <c r="AF22" s="363">
        <f t="shared" si="37"/>
        <v>0</v>
      </c>
      <c r="AG22" s="363">
        <f>((IF(($D22="34.1"),34.1,((IF(($D22="35.1"),35.1,((IF(($D22=38733),16.1,((IF(($D22=38768),20.2,((IF(($D22=38774),26.2,0)))))))))))))))</f>
        <v>0</v>
      </c>
      <c r="AH22" s="363"/>
      <c r="AI22" s="364">
        <f t="shared" si="83"/>
        <v>0</v>
      </c>
      <c r="AJ22" s="365">
        <f t="shared" si="39"/>
        <v>0</v>
      </c>
      <c r="AK22" s="365">
        <f t="shared" si="40"/>
        <v>0</v>
      </c>
      <c r="AL22" s="365">
        <f t="shared" si="41"/>
        <v>0</v>
      </c>
      <c r="AM22" s="365">
        <f t="shared" si="42"/>
        <v>0</v>
      </c>
      <c r="AN22" s="365">
        <f t="shared" si="43"/>
        <v>0</v>
      </c>
      <c r="AO22" s="365">
        <f>((IF(($E22="34.1"),34.1,((IF(($E22="35.1"),35.1,((IF(($E22=38733),16.1,((IF(($E22=38768),20.2,((IF(($E22=38774),26.2,((IF(($E22=38771),23.2,0))))))))))))))))))</f>
        <v>0</v>
      </c>
      <c r="AP22" s="365"/>
      <c r="AQ22" s="366">
        <f t="shared" si="84"/>
        <v>0</v>
      </c>
      <c r="AR22" s="367">
        <f t="shared" si="45"/>
        <v>0</v>
      </c>
      <c r="AS22" s="367">
        <f t="shared" si="46"/>
        <v>0</v>
      </c>
      <c r="AT22" s="367">
        <f t="shared" si="47"/>
        <v>0</v>
      </c>
      <c r="AU22" s="367">
        <f t="shared" si="48"/>
        <v>0</v>
      </c>
      <c r="AV22" s="367">
        <f t="shared" si="49"/>
        <v>0</v>
      </c>
      <c r="AW22" s="367">
        <f>((IF(($F22="34.1"),34.1,((IF(($F22="35.1"),35.1,((IF(($F22=38733),16.1,((IF(($F22=38768),20.2,((IF(($F22=38774),26.2,0)))))))))))))))</f>
        <v>0</v>
      </c>
      <c r="AX22" s="367"/>
      <c r="AY22" s="368">
        <f t="shared" si="85"/>
        <v>0</v>
      </c>
      <c r="AZ22" s="369">
        <f t="shared" si="51"/>
        <v>0</v>
      </c>
      <c r="BA22" s="369">
        <f t="shared" si="52"/>
        <v>0</v>
      </c>
      <c r="BB22" s="369">
        <f t="shared" si="53"/>
        <v>0</v>
      </c>
      <c r="BC22" s="369">
        <f t="shared" si="54"/>
        <v>0</v>
      </c>
      <c r="BD22" s="369">
        <f t="shared" si="55"/>
        <v>0</v>
      </c>
      <c r="BE22" s="369">
        <f>((IF(($G22="34.1"),34.1,((IF(($G22="35.1"),35.1,((IF(($G22=38733),16.1,((IF(($G22=38768),20.2,((IF(($G22=38774),26.2,((IF(($G22=38771),23.2,0))))))))))))))))))</f>
        <v>0</v>
      </c>
      <c r="BF22" s="369"/>
      <c r="BG22" s="370">
        <f t="shared" si="86"/>
        <v>0</v>
      </c>
      <c r="BH22" s="388">
        <f t="shared" si="57"/>
        <v>0</v>
      </c>
      <c r="BI22" s="388">
        <f t="shared" si="5"/>
        <v>0</v>
      </c>
      <c r="BJ22" s="388">
        <f t="shared" si="6"/>
        <v>0</v>
      </c>
      <c r="BK22" s="388">
        <f t="shared" si="7"/>
        <v>0</v>
      </c>
      <c r="BL22" s="388">
        <f t="shared" si="8"/>
        <v>0</v>
      </c>
      <c r="BM22" s="388">
        <f t="shared" si="73"/>
        <v>0</v>
      </c>
      <c r="BN22" s="388">
        <f t="shared" si="74"/>
        <v>0</v>
      </c>
      <c r="BO22" s="389">
        <f t="shared" si="9"/>
        <v>0</v>
      </c>
      <c r="BP22" s="390">
        <f t="shared" si="58"/>
        <v>0</v>
      </c>
      <c r="BQ22" s="390">
        <f t="shared" si="10"/>
        <v>0</v>
      </c>
      <c r="BR22" s="390">
        <f t="shared" si="11"/>
        <v>0</v>
      </c>
      <c r="BS22" s="390">
        <f t="shared" si="12"/>
        <v>0</v>
      </c>
      <c r="BT22" s="390">
        <f t="shared" si="13"/>
        <v>0</v>
      </c>
      <c r="BU22" s="390">
        <f t="shared" si="75"/>
        <v>0</v>
      </c>
      <c r="BV22" s="390">
        <f t="shared" si="76"/>
        <v>0</v>
      </c>
      <c r="BW22" s="391">
        <f t="shared" si="14"/>
        <v>0</v>
      </c>
      <c r="BX22" s="397">
        <f t="shared" si="59"/>
        <v>0</v>
      </c>
      <c r="BY22" s="396">
        <f t="shared" si="15"/>
        <v>0</v>
      </c>
      <c r="BZ22" s="396">
        <f t="shared" si="16"/>
        <v>0</v>
      </c>
      <c r="CA22" s="396">
        <f t="shared" si="17"/>
        <v>0</v>
      </c>
      <c r="CB22" s="396">
        <f t="shared" si="18"/>
        <v>0</v>
      </c>
      <c r="CC22" s="396">
        <f t="shared" si="77"/>
        <v>0</v>
      </c>
      <c r="CD22" s="396">
        <f t="shared" si="78"/>
        <v>0</v>
      </c>
      <c r="CE22" s="393">
        <f t="shared" si="19"/>
        <v>0</v>
      </c>
      <c r="CF22" s="394">
        <f t="shared" si="60"/>
        <v>0</v>
      </c>
      <c r="CG22" s="394">
        <f t="shared" si="20"/>
        <v>0</v>
      </c>
      <c r="CH22" s="394">
        <f t="shared" si="21"/>
        <v>0</v>
      </c>
      <c r="CI22" s="394">
        <f t="shared" si="22"/>
        <v>0</v>
      </c>
      <c r="CJ22" s="394">
        <f t="shared" si="23"/>
        <v>0</v>
      </c>
      <c r="CK22" s="394">
        <f t="shared" si="79"/>
        <v>0</v>
      </c>
      <c r="CL22" s="394">
        <f t="shared" si="80"/>
        <v>0</v>
      </c>
      <c r="CM22" s="395">
        <f t="shared" si="24"/>
        <v>0</v>
      </c>
      <c r="CP22" s="371" t="str">
        <v>PD0201</v>
      </c>
      <c r="CQ22" s="371" t="str">
        <v>PD0201</v>
      </c>
      <c r="CR22" s="371"/>
      <c r="CS22" s="371"/>
      <c r="CT22" s="371"/>
      <c r="CU22" s="371"/>
      <c r="CV22" s="348"/>
    </row>
    <row r="23" spans="1:100" ht="15" customHeight="1" thickTop="1" thickBot="1" x14ac:dyDescent="0.25">
      <c r="A23" s="372" t="str">
        <f>FREQUENCIAS!T$1</f>
        <v>D12S391</v>
      </c>
      <c r="B23" s="404"/>
      <c r="C23" s="405"/>
      <c r="D23" s="405"/>
      <c r="E23" s="405"/>
      <c r="F23" s="405"/>
      <c r="G23" s="405"/>
      <c r="H23" s="405"/>
      <c r="I23" s="405"/>
      <c r="J23" s="405"/>
      <c r="K23" s="405"/>
      <c r="L23" s="359">
        <f t="shared" si="71"/>
        <v>0</v>
      </c>
      <c r="M23" s="359">
        <f t="shared" si="72"/>
        <v>0</v>
      </c>
      <c r="N23" s="359">
        <f t="shared" si="2"/>
        <v>0</v>
      </c>
      <c r="O23" s="359">
        <f t="shared" si="3"/>
        <v>0</v>
      </c>
      <c r="P23" s="359">
        <f t="shared" si="4"/>
        <v>0</v>
      </c>
      <c r="Q23" s="359">
        <f>((IF(($B23="34.1"),34.1,((IF(($B23="35.1"),35.1,((IF(($B23=38733),16.1,((IF(($B23=38768),20.2,((IF(($B23=38774),26.2,0)))))))))))))))</f>
        <v>0</v>
      </c>
      <c r="R23" s="359"/>
      <c r="S23" s="360">
        <f t="shared" si="81"/>
        <v>0</v>
      </c>
      <c r="T23" s="361">
        <f t="shared" si="27"/>
        <v>0</v>
      </c>
      <c r="U23" s="361">
        <f t="shared" si="28"/>
        <v>0</v>
      </c>
      <c r="V23" s="361">
        <f t="shared" si="29"/>
        <v>0</v>
      </c>
      <c r="W23" s="361">
        <f t="shared" si="30"/>
        <v>0</v>
      </c>
      <c r="X23" s="361">
        <f t="shared" si="31"/>
        <v>0</v>
      </c>
      <c r="Y23" s="361">
        <f>((IF(($C23="34.1"),34.1,((IF(($C23="35.1"),35.1,((IF(($C23=38733),16.1,((IF(($C23=38768),20.2,((IF(($C23=38774),26.2,((IF(($C23=38771),23.2,0))))))))))))))))))</f>
        <v>0</v>
      </c>
      <c r="Z23" s="361"/>
      <c r="AA23" s="362">
        <f t="shared" si="82"/>
        <v>0</v>
      </c>
      <c r="AB23" s="363">
        <f t="shared" si="33"/>
        <v>0</v>
      </c>
      <c r="AC23" s="363">
        <f t="shared" si="34"/>
        <v>0</v>
      </c>
      <c r="AD23" s="363">
        <f t="shared" si="35"/>
        <v>0</v>
      </c>
      <c r="AE23" s="363">
        <f t="shared" si="36"/>
        <v>0</v>
      </c>
      <c r="AF23" s="363">
        <f t="shared" si="37"/>
        <v>0</v>
      </c>
      <c r="AG23" s="363">
        <f>((IF(($D23="34.1"),34.1,((IF(($D23="35.1"),35.1,((IF(($D23=38733),16.1,((IF(($D23=38768),20.2,((IF(($D23=38774),26.2,0)))))))))))))))</f>
        <v>0</v>
      </c>
      <c r="AH23" s="363"/>
      <c r="AI23" s="364">
        <f t="shared" si="83"/>
        <v>0</v>
      </c>
      <c r="AJ23" s="365">
        <f t="shared" si="39"/>
        <v>0</v>
      </c>
      <c r="AK23" s="365">
        <f t="shared" si="40"/>
        <v>0</v>
      </c>
      <c r="AL23" s="365">
        <f t="shared" si="41"/>
        <v>0</v>
      </c>
      <c r="AM23" s="365">
        <f t="shared" si="42"/>
        <v>0</v>
      </c>
      <c r="AN23" s="365">
        <f t="shared" si="43"/>
        <v>0</v>
      </c>
      <c r="AO23" s="365">
        <f>((IF(($E23="34.1"),34.1,((IF(($E23="35.1"),35.1,((IF(($E23=38733),16.1,((IF(($E23=38768),20.2,((IF(($E23=38774),26.2,((IF(($E23=38771),23.2,0))))))))))))))))))</f>
        <v>0</v>
      </c>
      <c r="AP23" s="365"/>
      <c r="AQ23" s="366">
        <f t="shared" si="84"/>
        <v>0</v>
      </c>
      <c r="AR23" s="367">
        <f t="shared" si="45"/>
        <v>0</v>
      </c>
      <c r="AS23" s="367">
        <f t="shared" si="46"/>
        <v>0</v>
      </c>
      <c r="AT23" s="367">
        <f t="shared" si="47"/>
        <v>0</v>
      </c>
      <c r="AU23" s="367">
        <f t="shared" si="48"/>
        <v>0</v>
      </c>
      <c r="AV23" s="367">
        <f t="shared" si="49"/>
        <v>0</v>
      </c>
      <c r="AW23" s="367">
        <f>((IF(($F23="34.1"),34.1,((IF(($F23="35.1"),35.1,((IF(($F23=38733),16.1,((IF(($F23=38768),20.2,((IF(($F23=38774),26.2,0)))))))))))))))</f>
        <v>0</v>
      </c>
      <c r="AX23" s="367"/>
      <c r="AY23" s="368">
        <f t="shared" si="85"/>
        <v>0</v>
      </c>
      <c r="AZ23" s="369">
        <f t="shared" si="51"/>
        <v>0</v>
      </c>
      <c r="BA23" s="369">
        <f t="shared" si="52"/>
        <v>0</v>
      </c>
      <c r="BB23" s="369">
        <f t="shared" si="53"/>
        <v>0</v>
      </c>
      <c r="BC23" s="369">
        <f t="shared" si="54"/>
        <v>0</v>
      </c>
      <c r="BD23" s="369">
        <f t="shared" si="55"/>
        <v>0</v>
      </c>
      <c r="BE23" s="369">
        <f>((IF(($G23="34.1"),34.1,((IF(($G23="35.1"),35.1,((IF(($G23=38733),16.1,((IF(($G23=38768),20.2,((IF(($G23=38774),26.2,((IF(($G23=38771),23.2,0))))))))))))))))))</f>
        <v>0</v>
      </c>
      <c r="BF23" s="369"/>
      <c r="BG23" s="370">
        <f t="shared" si="86"/>
        <v>0</v>
      </c>
      <c r="BH23" s="388">
        <f t="shared" si="57"/>
        <v>0</v>
      </c>
      <c r="BI23" s="388">
        <f t="shared" si="5"/>
        <v>0</v>
      </c>
      <c r="BJ23" s="388">
        <f t="shared" si="6"/>
        <v>0</v>
      </c>
      <c r="BK23" s="388">
        <f t="shared" si="7"/>
        <v>0</v>
      </c>
      <c r="BL23" s="388">
        <f t="shared" si="8"/>
        <v>0</v>
      </c>
      <c r="BM23" s="388">
        <f t="shared" si="73"/>
        <v>0</v>
      </c>
      <c r="BN23" s="388">
        <f t="shared" si="74"/>
        <v>0</v>
      </c>
      <c r="BO23" s="389">
        <f t="shared" si="9"/>
        <v>0</v>
      </c>
      <c r="BP23" s="390">
        <f t="shared" si="58"/>
        <v>0</v>
      </c>
      <c r="BQ23" s="390">
        <f t="shared" si="10"/>
        <v>0</v>
      </c>
      <c r="BR23" s="390">
        <f t="shared" si="11"/>
        <v>0</v>
      </c>
      <c r="BS23" s="390">
        <f t="shared" si="12"/>
        <v>0</v>
      </c>
      <c r="BT23" s="390">
        <f t="shared" si="13"/>
        <v>0</v>
      </c>
      <c r="BU23" s="390">
        <f t="shared" si="75"/>
        <v>0</v>
      </c>
      <c r="BV23" s="390">
        <f t="shared" si="76"/>
        <v>0</v>
      </c>
      <c r="BW23" s="391">
        <f t="shared" si="14"/>
        <v>0</v>
      </c>
      <c r="BX23" s="397">
        <f t="shared" si="59"/>
        <v>0</v>
      </c>
      <c r="BY23" s="396">
        <f t="shared" si="15"/>
        <v>0</v>
      </c>
      <c r="BZ23" s="396">
        <f t="shared" si="16"/>
        <v>0</v>
      </c>
      <c r="CA23" s="396">
        <f t="shared" si="17"/>
        <v>0</v>
      </c>
      <c r="CB23" s="396">
        <f t="shared" si="18"/>
        <v>0</v>
      </c>
      <c r="CC23" s="396">
        <f t="shared" si="77"/>
        <v>0</v>
      </c>
      <c r="CD23" s="396">
        <f t="shared" si="78"/>
        <v>0</v>
      </c>
      <c r="CE23" s="393">
        <f t="shared" si="19"/>
        <v>0</v>
      </c>
      <c r="CF23" s="394">
        <f t="shared" si="60"/>
        <v>0</v>
      </c>
      <c r="CG23" s="394">
        <f t="shared" si="20"/>
        <v>0</v>
      </c>
      <c r="CH23" s="394">
        <f t="shared" si="21"/>
        <v>0</v>
      </c>
      <c r="CI23" s="394">
        <f t="shared" si="22"/>
        <v>0</v>
      </c>
      <c r="CJ23" s="394">
        <f t="shared" si="23"/>
        <v>0</v>
      </c>
      <c r="CK23" s="394">
        <f t="shared" si="79"/>
        <v>0</v>
      </c>
      <c r="CL23" s="394">
        <f t="shared" si="80"/>
        <v>0</v>
      </c>
      <c r="CM23" s="395">
        <f t="shared" si="24"/>
        <v>0</v>
      </c>
      <c r="CP23" s="371" t="str">
        <v>PD0201</v>
      </c>
      <c r="CQ23" s="371" t="str">
        <v>PD0201</v>
      </c>
      <c r="CR23" s="371"/>
      <c r="CS23" s="371"/>
      <c r="CT23" s="371"/>
      <c r="CU23" s="371"/>
      <c r="CV23" s="348"/>
    </row>
    <row r="24" spans="1:100" ht="15" customHeight="1" thickTop="1" thickBot="1" x14ac:dyDescent="0.25">
      <c r="A24" s="372" t="str">
        <f>FREQUENCIAS!U$1</f>
        <v>D19S433</v>
      </c>
      <c r="B24" s="404"/>
      <c r="C24" s="405"/>
      <c r="D24" s="405"/>
      <c r="E24" s="405"/>
      <c r="F24" s="405"/>
      <c r="G24" s="405"/>
      <c r="H24" s="405"/>
      <c r="I24" s="405"/>
      <c r="J24" s="405"/>
      <c r="K24" s="405"/>
      <c r="L24" s="359">
        <f t="shared" si="71"/>
        <v>0</v>
      </c>
      <c r="M24" s="359">
        <f t="shared" si="72"/>
        <v>0</v>
      </c>
      <c r="N24" s="359">
        <f t="shared" si="2"/>
        <v>0</v>
      </c>
      <c r="O24" s="359">
        <f t="shared" si="3"/>
        <v>0</v>
      </c>
      <c r="P24" s="359">
        <f t="shared" si="4"/>
        <v>0</v>
      </c>
      <c r="Q24" s="359">
        <f>((IF(($B24="34.1"),34.1,((IF(($B24="35.1"),35.1,((IF(($B24=38733),16.1,((IF(($B24=38768),20.2,((IF(($B24=38774),26.2,((IF(($B24=38784),8.3,((IF(($B24=38789),13.3,0)))))))))))))))))))))</f>
        <v>0</v>
      </c>
      <c r="R24" s="359"/>
      <c r="S24" s="360">
        <f t="shared" si="81"/>
        <v>0</v>
      </c>
      <c r="T24" s="361">
        <f t="shared" si="27"/>
        <v>0</v>
      </c>
      <c r="U24" s="361">
        <f t="shared" si="28"/>
        <v>0</v>
      </c>
      <c r="V24" s="361">
        <f t="shared" si="29"/>
        <v>0</v>
      </c>
      <c r="W24" s="361">
        <f t="shared" si="30"/>
        <v>0</v>
      </c>
      <c r="X24" s="361">
        <f t="shared" si="31"/>
        <v>0</v>
      </c>
      <c r="Y24" s="361">
        <f>((IF(($C24="34.1"),34.1,((IF(($C24="35.1"),35.1,((IF(($C24=38733),16.1,((IF(($C24=38768),20.2,((IF(($C24=38774),26.2,((IF(($C24=38771),23.2,((IF(($C24=38784),8.3,((IF(($C24=38789),13.3,0))))))))))))))))))))))))</f>
        <v>0</v>
      </c>
      <c r="Z24" s="361"/>
      <c r="AA24" s="362">
        <f t="shared" si="82"/>
        <v>0</v>
      </c>
      <c r="AB24" s="363">
        <f t="shared" si="33"/>
        <v>0</v>
      </c>
      <c r="AC24" s="363">
        <f t="shared" si="34"/>
        <v>0</v>
      </c>
      <c r="AD24" s="363">
        <f t="shared" si="35"/>
        <v>0</v>
      </c>
      <c r="AE24" s="363">
        <f t="shared" si="36"/>
        <v>0</v>
      </c>
      <c r="AF24" s="363">
        <f t="shared" si="37"/>
        <v>0</v>
      </c>
      <c r="AG24" s="363">
        <f>((IF(($D24="34.1"),34.1,((IF(($D24="35.1"),35.1,((IF(($D24=38733),16.1,((IF(($D24=38768),20.2,((IF(($D24=38774),26.2,((IF(($D24=38784),8.3,((IF(($D24=38789),13.3,0)))))))))))))))))))))</f>
        <v>0</v>
      </c>
      <c r="AH24" s="363"/>
      <c r="AI24" s="364">
        <f t="shared" si="83"/>
        <v>0</v>
      </c>
      <c r="AJ24" s="365">
        <f t="shared" si="39"/>
        <v>0</v>
      </c>
      <c r="AK24" s="365">
        <f t="shared" si="40"/>
        <v>0</v>
      </c>
      <c r="AL24" s="365">
        <f t="shared" si="41"/>
        <v>0</v>
      </c>
      <c r="AM24" s="365">
        <f t="shared" si="42"/>
        <v>0</v>
      </c>
      <c r="AN24" s="365">
        <f t="shared" si="43"/>
        <v>0</v>
      </c>
      <c r="AO24" s="365">
        <f>((IF(($E24="34.1"),34.1,((IF(($E24="35.1"),35.1,((IF(($E24=38733),16.1,((IF(($E24=38768),20.2,((IF(($E24=38774),26.2,((IF(($E24=38771),23.2,((IF(($E24=38784),8.3,((IF(($E24=38789),13.3,0))))))))))))))))))))))))</f>
        <v>0</v>
      </c>
      <c r="AP24" s="365"/>
      <c r="AQ24" s="366">
        <f t="shared" si="84"/>
        <v>0</v>
      </c>
      <c r="AR24" s="367">
        <f t="shared" si="45"/>
        <v>0</v>
      </c>
      <c r="AS24" s="367">
        <f t="shared" si="46"/>
        <v>0</v>
      </c>
      <c r="AT24" s="367">
        <f t="shared" si="47"/>
        <v>0</v>
      </c>
      <c r="AU24" s="367">
        <f t="shared" si="48"/>
        <v>0</v>
      </c>
      <c r="AV24" s="367">
        <f t="shared" si="49"/>
        <v>0</v>
      </c>
      <c r="AW24" s="367">
        <f>((IF(($F24="34.1"),34.1,((IF(($F24="35.1"),35.1,((IF(($F24=38733),16.1,((IF(($F24=38768),20.2,((IF(($F24=38774),26.2,((IF(($F24=38784),8.3,((IF(($F24=38789),13.3,0)))))))))))))))))))))</f>
        <v>0</v>
      </c>
      <c r="AX24" s="367"/>
      <c r="AY24" s="368">
        <f t="shared" si="85"/>
        <v>0</v>
      </c>
      <c r="AZ24" s="369">
        <f t="shared" si="51"/>
        <v>0</v>
      </c>
      <c r="BA24" s="369">
        <f t="shared" si="52"/>
        <v>0</v>
      </c>
      <c r="BB24" s="369">
        <f t="shared" si="53"/>
        <v>0</v>
      </c>
      <c r="BC24" s="369">
        <f t="shared" si="54"/>
        <v>0</v>
      </c>
      <c r="BD24" s="369">
        <f t="shared" si="55"/>
        <v>0</v>
      </c>
      <c r="BE24" s="369">
        <f>((IF(($G24="34.1"),34.1,((IF(($G24="35.1"),35.1,((IF(($G24=38733),16.1,((IF(($G24=38768),20.2,((IF(($G24=38774),26.2,((IF(($G24=38771),23.2,((IF(($G24=38784),8.3,((IF(($G24=38789),13.3,0))))))))))))))))))))))))</f>
        <v>0</v>
      </c>
      <c r="BF24" s="369"/>
      <c r="BG24" s="370">
        <f t="shared" si="86"/>
        <v>0</v>
      </c>
      <c r="BH24" s="388">
        <f t="shared" si="57"/>
        <v>0</v>
      </c>
      <c r="BI24" s="388">
        <f t="shared" si="5"/>
        <v>0</v>
      </c>
      <c r="BJ24" s="388">
        <f t="shared" si="6"/>
        <v>0</v>
      </c>
      <c r="BK24" s="388">
        <f t="shared" si="7"/>
        <v>0</v>
      </c>
      <c r="BL24" s="388">
        <f t="shared" si="8"/>
        <v>0</v>
      </c>
      <c r="BM24" s="388">
        <f t="shared" si="73"/>
        <v>0</v>
      </c>
      <c r="BN24" s="388">
        <f t="shared" si="74"/>
        <v>0</v>
      </c>
      <c r="BO24" s="389">
        <f t="shared" si="9"/>
        <v>0</v>
      </c>
      <c r="BP24" s="390">
        <f t="shared" si="58"/>
        <v>0</v>
      </c>
      <c r="BQ24" s="390">
        <f t="shared" si="10"/>
        <v>0</v>
      </c>
      <c r="BR24" s="390">
        <f t="shared" si="11"/>
        <v>0</v>
      </c>
      <c r="BS24" s="390">
        <f t="shared" si="12"/>
        <v>0</v>
      </c>
      <c r="BT24" s="390">
        <f t="shared" si="13"/>
        <v>0</v>
      </c>
      <c r="BU24" s="390">
        <f t="shared" si="75"/>
        <v>0</v>
      </c>
      <c r="BV24" s="390">
        <f t="shared" si="76"/>
        <v>0</v>
      </c>
      <c r="BW24" s="391">
        <f t="shared" si="14"/>
        <v>0</v>
      </c>
      <c r="BX24" s="397">
        <f t="shared" si="59"/>
        <v>0</v>
      </c>
      <c r="BY24" s="396">
        <f t="shared" si="15"/>
        <v>0</v>
      </c>
      <c r="BZ24" s="396">
        <f t="shared" si="16"/>
        <v>0</v>
      </c>
      <c r="CA24" s="396">
        <f t="shared" si="17"/>
        <v>0</v>
      </c>
      <c r="CB24" s="396">
        <f t="shared" si="18"/>
        <v>0</v>
      </c>
      <c r="CC24" s="396">
        <f t="shared" si="77"/>
        <v>0</v>
      </c>
      <c r="CD24" s="396">
        <f t="shared" si="78"/>
        <v>0</v>
      </c>
      <c r="CE24" s="393">
        <f t="shared" si="19"/>
        <v>0</v>
      </c>
      <c r="CF24" s="394">
        <f t="shared" si="60"/>
        <v>0</v>
      </c>
      <c r="CG24" s="394">
        <f t="shared" si="20"/>
        <v>0</v>
      </c>
      <c r="CH24" s="394">
        <f t="shared" si="21"/>
        <v>0</v>
      </c>
      <c r="CI24" s="394">
        <f t="shared" si="22"/>
        <v>0</v>
      </c>
      <c r="CJ24" s="394">
        <f t="shared" si="23"/>
        <v>0</v>
      </c>
      <c r="CK24" s="394">
        <f t="shared" si="79"/>
        <v>0</v>
      </c>
      <c r="CL24" s="394">
        <f t="shared" si="80"/>
        <v>0</v>
      </c>
      <c r="CM24" s="395">
        <f t="shared" si="24"/>
        <v>0</v>
      </c>
      <c r="CP24" s="371" t="str">
        <v>PD0201</v>
      </c>
      <c r="CQ24" s="371" t="str">
        <v>PD0201</v>
      </c>
      <c r="CR24" s="371"/>
      <c r="CS24" s="371"/>
      <c r="CT24" s="371"/>
      <c r="CU24" s="371"/>
      <c r="CV24" s="348"/>
    </row>
    <row r="25" spans="1:100" ht="15" customHeight="1" thickTop="1" thickBot="1" x14ac:dyDescent="0.25">
      <c r="A25" s="372" t="str">
        <f>FREQUENCIAS!V$1</f>
        <v>FGA</v>
      </c>
      <c r="B25" s="404"/>
      <c r="C25" s="405"/>
      <c r="D25" s="405"/>
      <c r="E25" s="405"/>
      <c r="F25" s="405"/>
      <c r="G25" s="405"/>
      <c r="H25" s="405"/>
      <c r="I25" s="405"/>
      <c r="J25" s="405"/>
      <c r="K25" s="405"/>
      <c r="L25" s="359">
        <f t="shared" si="71"/>
        <v>0</v>
      </c>
      <c r="M25" s="359">
        <f t="shared" si="72"/>
        <v>0</v>
      </c>
      <c r="N25" s="359">
        <f t="shared" si="2"/>
        <v>0</v>
      </c>
      <c r="O25" s="359">
        <f t="shared" si="3"/>
        <v>0</v>
      </c>
      <c r="P25" s="359">
        <f t="shared" si="4"/>
        <v>0</v>
      </c>
      <c r="Q25" s="359">
        <f>((IF(($B25="34.1"),34.1,((IF(($B25="35.1"),35.1,((IF(($B25=38733),16.1,((IF(($B25=38768),20.2,((IF(($B25=38774),26.2,0)))))))))))))))</f>
        <v>0</v>
      </c>
      <c r="R25" s="359"/>
      <c r="S25" s="360">
        <f t="shared" si="81"/>
        <v>0</v>
      </c>
      <c r="T25" s="361">
        <f t="shared" si="27"/>
        <v>0</v>
      </c>
      <c r="U25" s="361">
        <f t="shared" si="28"/>
        <v>0</v>
      </c>
      <c r="V25" s="361">
        <f t="shared" si="29"/>
        <v>0</v>
      </c>
      <c r="W25" s="361">
        <f t="shared" si="30"/>
        <v>0</v>
      </c>
      <c r="X25" s="361">
        <f t="shared" si="31"/>
        <v>0</v>
      </c>
      <c r="Y25" s="361">
        <f>((IF(($C25="34.1"),34.1,((IF(($C25="35.1"),35.1,((IF(($C25=38733),16.1,((IF(($C25=38768),20.2,((IF(($C25=38774),26.2,((IF(($C25=38771),23.2,0))))))))))))))))))</f>
        <v>0</v>
      </c>
      <c r="Z25" s="361"/>
      <c r="AA25" s="362">
        <f t="shared" si="82"/>
        <v>0</v>
      </c>
      <c r="AB25" s="363">
        <f t="shared" si="33"/>
        <v>0</v>
      </c>
      <c r="AC25" s="363">
        <f t="shared" si="34"/>
        <v>0</v>
      </c>
      <c r="AD25" s="363">
        <f t="shared" si="35"/>
        <v>0</v>
      </c>
      <c r="AE25" s="363">
        <f t="shared" si="36"/>
        <v>0</v>
      </c>
      <c r="AF25" s="363">
        <f t="shared" si="37"/>
        <v>0</v>
      </c>
      <c r="AG25" s="363">
        <f>((IF(($D25="34.1"),34.1,((IF(($D25="35.1"),35.1,((IF(($D25=38733),16.1,((IF(($D25=38768),20.2,((IF(($D25=38774),26.2,0)))))))))))))))</f>
        <v>0</v>
      </c>
      <c r="AH25" s="363"/>
      <c r="AI25" s="364">
        <f t="shared" si="83"/>
        <v>0</v>
      </c>
      <c r="AJ25" s="365">
        <f t="shared" si="39"/>
        <v>0</v>
      </c>
      <c r="AK25" s="365">
        <f t="shared" si="40"/>
        <v>0</v>
      </c>
      <c r="AL25" s="365">
        <f t="shared" si="41"/>
        <v>0</v>
      </c>
      <c r="AM25" s="365">
        <f t="shared" si="42"/>
        <v>0</v>
      </c>
      <c r="AN25" s="365">
        <f t="shared" si="43"/>
        <v>0</v>
      </c>
      <c r="AO25" s="365">
        <f>((IF(($E25="34.1"),34.1,((IF(($E25="35.1"),35.1,((IF(($E25=38733),16.1,((IF(($E25=38768),20.2,((IF(($E25=38774),26.2,((IF(($E25=38771),23.2,0))))))))))))))))))</f>
        <v>0</v>
      </c>
      <c r="AP25" s="365"/>
      <c r="AQ25" s="366">
        <f t="shared" si="84"/>
        <v>0</v>
      </c>
      <c r="AR25" s="367">
        <f t="shared" si="45"/>
        <v>0</v>
      </c>
      <c r="AS25" s="367">
        <f t="shared" si="46"/>
        <v>0</v>
      </c>
      <c r="AT25" s="367">
        <f t="shared" si="47"/>
        <v>0</v>
      </c>
      <c r="AU25" s="367">
        <f t="shared" si="48"/>
        <v>0</v>
      </c>
      <c r="AV25" s="367">
        <f t="shared" si="49"/>
        <v>0</v>
      </c>
      <c r="AW25" s="367">
        <f>((IF(($F25="34.1"),34.1,((IF(($F25="35.1"),35.1,((IF(($F25=38733),16.1,((IF(($F25=38768),20.2,((IF(($F25=38774),26.2,0)))))))))))))))</f>
        <v>0</v>
      </c>
      <c r="AX25" s="367"/>
      <c r="AY25" s="368">
        <f t="shared" si="85"/>
        <v>0</v>
      </c>
      <c r="AZ25" s="369">
        <f t="shared" si="51"/>
        <v>0</v>
      </c>
      <c r="BA25" s="369">
        <f t="shared" si="52"/>
        <v>0</v>
      </c>
      <c r="BB25" s="369">
        <f t="shared" si="53"/>
        <v>0</v>
      </c>
      <c r="BC25" s="369">
        <f t="shared" si="54"/>
        <v>0</v>
      </c>
      <c r="BD25" s="369">
        <f t="shared" si="55"/>
        <v>0</v>
      </c>
      <c r="BE25" s="369">
        <f>((IF(($G25="34.1"),34.1,((IF(($G25="35.1"),35.1,((IF(($G25=38733),16.1,((IF(($G25=38768),20.2,((IF(($G25=38774),26.2,((IF(($G25=38771),23.2,0))))))))))))))))))</f>
        <v>0</v>
      </c>
      <c r="BF25" s="369"/>
      <c r="BG25" s="370">
        <f t="shared" si="86"/>
        <v>0</v>
      </c>
      <c r="BH25" s="388">
        <f t="shared" si="57"/>
        <v>0</v>
      </c>
      <c r="BI25" s="388">
        <f t="shared" si="5"/>
        <v>0</v>
      </c>
      <c r="BJ25" s="388">
        <f t="shared" si="6"/>
        <v>0</v>
      </c>
      <c r="BK25" s="388">
        <f t="shared" si="7"/>
        <v>0</v>
      </c>
      <c r="BL25" s="388">
        <f t="shared" si="8"/>
        <v>0</v>
      </c>
      <c r="BM25" s="388">
        <f t="shared" si="73"/>
        <v>0</v>
      </c>
      <c r="BN25" s="388">
        <f t="shared" si="74"/>
        <v>0</v>
      </c>
      <c r="BO25" s="389">
        <f t="shared" si="9"/>
        <v>0</v>
      </c>
      <c r="BP25" s="390">
        <f t="shared" si="58"/>
        <v>0</v>
      </c>
      <c r="BQ25" s="390">
        <f t="shared" si="10"/>
        <v>0</v>
      </c>
      <c r="BR25" s="390">
        <f t="shared" si="11"/>
        <v>0</v>
      </c>
      <c r="BS25" s="390">
        <f t="shared" si="12"/>
        <v>0</v>
      </c>
      <c r="BT25" s="390">
        <f t="shared" si="13"/>
        <v>0</v>
      </c>
      <c r="BU25" s="390">
        <f t="shared" si="75"/>
        <v>0</v>
      </c>
      <c r="BV25" s="390">
        <f t="shared" si="76"/>
        <v>0</v>
      </c>
      <c r="BW25" s="391">
        <f t="shared" si="14"/>
        <v>0</v>
      </c>
      <c r="BX25" s="397">
        <f t="shared" si="59"/>
        <v>0</v>
      </c>
      <c r="BY25" s="396">
        <f t="shared" si="15"/>
        <v>0</v>
      </c>
      <c r="BZ25" s="396">
        <f t="shared" si="16"/>
        <v>0</v>
      </c>
      <c r="CA25" s="396">
        <f t="shared" si="17"/>
        <v>0</v>
      </c>
      <c r="CB25" s="396">
        <f t="shared" si="18"/>
        <v>0</v>
      </c>
      <c r="CC25" s="396">
        <f t="shared" si="77"/>
        <v>0</v>
      </c>
      <c r="CD25" s="396">
        <f t="shared" si="78"/>
        <v>0</v>
      </c>
      <c r="CE25" s="393">
        <f t="shared" si="19"/>
        <v>0</v>
      </c>
      <c r="CF25" s="394">
        <f t="shared" si="60"/>
        <v>0</v>
      </c>
      <c r="CG25" s="394">
        <f t="shared" si="20"/>
        <v>0</v>
      </c>
      <c r="CH25" s="394">
        <f t="shared" si="21"/>
        <v>0</v>
      </c>
      <c r="CI25" s="394">
        <f t="shared" si="22"/>
        <v>0</v>
      </c>
      <c r="CJ25" s="394">
        <f t="shared" si="23"/>
        <v>0</v>
      </c>
      <c r="CK25" s="394">
        <f t="shared" si="79"/>
        <v>0</v>
      </c>
      <c r="CL25" s="394">
        <f t="shared" si="80"/>
        <v>0</v>
      </c>
      <c r="CM25" s="395">
        <f t="shared" si="24"/>
        <v>0</v>
      </c>
      <c r="CP25" s="371"/>
      <c r="CQ25" s="371"/>
      <c r="CR25" s="371"/>
      <c r="CS25" s="371"/>
      <c r="CT25" s="371"/>
      <c r="CU25" s="371"/>
      <c r="CV25" s="348"/>
    </row>
    <row r="26" spans="1:100" ht="15" customHeight="1" thickTop="1" thickBot="1" x14ac:dyDescent="0.25">
      <c r="A26" s="372" t="str">
        <f>FREQUENCIAS!W$1</f>
        <v>D22S1045</v>
      </c>
      <c r="B26" s="404"/>
      <c r="C26" s="405"/>
      <c r="D26" s="405"/>
      <c r="E26" s="405"/>
      <c r="F26" s="405"/>
      <c r="G26" s="405"/>
      <c r="H26" s="405"/>
      <c r="I26" s="405"/>
      <c r="J26" s="405"/>
      <c r="K26" s="405"/>
      <c r="L26" s="359">
        <f t="shared" si="71"/>
        <v>0</v>
      </c>
      <c r="M26" s="359">
        <f t="shared" si="72"/>
        <v>0</v>
      </c>
      <c r="N26" s="359">
        <f t="shared" si="2"/>
        <v>0</v>
      </c>
      <c r="O26" s="359">
        <f t="shared" si="3"/>
        <v>0</v>
      </c>
      <c r="P26" s="359">
        <f t="shared" si="4"/>
        <v>0</v>
      </c>
      <c r="Q26" s="359">
        <f>((IF(($B26="34.1"),34.1,((IF(($B26="35.1"),35.1,((IF(($B26=38733),16.1,((IF(($B26=38768),20.2,((IF(($B26=38774),26.2,0)))))))))))))))</f>
        <v>0</v>
      </c>
      <c r="R26" s="359"/>
      <c r="S26" s="360">
        <f t="shared" si="81"/>
        <v>0</v>
      </c>
      <c r="T26" s="361">
        <f t="shared" si="27"/>
        <v>0</v>
      </c>
      <c r="U26" s="361">
        <f t="shared" si="28"/>
        <v>0</v>
      </c>
      <c r="V26" s="361">
        <f t="shared" si="29"/>
        <v>0</v>
      </c>
      <c r="W26" s="361">
        <f t="shared" si="30"/>
        <v>0</v>
      </c>
      <c r="X26" s="361">
        <f t="shared" si="31"/>
        <v>0</v>
      </c>
      <c r="Y26" s="361">
        <f>((IF(($C26="34.1"),34.1,((IF(($C26="35.1"),35.1,((IF(($C26=38733),16.1,((IF(($C26=38768),20.2,((IF(($C26=38774),26.2,((IF(($C26=38771),23.2,0))))))))))))))))))</f>
        <v>0</v>
      </c>
      <c r="Z26" s="361"/>
      <c r="AA26" s="362">
        <f t="shared" si="82"/>
        <v>0</v>
      </c>
      <c r="AB26" s="363">
        <f t="shared" si="33"/>
        <v>0</v>
      </c>
      <c r="AC26" s="363">
        <f t="shared" si="34"/>
        <v>0</v>
      </c>
      <c r="AD26" s="363">
        <f t="shared" si="35"/>
        <v>0</v>
      </c>
      <c r="AE26" s="363">
        <f t="shared" si="36"/>
        <v>0</v>
      </c>
      <c r="AF26" s="363">
        <f t="shared" si="37"/>
        <v>0</v>
      </c>
      <c r="AG26" s="363">
        <f>((IF(($D26="34.1"),34.1,((IF(($D26="35.1"),35.1,((IF(($D26=38733),16.1,((IF(($D26=38768),20.2,((IF(($D26=38774),26.2,0)))))))))))))))</f>
        <v>0</v>
      </c>
      <c r="AH26" s="363"/>
      <c r="AI26" s="364">
        <f t="shared" si="83"/>
        <v>0</v>
      </c>
      <c r="AJ26" s="365">
        <f t="shared" si="39"/>
        <v>0</v>
      </c>
      <c r="AK26" s="365">
        <f t="shared" si="40"/>
        <v>0</v>
      </c>
      <c r="AL26" s="365">
        <f t="shared" si="41"/>
        <v>0</v>
      </c>
      <c r="AM26" s="365">
        <f t="shared" si="42"/>
        <v>0</v>
      </c>
      <c r="AN26" s="365">
        <f t="shared" si="43"/>
        <v>0</v>
      </c>
      <c r="AO26" s="365">
        <f>((IF(($E26="34.1"),34.1,((IF(($E26="35.1"),35.1,((IF(($E26=38733),16.1,((IF(($E26=38768),20.2,((IF(($E26=38774),26.2,((IF(($E26=38771),23.2,0))))))))))))))))))</f>
        <v>0</v>
      </c>
      <c r="AP26" s="365"/>
      <c r="AQ26" s="366">
        <f t="shared" si="84"/>
        <v>0</v>
      </c>
      <c r="AR26" s="367">
        <f t="shared" si="45"/>
        <v>0</v>
      </c>
      <c r="AS26" s="367">
        <f t="shared" si="46"/>
        <v>0</v>
      </c>
      <c r="AT26" s="367">
        <f t="shared" si="47"/>
        <v>0</v>
      </c>
      <c r="AU26" s="367">
        <f t="shared" si="48"/>
        <v>0</v>
      </c>
      <c r="AV26" s="367">
        <f t="shared" si="49"/>
        <v>0</v>
      </c>
      <c r="AW26" s="367">
        <f>((IF(($F26="34.1"),34.1,((IF(($F26="35.1"),35.1,((IF(($F26=38733),16.1,((IF(($F26=38768),20.2,((IF(($F26=38774),26.2,0)))))))))))))))</f>
        <v>0</v>
      </c>
      <c r="AX26" s="367"/>
      <c r="AY26" s="368">
        <f t="shared" si="85"/>
        <v>0</v>
      </c>
      <c r="AZ26" s="369">
        <f t="shared" si="51"/>
        <v>0</v>
      </c>
      <c r="BA26" s="369">
        <f t="shared" si="52"/>
        <v>0</v>
      </c>
      <c r="BB26" s="369">
        <f t="shared" si="53"/>
        <v>0</v>
      </c>
      <c r="BC26" s="369">
        <f t="shared" si="54"/>
        <v>0</v>
      </c>
      <c r="BD26" s="369">
        <f t="shared" si="55"/>
        <v>0</v>
      </c>
      <c r="BE26" s="369">
        <f>((IF(($G26="34.1"),34.1,((IF(($G26="35.1"),35.1,((IF(($G26=38733),16.1,((IF(($G26=38768),20.2,((IF(($G26=38774),26.2,((IF(($G26=38771),23.2,0))))))))))))))))))</f>
        <v>0</v>
      </c>
      <c r="BF26" s="369"/>
      <c r="BG26" s="370">
        <f t="shared" si="86"/>
        <v>0</v>
      </c>
      <c r="BH26" s="388">
        <f t="shared" si="57"/>
        <v>0</v>
      </c>
      <c r="BI26" s="388">
        <f t="shared" si="5"/>
        <v>0</v>
      </c>
      <c r="BJ26" s="388">
        <f t="shared" si="6"/>
        <v>0</v>
      </c>
      <c r="BK26" s="388">
        <f t="shared" si="7"/>
        <v>0</v>
      </c>
      <c r="BL26" s="388">
        <f t="shared" si="8"/>
        <v>0</v>
      </c>
      <c r="BM26" s="388">
        <f t="shared" si="73"/>
        <v>0</v>
      </c>
      <c r="BN26" s="388">
        <f t="shared" si="74"/>
        <v>0</v>
      </c>
      <c r="BO26" s="389">
        <f t="shared" si="9"/>
        <v>0</v>
      </c>
      <c r="BP26" s="390">
        <f t="shared" si="58"/>
        <v>0</v>
      </c>
      <c r="BQ26" s="390">
        <f t="shared" si="10"/>
        <v>0</v>
      </c>
      <c r="BR26" s="390">
        <f t="shared" si="11"/>
        <v>0</v>
      </c>
      <c r="BS26" s="390">
        <f t="shared" si="12"/>
        <v>0</v>
      </c>
      <c r="BT26" s="390">
        <f t="shared" si="13"/>
        <v>0</v>
      </c>
      <c r="BU26" s="390">
        <f t="shared" si="75"/>
        <v>0</v>
      </c>
      <c r="BV26" s="390">
        <f t="shared" si="76"/>
        <v>0</v>
      </c>
      <c r="BW26" s="391">
        <f t="shared" si="14"/>
        <v>0</v>
      </c>
      <c r="BX26" s="397">
        <f t="shared" si="59"/>
        <v>0</v>
      </c>
      <c r="BY26" s="396">
        <f t="shared" si="15"/>
        <v>0</v>
      </c>
      <c r="BZ26" s="396">
        <f t="shared" si="16"/>
        <v>0</v>
      </c>
      <c r="CA26" s="396">
        <f t="shared" si="17"/>
        <v>0</v>
      </c>
      <c r="CB26" s="396">
        <f t="shared" si="18"/>
        <v>0</v>
      </c>
      <c r="CC26" s="396">
        <f t="shared" si="77"/>
        <v>0</v>
      </c>
      <c r="CD26" s="396">
        <f t="shared" si="78"/>
        <v>0</v>
      </c>
      <c r="CE26" s="393">
        <f t="shared" si="19"/>
        <v>0</v>
      </c>
      <c r="CF26" s="394">
        <f t="shared" si="60"/>
        <v>0</v>
      </c>
      <c r="CG26" s="394">
        <f t="shared" si="20"/>
        <v>0</v>
      </c>
      <c r="CH26" s="394">
        <f t="shared" si="21"/>
        <v>0</v>
      </c>
      <c r="CI26" s="394">
        <f t="shared" si="22"/>
        <v>0</v>
      </c>
      <c r="CJ26" s="394">
        <f t="shared" si="23"/>
        <v>0</v>
      </c>
      <c r="CK26" s="394">
        <f t="shared" si="79"/>
        <v>0</v>
      </c>
      <c r="CL26" s="394">
        <f t="shared" si="80"/>
        <v>0</v>
      </c>
      <c r="CM26" s="395">
        <f t="shared" si="24"/>
        <v>0</v>
      </c>
      <c r="CP26" s="371"/>
      <c r="CQ26" s="371"/>
      <c r="CR26" s="371"/>
      <c r="CS26" s="371"/>
      <c r="CT26" s="371"/>
      <c r="CU26" s="371"/>
      <c r="CV26" s="348"/>
    </row>
    <row r="27" spans="1:100" ht="15" hidden="1" customHeight="1" thickTop="1" thickBot="1" x14ac:dyDescent="0.25">
      <c r="A27" s="372" t="str">
        <f>FREQUENCIAS!X$1</f>
        <v>SE33</v>
      </c>
      <c r="B27" s="358"/>
      <c r="C27" s="358"/>
      <c r="D27" s="358">
        <v>17</v>
      </c>
      <c r="E27" s="358">
        <v>25</v>
      </c>
      <c r="F27" s="358">
        <v>18</v>
      </c>
      <c r="G27" s="358">
        <v>25</v>
      </c>
      <c r="H27" s="401"/>
      <c r="I27" s="401"/>
      <c r="J27" s="401"/>
      <c r="K27" s="401"/>
      <c r="L27" s="359">
        <f t="shared" si="71"/>
        <v>0</v>
      </c>
      <c r="M27" s="359">
        <f t="shared" si="72"/>
        <v>0</v>
      </c>
      <c r="N27" s="359">
        <f t="shared" si="2"/>
        <v>0</v>
      </c>
      <c r="O27" s="359">
        <f t="shared" si="3"/>
        <v>0</v>
      </c>
      <c r="P27" s="359">
        <f t="shared" si="4"/>
        <v>0</v>
      </c>
      <c r="Q27" s="359">
        <f>((IF(($B27="34.1"),34.1,((IF(($B27="35.1"),35.1,((IF(($B27=38733),16.1,((IF(($B27=38768),20.2,((IF(($B27=38774),26.2,0)))))))))))))))</f>
        <v>0</v>
      </c>
      <c r="R27" s="359"/>
      <c r="S27" s="360">
        <f t="shared" ref="S27:S38" si="87">(IF((SUM(L27:R27)&lt;&gt;0),(SUM(L27:R27)),$B27))</f>
        <v>0</v>
      </c>
      <c r="T27" s="361">
        <f t="shared" si="27"/>
        <v>0</v>
      </c>
      <c r="U27" s="361">
        <f t="shared" si="28"/>
        <v>0</v>
      </c>
      <c r="V27" s="361">
        <f t="shared" si="29"/>
        <v>0</v>
      </c>
      <c r="W27" s="361">
        <f t="shared" si="30"/>
        <v>0</v>
      </c>
      <c r="X27" s="361">
        <f t="shared" si="31"/>
        <v>0</v>
      </c>
      <c r="Y27" s="361">
        <f t="shared" ref="Y27:Y38" si="88">((IF(($C27="34.1"),34.1,((IF(($C27="35.1"),35.1,((IF(($C27=38733),16.1,((IF(($C27=38768),20.2,((IF(($C27=38774),26.2,((IF(($C27=38771),23.2,0))))))))))))))))))</f>
        <v>0</v>
      </c>
      <c r="Z27" s="361"/>
      <c r="AA27" s="362">
        <f t="shared" ref="AA27:AA38" si="89">(IF((SUM(T27:Z27)&lt;&gt;0),(SUM(T27:Z27)),$C27))</f>
        <v>0</v>
      </c>
      <c r="AB27" s="363">
        <f t="shared" si="33"/>
        <v>0</v>
      </c>
      <c r="AC27" s="363">
        <f t="shared" si="34"/>
        <v>0</v>
      </c>
      <c r="AD27" s="363">
        <f t="shared" si="35"/>
        <v>0</v>
      </c>
      <c r="AE27" s="363">
        <f t="shared" si="36"/>
        <v>0</v>
      </c>
      <c r="AF27" s="363">
        <f t="shared" si="37"/>
        <v>0</v>
      </c>
      <c r="AG27" s="363">
        <f t="shared" ref="AG27:AG38" si="90">((IF(($D27="34.1"),34.1,((IF(($D27="35.1"),35.1,((IF(($D27=38733),16.1,((IF(($D27=38768),20.2,((IF(($D27=38774),26.2,0)))))))))))))))</f>
        <v>0</v>
      </c>
      <c r="AH27" s="363"/>
      <c r="AI27" s="364">
        <f t="shared" ref="AI27:AI38" si="91">(IF((SUM(AB27:AH27)&lt;&gt;0),(SUM(AB27:AH27)),$D27))</f>
        <v>17</v>
      </c>
      <c r="AJ27" s="365">
        <f t="shared" si="39"/>
        <v>0</v>
      </c>
      <c r="AK27" s="365">
        <f t="shared" si="40"/>
        <v>0</v>
      </c>
      <c r="AL27" s="365">
        <f t="shared" si="41"/>
        <v>0</v>
      </c>
      <c r="AM27" s="365">
        <f t="shared" si="42"/>
        <v>0</v>
      </c>
      <c r="AN27" s="365">
        <f t="shared" si="43"/>
        <v>0</v>
      </c>
      <c r="AO27" s="365">
        <f t="shared" ref="AO27:AO38" si="92">((IF(($E27="34.1"),34.1,((IF(($E27="35.1"),35.1,((IF(($E27=38733),16.1,((IF(($E27=38768),20.2,((IF(($E27=38774),26.2,((IF(($E27=38771),23.2,0))))))))))))))))))</f>
        <v>0</v>
      </c>
      <c r="AP27" s="365"/>
      <c r="AQ27" s="366">
        <f t="shared" ref="AQ27:AQ38" si="93">(IF((SUM(AJ27:AP27)&lt;&gt;0),(SUM(AJ27:AP27)),$E27))</f>
        <v>25</v>
      </c>
      <c r="AR27" s="367">
        <f t="shared" si="45"/>
        <v>0</v>
      </c>
      <c r="AS27" s="367">
        <f t="shared" si="46"/>
        <v>0</v>
      </c>
      <c r="AT27" s="367">
        <f t="shared" si="47"/>
        <v>0</v>
      </c>
      <c r="AU27" s="367">
        <f t="shared" si="48"/>
        <v>0</v>
      </c>
      <c r="AV27" s="367">
        <f t="shared" si="49"/>
        <v>0</v>
      </c>
      <c r="AW27" s="367">
        <f t="shared" ref="AW27:AW38" si="94">((IF(($F27="34.1"),34.1,((IF(($F27="35.1"),35.1,((IF(($F27=38733),16.1,((IF(($F27=38768),20.2,((IF(($F27=38774),26.2,0)))))))))))))))</f>
        <v>0</v>
      </c>
      <c r="AX27" s="367"/>
      <c r="AY27" s="368">
        <f t="shared" ref="AY27:AY38" si="95">(IF((SUM(AR27:AX27)&lt;&gt;0),(SUM(AR27:AX27)),$F27))</f>
        <v>18</v>
      </c>
      <c r="AZ27" s="369">
        <f t="shared" si="51"/>
        <v>0</v>
      </c>
      <c r="BA27" s="369">
        <f t="shared" si="52"/>
        <v>0</v>
      </c>
      <c r="BB27" s="369">
        <f t="shared" si="53"/>
        <v>0</v>
      </c>
      <c r="BC27" s="369">
        <f t="shared" si="54"/>
        <v>0</v>
      </c>
      <c r="BD27" s="369">
        <f t="shared" si="55"/>
        <v>0</v>
      </c>
      <c r="BE27" s="369">
        <f t="shared" ref="BE27:BE38" si="96">((IF(($G27="34.1"),34.1,((IF(($G27="35.1"),35.1,((IF(($G27=38733),16.1,((IF(($G27=38768),20.2,((IF(($G27=38774),26.2,((IF(($G27=38771),23.2,0))))))))))))))))))</f>
        <v>0</v>
      </c>
      <c r="BF27" s="369"/>
      <c r="BG27" s="370">
        <f t="shared" ref="BG27:BG38" si="97">(IF((SUM(AZ27:BF27)&lt;&gt;0),(SUM(AZ27:BF27)),$G27))</f>
        <v>25</v>
      </c>
      <c r="BH27" s="388">
        <f t="shared" si="57"/>
        <v>0</v>
      </c>
      <c r="BI27" s="388">
        <f t="shared" si="5"/>
        <v>0</v>
      </c>
      <c r="BJ27" s="388">
        <f t="shared" si="6"/>
        <v>0</v>
      </c>
      <c r="BK27" s="388">
        <f t="shared" si="7"/>
        <v>0</v>
      </c>
      <c r="BL27" s="388">
        <f t="shared" si="8"/>
        <v>0</v>
      </c>
      <c r="BM27" s="388">
        <f t="shared" si="73"/>
        <v>0</v>
      </c>
      <c r="BN27" s="388">
        <f t="shared" si="74"/>
        <v>0</v>
      </c>
      <c r="BO27" s="389">
        <f t="shared" si="9"/>
        <v>0</v>
      </c>
      <c r="BP27" s="390">
        <f t="shared" si="58"/>
        <v>0</v>
      </c>
      <c r="BQ27" s="390">
        <f t="shared" si="10"/>
        <v>0</v>
      </c>
      <c r="BR27" s="390">
        <f t="shared" si="11"/>
        <v>0</v>
      </c>
      <c r="BS27" s="390">
        <f t="shared" si="12"/>
        <v>0</v>
      </c>
      <c r="BT27" s="390">
        <f t="shared" si="13"/>
        <v>0</v>
      </c>
      <c r="BU27" s="390">
        <f t="shared" si="75"/>
        <v>0</v>
      </c>
      <c r="BV27" s="390">
        <f t="shared" si="76"/>
        <v>0</v>
      </c>
      <c r="BW27" s="391">
        <f t="shared" si="14"/>
        <v>0</v>
      </c>
      <c r="BX27" s="397">
        <f t="shared" si="59"/>
        <v>0</v>
      </c>
      <c r="BY27" s="396">
        <f t="shared" si="15"/>
        <v>0</v>
      </c>
      <c r="BZ27" s="396">
        <f t="shared" si="16"/>
        <v>0</v>
      </c>
      <c r="CA27" s="396">
        <f t="shared" si="17"/>
        <v>0</v>
      </c>
      <c r="CB27" s="396">
        <f t="shared" si="18"/>
        <v>0</v>
      </c>
      <c r="CC27" s="396">
        <f t="shared" si="77"/>
        <v>0</v>
      </c>
      <c r="CD27" s="396">
        <f t="shared" si="78"/>
        <v>0</v>
      </c>
      <c r="CE27" s="393">
        <f t="shared" si="19"/>
        <v>0</v>
      </c>
      <c r="CF27" s="394">
        <f t="shared" si="60"/>
        <v>0</v>
      </c>
      <c r="CG27" s="394">
        <f t="shared" si="20"/>
        <v>0</v>
      </c>
      <c r="CH27" s="394">
        <f t="shared" si="21"/>
        <v>0</v>
      </c>
      <c r="CI27" s="394">
        <f t="shared" si="22"/>
        <v>0</v>
      </c>
      <c r="CJ27" s="394">
        <f t="shared" si="23"/>
        <v>0</v>
      </c>
      <c r="CK27" s="394">
        <f t="shared" si="79"/>
        <v>0</v>
      </c>
      <c r="CL27" s="394">
        <f t="shared" si="80"/>
        <v>0</v>
      </c>
      <c r="CM27" s="395">
        <f t="shared" si="24"/>
        <v>0</v>
      </c>
      <c r="CP27" s="371"/>
      <c r="CQ27" s="371"/>
      <c r="CR27" s="371"/>
      <c r="CS27" s="371"/>
      <c r="CT27" s="371"/>
      <c r="CU27" s="371"/>
      <c r="CV27" s="348"/>
    </row>
    <row r="28" spans="1:100" ht="15" hidden="1" customHeight="1" thickTop="1" thickBot="1" x14ac:dyDescent="0.25">
      <c r="A28" s="372">
        <f>FREQUENCIAS!Y$1</f>
        <v>1</v>
      </c>
      <c r="B28" s="358"/>
      <c r="C28" s="358"/>
      <c r="D28" s="358">
        <v>12</v>
      </c>
      <c r="E28" s="358">
        <v>12</v>
      </c>
      <c r="F28" s="358">
        <v>12</v>
      </c>
      <c r="G28" s="358">
        <v>13</v>
      </c>
      <c r="H28" s="398"/>
      <c r="I28" s="398"/>
      <c r="J28" s="398"/>
      <c r="K28" s="398"/>
      <c r="L28" s="359">
        <f t="shared" si="71"/>
        <v>0</v>
      </c>
      <c r="M28" s="359">
        <f t="shared" si="72"/>
        <v>0</v>
      </c>
      <c r="N28" s="359">
        <f t="shared" si="2"/>
        <v>0</v>
      </c>
      <c r="O28" s="359">
        <f t="shared" si="3"/>
        <v>0</v>
      </c>
      <c r="P28" s="359">
        <f t="shared" si="4"/>
        <v>0</v>
      </c>
      <c r="Q28" s="359">
        <f>((IF(($B28="34.1"),34.1,((IF(($B28="35.1"),35.1,((IF(($B28=38733),16.1,((IF(($B28=38768),20.2,((IF(($B28=38774),26.2,0)))))))))))))))</f>
        <v>0</v>
      </c>
      <c r="R28" s="359"/>
      <c r="S28" s="360">
        <f t="shared" si="87"/>
        <v>0</v>
      </c>
      <c r="T28" s="361">
        <f t="shared" si="27"/>
        <v>0</v>
      </c>
      <c r="U28" s="361">
        <f t="shared" si="28"/>
        <v>0</v>
      </c>
      <c r="V28" s="361">
        <f t="shared" si="29"/>
        <v>0</v>
      </c>
      <c r="W28" s="361">
        <f t="shared" si="30"/>
        <v>0</v>
      </c>
      <c r="X28" s="361">
        <f t="shared" si="31"/>
        <v>0</v>
      </c>
      <c r="Y28" s="361">
        <f t="shared" si="88"/>
        <v>0</v>
      </c>
      <c r="Z28" s="361"/>
      <c r="AA28" s="362">
        <f t="shared" si="89"/>
        <v>0</v>
      </c>
      <c r="AB28" s="363">
        <f t="shared" si="33"/>
        <v>0</v>
      </c>
      <c r="AC28" s="363">
        <f t="shared" si="34"/>
        <v>0</v>
      </c>
      <c r="AD28" s="363">
        <f t="shared" si="35"/>
        <v>0</v>
      </c>
      <c r="AE28" s="363">
        <f t="shared" si="36"/>
        <v>0</v>
      </c>
      <c r="AF28" s="363">
        <f t="shared" si="37"/>
        <v>0</v>
      </c>
      <c r="AG28" s="363">
        <f t="shared" si="90"/>
        <v>0</v>
      </c>
      <c r="AH28" s="363"/>
      <c r="AI28" s="364">
        <f t="shared" si="91"/>
        <v>12</v>
      </c>
      <c r="AJ28" s="365">
        <f t="shared" si="39"/>
        <v>0</v>
      </c>
      <c r="AK28" s="365">
        <f t="shared" si="40"/>
        <v>0</v>
      </c>
      <c r="AL28" s="365">
        <f t="shared" si="41"/>
        <v>0</v>
      </c>
      <c r="AM28" s="365">
        <f t="shared" si="42"/>
        <v>0</v>
      </c>
      <c r="AN28" s="365">
        <f t="shared" si="43"/>
        <v>0</v>
      </c>
      <c r="AO28" s="365">
        <f t="shared" si="92"/>
        <v>0</v>
      </c>
      <c r="AP28" s="365"/>
      <c r="AQ28" s="366">
        <f t="shared" si="93"/>
        <v>12</v>
      </c>
      <c r="AR28" s="367">
        <f t="shared" si="45"/>
        <v>0</v>
      </c>
      <c r="AS28" s="367">
        <f t="shared" si="46"/>
        <v>0</v>
      </c>
      <c r="AT28" s="367">
        <f t="shared" si="47"/>
        <v>0</v>
      </c>
      <c r="AU28" s="367">
        <f t="shared" si="48"/>
        <v>0</v>
      </c>
      <c r="AV28" s="367">
        <f t="shared" si="49"/>
        <v>0</v>
      </c>
      <c r="AW28" s="367">
        <f t="shared" si="94"/>
        <v>0</v>
      </c>
      <c r="AX28" s="367"/>
      <c r="AY28" s="368">
        <f t="shared" si="95"/>
        <v>12</v>
      </c>
      <c r="AZ28" s="369">
        <f t="shared" si="51"/>
        <v>0</v>
      </c>
      <c r="BA28" s="369">
        <f t="shared" si="52"/>
        <v>0</v>
      </c>
      <c r="BB28" s="369">
        <f t="shared" si="53"/>
        <v>0</v>
      </c>
      <c r="BC28" s="369">
        <f t="shared" si="54"/>
        <v>0</v>
      </c>
      <c r="BD28" s="369">
        <f t="shared" si="55"/>
        <v>0</v>
      </c>
      <c r="BE28" s="369">
        <f t="shared" si="96"/>
        <v>0</v>
      </c>
      <c r="BF28" s="369"/>
      <c r="BG28" s="370">
        <f t="shared" si="97"/>
        <v>13</v>
      </c>
      <c r="BH28" s="388">
        <f t="shared" si="57"/>
        <v>0</v>
      </c>
      <c r="BI28" s="388">
        <f t="shared" si="5"/>
        <v>0</v>
      </c>
      <c r="BJ28" s="388">
        <f t="shared" si="6"/>
        <v>0</v>
      </c>
      <c r="BK28" s="388">
        <f t="shared" si="7"/>
        <v>0</v>
      </c>
      <c r="BL28" s="388">
        <f t="shared" si="8"/>
        <v>0</v>
      </c>
      <c r="BM28" s="388">
        <f t="shared" si="73"/>
        <v>0</v>
      </c>
      <c r="BN28" s="388">
        <f t="shared" si="74"/>
        <v>0</v>
      </c>
      <c r="BO28" s="389">
        <f t="shared" si="9"/>
        <v>0</v>
      </c>
      <c r="BP28" s="390">
        <f t="shared" si="58"/>
        <v>0</v>
      </c>
      <c r="BQ28" s="390">
        <f t="shared" si="10"/>
        <v>0</v>
      </c>
      <c r="BR28" s="390">
        <f t="shared" si="11"/>
        <v>0</v>
      </c>
      <c r="BS28" s="390">
        <f t="shared" si="12"/>
        <v>0</v>
      </c>
      <c r="BT28" s="390">
        <f t="shared" si="13"/>
        <v>0</v>
      </c>
      <c r="BU28" s="390">
        <f t="shared" si="75"/>
        <v>0</v>
      </c>
      <c r="BV28" s="390">
        <f t="shared" si="76"/>
        <v>0</v>
      </c>
      <c r="BW28" s="391">
        <f t="shared" si="14"/>
        <v>0</v>
      </c>
      <c r="BX28" s="397">
        <f t="shared" si="59"/>
        <v>0</v>
      </c>
      <c r="BY28" s="396">
        <f t="shared" si="15"/>
        <v>0</v>
      </c>
      <c r="BZ28" s="396">
        <f t="shared" si="16"/>
        <v>0</v>
      </c>
      <c r="CA28" s="396">
        <f t="shared" si="17"/>
        <v>0</v>
      </c>
      <c r="CB28" s="396">
        <f t="shared" si="18"/>
        <v>0</v>
      </c>
      <c r="CC28" s="396">
        <f t="shared" si="77"/>
        <v>0</v>
      </c>
      <c r="CD28" s="396">
        <f t="shared" si="78"/>
        <v>0</v>
      </c>
      <c r="CE28" s="393">
        <f t="shared" si="19"/>
        <v>0</v>
      </c>
      <c r="CF28" s="394">
        <f t="shared" si="60"/>
        <v>0</v>
      </c>
      <c r="CG28" s="394">
        <f t="shared" si="20"/>
        <v>0</v>
      </c>
      <c r="CH28" s="394">
        <f t="shared" si="21"/>
        <v>0</v>
      </c>
      <c r="CI28" s="394">
        <f t="shared" si="22"/>
        <v>0</v>
      </c>
      <c r="CJ28" s="394">
        <f t="shared" si="23"/>
        <v>0</v>
      </c>
      <c r="CK28" s="394">
        <f t="shared" si="79"/>
        <v>0</v>
      </c>
      <c r="CL28" s="394">
        <f t="shared" si="80"/>
        <v>0</v>
      </c>
      <c r="CM28" s="395">
        <f t="shared" si="24"/>
        <v>0</v>
      </c>
      <c r="CP28" s="371"/>
      <c r="CQ28" s="371"/>
      <c r="CR28" s="371"/>
      <c r="CS28" s="371"/>
      <c r="CT28" s="371"/>
      <c r="CU28" s="371"/>
      <c r="CV28" s="348"/>
    </row>
    <row r="29" spans="1:100" ht="15" hidden="1" customHeight="1" thickTop="1" thickBot="1" x14ac:dyDescent="0.25">
      <c r="A29" s="372">
        <f>FREQUENCIAS!Z$1</f>
        <v>2</v>
      </c>
      <c r="B29" s="358"/>
      <c r="C29" s="358"/>
      <c r="D29" s="358">
        <v>22</v>
      </c>
      <c r="E29" s="358">
        <v>22</v>
      </c>
      <c r="F29" s="358">
        <v>22</v>
      </c>
      <c r="G29" s="358">
        <v>23</v>
      </c>
      <c r="H29" s="398"/>
      <c r="I29" s="398"/>
      <c r="J29" s="398"/>
      <c r="K29" s="398"/>
      <c r="L29" s="359"/>
      <c r="M29" s="359"/>
      <c r="N29" s="359"/>
      <c r="O29" s="359"/>
      <c r="P29" s="359"/>
      <c r="Q29" s="359"/>
      <c r="R29" s="359"/>
      <c r="S29" s="360">
        <f t="shared" si="87"/>
        <v>0</v>
      </c>
      <c r="T29" s="361">
        <f t="shared" si="27"/>
        <v>0</v>
      </c>
      <c r="U29" s="361">
        <f t="shared" si="28"/>
        <v>0</v>
      </c>
      <c r="V29" s="361">
        <f t="shared" si="29"/>
        <v>0</v>
      </c>
      <c r="W29" s="361">
        <f t="shared" si="30"/>
        <v>0</v>
      </c>
      <c r="X29" s="361">
        <f t="shared" si="31"/>
        <v>0</v>
      </c>
      <c r="Y29" s="361">
        <f t="shared" si="88"/>
        <v>0</v>
      </c>
      <c r="Z29" s="361"/>
      <c r="AA29" s="362">
        <f t="shared" si="89"/>
        <v>0</v>
      </c>
      <c r="AB29" s="363">
        <f t="shared" si="33"/>
        <v>0</v>
      </c>
      <c r="AC29" s="363">
        <f t="shared" si="34"/>
        <v>0</v>
      </c>
      <c r="AD29" s="363">
        <f t="shared" si="35"/>
        <v>0</v>
      </c>
      <c r="AE29" s="363">
        <f t="shared" si="36"/>
        <v>0</v>
      </c>
      <c r="AF29" s="363">
        <f t="shared" si="37"/>
        <v>0</v>
      </c>
      <c r="AG29" s="363">
        <f t="shared" si="90"/>
        <v>0</v>
      </c>
      <c r="AH29" s="363"/>
      <c r="AI29" s="364">
        <f t="shared" si="91"/>
        <v>22</v>
      </c>
      <c r="AJ29" s="365">
        <f t="shared" si="39"/>
        <v>0</v>
      </c>
      <c r="AK29" s="365">
        <f t="shared" si="40"/>
        <v>0</v>
      </c>
      <c r="AL29" s="365">
        <f t="shared" si="41"/>
        <v>0</v>
      </c>
      <c r="AM29" s="365">
        <f t="shared" si="42"/>
        <v>0</v>
      </c>
      <c r="AN29" s="365">
        <f t="shared" si="43"/>
        <v>0</v>
      </c>
      <c r="AO29" s="365">
        <f t="shared" si="92"/>
        <v>0</v>
      </c>
      <c r="AP29" s="365"/>
      <c r="AQ29" s="366">
        <f t="shared" si="93"/>
        <v>22</v>
      </c>
      <c r="AR29" s="367">
        <f t="shared" si="45"/>
        <v>0</v>
      </c>
      <c r="AS29" s="367">
        <f t="shared" si="46"/>
        <v>0</v>
      </c>
      <c r="AT29" s="367">
        <f t="shared" si="47"/>
        <v>0</v>
      </c>
      <c r="AU29" s="367">
        <f t="shared" si="48"/>
        <v>0</v>
      </c>
      <c r="AV29" s="367">
        <f t="shared" si="49"/>
        <v>0</v>
      </c>
      <c r="AW29" s="367">
        <f t="shared" si="94"/>
        <v>0</v>
      </c>
      <c r="AX29" s="367"/>
      <c r="AY29" s="368">
        <f t="shared" si="95"/>
        <v>22</v>
      </c>
      <c r="AZ29" s="369">
        <f t="shared" si="51"/>
        <v>0</v>
      </c>
      <c r="BA29" s="369">
        <f t="shared" si="52"/>
        <v>0</v>
      </c>
      <c r="BB29" s="369">
        <f t="shared" si="53"/>
        <v>0</v>
      </c>
      <c r="BC29" s="369">
        <f t="shared" si="54"/>
        <v>0</v>
      </c>
      <c r="BD29" s="369">
        <f t="shared" si="55"/>
        <v>0</v>
      </c>
      <c r="BE29" s="369">
        <f t="shared" si="96"/>
        <v>0</v>
      </c>
      <c r="BF29" s="369"/>
      <c r="BG29" s="370">
        <f t="shared" si="97"/>
        <v>23</v>
      </c>
      <c r="BH29" s="388">
        <f t="shared" si="57"/>
        <v>0</v>
      </c>
      <c r="BI29" s="388">
        <f t="shared" si="5"/>
        <v>0</v>
      </c>
      <c r="BJ29" s="388">
        <f t="shared" si="6"/>
        <v>0</v>
      </c>
      <c r="BK29" s="388">
        <f t="shared" si="7"/>
        <v>0</v>
      </c>
      <c r="BL29" s="388">
        <f t="shared" si="8"/>
        <v>0</v>
      </c>
      <c r="BM29" s="388">
        <f t="shared" si="73"/>
        <v>0</v>
      </c>
      <c r="BN29" s="388">
        <f t="shared" si="74"/>
        <v>0</v>
      </c>
      <c r="BO29" s="389">
        <f t="shared" si="9"/>
        <v>0</v>
      </c>
      <c r="BP29" s="390">
        <f t="shared" si="58"/>
        <v>0</v>
      </c>
      <c r="BQ29" s="390">
        <f t="shared" si="10"/>
        <v>0</v>
      </c>
      <c r="BR29" s="390">
        <f t="shared" si="11"/>
        <v>0</v>
      </c>
      <c r="BS29" s="390">
        <f t="shared" si="12"/>
        <v>0</v>
      </c>
      <c r="BT29" s="390">
        <f t="shared" si="13"/>
        <v>0</v>
      </c>
      <c r="BU29" s="390">
        <f t="shared" si="75"/>
        <v>0</v>
      </c>
      <c r="BV29" s="390">
        <f t="shared" si="76"/>
        <v>0</v>
      </c>
      <c r="BW29" s="391">
        <f t="shared" si="14"/>
        <v>0</v>
      </c>
      <c r="BX29" s="397">
        <f t="shared" si="59"/>
        <v>0</v>
      </c>
      <c r="BY29" s="396">
        <f t="shared" si="15"/>
        <v>0</v>
      </c>
      <c r="BZ29" s="396">
        <f t="shared" si="16"/>
        <v>0</v>
      </c>
      <c r="CA29" s="396">
        <f t="shared" si="17"/>
        <v>0</v>
      </c>
      <c r="CB29" s="396">
        <f t="shared" si="18"/>
        <v>0</v>
      </c>
      <c r="CC29" s="396">
        <f t="shared" si="77"/>
        <v>0</v>
      </c>
      <c r="CD29" s="396">
        <f t="shared" si="78"/>
        <v>0</v>
      </c>
      <c r="CE29" s="393">
        <f t="shared" si="19"/>
        <v>0</v>
      </c>
      <c r="CF29" s="394">
        <f t="shared" si="60"/>
        <v>0</v>
      </c>
      <c r="CG29" s="394">
        <f t="shared" si="20"/>
        <v>0</v>
      </c>
      <c r="CH29" s="394">
        <f t="shared" si="21"/>
        <v>0</v>
      </c>
      <c r="CI29" s="394">
        <f t="shared" si="22"/>
        <v>0</v>
      </c>
      <c r="CJ29" s="394">
        <f t="shared" si="23"/>
        <v>0</v>
      </c>
      <c r="CK29" s="394">
        <f t="shared" si="79"/>
        <v>0</v>
      </c>
      <c r="CL29" s="394">
        <f t="shared" si="80"/>
        <v>0</v>
      </c>
      <c r="CM29" s="395">
        <f t="shared" si="24"/>
        <v>0</v>
      </c>
      <c r="CP29" s="371"/>
      <c r="CQ29" s="371"/>
      <c r="CR29" s="371"/>
      <c r="CS29" s="371"/>
      <c r="CT29" s="371"/>
      <c r="CU29" s="371"/>
      <c r="CV29" s="348"/>
    </row>
    <row r="30" spans="1:100" ht="15" hidden="1" customHeight="1" thickTop="1" thickBot="1" x14ac:dyDescent="0.25">
      <c r="A30" s="372">
        <f>FREQUENCIAS!AA$1</f>
        <v>3</v>
      </c>
      <c r="B30" s="358"/>
      <c r="C30" s="358"/>
      <c r="D30" s="358">
        <v>15</v>
      </c>
      <c r="E30" s="358">
        <v>16</v>
      </c>
      <c r="F30" s="358">
        <v>14</v>
      </c>
      <c r="G30" s="358">
        <v>15</v>
      </c>
      <c r="H30" s="398"/>
      <c r="I30" s="398"/>
      <c r="J30" s="398"/>
      <c r="K30" s="398"/>
      <c r="L30" s="359"/>
      <c r="M30" s="359"/>
      <c r="N30" s="359"/>
      <c r="O30" s="359"/>
      <c r="P30" s="359"/>
      <c r="Q30" s="359"/>
      <c r="R30" s="359"/>
      <c r="S30" s="360">
        <f t="shared" si="87"/>
        <v>0</v>
      </c>
      <c r="T30" s="361">
        <f t="shared" si="27"/>
        <v>0</v>
      </c>
      <c r="U30" s="361">
        <f t="shared" si="28"/>
        <v>0</v>
      </c>
      <c r="V30" s="361">
        <f t="shared" si="29"/>
        <v>0</v>
      </c>
      <c r="W30" s="361">
        <f t="shared" si="30"/>
        <v>0</v>
      </c>
      <c r="X30" s="361">
        <f t="shared" si="31"/>
        <v>0</v>
      </c>
      <c r="Y30" s="361">
        <f t="shared" si="88"/>
        <v>0</v>
      </c>
      <c r="Z30" s="361"/>
      <c r="AA30" s="362">
        <f t="shared" si="89"/>
        <v>0</v>
      </c>
      <c r="AB30" s="363">
        <f t="shared" si="33"/>
        <v>0</v>
      </c>
      <c r="AC30" s="363">
        <f t="shared" si="34"/>
        <v>0</v>
      </c>
      <c r="AD30" s="363">
        <f t="shared" si="35"/>
        <v>0</v>
      </c>
      <c r="AE30" s="363">
        <f t="shared" si="36"/>
        <v>0</v>
      </c>
      <c r="AF30" s="363">
        <f t="shared" si="37"/>
        <v>0</v>
      </c>
      <c r="AG30" s="363">
        <f t="shared" si="90"/>
        <v>0</v>
      </c>
      <c r="AH30" s="363"/>
      <c r="AI30" s="364">
        <f t="shared" si="91"/>
        <v>15</v>
      </c>
      <c r="AJ30" s="365">
        <f t="shared" si="39"/>
        <v>0</v>
      </c>
      <c r="AK30" s="365">
        <f t="shared" si="40"/>
        <v>0</v>
      </c>
      <c r="AL30" s="365">
        <f t="shared" si="41"/>
        <v>0</v>
      </c>
      <c r="AM30" s="365">
        <f t="shared" si="42"/>
        <v>0</v>
      </c>
      <c r="AN30" s="365">
        <f t="shared" si="43"/>
        <v>0</v>
      </c>
      <c r="AO30" s="365">
        <f t="shared" si="92"/>
        <v>0</v>
      </c>
      <c r="AP30" s="365"/>
      <c r="AQ30" s="366">
        <f t="shared" si="93"/>
        <v>16</v>
      </c>
      <c r="AR30" s="367">
        <f t="shared" si="45"/>
        <v>0</v>
      </c>
      <c r="AS30" s="367">
        <f t="shared" si="46"/>
        <v>0</v>
      </c>
      <c r="AT30" s="367">
        <f t="shared" si="47"/>
        <v>0</v>
      </c>
      <c r="AU30" s="367">
        <f t="shared" si="48"/>
        <v>0</v>
      </c>
      <c r="AV30" s="367">
        <f t="shared" si="49"/>
        <v>0</v>
      </c>
      <c r="AW30" s="367">
        <f t="shared" si="94"/>
        <v>0</v>
      </c>
      <c r="AX30" s="367"/>
      <c r="AY30" s="368">
        <f t="shared" si="95"/>
        <v>14</v>
      </c>
      <c r="AZ30" s="369">
        <f t="shared" si="51"/>
        <v>0</v>
      </c>
      <c r="BA30" s="369">
        <f t="shared" si="52"/>
        <v>0</v>
      </c>
      <c r="BB30" s="369">
        <f t="shared" si="53"/>
        <v>0</v>
      </c>
      <c r="BC30" s="369">
        <f t="shared" si="54"/>
        <v>0</v>
      </c>
      <c r="BD30" s="369">
        <f t="shared" si="55"/>
        <v>0</v>
      </c>
      <c r="BE30" s="369">
        <f t="shared" si="96"/>
        <v>0</v>
      </c>
      <c r="BF30" s="369"/>
      <c r="BG30" s="370">
        <f t="shared" si="97"/>
        <v>15</v>
      </c>
      <c r="BH30" s="388">
        <f t="shared" si="57"/>
        <v>0</v>
      </c>
      <c r="BI30" s="388">
        <f t="shared" si="5"/>
        <v>0</v>
      </c>
      <c r="BJ30" s="388">
        <f t="shared" si="6"/>
        <v>0</v>
      </c>
      <c r="BK30" s="388">
        <f t="shared" si="7"/>
        <v>0</v>
      </c>
      <c r="BL30" s="388">
        <f t="shared" si="8"/>
        <v>0</v>
      </c>
      <c r="BM30" s="388">
        <f t="shared" si="73"/>
        <v>0</v>
      </c>
      <c r="BN30" s="388">
        <f t="shared" si="74"/>
        <v>0</v>
      </c>
      <c r="BO30" s="389">
        <f t="shared" si="9"/>
        <v>0</v>
      </c>
      <c r="BP30" s="390">
        <f t="shared" si="58"/>
        <v>0</v>
      </c>
      <c r="BQ30" s="390">
        <f t="shared" si="10"/>
        <v>0</v>
      </c>
      <c r="BR30" s="390">
        <f t="shared" si="11"/>
        <v>0</v>
      </c>
      <c r="BS30" s="390">
        <f t="shared" si="12"/>
        <v>0</v>
      </c>
      <c r="BT30" s="390">
        <f t="shared" si="13"/>
        <v>0</v>
      </c>
      <c r="BU30" s="390">
        <f t="shared" si="75"/>
        <v>0</v>
      </c>
      <c r="BV30" s="390">
        <f t="shared" si="76"/>
        <v>0</v>
      </c>
      <c r="BW30" s="391">
        <f t="shared" si="14"/>
        <v>0</v>
      </c>
      <c r="BX30" s="397">
        <f t="shared" si="59"/>
        <v>0</v>
      </c>
      <c r="BY30" s="396">
        <f t="shared" si="15"/>
        <v>0</v>
      </c>
      <c r="BZ30" s="396">
        <f t="shared" si="16"/>
        <v>0</v>
      </c>
      <c r="CA30" s="396">
        <f t="shared" si="17"/>
        <v>0</v>
      </c>
      <c r="CB30" s="396">
        <f t="shared" si="18"/>
        <v>0</v>
      </c>
      <c r="CC30" s="396">
        <f t="shared" si="77"/>
        <v>0</v>
      </c>
      <c r="CD30" s="396">
        <f t="shared" si="78"/>
        <v>0</v>
      </c>
      <c r="CE30" s="393">
        <f t="shared" si="19"/>
        <v>0</v>
      </c>
      <c r="CF30" s="394">
        <f t="shared" si="60"/>
        <v>0</v>
      </c>
      <c r="CG30" s="394">
        <f t="shared" si="20"/>
        <v>0</v>
      </c>
      <c r="CH30" s="394">
        <f t="shared" si="21"/>
        <v>0</v>
      </c>
      <c r="CI30" s="394">
        <f t="shared" si="22"/>
        <v>0</v>
      </c>
      <c r="CJ30" s="394">
        <f t="shared" si="23"/>
        <v>0</v>
      </c>
      <c r="CK30" s="394">
        <f t="shared" si="79"/>
        <v>0</v>
      </c>
      <c r="CL30" s="394">
        <f t="shared" si="80"/>
        <v>0</v>
      </c>
      <c r="CM30" s="395">
        <f t="shared" si="24"/>
        <v>0</v>
      </c>
      <c r="CP30" s="371"/>
      <c r="CQ30" s="371"/>
      <c r="CR30" s="371"/>
      <c r="CS30" s="371"/>
      <c r="CT30" s="371"/>
      <c r="CU30" s="371"/>
      <c r="CV30" s="348"/>
    </row>
    <row r="31" spans="1:100" ht="15" hidden="1" customHeight="1" thickTop="1" thickBot="1" x14ac:dyDescent="0.25">
      <c r="A31" s="372">
        <f>FREQUENCIAS!AB$1</f>
        <v>4</v>
      </c>
      <c r="B31" s="358"/>
      <c r="C31" s="358"/>
      <c r="D31" s="358"/>
      <c r="E31" s="358"/>
      <c r="F31" s="358"/>
      <c r="G31" s="358"/>
      <c r="H31" s="398"/>
      <c r="I31" s="398"/>
      <c r="J31" s="398"/>
      <c r="K31" s="398"/>
      <c r="L31" s="359"/>
      <c r="M31" s="359"/>
      <c r="N31" s="359"/>
      <c r="O31" s="359"/>
      <c r="P31" s="359"/>
      <c r="Q31" s="359"/>
      <c r="R31" s="359"/>
      <c r="S31" s="360">
        <f t="shared" si="87"/>
        <v>0</v>
      </c>
      <c r="T31" s="361">
        <f t="shared" si="27"/>
        <v>0</v>
      </c>
      <c r="U31" s="361">
        <f t="shared" si="28"/>
        <v>0</v>
      </c>
      <c r="V31" s="361">
        <f t="shared" si="29"/>
        <v>0</v>
      </c>
      <c r="W31" s="361">
        <f t="shared" si="30"/>
        <v>0</v>
      </c>
      <c r="X31" s="361">
        <f t="shared" si="31"/>
        <v>0</v>
      </c>
      <c r="Y31" s="361">
        <f t="shared" si="88"/>
        <v>0</v>
      </c>
      <c r="Z31" s="361"/>
      <c r="AA31" s="362">
        <f t="shared" si="89"/>
        <v>0</v>
      </c>
      <c r="AB31" s="363">
        <f t="shared" si="33"/>
        <v>0</v>
      </c>
      <c r="AC31" s="363">
        <f t="shared" si="34"/>
        <v>0</v>
      </c>
      <c r="AD31" s="363">
        <f t="shared" si="35"/>
        <v>0</v>
      </c>
      <c r="AE31" s="363">
        <f t="shared" si="36"/>
        <v>0</v>
      </c>
      <c r="AF31" s="363">
        <f t="shared" si="37"/>
        <v>0</v>
      </c>
      <c r="AG31" s="363">
        <f t="shared" si="90"/>
        <v>0</v>
      </c>
      <c r="AH31" s="363"/>
      <c r="AI31" s="364">
        <f t="shared" si="91"/>
        <v>0</v>
      </c>
      <c r="AJ31" s="365">
        <f t="shared" si="39"/>
        <v>0</v>
      </c>
      <c r="AK31" s="365">
        <f t="shared" si="40"/>
        <v>0</v>
      </c>
      <c r="AL31" s="365">
        <f t="shared" si="41"/>
        <v>0</v>
      </c>
      <c r="AM31" s="365">
        <f t="shared" si="42"/>
        <v>0</v>
      </c>
      <c r="AN31" s="365">
        <f t="shared" si="43"/>
        <v>0</v>
      </c>
      <c r="AO31" s="365">
        <f t="shared" si="92"/>
        <v>0</v>
      </c>
      <c r="AP31" s="365"/>
      <c r="AQ31" s="366">
        <f t="shared" si="93"/>
        <v>0</v>
      </c>
      <c r="AR31" s="367">
        <f t="shared" si="45"/>
        <v>0</v>
      </c>
      <c r="AS31" s="367">
        <f t="shared" si="46"/>
        <v>0</v>
      </c>
      <c r="AT31" s="367">
        <f t="shared" si="47"/>
        <v>0</v>
      </c>
      <c r="AU31" s="367">
        <f t="shared" si="48"/>
        <v>0</v>
      </c>
      <c r="AV31" s="367">
        <f t="shared" si="49"/>
        <v>0</v>
      </c>
      <c r="AW31" s="367">
        <f t="shared" si="94"/>
        <v>0</v>
      </c>
      <c r="AX31" s="367"/>
      <c r="AY31" s="368">
        <f t="shared" si="95"/>
        <v>0</v>
      </c>
      <c r="AZ31" s="369">
        <f t="shared" si="51"/>
        <v>0</v>
      </c>
      <c r="BA31" s="369">
        <f t="shared" si="52"/>
        <v>0</v>
      </c>
      <c r="BB31" s="369">
        <f t="shared" si="53"/>
        <v>0</v>
      </c>
      <c r="BC31" s="369">
        <f t="shared" si="54"/>
        <v>0</v>
      </c>
      <c r="BD31" s="369">
        <f t="shared" si="55"/>
        <v>0</v>
      </c>
      <c r="BE31" s="369">
        <f t="shared" si="96"/>
        <v>0</v>
      </c>
      <c r="BF31" s="369"/>
      <c r="BG31" s="370">
        <f t="shared" si="97"/>
        <v>0</v>
      </c>
      <c r="BH31" s="388">
        <f t="shared" si="57"/>
        <v>0</v>
      </c>
      <c r="BI31" s="388">
        <f t="shared" si="5"/>
        <v>0</v>
      </c>
      <c r="BJ31" s="388">
        <f t="shared" si="6"/>
        <v>0</v>
      </c>
      <c r="BK31" s="388">
        <f t="shared" si="7"/>
        <v>0</v>
      </c>
      <c r="BL31" s="388">
        <f t="shared" si="8"/>
        <v>0</v>
      </c>
      <c r="BM31" s="388">
        <f t="shared" si="73"/>
        <v>0</v>
      </c>
      <c r="BN31" s="388">
        <f t="shared" si="74"/>
        <v>0</v>
      </c>
      <c r="BO31" s="389">
        <f t="shared" si="9"/>
        <v>0</v>
      </c>
      <c r="BP31" s="390">
        <f t="shared" si="58"/>
        <v>0</v>
      </c>
      <c r="BQ31" s="390">
        <f t="shared" si="10"/>
        <v>0</v>
      </c>
      <c r="BR31" s="390">
        <f t="shared" si="11"/>
        <v>0</v>
      </c>
      <c r="BS31" s="390">
        <f t="shared" si="12"/>
        <v>0</v>
      </c>
      <c r="BT31" s="390">
        <f t="shared" si="13"/>
        <v>0</v>
      </c>
      <c r="BU31" s="390">
        <f t="shared" si="75"/>
        <v>0</v>
      </c>
      <c r="BV31" s="390">
        <f t="shared" si="76"/>
        <v>0</v>
      </c>
      <c r="BW31" s="391">
        <f t="shared" si="14"/>
        <v>0</v>
      </c>
      <c r="BX31" s="397">
        <f t="shared" si="59"/>
        <v>0</v>
      </c>
      <c r="BY31" s="396">
        <f t="shared" si="15"/>
        <v>0</v>
      </c>
      <c r="BZ31" s="396">
        <f t="shared" si="16"/>
        <v>0</v>
      </c>
      <c r="CA31" s="396">
        <f t="shared" si="17"/>
        <v>0</v>
      </c>
      <c r="CB31" s="396">
        <f t="shared" si="18"/>
        <v>0</v>
      </c>
      <c r="CC31" s="396">
        <f t="shared" si="77"/>
        <v>0</v>
      </c>
      <c r="CD31" s="396">
        <f t="shared" si="78"/>
        <v>0</v>
      </c>
      <c r="CE31" s="393">
        <f t="shared" si="19"/>
        <v>0</v>
      </c>
      <c r="CF31" s="394">
        <f t="shared" si="60"/>
        <v>0</v>
      </c>
      <c r="CG31" s="394">
        <f t="shared" si="20"/>
        <v>0</v>
      </c>
      <c r="CH31" s="394">
        <f t="shared" si="21"/>
        <v>0</v>
      </c>
      <c r="CI31" s="394">
        <f t="shared" si="22"/>
        <v>0</v>
      </c>
      <c r="CJ31" s="394">
        <f t="shared" si="23"/>
        <v>0</v>
      </c>
      <c r="CK31" s="394">
        <f t="shared" si="79"/>
        <v>0</v>
      </c>
      <c r="CL31" s="394">
        <f t="shared" si="80"/>
        <v>0</v>
      </c>
      <c r="CM31" s="395">
        <f t="shared" si="24"/>
        <v>0</v>
      </c>
      <c r="CP31" s="371"/>
      <c r="CQ31" s="371"/>
      <c r="CR31" s="371"/>
      <c r="CS31" s="371"/>
      <c r="CT31" s="371"/>
      <c r="CU31" s="371"/>
      <c r="CV31" s="348"/>
    </row>
    <row r="32" spans="1:100" ht="15" hidden="1" customHeight="1" thickTop="1" thickBot="1" x14ac:dyDescent="0.25">
      <c r="A32" s="372">
        <f>FREQUENCIAS!AC$1</f>
        <v>5</v>
      </c>
      <c r="B32" s="358"/>
      <c r="C32" s="358"/>
      <c r="D32" s="358"/>
      <c r="E32" s="358"/>
      <c r="F32" s="358"/>
      <c r="G32" s="358"/>
      <c r="H32" s="398"/>
      <c r="I32" s="398"/>
      <c r="J32" s="398"/>
      <c r="K32" s="398"/>
      <c r="L32" s="359"/>
      <c r="M32" s="359"/>
      <c r="N32" s="359"/>
      <c r="O32" s="359"/>
      <c r="P32" s="359"/>
      <c r="Q32" s="359"/>
      <c r="R32" s="359"/>
      <c r="S32" s="360">
        <f t="shared" si="87"/>
        <v>0</v>
      </c>
      <c r="T32" s="361">
        <f t="shared" si="27"/>
        <v>0</v>
      </c>
      <c r="U32" s="361">
        <f t="shared" si="28"/>
        <v>0</v>
      </c>
      <c r="V32" s="361">
        <f t="shared" si="29"/>
        <v>0</v>
      </c>
      <c r="W32" s="361">
        <f t="shared" si="30"/>
        <v>0</v>
      </c>
      <c r="X32" s="361">
        <f t="shared" si="31"/>
        <v>0</v>
      </c>
      <c r="Y32" s="361">
        <f t="shared" si="88"/>
        <v>0</v>
      </c>
      <c r="Z32" s="361"/>
      <c r="AA32" s="362">
        <f t="shared" si="89"/>
        <v>0</v>
      </c>
      <c r="AB32" s="363">
        <f t="shared" si="33"/>
        <v>0</v>
      </c>
      <c r="AC32" s="363">
        <f t="shared" si="34"/>
        <v>0</v>
      </c>
      <c r="AD32" s="363">
        <f t="shared" si="35"/>
        <v>0</v>
      </c>
      <c r="AE32" s="363">
        <f t="shared" si="36"/>
        <v>0</v>
      </c>
      <c r="AF32" s="363">
        <f t="shared" si="37"/>
        <v>0</v>
      </c>
      <c r="AG32" s="363">
        <f t="shared" si="90"/>
        <v>0</v>
      </c>
      <c r="AH32" s="363"/>
      <c r="AI32" s="364">
        <f t="shared" si="91"/>
        <v>0</v>
      </c>
      <c r="AJ32" s="365">
        <f t="shared" si="39"/>
        <v>0</v>
      </c>
      <c r="AK32" s="365">
        <f t="shared" si="40"/>
        <v>0</v>
      </c>
      <c r="AL32" s="365">
        <f t="shared" si="41"/>
        <v>0</v>
      </c>
      <c r="AM32" s="365">
        <f t="shared" si="42"/>
        <v>0</v>
      </c>
      <c r="AN32" s="365">
        <f t="shared" si="43"/>
        <v>0</v>
      </c>
      <c r="AO32" s="365">
        <f t="shared" si="92"/>
        <v>0</v>
      </c>
      <c r="AP32" s="365"/>
      <c r="AQ32" s="366">
        <f t="shared" si="93"/>
        <v>0</v>
      </c>
      <c r="AR32" s="367">
        <f t="shared" si="45"/>
        <v>0</v>
      </c>
      <c r="AS32" s="367">
        <f t="shared" si="46"/>
        <v>0</v>
      </c>
      <c r="AT32" s="367">
        <f t="shared" si="47"/>
        <v>0</v>
      </c>
      <c r="AU32" s="367">
        <f t="shared" si="48"/>
        <v>0</v>
      </c>
      <c r="AV32" s="367">
        <f t="shared" si="49"/>
        <v>0</v>
      </c>
      <c r="AW32" s="367">
        <f t="shared" si="94"/>
        <v>0</v>
      </c>
      <c r="AX32" s="367"/>
      <c r="AY32" s="368">
        <f t="shared" si="95"/>
        <v>0</v>
      </c>
      <c r="AZ32" s="369">
        <f t="shared" si="51"/>
        <v>0</v>
      </c>
      <c r="BA32" s="369">
        <f t="shared" si="52"/>
        <v>0</v>
      </c>
      <c r="BB32" s="369">
        <f t="shared" si="53"/>
        <v>0</v>
      </c>
      <c r="BC32" s="369">
        <f t="shared" si="54"/>
        <v>0</v>
      </c>
      <c r="BD32" s="369">
        <f t="shared" si="55"/>
        <v>0</v>
      </c>
      <c r="BE32" s="369">
        <f t="shared" si="96"/>
        <v>0</v>
      </c>
      <c r="BF32" s="369"/>
      <c r="BG32" s="370">
        <f t="shared" si="97"/>
        <v>0</v>
      </c>
      <c r="BH32" s="388">
        <f t="shared" si="57"/>
        <v>0</v>
      </c>
      <c r="BI32" s="388">
        <f t="shared" si="5"/>
        <v>0</v>
      </c>
      <c r="BJ32" s="388">
        <f t="shared" si="6"/>
        <v>0</v>
      </c>
      <c r="BK32" s="388">
        <f t="shared" si="7"/>
        <v>0</v>
      </c>
      <c r="BL32" s="388">
        <f t="shared" si="8"/>
        <v>0</v>
      </c>
      <c r="BM32" s="388">
        <f t="shared" si="73"/>
        <v>0</v>
      </c>
      <c r="BN32" s="388">
        <f t="shared" si="74"/>
        <v>0</v>
      </c>
      <c r="BO32" s="389">
        <f t="shared" si="9"/>
        <v>0</v>
      </c>
      <c r="BP32" s="390">
        <f t="shared" si="58"/>
        <v>0</v>
      </c>
      <c r="BQ32" s="390">
        <f t="shared" si="10"/>
        <v>0</v>
      </c>
      <c r="BR32" s="390">
        <f t="shared" si="11"/>
        <v>0</v>
      </c>
      <c r="BS32" s="390">
        <f t="shared" si="12"/>
        <v>0</v>
      </c>
      <c r="BT32" s="390">
        <f t="shared" si="13"/>
        <v>0</v>
      </c>
      <c r="BU32" s="390">
        <f t="shared" si="75"/>
        <v>0</v>
      </c>
      <c r="BV32" s="390">
        <f t="shared" si="76"/>
        <v>0</v>
      </c>
      <c r="BW32" s="391">
        <f t="shared" si="14"/>
        <v>0</v>
      </c>
      <c r="BX32" s="397">
        <f t="shared" si="59"/>
        <v>0</v>
      </c>
      <c r="BY32" s="396">
        <f t="shared" si="15"/>
        <v>0</v>
      </c>
      <c r="BZ32" s="396">
        <f t="shared" si="16"/>
        <v>0</v>
      </c>
      <c r="CA32" s="396">
        <f t="shared" si="17"/>
        <v>0</v>
      </c>
      <c r="CB32" s="396">
        <f t="shared" si="18"/>
        <v>0</v>
      </c>
      <c r="CC32" s="396">
        <f t="shared" si="77"/>
        <v>0</v>
      </c>
      <c r="CD32" s="396">
        <f t="shared" si="78"/>
        <v>0</v>
      </c>
      <c r="CE32" s="393">
        <f t="shared" si="19"/>
        <v>0</v>
      </c>
      <c r="CF32" s="394">
        <f t="shared" si="60"/>
        <v>0</v>
      </c>
      <c r="CG32" s="394">
        <f t="shared" si="20"/>
        <v>0</v>
      </c>
      <c r="CH32" s="394">
        <f t="shared" si="21"/>
        <v>0</v>
      </c>
      <c r="CI32" s="394">
        <f t="shared" si="22"/>
        <v>0</v>
      </c>
      <c r="CJ32" s="394">
        <f t="shared" si="23"/>
        <v>0</v>
      </c>
      <c r="CK32" s="394">
        <f t="shared" si="79"/>
        <v>0</v>
      </c>
      <c r="CL32" s="394">
        <f t="shared" si="80"/>
        <v>0</v>
      </c>
      <c r="CM32" s="395">
        <f t="shared" si="24"/>
        <v>0</v>
      </c>
      <c r="CP32" s="371"/>
      <c r="CQ32" s="371"/>
      <c r="CR32" s="371"/>
      <c r="CS32" s="371"/>
      <c r="CT32" s="371"/>
      <c r="CU32" s="371"/>
      <c r="CV32" s="348"/>
    </row>
    <row r="33" spans="1:100" ht="15" hidden="1" customHeight="1" thickTop="1" thickBot="1" x14ac:dyDescent="0.25">
      <c r="A33" s="372">
        <f>FREQUENCIAS!AD$1</f>
        <v>6</v>
      </c>
      <c r="B33" s="358"/>
      <c r="C33" s="358"/>
      <c r="D33" s="358"/>
      <c r="E33" s="358"/>
      <c r="F33" s="358"/>
      <c r="G33" s="358"/>
      <c r="H33" s="398"/>
      <c r="I33" s="398"/>
      <c r="J33" s="398"/>
      <c r="K33" s="398"/>
      <c r="L33" s="359"/>
      <c r="M33" s="359"/>
      <c r="N33" s="359"/>
      <c r="O33" s="359"/>
      <c r="P33" s="359"/>
      <c r="Q33" s="359"/>
      <c r="R33" s="359"/>
      <c r="S33" s="360">
        <f t="shared" si="87"/>
        <v>0</v>
      </c>
      <c r="T33" s="361">
        <f t="shared" si="27"/>
        <v>0</v>
      </c>
      <c r="U33" s="361">
        <f t="shared" si="28"/>
        <v>0</v>
      </c>
      <c r="V33" s="361">
        <f t="shared" si="29"/>
        <v>0</v>
      </c>
      <c r="W33" s="361">
        <f t="shared" si="30"/>
        <v>0</v>
      </c>
      <c r="X33" s="361">
        <f t="shared" si="31"/>
        <v>0</v>
      </c>
      <c r="Y33" s="361">
        <f t="shared" si="88"/>
        <v>0</v>
      </c>
      <c r="Z33" s="361"/>
      <c r="AA33" s="362">
        <f t="shared" si="89"/>
        <v>0</v>
      </c>
      <c r="AB33" s="363">
        <f t="shared" si="33"/>
        <v>0</v>
      </c>
      <c r="AC33" s="363">
        <f t="shared" si="34"/>
        <v>0</v>
      </c>
      <c r="AD33" s="363">
        <f t="shared" si="35"/>
        <v>0</v>
      </c>
      <c r="AE33" s="363">
        <f t="shared" si="36"/>
        <v>0</v>
      </c>
      <c r="AF33" s="363">
        <f t="shared" si="37"/>
        <v>0</v>
      </c>
      <c r="AG33" s="363">
        <f t="shared" si="90"/>
        <v>0</v>
      </c>
      <c r="AH33" s="363"/>
      <c r="AI33" s="364">
        <f t="shared" si="91"/>
        <v>0</v>
      </c>
      <c r="AJ33" s="365">
        <f t="shared" si="39"/>
        <v>0</v>
      </c>
      <c r="AK33" s="365">
        <f t="shared" si="40"/>
        <v>0</v>
      </c>
      <c r="AL33" s="365">
        <f t="shared" si="41"/>
        <v>0</v>
      </c>
      <c r="AM33" s="365">
        <f t="shared" si="42"/>
        <v>0</v>
      </c>
      <c r="AN33" s="365">
        <f t="shared" si="43"/>
        <v>0</v>
      </c>
      <c r="AO33" s="365">
        <f t="shared" si="92"/>
        <v>0</v>
      </c>
      <c r="AP33" s="365"/>
      <c r="AQ33" s="366">
        <f t="shared" si="93"/>
        <v>0</v>
      </c>
      <c r="AR33" s="367">
        <f t="shared" si="45"/>
        <v>0</v>
      </c>
      <c r="AS33" s="367">
        <f t="shared" si="46"/>
        <v>0</v>
      </c>
      <c r="AT33" s="367">
        <f t="shared" si="47"/>
        <v>0</v>
      </c>
      <c r="AU33" s="367">
        <f t="shared" si="48"/>
        <v>0</v>
      </c>
      <c r="AV33" s="367">
        <f t="shared" si="49"/>
        <v>0</v>
      </c>
      <c r="AW33" s="367">
        <f t="shared" si="94"/>
        <v>0</v>
      </c>
      <c r="AX33" s="367"/>
      <c r="AY33" s="368">
        <f t="shared" si="95"/>
        <v>0</v>
      </c>
      <c r="AZ33" s="369">
        <f t="shared" si="51"/>
        <v>0</v>
      </c>
      <c r="BA33" s="369">
        <f t="shared" si="52"/>
        <v>0</v>
      </c>
      <c r="BB33" s="369">
        <f t="shared" si="53"/>
        <v>0</v>
      </c>
      <c r="BC33" s="369">
        <f t="shared" si="54"/>
        <v>0</v>
      </c>
      <c r="BD33" s="369">
        <f t="shared" si="55"/>
        <v>0</v>
      </c>
      <c r="BE33" s="369">
        <f t="shared" si="96"/>
        <v>0</v>
      </c>
      <c r="BF33" s="369"/>
      <c r="BG33" s="370">
        <f t="shared" si="97"/>
        <v>0</v>
      </c>
      <c r="BH33" s="388">
        <f t="shared" si="57"/>
        <v>0</v>
      </c>
      <c r="BI33" s="388">
        <f t="shared" si="5"/>
        <v>0</v>
      </c>
      <c r="BJ33" s="388">
        <f t="shared" si="6"/>
        <v>0</v>
      </c>
      <c r="BK33" s="388">
        <f t="shared" si="7"/>
        <v>0</v>
      </c>
      <c r="BL33" s="388">
        <f t="shared" si="8"/>
        <v>0</v>
      </c>
      <c r="BM33" s="388">
        <f t="shared" si="73"/>
        <v>0</v>
      </c>
      <c r="BN33" s="388">
        <f t="shared" si="74"/>
        <v>0</v>
      </c>
      <c r="BO33" s="389">
        <f t="shared" si="9"/>
        <v>0</v>
      </c>
      <c r="BP33" s="390">
        <f t="shared" si="58"/>
        <v>0</v>
      </c>
      <c r="BQ33" s="390">
        <f t="shared" si="10"/>
        <v>0</v>
      </c>
      <c r="BR33" s="390">
        <f t="shared" si="11"/>
        <v>0</v>
      </c>
      <c r="BS33" s="390">
        <f t="shared" si="12"/>
        <v>0</v>
      </c>
      <c r="BT33" s="390">
        <f t="shared" si="13"/>
        <v>0</v>
      </c>
      <c r="BU33" s="390">
        <f t="shared" si="75"/>
        <v>0</v>
      </c>
      <c r="BV33" s="390">
        <f t="shared" si="76"/>
        <v>0</v>
      </c>
      <c r="BW33" s="391">
        <f t="shared" si="14"/>
        <v>0</v>
      </c>
      <c r="BX33" s="397">
        <f t="shared" si="59"/>
        <v>0</v>
      </c>
      <c r="BY33" s="396">
        <f t="shared" si="15"/>
        <v>0</v>
      </c>
      <c r="BZ33" s="396">
        <f t="shared" si="16"/>
        <v>0</v>
      </c>
      <c r="CA33" s="396">
        <f t="shared" si="17"/>
        <v>0</v>
      </c>
      <c r="CB33" s="396">
        <f t="shared" si="18"/>
        <v>0</v>
      </c>
      <c r="CC33" s="396">
        <f t="shared" si="77"/>
        <v>0</v>
      </c>
      <c r="CD33" s="396">
        <f t="shared" si="78"/>
        <v>0</v>
      </c>
      <c r="CE33" s="393">
        <f t="shared" si="19"/>
        <v>0</v>
      </c>
      <c r="CF33" s="394">
        <f t="shared" si="60"/>
        <v>0</v>
      </c>
      <c r="CG33" s="394">
        <f t="shared" si="20"/>
        <v>0</v>
      </c>
      <c r="CH33" s="394">
        <f t="shared" si="21"/>
        <v>0</v>
      </c>
      <c r="CI33" s="394">
        <f t="shared" si="22"/>
        <v>0</v>
      </c>
      <c r="CJ33" s="394">
        <f t="shared" si="23"/>
        <v>0</v>
      </c>
      <c r="CK33" s="394">
        <f t="shared" si="79"/>
        <v>0</v>
      </c>
      <c r="CL33" s="394">
        <f t="shared" si="80"/>
        <v>0</v>
      </c>
      <c r="CM33" s="395">
        <f t="shared" si="24"/>
        <v>0</v>
      </c>
      <c r="CP33" s="371"/>
      <c r="CQ33" s="371"/>
      <c r="CR33" s="371"/>
      <c r="CS33" s="371"/>
      <c r="CT33" s="371"/>
      <c r="CU33" s="371"/>
      <c r="CV33" s="348"/>
    </row>
    <row r="34" spans="1:100" ht="15" hidden="1" customHeight="1" thickTop="1" thickBot="1" x14ac:dyDescent="0.25">
      <c r="A34" s="372">
        <f>FREQUENCIAS!AE$1</f>
        <v>7</v>
      </c>
      <c r="B34" s="358"/>
      <c r="C34" s="358"/>
      <c r="D34" s="358"/>
      <c r="E34" s="358"/>
      <c r="F34" s="358"/>
      <c r="G34" s="358"/>
      <c r="H34" s="398"/>
      <c r="I34" s="398"/>
      <c r="J34" s="398"/>
      <c r="K34" s="398"/>
      <c r="L34" s="359"/>
      <c r="M34" s="359"/>
      <c r="N34" s="359"/>
      <c r="O34" s="359"/>
      <c r="P34" s="359"/>
      <c r="Q34" s="359"/>
      <c r="R34" s="359"/>
      <c r="S34" s="360">
        <f t="shared" si="87"/>
        <v>0</v>
      </c>
      <c r="T34" s="361">
        <f t="shared" si="27"/>
        <v>0</v>
      </c>
      <c r="U34" s="361">
        <f t="shared" si="28"/>
        <v>0</v>
      </c>
      <c r="V34" s="361">
        <f t="shared" si="29"/>
        <v>0</v>
      </c>
      <c r="W34" s="361">
        <f t="shared" si="30"/>
        <v>0</v>
      </c>
      <c r="X34" s="361">
        <f t="shared" si="31"/>
        <v>0</v>
      </c>
      <c r="Y34" s="361">
        <f t="shared" si="88"/>
        <v>0</v>
      </c>
      <c r="Z34" s="361"/>
      <c r="AA34" s="362">
        <f t="shared" si="89"/>
        <v>0</v>
      </c>
      <c r="AB34" s="363">
        <f t="shared" si="33"/>
        <v>0</v>
      </c>
      <c r="AC34" s="363">
        <f t="shared" si="34"/>
        <v>0</v>
      </c>
      <c r="AD34" s="363">
        <f t="shared" si="35"/>
        <v>0</v>
      </c>
      <c r="AE34" s="363">
        <f t="shared" si="36"/>
        <v>0</v>
      </c>
      <c r="AF34" s="363">
        <f t="shared" si="37"/>
        <v>0</v>
      </c>
      <c r="AG34" s="363">
        <f t="shared" si="90"/>
        <v>0</v>
      </c>
      <c r="AH34" s="363"/>
      <c r="AI34" s="364">
        <f t="shared" si="91"/>
        <v>0</v>
      </c>
      <c r="AJ34" s="365">
        <f t="shared" si="39"/>
        <v>0</v>
      </c>
      <c r="AK34" s="365">
        <f t="shared" si="40"/>
        <v>0</v>
      </c>
      <c r="AL34" s="365">
        <f t="shared" si="41"/>
        <v>0</v>
      </c>
      <c r="AM34" s="365">
        <f t="shared" si="42"/>
        <v>0</v>
      </c>
      <c r="AN34" s="365">
        <f t="shared" si="43"/>
        <v>0</v>
      </c>
      <c r="AO34" s="365">
        <f t="shared" si="92"/>
        <v>0</v>
      </c>
      <c r="AP34" s="365"/>
      <c r="AQ34" s="366">
        <f t="shared" si="93"/>
        <v>0</v>
      </c>
      <c r="AR34" s="367">
        <f t="shared" si="45"/>
        <v>0</v>
      </c>
      <c r="AS34" s="367">
        <f t="shared" si="46"/>
        <v>0</v>
      </c>
      <c r="AT34" s="367">
        <f t="shared" si="47"/>
        <v>0</v>
      </c>
      <c r="AU34" s="367">
        <f t="shared" si="48"/>
        <v>0</v>
      </c>
      <c r="AV34" s="367">
        <f t="shared" si="49"/>
        <v>0</v>
      </c>
      <c r="AW34" s="367">
        <f t="shared" si="94"/>
        <v>0</v>
      </c>
      <c r="AX34" s="367"/>
      <c r="AY34" s="368">
        <f t="shared" si="95"/>
        <v>0</v>
      </c>
      <c r="AZ34" s="369">
        <f t="shared" si="51"/>
        <v>0</v>
      </c>
      <c r="BA34" s="369">
        <f t="shared" si="52"/>
        <v>0</v>
      </c>
      <c r="BB34" s="369">
        <f t="shared" si="53"/>
        <v>0</v>
      </c>
      <c r="BC34" s="369">
        <f t="shared" si="54"/>
        <v>0</v>
      </c>
      <c r="BD34" s="369">
        <f t="shared" si="55"/>
        <v>0</v>
      </c>
      <c r="BE34" s="369">
        <f t="shared" si="96"/>
        <v>0</v>
      </c>
      <c r="BF34" s="369"/>
      <c r="BG34" s="370">
        <f t="shared" si="97"/>
        <v>0</v>
      </c>
      <c r="BH34" s="388">
        <f t="shared" si="57"/>
        <v>0</v>
      </c>
      <c r="BI34" s="388">
        <f t="shared" si="5"/>
        <v>0</v>
      </c>
      <c r="BJ34" s="388">
        <f t="shared" si="6"/>
        <v>0</v>
      </c>
      <c r="BK34" s="388">
        <f t="shared" si="7"/>
        <v>0</v>
      </c>
      <c r="BL34" s="388">
        <f t="shared" si="8"/>
        <v>0</v>
      </c>
      <c r="BM34" s="388">
        <f t="shared" si="73"/>
        <v>0</v>
      </c>
      <c r="BN34" s="388">
        <f t="shared" si="74"/>
        <v>0</v>
      </c>
      <c r="BO34" s="389">
        <f t="shared" si="9"/>
        <v>0</v>
      </c>
      <c r="BP34" s="390">
        <f t="shared" si="58"/>
        <v>0</v>
      </c>
      <c r="BQ34" s="390">
        <f t="shared" si="10"/>
        <v>0</v>
      </c>
      <c r="BR34" s="390">
        <f t="shared" si="11"/>
        <v>0</v>
      </c>
      <c r="BS34" s="390">
        <f t="shared" si="12"/>
        <v>0</v>
      </c>
      <c r="BT34" s="390">
        <f t="shared" si="13"/>
        <v>0</v>
      </c>
      <c r="BU34" s="390">
        <f t="shared" si="75"/>
        <v>0</v>
      </c>
      <c r="BV34" s="390">
        <f t="shared" si="76"/>
        <v>0</v>
      </c>
      <c r="BW34" s="391">
        <f t="shared" si="14"/>
        <v>0</v>
      </c>
      <c r="BX34" s="397">
        <f t="shared" si="59"/>
        <v>0</v>
      </c>
      <c r="BY34" s="396">
        <f t="shared" si="15"/>
        <v>0</v>
      </c>
      <c r="BZ34" s="396">
        <f t="shared" si="16"/>
        <v>0</v>
      </c>
      <c r="CA34" s="396">
        <f t="shared" si="17"/>
        <v>0</v>
      </c>
      <c r="CB34" s="396">
        <f t="shared" si="18"/>
        <v>0</v>
      </c>
      <c r="CC34" s="396">
        <f t="shared" si="77"/>
        <v>0</v>
      </c>
      <c r="CD34" s="396">
        <f t="shared" si="78"/>
        <v>0</v>
      </c>
      <c r="CE34" s="393">
        <f t="shared" si="19"/>
        <v>0</v>
      </c>
      <c r="CF34" s="394">
        <f t="shared" si="60"/>
        <v>0</v>
      </c>
      <c r="CG34" s="394">
        <f t="shared" si="20"/>
        <v>0</v>
      </c>
      <c r="CH34" s="394">
        <f t="shared" si="21"/>
        <v>0</v>
      </c>
      <c r="CI34" s="394">
        <f t="shared" si="22"/>
        <v>0</v>
      </c>
      <c r="CJ34" s="394">
        <f t="shared" si="23"/>
        <v>0</v>
      </c>
      <c r="CK34" s="394">
        <f t="shared" si="79"/>
        <v>0</v>
      </c>
      <c r="CL34" s="394">
        <f t="shared" si="80"/>
        <v>0</v>
      </c>
      <c r="CM34" s="395">
        <f t="shared" si="24"/>
        <v>0</v>
      </c>
      <c r="CP34" s="371"/>
      <c r="CQ34" s="371"/>
      <c r="CR34" s="371"/>
      <c r="CS34" s="371"/>
      <c r="CT34" s="371"/>
      <c r="CU34" s="371"/>
      <c r="CV34" s="348"/>
    </row>
    <row r="35" spans="1:100" ht="15" hidden="1" customHeight="1" thickTop="1" thickBot="1" x14ac:dyDescent="0.25">
      <c r="A35" s="372">
        <f>FREQUENCIAS!AF$1</f>
        <v>8</v>
      </c>
      <c r="B35" s="358"/>
      <c r="C35" s="358"/>
      <c r="D35" s="358"/>
      <c r="E35" s="358"/>
      <c r="F35" s="358"/>
      <c r="G35" s="358"/>
      <c r="H35" s="398"/>
      <c r="I35" s="398"/>
      <c r="J35" s="398"/>
      <c r="K35" s="398"/>
      <c r="L35" s="359"/>
      <c r="M35" s="359"/>
      <c r="N35" s="359"/>
      <c r="O35" s="359"/>
      <c r="P35" s="359"/>
      <c r="Q35" s="359"/>
      <c r="R35" s="359"/>
      <c r="S35" s="360">
        <f t="shared" si="87"/>
        <v>0</v>
      </c>
      <c r="T35" s="361">
        <f t="shared" si="27"/>
        <v>0</v>
      </c>
      <c r="U35" s="361">
        <f t="shared" si="28"/>
        <v>0</v>
      </c>
      <c r="V35" s="361">
        <f t="shared" si="29"/>
        <v>0</v>
      </c>
      <c r="W35" s="361">
        <f t="shared" si="30"/>
        <v>0</v>
      </c>
      <c r="X35" s="361">
        <f t="shared" si="31"/>
        <v>0</v>
      </c>
      <c r="Y35" s="361">
        <f t="shared" si="88"/>
        <v>0</v>
      </c>
      <c r="Z35" s="361"/>
      <c r="AA35" s="362">
        <f t="shared" si="89"/>
        <v>0</v>
      </c>
      <c r="AB35" s="363">
        <f t="shared" si="33"/>
        <v>0</v>
      </c>
      <c r="AC35" s="363">
        <f t="shared" si="34"/>
        <v>0</v>
      </c>
      <c r="AD35" s="363">
        <f t="shared" si="35"/>
        <v>0</v>
      </c>
      <c r="AE35" s="363">
        <f t="shared" si="36"/>
        <v>0</v>
      </c>
      <c r="AF35" s="363">
        <f t="shared" si="37"/>
        <v>0</v>
      </c>
      <c r="AG35" s="363">
        <f t="shared" si="90"/>
        <v>0</v>
      </c>
      <c r="AH35" s="363"/>
      <c r="AI35" s="364">
        <f t="shared" si="91"/>
        <v>0</v>
      </c>
      <c r="AJ35" s="365">
        <f t="shared" si="39"/>
        <v>0</v>
      </c>
      <c r="AK35" s="365">
        <f t="shared" si="40"/>
        <v>0</v>
      </c>
      <c r="AL35" s="365">
        <f t="shared" si="41"/>
        <v>0</v>
      </c>
      <c r="AM35" s="365">
        <f t="shared" si="42"/>
        <v>0</v>
      </c>
      <c r="AN35" s="365">
        <f t="shared" si="43"/>
        <v>0</v>
      </c>
      <c r="AO35" s="365">
        <f t="shared" si="92"/>
        <v>0</v>
      </c>
      <c r="AP35" s="365"/>
      <c r="AQ35" s="366">
        <f t="shared" si="93"/>
        <v>0</v>
      </c>
      <c r="AR35" s="367">
        <f t="shared" si="45"/>
        <v>0</v>
      </c>
      <c r="AS35" s="367">
        <f t="shared" si="46"/>
        <v>0</v>
      </c>
      <c r="AT35" s="367">
        <f t="shared" si="47"/>
        <v>0</v>
      </c>
      <c r="AU35" s="367">
        <f t="shared" si="48"/>
        <v>0</v>
      </c>
      <c r="AV35" s="367">
        <f t="shared" si="49"/>
        <v>0</v>
      </c>
      <c r="AW35" s="367">
        <f t="shared" si="94"/>
        <v>0</v>
      </c>
      <c r="AX35" s="367"/>
      <c r="AY35" s="368">
        <f t="shared" si="95"/>
        <v>0</v>
      </c>
      <c r="AZ35" s="369">
        <f t="shared" si="51"/>
        <v>0</v>
      </c>
      <c r="BA35" s="369">
        <f t="shared" si="52"/>
        <v>0</v>
      </c>
      <c r="BB35" s="369">
        <f t="shared" si="53"/>
        <v>0</v>
      </c>
      <c r="BC35" s="369">
        <f t="shared" si="54"/>
        <v>0</v>
      </c>
      <c r="BD35" s="369">
        <f t="shared" si="55"/>
        <v>0</v>
      </c>
      <c r="BE35" s="369">
        <f t="shared" si="96"/>
        <v>0</v>
      </c>
      <c r="BF35" s="369"/>
      <c r="BG35" s="370">
        <f t="shared" si="97"/>
        <v>0</v>
      </c>
      <c r="BH35" s="388">
        <f t="shared" si="57"/>
        <v>0</v>
      </c>
      <c r="BI35" s="388">
        <f t="shared" si="5"/>
        <v>0</v>
      </c>
      <c r="BJ35" s="388">
        <f t="shared" si="6"/>
        <v>0</v>
      </c>
      <c r="BK35" s="388">
        <f t="shared" si="7"/>
        <v>0</v>
      </c>
      <c r="BL35" s="388">
        <f t="shared" si="8"/>
        <v>0</v>
      </c>
      <c r="BM35" s="388">
        <f t="shared" si="73"/>
        <v>0</v>
      </c>
      <c r="BN35" s="388">
        <f t="shared" si="74"/>
        <v>0</v>
      </c>
      <c r="BO35" s="389">
        <f t="shared" si="9"/>
        <v>0</v>
      </c>
      <c r="BP35" s="390">
        <f t="shared" si="58"/>
        <v>0</v>
      </c>
      <c r="BQ35" s="390">
        <f t="shared" si="10"/>
        <v>0</v>
      </c>
      <c r="BR35" s="390">
        <f t="shared" si="11"/>
        <v>0</v>
      </c>
      <c r="BS35" s="390">
        <f t="shared" si="12"/>
        <v>0</v>
      </c>
      <c r="BT35" s="390">
        <f t="shared" si="13"/>
        <v>0</v>
      </c>
      <c r="BU35" s="390">
        <f t="shared" si="75"/>
        <v>0</v>
      </c>
      <c r="BV35" s="390">
        <f t="shared" si="76"/>
        <v>0</v>
      </c>
      <c r="BW35" s="391">
        <f t="shared" si="14"/>
        <v>0</v>
      </c>
      <c r="BX35" s="397">
        <f t="shared" si="59"/>
        <v>0</v>
      </c>
      <c r="BY35" s="396">
        <f t="shared" si="15"/>
        <v>0</v>
      </c>
      <c r="BZ35" s="396">
        <f t="shared" si="16"/>
        <v>0</v>
      </c>
      <c r="CA35" s="396">
        <f t="shared" si="17"/>
        <v>0</v>
      </c>
      <c r="CB35" s="396">
        <f t="shared" si="18"/>
        <v>0</v>
      </c>
      <c r="CC35" s="396">
        <f t="shared" si="77"/>
        <v>0</v>
      </c>
      <c r="CD35" s="396">
        <f t="shared" si="78"/>
        <v>0</v>
      </c>
      <c r="CE35" s="393">
        <f t="shared" si="19"/>
        <v>0</v>
      </c>
      <c r="CF35" s="394">
        <f t="shared" si="60"/>
        <v>0</v>
      </c>
      <c r="CG35" s="394">
        <f t="shared" si="20"/>
        <v>0</v>
      </c>
      <c r="CH35" s="394">
        <f t="shared" si="21"/>
        <v>0</v>
      </c>
      <c r="CI35" s="394">
        <f t="shared" si="22"/>
        <v>0</v>
      </c>
      <c r="CJ35" s="394">
        <f t="shared" si="23"/>
        <v>0</v>
      </c>
      <c r="CK35" s="394">
        <f t="shared" si="79"/>
        <v>0</v>
      </c>
      <c r="CL35" s="394">
        <f t="shared" si="80"/>
        <v>0</v>
      </c>
      <c r="CM35" s="395">
        <f t="shared" si="24"/>
        <v>0</v>
      </c>
      <c r="CP35" s="371"/>
      <c r="CQ35" s="371"/>
      <c r="CR35" s="371"/>
      <c r="CS35" s="371"/>
      <c r="CT35" s="371"/>
      <c r="CU35" s="371"/>
      <c r="CV35" s="348"/>
    </row>
    <row r="36" spans="1:100" ht="15" hidden="1" customHeight="1" thickTop="1" thickBot="1" x14ac:dyDescent="0.25">
      <c r="A36" s="372">
        <f>FREQUENCIAS!AG$1</f>
        <v>9</v>
      </c>
      <c r="B36" s="358"/>
      <c r="C36" s="358"/>
      <c r="D36" s="358"/>
      <c r="E36" s="358"/>
      <c r="F36" s="358"/>
      <c r="G36" s="358"/>
      <c r="H36" s="398"/>
      <c r="I36" s="398"/>
      <c r="J36" s="398"/>
      <c r="K36" s="398"/>
      <c r="L36" s="359"/>
      <c r="M36" s="359"/>
      <c r="N36" s="359"/>
      <c r="O36" s="359"/>
      <c r="P36" s="359"/>
      <c r="Q36" s="359"/>
      <c r="R36" s="359"/>
      <c r="S36" s="360">
        <f t="shared" si="87"/>
        <v>0</v>
      </c>
      <c r="T36" s="361">
        <f t="shared" si="27"/>
        <v>0</v>
      </c>
      <c r="U36" s="361">
        <f t="shared" si="28"/>
        <v>0</v>
      </c>
      <c r="V36" s="361">
        <f t="shared" si="29"/>
        <v>0</v>
      </c>
      <c r="W36" s="361">
        <f t="shared" si="30"/>
        <v>0</v>
      </c>
      <c r="X36" s="361">
        <f t="shared" si="31"/>
        <v>0</v>
      </c>
      <c r="Y36" s="361">
        <f t="shared" si="88"/>
        <v>0</v>
      </c>
      <c r="Z36" s="361"/>
      <c r="AA36" s="362">
        <f t="shared" si="89"/>
        <v>0</v>
      </c>
      <c r="AB36" s="363">
        <f t="shared" si="33"/>
        <v>0</v>
      </c>
      <c r="AC36" s="363">
        <f t="shared" si="34"/>
        <v>0</v>
      </c>
      <c r="AD36" s="363">
        <f t="shared" si="35"/>
        <v>0</v>
      </c>
      <c r="AE36" s="363">
        <f t="shared" si="36"/>
        <v>0</v>
      </c>
      <c r="AF36" s="363">
        <f t="shared" si="37"/>
        <v>0</v>
      </c>
      <c r="AG36" s="363">
        <f t="shared" si="90"/>
        <v>0</v>
      </c>
      <c r="AH36" s="363"/>
      <c r="AI36" s="364">
        <f t="shared" si="91"/>
        <v>0</v>
      </c>
      <c r="AJ36" s="365">
        <f t="shared" si="39"/>
        <v>0</v>
      </c>
      <c r="AK36" s="365">
        <f t="shared" si="40"/>
        <v>0</v>
      </c>
      <c r="AL36" s="365">
        <f t="shared" si="41"/>
        <v>0</v>
      </c>
      <c r="AM36" s="365">
        <f t="shared" si="42"/>
        <v>0</v>
      </c>
      <c r="AN36" s="365">
        <f t="shared" si="43"/>
        <v>0</v>
      </c>
      <c r="AO36" s="365">
        <f t="shared" si="92"/>
        <v>0</v>
      </c>
      <c r="AP36" s="365"/>
      <c r="AQ36" s="366">
        <f t="shared" si="93"/>
        <v>0</v>
      </c>
      <c r="AR36" s="367">
        <f t="shared" si="45"/>
        <v>0</v>
      </c>
      <c r="AS36" s="367">
        <f t="shared" si="46"/>
        <v>0</v>
      </c>
      <c r="AT36" s="367">
        <f t="shared" si="47"/>
        <v>0</v>
      </c>
      <c r="AU36" s="367">
        <f t="shared" si="48"/>
        <v>0</v>
      </c>
      <c r="AV36" s="367">
        <f t="shared" si="49"/>
        <v>0</v>
      </c>
      <c r="AW36" s="367">
        <f t="shared" si="94"/>
        <v>0</v>
      </c>
      <c r="AX36" s="367"/>
      <c r="AY36" s="368">
        <f t="shared" si="95"/>
        <v>0</v>
      </c>
      <c r="AZ36" s="369">
        <f t="shared" si="51"/>
        <v>0</v>
      </c>
      <c r="BA36" s="369">
        <f t="shared" si="52"/>
        <v>0</v>
      </c>
      <c r="BB36" s="369">
        <f t="shared" si="53"/>
        <v>0</v>
      </c>
      <c r="BC36" s="369">
        <f t="shared" si="54"/>
        <v>0</v>
      </c>
      <c r="BD36" s="369">
        <f t="shared" si="55"/>
        <v>0</v>
      </c>
      <c r="BE36" s="369">
        <f t="shared" si="96"/>
        <v>0</v>
      </c>
      <c r="BF36" s="369"/>
      <c r="BG36" s="370">
        <f t="shared" si="97"/>
        <v>0</v>
      </c>
      <c r="BH36" s="388">
        <f t="shared" si="57"/>
        <v>0</v>
      </c>
      <c r="BI36" s="388">
        <f t="shared" si="5"/>
        <v>0</v>
      </c>
      <c r="BJ36" s="388">
        <f t="shared" si="6"/>
        <v>0</v>
      </c>
      <c r="BK36" s="388">
        <f t="shared" si="7"/>
        <v>0</v>
      </c>
      <c r="BL36" s="388">
        <f t="shared" si="8"/>
        <v>0</v>
      </c>
      <c r="BM36" s="388">
        <f t="shared" si="73"/>
        <v>0</v>
      </c>
      <c r="BN36" s="388">
        <f t="shared" si="74"/>
        <v>0</v>
      </c>
      <c r="BO36" s="389">
        <f t="shared" si="9"/>
        <v>0</v>
      </c>
      <c r="BP36" s="390">
        <f t="shared" si="58"/>
        <v>0</v>
      </c>
      <c r="BQ36" s="390">
        <f t="shared" si="10"/>
        <v>0</v>
      </c>
      <c r="BR36" s="390">
        <f t="shared" si="11"/>
        <v>0</v>
      </c>
      <c r="BS36" s="390">
        <f t="shared" si="12"/>
        <v>0</v>
      </c>
      <c r="BT36" s="390">
        <f t="shared" si="13"/>
        <v>0</v>
      </c>
      <c r="BU36" s="390">
        <f t="shared" si="75"/>
        <v>0</v>
      </c>
      <c r="BV36" s="390">
        <f t="shared" si="76"/>
        <v>0</v>
      </c>
      <c r="BW36" s="391">
        <f t="shared" si="14"/>
        <v>0</v>
      </c>
      <c r="BX36" s="397">
        <f t="shared" si="59"/>
        <v>0</v>
      </c>
      <c r="BY36" s="396">
        <f t="shared" si="15"/>
        <v>0</v>
      </c>
      <c r="BZ36" s="396">
        <f t="shared" si="16"/>
        <v>0</v>
      </c>
      <c r="CA36" s="396">
        <f t="shared" si="17"/>
        <v>0</v>
      </c>
      <c r="CB36" s="396">
        <f t="shared" si="18"/>
        <v>0</v>
      </c>
      <c r="CC36" s="396">
        <f t="shared" si="77"/>
        <v>0</v>
      </c>
      <c r="CD36" s="396">
        <f t="shared" si="78"/>
        <v>0</v>
      </c>
      <c r="CE36" s="393">
        <f t="shared" si="19"/>
        <v>0</v>
      </c>
      <c r="CF36" s="394">
        <f t="shared" si="60"/>
        <v>0</v>
      </c>
      <c r="CG36" s="394">
        <f t="shared" si="20"/>
        <v>0</v>
      </c>
      <c r="CH36" s="394">
        <f t="shared" si="21"/>
        <v>0</v>
      </c>
      <c r="CI36" s="394">
        <f t="shared" si="22"/>
        <v>0</v>
      </c>
      <c r="CJ36" s="394">
        <f t="shared" si="23"/>
        <v>0</v>
      </c>
      <c r="CK36" s="394">
        <f t="shared" si="79"/>
        <v>0</v>
      </c>
      <c r="CL36" s="394">
        <f t="shared" si="80"/>
        <v>0</v>
      </c>
      <c r="CM36" s="395">
        <f t="shared" si="24"/>
        <v>0</v>
      </c>
      <c r="CP36" s="371"/>
      <c r="CQ36" s="371"/>
      <c r="CR36" s="371"/>
      <c r="CS36" s="371"/>
      <c r="CT36" s="371"/>
      <c r="CU36" s="371"/>
      <c r="CV36" s="348"/>
    </row>
    <row r="37" spans="1:100" ht="15" hidden="1" customHeight="1" thickTop="1" thickBot="1" x14ac:dyDescent="0.25">
      <c r="A37" s="372">
        <f>FREQUENCIAS!AH$1</f>
        <v>10</v>
      </c>
      <c r="B37" s="358"/>
      <c r="C37" s="358"/>
      <c r="D37" s="358"/>
      <c r="E37" s="358"/>
      <c r="F37" s="358"/>
      <c r="G37" s="358"/>
      <c r="H37" s="398"/>
      <c r="I37" s="398"/>
      <c r="J37" s="398"/>
      <c r="K37" s="398"/>
      <c r="L37" s="359"/>
      <c r="M37" s="359"/>
      <c r="N37" s="359"/>
      <c r="O37" s="359"/>
      <c r="P37" s="359"/>
      <c r="Q37" s="359"/>
      <c r="R37" s="359"/>
      <c r="S37" s="360">
        <f t="shared" si="87"/>
        <v>0</v>
      </c>
      <c r="T37" s="361">
        <f t="shared" si="27"/>
        <v>0</v>
      </c>
      <c r="U37" s="361">
        <f t="shared" si="28"/>
        <v>0</v>
      </c>
      <c r="V37" s="361">
        <f t="shared" si="29"/>
        <v>0</v>
      </c>
      <c r="W37" s="361">
        <f t="shared" si="30"/>
        <v>0</v>
      </c>
      <c r="X37" s="361">
        <f t="shared" si="31"/>
        <v>0</v>
      </c>
      <c r="Y37" s="361">
        <f t="shared" si="88"/>
        <v>0</v>
      </c>
      <c r="Z37" s="361"/>
      <c r="AA37" s="362">
        <f t="shared" si="89"/>
        <v>0</v>
      </c>
      <c r="AB37" s="363">
        <f t="shared" si="33"/>
        <v>0</v>
      </c>
      <c r="AC37" s="363">
        <f t="shared" si="34"/>
        <v>0</v>
      </c>
      <c r="AD37" s="363">
        <f t="shared" si="35"/>
        <v>0</v>
      </c>
      <c r="AE37" s="363">
        <f t="shared" si="36"/>
        <v>0</v>
      </c>
      <c r="AF37" s="363">
        <f t="shared" si="37"/>
        <v>0</v>
      </c>
      <c r="AG37" s="363">
        <f t="shared" si="90"/>
        <v>0</v>
      </c>
      <c r="AH37" s="363"/>
      <c r="AI37" s="364">
        <f t="shared" si="91"/>
        <v>0</v>
      </c>
      <c r="AJ37" s="365">
        <f t="shared" si="39"/>
        <v>0</v>
      </c>
      <c r="AK37" s="365">
        <f t="shared" si="40"/>
        <v>0</v>
      </c>
      <c r="AL37" s="365">
        <f t="shared" si="41"/>
        <v>0</v>
      </c>
      <c r="AM37" s="365">
        <f t="shared" si="42"/>
        <v>0</v>
      </c>
      <c r="AN37" s="365">
        <f t="shared" si="43"/>
        <v>0</v>
      </c>
      <c r="AO37" s="365">
        <f t="shared" si="92"/>
        <v>0</v>
      </c>
      <c r="AP37" s="365"/>
      <c r="AQ37" s="366">
        <f t="shared" si="93"/>
        <v>0</v>
      </c>
      <c r="AR37" s="367">
        <f t="shared" si="45"/>
        <v>0</v>
      </c>
      <c r="AS37" s="367">
        <f t="shared" si="46"/>
        <v>0</v>
      </c>
      <c r="AT37" s="367">
        <f t="shared" si="47"/>
        <v>0</v>
      </c>
      <c r="AU37" s="367">
        <f t="shared" si="48"/>
        <v>0</v>
      </c>
      <c r="AV37" s="367">
        <f t="shared" si="49"/>
        <v>0</v>
      </c>
      <c r="AW37" s="367">
        <f t="shared" si="94"/>
        <v>0</v>
      </c>
      <c r="AX37" s="367"/>
      <c r="AY37" s="368">
        <f t="shared" si="95"/>
        <v>0</v>
      </c>
      <c r="AZ37" s="369">
        <f t="shared" si="51"/>
        <v>0</v>
      </c>
      <c r="BA37" s="369">
        <f t="shared" si="52"/>
        <v>0</v>
      </c>
      <c r="BB37" s="369">
        <f t="shared" si="53"/>
        <v>0</v>
      </c>
      <c r="BC37" s="369">
        <f t="shared" si="54"/>
        <v>0</v>
      </c>
      <c r="BD37" s="369">
        <f t="shared" si="55"/>
        <v>0</v>
      </c>
      <c r="BE37" s="369">
        <f t="shared" si="96"/>
        <v>0</v>
      </c>
      <c r="BF37" s="369"/>
      <c r="BG37" s="370">
        <f t="shared" si="97"/>
        <v>0</v>
      </c>
      <c r="BH37" s="388">
        <f t="shared" si="57"/>
        <v>0</v>
      </c>
      <c r="BI37" s="388">
        <f t="shared" si="5"/>
        <v>0</v>
      </c>
      <c r="BJ37" s="388">
        <f t="shared" si="6"/>
        <v>0</v>
      </c>
      <c r="BK37" s="388">
        <f t="shared" si="7"/>
        <v>0</v>
      </c>
      <c r="BL37" s="388">
        <f t="shared" si="8"/>
        <v>0</v>
      </c>
      <c r="BM37" s="388">
        <f t="shared" si="73"/>
        <v>0</v>
      </c>
      <c r="BN37" s="388">
        <f t="shared" si="74"/>
        <v>0</v>
      </c>
      <c r="BO37" s="389">
        <f t="shared" si="9"/>
        <v>0</v>
      </c>
      <c r="BP37" s="390">
        <f t="shared" si="58"/>
        <v>0</v>
      </c>
      <c r="BQ37" s="390">
        <f t="shared" si="10"/>
        <v>0</v>
      </c>
      <c r="BR37" s="390">
        <f t="shared" si="11"/>
        <v>0</v>
      </c>
      <c r="BS37" s="390">
        <f t="shared" si="12"/>
        <v>0</v>
      </c>
      <c r="BT37" s="390">
        <f t="shared" si="13"/>
        <v>0</v>
      </c>
      <c r="BU37" s="390">
        <f t="shared" si="75"/>
        <v>0</v>
      </c>
      <c r="BV37" s="390">
        <f t="shared" si="76"/>
        <v>0</v>
      </c>
      <c r="BW37" s="391">
        <f t="shared" si="14"/>
        <v>0</v>
      </c>
      <c r="BX37" s="397">
        <f t="shared" si="59"/>
        <v>0</v>
      </c>
      <c r="BY37" s="396">
        <f t="shared" si="15"/>
        <v>0</v>
      </c>
      <c r="BZ37" s="396">
        <f t="shared" si="16"/>
        <v>0</v>
      </c>
      <c r="CA37" s="396">
        <f t="shared" si="17"/>
        <v>0</v>
      </c>
      <c r="CB37" s="396">
        <f t="shared" si="18"/>
        <v>0</v>
      </c>
      <c r="CC37" s="396">
        <f t="shared" si="77"/>
        <v>0</v>
      </c>
      <c r="CD37" s="396">
        <f t="shared" si="78"/>
        <v>0</v>
      </c>
      <c r="CE37" s="393">
        <f t="shared" si="19"/>
        <v>0</v>
      </c>
      <c r="CF37" s="394">
        <f t="shared" si="60"/>
        <v>0</v>
      </c>
      <c r="CG37" s="394">
        <f t="shared" si="20"/>
        <v>0</v>
      </c>
      <c r="CH37" s="394">
        <f t="shared" si="21"/>
        <v>0</v>
      </c>
      <c r="CI37" s="394">
        <f t="shared" si="22"/>
        <v>0</v>
      </c>
      <c r="CJ37" s="394">
        <f t="shared" si="23"/>
        <v>0</v>
      </c>
      <c r="CK37" s="394">
        <f t="shared" si="79"/>
        <v>0</v>
      </c>
      <c r="CL37" s="394">
        <f t="shared" si="80"/>
        <v>0</v>
      </c>
      <c r="CM37" s="395">
        <f t="shared" si="24"/>
        <v>0</v>
      </c>
      <c r="CP37" s="371"/>
      <c r="CQ37" s="371"/>
      <c r="CR37" s="371"/>
      <c r="CS37" s="371"/>
      <c r="CT37" s="371"/>
      <c r="CU37" s="371"/>
      <c r="CV37" s="348"/>
    </row>
    <row r="38" spans="1:100" ht="15" hidden="1" customHeight="1" thickTop="1" thickBot="1" x14ac:dyDescent="0.25">
      <c r="A38" s="372">
        <f>FREQUENCIAS!AI$1</f>
        <v>11</v>
      </c>
      <c r="B38" s="358"/>
      <c r="C38" s="358"/>
      <c r="D38" s="358"/>
      <c r="E38" s="358"/>
      <c r="F38" s="358"/>
      <c r="G38" s="358"/>
      <c r="H38" s="398"/>
      <c r="I38" s="398"/>
      <c r="J38" s="398"/>
      <c r="K38" s="398"/>
      <c r="L38" s="359"/>
      <c r="M38" s="359"/>
      <c r="N38" s="359"/>
      <c r="O38" s="359"/>
      <c r="P38" s="359"/>
      <c r="Q38" s="359"/>
      <c r="R38" s="359"/>
      <c r="S38" s="360">
        <f t="shared" si="87"/>
        <v>0</v>
      </c>
      <c r="T38" s="361">
        <f t="shared" si="27"/>
        <v>0</v>
      </c>
      <c r="U38" s="361">
        <f t="shared" si="28"/>
        <v>0</v>
      </c>
      <c r="V38" s="361">
        <f t="shared" si="29"/>
        <v>0</v>
      </c>
      <c r="W38" s="361">
        <f t="shared" si="30"/>
        <v>0</v>
      </c>
      <c r="X38" s="361">
        <f t="shared" si="31"/>
        <v>0</v>
      </c>
      <c r="Y38" s="361">
        <f t="shared" si="88"/>
        <v>0</v>
      </c>
      <c r="Z38" s="361"/>
      <c r="AA38" s="362">
        <f t="shared" si="89"/>
        <v>0</v>
      </c>
      <c r="AB38" s="363">
        <f t="shared" si="33"/>
        <v>0</v>
      </c>
      <c r="AC38" s="363">
        <f t="shared" si="34"/>
        <v>0</v>
      </c>
      <c r="AD38" s="363">
        <f t="shared" si="35"/>
        <v>0</v>
      </c>
      <c r="AE38" s="363">
        <f t="shared" si="36"/>
        <v>0</v>
      </c>
      <c r="AF38" s="363">
        <f t="shared" si="37"/>
        <v>0</v>
      </c>
      <c r="AG38" s="363">
        <f t="shared" si="90"/>
        <v>0</v>
      </c>
      <c r="AH38" s="363"/>
      <c r="AI38" s="364">
        <f t="shared" si="91"/>
        <v>0</v>
      </c>
      <c r="AJ38" s="365">
        <f t="shared" si="39"/>
        <v>0</v>
      </c>
      <c r="AK38" s="365">
        <f t="shared" si="40"/>
        <v>0</v>
      </c>
      <c r="AL38" s="365">
        <f t="shared" si="41"/>
        <v>0</v>
      </c>
      <c r="AM38" s="365">
        <f t="shared" si="42"/>
        <v>0</v>
      </c>
      <c r="AN38" s="365">
        <f t="shared" si="43"/>
        <v>0</v>
      </c>
      <c r="AO38" s="365">
        <f t="shared" si="92"/>
        <v>0</v>
      </c>
      <c r="AP38" s="365"/>
      <c r="AQ38" s="366">
        <f t="shared" si="93"/>
        <v>0</v>
      </c>
      <c r="AR38" s="367">
        <f t="shared" si="45"/>
        <v>0</v>
      </c>
      <c r="AS38" s="367">
        <f t="shared" si="46"/>
        <v>0</v>
      </c>
      <c r="AT38" s="367">
        <f t="shared" si="47"/>
        <v>0</v>
      </c>
      <c r="AU38" s="367">
        <f t="shared" si="48"/>
        <v>0</v>
      </c>
      <c r="AV38" s="367">
        <f t="shared" si="49"/>
        <v>0</v>
      </c>
      <c r="AW38" s="367">
        <f t="shared" si="94"/>
        <v>0</v>
      </c>
      <c r="AX38" s="367"/>
      <c r="AY38" s="368">
        <f t="shared" si="95"/>
        <v>0</v>
      </c>
      <c r="AZ38" s="369">
        <f t="shared" si="51"/>
        <v>0</v>
      </c>
      <c r="BA38" s="369">
        <f t="shared" si="52"/>
        <v>0</v>
      </c>
      <c r="BB38" s="369">
        <f t="shared" si="53"/>
        <v>0</v>
      </c>
      <c r="BC38" s="369">
        <f t="shared" si="54"/>
        <v>0</v>
      </c>
      <c r="BD38" s="369">
        <f t="shared" si="55"/>
        <v>0</v>
      </c>
      <c r="BE38" s="369">
        <f t="shared" si="96"/>
        <v>0</v>
      </c>
      <c r="BF38" s="369"/>
      <c r="BG38" s="370">
        <f t="shared" si="97"/>
        <v>0</v>
      </c>
      <c r="BH38" s="388">
        <f t="shared" si="57"/>
        <v>0</v>
      </c>
      <c r="BI38" s="388">
        <f t="shared" si="5"/>
        <v>0</v>
      </c>
      <c r="BJ38" s="388">
        <f t="shared" si="6"/>
        <v>0</v>
      </c>
      <c r="BK38" s="388">
        <f t="shared" si="7"/>
        <v>0</v>
      </c>
      <c r="BL38" s="388">
        <f t="shared" si="8"/>
        <v>0</v>
      </c>
      <c r="BM38" s="388">
        <f t="shared" si="73"/>
        <v>0</v>
      </c>
      <c r="BN38" s="388">
        <f t="shared" si="74"/>
        <v>0</v>
      </c>
      <c r="BO38" s="389">
        <f t="shared" si="9"/>
        <v>0</v>
      </c>
      <c r="BP38" s="390">
        <f t="shared" si="58"/>
        <v>0</v>
      </c>
      <c r="BQ38" s="390">
        <f t="shared" si="10"/>
        <v>0</v>
      </c>
      <c r="BR38" s="390">
        <f t="shared" si="11"/>
        <v>0</v>
      </c>
      <c r="BS38" s="390">
        <f t="shared" si="12"/>
        <v>0</v>
      </c>
      <c r="BT38" s="390">
        <f t="shared" si="13"/>
        <v>0</v>
      </c>
      <c r="BU38" s="390">
        <f t="shared" si="75"/>
        <v>0</v>
      </c>
      <c r="BV38" s="390">
        <f t="shared" si="76"/>
        <v>0</v>
      </c>
      <c r="BW38" s="391">
        <f t="shared" si="14"/>
        <v>0</v>
      </c>
      <c r="BX38" s="397">
        <f t="shared" si="59"/>
        <v>0</v>
      </c>
      <c r="BY38" s="396">
        <f t="shared" si="15"/>
        <v>0</v>
      </c>
      <c r="BZ38" s="396">
        <f t="shared" si="16"/>
        <v>0</v>
      </c>
      <c r="CA38" s="396">
        <f t="shared" si="17"/>
        <v>0</v>
      </c>
      <c r="CB38" s="396">
        <f t="shared" si="18"/>
        <v>0</v>
      </c>
      <c r="CC38" s="396">
        <f t="shared" si="77"/>
        <v>0</v>
      </c>
      <c r="CD38" s="396">
        <f t="shared" si="78"/>
        <v>0</v>
      </c>
      <c r="CE38" s="393">
        <f t="shared" si="19"/>
        <v>0</v>
      </c>
      <c r="CF38" s="394">
        <f t="shared" si="60"/>
        <v>0</v>
      </c>
      <c r="CG38" s="394">
        <f t="shared" si="20"/>
        <v>0</v>
      </c>
      <c r="CH38" s="394">
        <f t="shared" si="21"/>
        <v>0</v>
      </c>
      <c r="CI38" s="394">
        <f t="shared" si="22"/>
        <v>0</v>
      </c>
      <c r="CJ38" s="394">
        <f t="shared" si="23"/>
        <v>0</v>
      </c>
      <c r="CK38" s="394">
        <f t="shared" si="79"/>
        <v>0</v>
      </c>
      <c r="CL38" s="394">
        <f t="shared" si="80"/>
        <v>0</v>
      </c>
      <c r="CM38" s="395">
        <f t="shared" si="24"/>
        <v>0</v>
      </c>
      <c r="CP38" s="371"/>
      <c r="CQ38" s="371"/>
      <c r="CR38" s="371"/>
      <c r="CS38" s="371"/>
      <c r="CT38" s="371"/>
      <c r="CU38" s="371"/>
      <c r="CV38" s="348"/>
    </row>
    <row r="39" spans="1:100" ht="15" customHeight="1" thickTop="1" x14ac:dyDescent="0.2">
      <c r="M39" s="375"/>
      <c r="U39" s="375"/>
      <c r="AB39" s="376"/>
      <c r="AC39" s="377"/>
      <c r="AD39" s="376"/>
      <c r="AE39" s="376"/>
      <c r="AF39" s="376"/>
      <c r="AG39" s="376"/>
      <c r="AI39" s="376"/>
    </row>
    <row r="40" spans="1:100" ht="15" customHeight="1" x14ac:dyDescent="0.25">
      <c r="A40" s="81"/>
      <c r="B40" s="81"/>
      <c r="C40" s="82" t="s">
        <v>49</v>
      </c>
      <c r="D40" s="81" t="str">
        <f>(IF(('PD0101'!$A$59=""),"SUPERVISÃO SEM PROBLEMAS",('PD0101'!$A$59)))</f>
        <v>ATENÇÃO: Verificar ocorrência de repetição alélica entre 2 pessoas genotipadas</v>
      </c>
      <c r="E40" s="378"/>
      <c r="F40" s="378"/>
      <c r="G40" s="378"/>
      <c r="H40" s="77"/>
      <c r="I40" s="77"/>
      <c r="J40" s="78"/>
      <c r="K40" s="82"/>
      <c r="L40" s="378"/>
      <c r="M40" s="378"/>
      <c r="N40" s="378"/>
      <c r="O40" s="378"/>
      <c r="P40" s="378"/>
      <c r="Q40" s="378"/>
      <c r="R40" s="378"/>
      <c r="S40" s="378"/>
      <c r="T40" s="378"/>
      <c r="U40" s="378"/>
      <c r="V40" s="378"/>
      <c r="W40" s="378"/>
      <c r="X40" s="378"/>
      <c r="Y40" s="378"/>
      <c r="Z40" s="378"/>
      <c r="AA40" s="379" t="str">
        <f>IF(AND('PD0101'!$AX$43&lt;=2,'PD0101'!$AX$43&lt;&gt;0),"INCLUSÃO COM MUTAÇÃO","")</f>
        <v/>
      </c>
      <c r="AB40" s="378"/>
      <c r="AC40" s="378"/>
      <c r="AD40" s="378"/>
      <c r="AE40" s="378"/>
      <c r="AF40" s="378"/>
      <c r="AG40" s="378"/>
      <c r="AH40" s="378"/>
      <c r="AI40" s="378"/>
      <c r="AJ40" s="378"/>
      <c r="AK40" s="378"/>
      <c r="AL40" s="378"/>
      <c r="AM40" s="378"/>
      <c r="AN40" s="378"/>
      <c r="AO40" s="378"/>
      <c r="AP40" s="378"/>
      <c r="AQ40" s="379"/>
      <c r="AR40" s="378"/>
      <c r="AS40" s="378"/>
      <c r="AT40" s="378"/>
      <c r="AU40" s="378"/>
      <c r="AV40" s="378"/>
      <c r="AW40" s="378"/>
      <c r="AX40" s="378"/>
      <c r="AY40" s="378"/>
      <c r="AZ40" s="378"/>
      <c r="BA40" s="378"/>
      <c r="BB40" s="378"/>
      <c r="BC40" s="378"/>
      <c r="BD40" s="378"/>
      <c r="BE40" s="378"/>
      <c r="BF40" s="378"/>
      <c r="BG40" s="378"/>
      <c r="BH40" s="378"/>
      <c r="BI40" s="378"/>
      <c r="BJ40" s="378"/>
      <c r="BK40" s="378"/>
      <c r="BL40" s="378"/>
      <c r="BM40" s="378"/>
      <c r="BN40" s="378"/>
      <c r="BO40" s="378"/>
      <c r="BP40" s="378"/>
      <c r="BQ40" s="378"/>
      <c r="BR40" s="378"/>
      <c r="BS40" s="378"/>
      <c r="BT40" s="378"/>
      <c r="BU40" s="378"/>
      <c r="BV40" s="378"/>
      <c r="BW40" s="378"/>
      <c r="BX40" s="378"/>
      <c r="BY40" s="378"/>
      <c r="BZ40" s="378"/>
      <c r="CA40" s="378"/>
      <c r="CB40" s="378"/>
      <c r="CC40" s="378"/>
      <c r="CD40" s="378"/>
      <c r="CE40" s="378"/>
      <c r="CF40" s="378"/>
      <c r="CG40" s="378"/>
      <c r="CH40" s="378"/>
      <c r="CI40" s="378"/>
      <c r="CJ40" s="378"/>
      <c r="CK40" s="378"/>
      <c r="CL40" s="378"/>
      <c r="CM40" s="378"/>
    </row>
    <row r="41" spans="1:100" s="376" customFormat="1" ht="15" customHeight="1" x14ac:dyDescent="0.25">
      <c r="A41" s="82"/>
      <c r="B41" s="81"/>
      <c r="C41" s="82" t="s">
        <v>47</v>
      </c>
      <c r="D41" s="380" t="str">
        <f>'PD0101'!$A$7</f>
        <v xml:space="preserve"> DETECTADA EXCLUSÃO DE MÃE</v>
      </c>
      <c r="E41" s="378"/>
      <c r="F41" s="378"/>
      <c r="G41" s="378"/>
      <c r="H41" s="77"/>
      <c r="I41" s="77"/>
      <c r="J41" s="78"/>
      <c r="K41" s="82"/>
      <c r="L41" s="378"/>
      <c r="M41" s="378"/>
      <c r="N41" s="378"/>
      <c r="O41" s="378"/>
      <c r="P41" s="378"/>
      <c r="Q41" s="378"/>
      <c r="R41" s="378"/>
      <c r="S41" s="378"/>
      <c r="T41" s="378"/>
      <c r="U41" s="378"/>
      <c r="V41" s="378"/>
      <c r="W41" s="378"/>
      <c r="X41" s="378"/>
      <c r="Y41" s="378"/>
      <c r="Z41" s="378"/>
      <c r="AA41" s="378"/>
      <c r="AB41" s="378"/>
      <c r="AC41" s="378"/>
      <c r="AD41" s="378"/>
      <c r="AE41" s="378"/>
      <c r="AF41" s="378"/>
      <c r="AG41" s="378"/>
      <c r="AH41" s="378"/>
      <c r="AI41" s="707">
        <f>'PD0101'!AG43</f>
        <v>8064.5161290322576</v>
      </c>
      <c r="AJ41" s="707"/>
      <c r="AK41" s="707"/>
      <c r="AL41" s="707"/>
      <c r="AM41" s="707"/>
      <c r="AN41" s="707"/>
      <c r="AO41" s="707"/>
      <c r="AP41" s="707"/>
      <c r="AQ41" s="707"/>
      <c r="AR41" s="707"/>
      <c r="AS41" s="707"/>
      <c r="AT41" s="707"/>
      <c r="AU41" s="707"/>
      <c r="AV41" s="707"/>
      <c r="AW41" s="707"/>
      <c r="AX41" s="707"/>
      <c r="AY41" s="707"/>
      <c r="AZ41" s="707"/>
      <c r="BA41" s="707"/>
      <c r="BB41" s="707"/>
      <c r="BC41" s="707"/>
      <c r="BD41" s="707"/>
      <c r="BE41" s="707"/>
      <c r="BF41" s="707"/>
      <c r="BG41" s="707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4"/>
      <c r="BV41" s="384"/>
      <c r="BW41" s="384"/>
      <c r="BX41" s="384"/>
      <c r="BY41" s="384"/>
      <c r="BZ41" s="384"/>
      <c r="CA41" s="384"/>
      <c r="CB41" s="384"/>
      <c r="CC41" s="384"/>
      <c r="CD41" s="384"/>
      <c r="CE41" s="384"/>
      <c r="CF41" s="384"/>
      <c r="CG41" s="384"/>
      <c r="CH41" s="384"/>
      <c r="CI41" s="384"/>
      <c r="CJ41" s="384"/>
      <c r="CK41" s="384"/>
      <c r="CL41" s="384"/>
      <c r="CM41" s="384"/>
    </row>
    <row r="42" spans="1:100" s="376" customFormat="1" ht="15" customHeight="1" x14ac:dyDescent="0.25">
      <c r="A42" s="82"/>
      <c r="B42" s="81"/>
      <c r="C42" s="82" t="s">
        <v>48</v>
      </c>
      <c r="D42" s="381" t="str">
        <f>'PD0101'!$AG$46</f>
        <v>PATERNIDADE MUITO PROVÁVEL</v>
      </c>
      <c r="E42" s="378"/>
      <c r="F42" s="378"/>
      <c r="G42" s="378"/>
      <c r="H42" s="77"/>
      <c r="I42" s="77"/>
      <c r="J42" s="78"/>
      <c r="K42" s="82"/>
      <c r="L42" s="378"/>
      <c r="M42" s="378"/>
      <c r="N42" s="378"/>
      <c r="O42" s="378"/>
      <c r="P42" s="378"/>
      <c r="Q42" s="378"/>
      <c r="R42" s="378"/>
      <c r="S42" s="378"/>
      <c r="T42" s="378"/>
      <c r="U42" s="378"/>
      <c r="V42" s="378"/>
      <c r="W42" s="378"/>
      <c r="X42" s="378"/>
      <c r="Y42" s="378"/>
      <c r="Z42" s="378"/>
      <c r="AA42" s="81"/>
      <c r="AB42" s="378"/>
      <c r="AC42" s="378"/>
      <c r="AD42" s="378"/>
      <c r="AE42" s="378"/>
      <c r="AF42" s="378"/>
      <c r="AG42" s="378"/>
      <c r="AH42" s="378"/>
      <c r="AI42" s="378"/>
      <c r="AJ42" s="378"/>
      <c r="AK42" s="378"/>
      <c r="AL42" s="378"/>
      <c r="AM42" s="378"/>
      <c r="AN42" s="378"/>
      <c r="AO42" s="378"/>
      <c r="AP42" s="378"/>
      <c r="AQ42" s="378"/>
      <c r="AR42" s="378"/>
      <c r="AS42" s="378"/>
      <c r="AT42" s="378"/>
      <c r="AU42" s="378"/>
      <c r="AV42" s="378"/>
      <c r="AW42" s="378"/>
      <c r="AX42" s="378"/>
      <c r="AY42" s="378"/>
      <c r="AZ42" s="378"/>
      <c r="BA42" s="378"/>
      <c r="BB42" s="378"/>
      <c r="BC42" s="378"/>
      <c r="BD42" s="378"/>
      <c r="BE42" s="378"/>
      <c r="BF42" s="378"/>
      <c r="BG42" s="378"/>
      <c r="BH42" s="378"/>
      <c r="BI42" s="378"/>
      <c r="BJ42" s="378"/>
      <c r="BK42" s="378"/>
      <c r="BL42" s="378"/>
      <c r="BM42" s="378"/>
      <c r="BN42" s="378"/>
      <c r="BO42" s="378"/>
      <c r="BP42" s="378"/>
      <c r="BQ42" s="378"/>
      <c r="BR42" s="378"/>
      <c r="BS42" s="378"/>
      <c r="BT42" s="378"/>
      <c r="BU42" s="378"/>
      <c r="BV42" s="378"/>
      <c r="BW42" s="378"/>
      <c r="BX42" s="378"/>
      <c r="BY42" s="378"/>
      <c r="BZ42" s="378"/>
      <c r="CA42" s="378"/>
      <c r="CB42" s="378"/>
      <c r="CC42" s="378"/>
      <c r="CD42" s="378"/>
      <c r="CE42" s="378"/>
      <c r="CF42" s="378"/>
      <c r="CG42" s="378"/>
      <c r="CH42" s="378"/>
      <c r="CI42" s="378"/>
      <c r="CJ42" s="378"/>
      <c r="CK42" s="378"/>
      <c r="CL42" s="378"/>
      <c r="CM42" s="378"/>
    </row>
    <row r="43" spans="1:100" s="376" customFormat="1" x14ac:dyDescent="0.2">
      <c r="H43" s="1"/>
      <c r="I43" s="1"/>
      <c r="J43" s="1"/>
      <c r="K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</row>
    <row r="44" spans="1:100" s="376" customFormat="1" x14ac:dyDescent="0.2">
      <c r="H44" s="1"/>
      <c r="I44" s="1"/>
      <c r="J44" s="1"/>
      <c r="K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</row>
    <row r="45" spans="1:100" s="376" customFormat="1" x14ac:dyDescent="0.2">
      <c r="H45" s="1"/>
      <c r="I45" s="1"/>
      <c r="J45" s="1"/>
      <c r="K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</row>
    <row r="46" spans="1:100" s="376" customFormat="1" x14ac:dyDescent="0.2">
      <c r="H46" s="1"/>
      <c r="I46" s="1"/>
      <c r="J46" s="1"/>
      <c r="K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</row>
    <row r="47" spans="1:100" s="376" customFormat="1" x14ac:dyDescent="0.2">
      <c r="H47" s="1"/>
      <c r="I47" s="1"/>
      <c r="J47" s="1"/>
      <c r="K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</row>
    <row r="48" spans="1:100" s="376" customFormat="1" x14ac:dyDescent="0.2">
      <c r="H48" s="1"/>
      <c r="I48" s="1"/>
      <c r="J48" s="1"/>
      <c r="K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</row>
    <row r="49" spans="8:91" s="376" customFormat="1" x14ac:dyDescent="0.2">
      <c r="H49" s="1"/>
      <c r="I49" s="1"/>
      <c r="J49" s="1"/>
      <c r="K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</row>
    <row r="50" spans="8:91" s="376" customFormat="1" x14ac:dyDescent="0.2">
      <c r="H50" s="1"/>
      <c r="I50" s="1"/>
      <c r="J50" s="1"/>
      <c r="K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</row>
    <row r="51" spans="8:91" s="376" customFormat="1" x14ac:dyDescent="0.2">
      <c r="H51" s="1"/>
      <c r="I51" s="1"/>
      <c r="J51" s="1"/>
      <c r="K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</row>
    <row r="52" spans="8:91" s="376" customFormat="1" x14ac:dyDescent="0.2">
      <c r="H52" s="1"/>
      <c r="I52" s="1"/>
      <c r="J52" s="1"/>
      <c r="K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</row>
    <row r="53" spans="8:91" s="376" customFormat="1" x14ac:dyDescent="0.2">
      <c r="H53" s="1"/>
      <c r="I53" s="1"/>
      <c r="J53" s="1"/>
      <c r="K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</row>
    <row r="54" spans="8:91" s="376" customFormat="1" x14ac:dyDescent="0.2">
      <c r="H54" s="1"/>
      <c r="I54" s="1"/>
      <c r="J54" s="1"/>
      <c r="K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</row>
    <row r="55" spans="8:91" s="376" customFormat="1" x14ac:dyDescent="0.2">
      <c r="H55" s="1"/>
      <c r="I55" s="1"/>
      <c r="J55" s="1"/>
      <c r="K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</row>
    <row r="56" spans="8:91" s="376" customFormat="1" x14ac:dyDescent="0.2">
      <c r="H56" s="1"/>
      <c r="I56" s="1"/>
      <c r="J56" s="1"/>
      <c r="K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</row>
    <row r="57" spans="8:91" s="376" customFormat="1" x14ac:dyDescent="0.2">
      <c r="H57" s="1"/>
      <c r="I57" s="1"/>
      <c r="J57" s="1"/>
      <c r="K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8:91" s="376" customFormat="1" x14ac:dyDescent="0.2">
      <c r="H58" s="1"/>
      <c r="I58" s="1"/>
      <c r="J58" s="1"/>
      <c r="K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</row>
    <row r="59" spans="8:91" s="376" customFormat="1" x14ac:dyDescent="0.2">
      <c r="H59" s="1"/>
      <c r="I59" s="1"/>
      <c r="J59" s="1"/>
      <c r="K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</row>
    <row r="60" spans="8:91" s="376" customFormat="1" x14ac:dyDescent="0.2">
      <c r="H60" s="1"/>
      <c r="I60" s="1"/>
      <c r="J60" s="1"/>
      <c r="K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</row>
    <row r="61" spans="8:91" s="376" customFormat="1" x14ac:dyDescent="0.2">
      <c r="H61" s="1"/>
      <c r="I61" s="1"/>
      <c r="J61" s="1"/>
      <c r="K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</row>
    <row r="62" spans="8:91" s="376" customFormat="1" x14ac:dyDescent="0.2">
      <c r="H62" s="1"/>
      <c r="I62" s="1"/>
      <c r="J62" s="1"/>
      <c r="K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</row>
    <row r="63" spans="8:91" s="376" customFormat="1" x14ac:dyDescent="0.2">
      <c r="H63" s="1"/>
      <c r="I63" s="1"/>
      <c r="J63" s="1"/>
      <c r="K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</row>
    <row r="64" spans="8:91" s="376" customFormat="1" x14ac:dyDescent="0.2">
      <c r="H64" s="1"/>
      <c r="I64" s="1"/>
      <c r="J64" s="1"/>
      <c r="K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</row>
    <row r="65" spans="8:91" s="376" customFormat="1" x14ac:dyDescent="0.2">
      <c r="H65" s="1"/>
      <c r="I65" s="1"/>
      <c r="J65" s="1"/>
      <c r="K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</row>
    <row r="66" spans="8:91" s="376" customFormat="1" x14ac:dyDescent="0.2">
      <c r="H66" s="1"/>
      <c r="I66" s="1"/>
      <c r="J66" s="1"/>
      <c r="K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</row>
    <row r="67" spans="8:91" s="376" customFormat="1" x14ac:dyDescent="0.2">
      <c r="H67" s="1"/>
      <c r="I67" s="1"/>
      <c r="J67" s="1"/>
      <c r="K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</row>
    <row r="68" spans="8:91" s="376" customFormat="1" x14ac:dyDescent="0.2">
      <c r="H68" s="1"/>
      <c r="I68" s="1"/>
      <c r="J68" s="1"/>
      <c r="K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</row>
    <row r="69" spans="8:91" s="376" customFormat="1" x14ac:dyDescent="0.2">
      <c r="H69" s="1"/>
      <c r="I69" s="1"/>
      <c r="J69" s="1"/>
      <c r="K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</row>
    <row r="70" spans="8:91" s="376" customFormat="1" x14ac:dyDescent="0.2">
      <c r="H70" s="1"/>
      <c r="I70" s="1"/>
      <c r="J70" s="1"/>
      <c r="K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</row>
    <row r="71" spans="8:91" s="376" customFormat="1" x14ac:dyDescent="0.2">
      <c r="H71" s="1"/>
      <c r="I71" s="1"/>
      <c r="J71" s="1"/>
      <c r="K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</row>
    <row r="72" spans="8:91" s="376" customFormat="1" x14ac:dyDescent="0.2">
      <c r="H72" s="1"/>
      <c r="I72" s="1"/>
      <c r="J72" s="1"/>
      <c r="K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</row>
    <row r="73" spans="8:91" s="376" customFormat="1" x14ac:dyDescent="0.2">
      <c r="H73" s="1"/>
      <c r="I73" s="1"/>
      <c r="J73" s="1"/>
      <c r="K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</row>
    <row r="74" spans="8:91" s="376" customFormat="1" x14ac:dyDescent="0.2">
      <c r="H74" s="1"/>
      <c r="I74" s="1"/>
      <c r="J74" s="1"/>
      <c r="K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</row>
    <row r="75" spans="8:91" s="376" customFormat="1" x14ac:dyDescent="0.2">
      <c r="H75" s="1"/>
      <c r="I75" s="1"/>
      <c r="J75" s="1"/>
      <c r="K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</row>
    <row r="76" spans="8:91" s="376" customFormat="1" x14ac:dyDescent="0.2">
      <c r="H76" s="1"/>
      <c r="I76" s="1"/>
      <c r="J76" s="1"/>
      <c r="K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</row>
    <row r="77" spans="8:91" s="376" customFormat="1" x14ac:dyDescent="0.2">
      <c r="H77" s="1"/>
      <c r="I77" s="1"/>
      <c r="J77" s="1"/>
      <c r="K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</row>
    <row r="78" spans="8:91" s="376" customFormat="1" x14ac:dyDescent="0.2">
      <c r="H78" s="1"/>
      <c r="I78" s="1"/>
      <c r="J78" s="1"/>
      <c r="K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</row>
    <row r="79" spans="8:91" s="376" customFormat="1" x14ac:dyDescent="0.2">
      <c r="H79" s="1"/>
      <c r="I79" s="1"/>
      <c r="J79" s="1"/>
      <c r="K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</row>
    <row r="80" spans="8:91" s="376" customFormat="1" x14ac:dyDescent="0.2">
      <c r="H80" s="1"/>
      <c r="I80" s="1"/>
      <c r="J80" s="1"/>
      <c r="K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</row>
    <row r="81" spans="8:91" s="376" customFormat="1" x14ac:dyDescent="0.2">
      <c r="H81" s="1"/>
      <c r="I81" s="1"/>
      <c r="J81" s="1"/>
      <c r="K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</row>
    <row r="82" spans="8:91" s="376" customFormat="1" x14ac:dyDescent="0.2">
      <c r="H82" s="1"/>
      <c r="I82" s="1"/>
      <c r="J82" s="1"/>
      <c r="K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</row>
    <row r="83" spans="8:91" s="376" customFormat="1" x14ac:dyDescent="0.2">
      <c r="H83" s="1"/>
      <c r="I83" s="1"/>
      <c r="J83" s="1"/>
      <c r="K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</row>
    <row r="84" spans="8:91" s="376" customFormat="1" x14ac:dyDescent="0.2">
      <c r="H84" s="1"/>
      <c r="I84" s="1"/>
      <c r="J84" s="1"/>
      <c r="K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</row>
    <row r="85" spans="8:91" s="376" customFormat="1" x14ac:dyDescent="0.2">
      <c r="H85" s="1"/>
      <c r="I85" s="1"/>
      <c r="J85" s="1"/>
      <c r="K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</row>
    <row r="86" spans="8:91" s="376" customFormat="1" x14ac:dyDescent="0.2">
      <c r="H86" s="1"/>
      <c r="I86" s="1"/>
      <c r="J86" s="1"/>
      <c r="K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</row>
    <row r="87" spans="8:91" s="376" customFormat="1" x14ac:dyDescent="0.2">
      <c r="H87" s="1"/>
      <c r="I87" s="1"/>
      <c r="J87" s="1"/>
      <c r="K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</row>
    <row r="88" spans="8:91" s="376" customFormat="1" x14ac:dyDescent="0.2">
      <c r="H88" s="1"/>
      <c r="I88" s="1"/>
      <c r="J88" s="1"/>
      <c r="K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</row>
    <row r="89" spans="8:91" s="376" customFormat="1" x14ac:dyDescent="0.2">
      <c r="H89" s="1"/>
      <c r="I89" s="1"/>
      <c r="J89" s="1"/>
      <c r="K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</row>
    <row r="90" spans="8:91" s="376" customFormat="1" x14ac:dyDescent="0.2">
      <c r="H90" s="1"/>
      <c r="I90" s="1"/>
      <c r="J90" s="1"/>
      <c r="K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</row>
    <row r="91" spans="8:91" s="376" customFormat="1" x14ac:dyDescent="0.2">
      <c r="H91" s="1"/>
      <c r="I91" s="1"/>
      <c r="J91" s="1"/>
      <c r="K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</row>
    <row r="92" spans="8:91" s="376" customFormat="1" x14ac:dyDescent="0.2">
      <c r="H92" s="1"/>
      <c r="I92" s="1"/>
      <c r="J92" s="1"/>
      <c r="K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</row>
    <row r="93" spans="8:91" s="376" customFormat="1" x14ac:dyDescent="0.2">
      <c r="H93" s="1"/>
      <c r="I93" s="1"/>
      <c r="J93" s="1"/>
      <c r="K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</row>
    <row r="94" spans="8:91" s="376" customFormat="1" x14ac:dyDescent="0.2">
      <c r="H94" s="1"/>
      <c r="I94" s="1"/>
      <c r="J94" s="1"/>
      <c r="K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</row>
    <row r="95" spans="8:91" s="376" customFormat="1" x14ac:dyDescent="0.2">
      <c r="H95" s="1"/>
      <c r="I95" s="1"/>
      <c r="J95" s="1"/>
      <c r="K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</row>
    <row r="96" spans="8:91" s="376" customFormat="1" x14ac:dyDescent="0.2">
      <c r="H96" s="1"/>
      <c r="I96" s="1"/>
      <c r="J96" s="1"/>
      <c r="K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</row>
    <row r="97" spans="8:91" s="376" customFormat="1" x14ac:dyDescent="0.2">
      <c r="H97" s="1"/>
      <c r="I97" s="1"/>
      <c r="J97" s="1"/>
      <c r="K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</row>
    <row r="98" spans="8:91" s="376" customFormat="1" x14ac:dyDescent="0.2">
      <c r="H98" s="1"/>
      <c r="I98" s="1"/>
      <c r="J98" s="1"/>
      <c r="K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</row>
    <row r="99" spans="8:91" s="376" customFormat="1" x14ac:dyDescent="0.2">
      <c r="H99" s="1"/>
      <c r="I99" s="1"/>
      <c r="J99" s="1"/>
      <c r="K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</row>
    <row r="100" spans="8:91" s="376" customFormat="1" x14ac:dyDescent="0.2">
      <c r="H100" s="1"/>
      <c r="I100" s="1"/>
      <c r="J100" s="1"/>
      <c r="K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</row>
    <row r="101" spans="8:91" s="376" customFormat="1" x14ac:dyDescent="0.2">
      <c r="H101" s="1"/>
      <c r="I101" s="1"/>
      <c r="J101" s="1"/>
      <c r="K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</row>
    <row r="102" spans="8:91" s="376" customFormat="1" x14ac:dyDescent="0.2">
      <c r="H102" s="1"/>
      <c r="I102" s="1"/>
      <c r="J102" s="1"/>
      <c r="K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</row>
    <row r="103" spans="8:91" s="376" customFormat="1" x14ac:dyDescent="0.2">
      <c r="H103" s="1"/>
      <c r="I103" s="1"/>
      <c r="J103" s="1"/>
      <c r="K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</row>
    <row r="104" spans="8:91" s="376" customFormat="1" x14ac:dyDescent="0.2">
      <c r="H104" s="1"/>
      <c r="I104" s="1"/>
      <c r="J104" s="1"/>
      <c r="K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</row>
    <row r="105" spans="8:91" s="376" customFormat="1" x14ac:dyDescent="0.2">
      <c r="H105" s="1"/>
      <c r="I105" s="1"/>
      <c r="J105" s="1"/>
      <c r="K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</row>
    <row r="106" spans="8:91" s="376" customFormat="1" x14ac:dyDescent="0.2">
      <c r="H106" s="1"/>
      <c r="I106" s="1"/>
      <c r="J106" s="1"/>
      <c r="K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</row>
    <row r="107" spans="8:91" s="376" customFormat="1" x14ac:dyDescent="0.2">
      <c r="H107" s="1"/>
      <c r="I107" s="1"/>
      <c r="J107" s="1"/>
      <c r="K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</row>
    <row r="108" spans="8:91" s="376" customFormat="1" x14ac:dyDescent="0.2">
      <c r="H108" s="1"/>
      <c r="I108" s="1"/>
      <c r="J108" s="1"/>
      <c r="K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</row>
    <row r="109" spans="8:91" s="376" customFormat="1" x14ac:dyDescent="0.2">
      <c r="H109" s="1"/>
      <c r="I109" s="1"/>
      <c r="J109" s="1"/>
      <c r="K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</row>
    <row r="110" spans="8:91" s="376" customFormat="1" x14ac:dyDescent="0.2">
      <c r="H110" s="1"/>
      <c r="I110" s="1"/>
      <c r="J110" s="1"/>
      <c r="K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</row>
    <row r="111" spans="8:91" s="376" customFormat="1" x14ac:dyDescent="0.2">
      <c r="H111" s="1"/>
      <c r="I111" s="1"/>
      <c r="J111" s="1"/>
      <c r="K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</row>
    <row r="112" spans="8:91" s="376" customFormat="1" x14ac:dyDescent="0.2">
      <c r="H112" s="1"/>
      <c r="I112" s="1"/>
      <c r="J112" s="1"/>
      <c r="K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</row>
    <row r="113" spans="8:91" s="376" customFormat="1" x14ac:dyDescent="0.2">
      <c r="H113" s="1"/>
      <c r="I113" s="1"/>
      <c r="J113" s="1"/>
      <c r="K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</row>
    <row r="114" spans="8:91" s="376" customFormat="1" x14ac:dyDescent="0.2">
      <c r="H114" s="1"/>
      <c r="I114" s="1"/>
      <c r="J114" s="1"/>
      <c r="K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</row>
    <row r="115" spans="8:91" s="376" customFormat="1" x14ac:dyDescent="0.2">
      <c r="H115" s="1"/>
      <c r="I115" s="1"/>
      <c r="J115" s="1"/>
      <c r="K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</row>
    <row r="116" spans="8:91" s="376" customFormat="1" x14ac:dyDescent="0.2">
      <c r="H116" s="1"/>
      <c r="I116" s="1"/>
      <c r="J116" s="1"/>
      <c r="K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</row>
    <row r="117" spans="8:91" s="376" customFormat="1" x14ac:dyDescent="0.2">
      <c r="H117" s="1"/>
      <c r="I117" s="1"/>
      <c r="J117" s="1"/>
      <c r="K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</row>
    <row r="118" spans="8:91" s="376" customFormat="1" x14ac:dyDescent="0.2">
      <c r="H118" s="1"/>
      <c r="I118" s="1"/>
      <c r="J118" s="1"/>
      <c r="K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</row>
    <row r="119" spans="8:91" s="376" customFormat="1" x14ac:dyDescent="0.2">
      <c r="H119" s="1"/>
      <c r="I119" s="1"/>
      <c r="J119" s="1"/>
      <c r="K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</row>
    <row r="120" spans="8:91" s="376" customFormat="1" x14ac:dyDescent="0.2">
      <c r="H120" s="1"/>
      <c r="I120" s="1"/>
      <c r="J120" s="1"/>
      <c r="K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</row>
    <row r="121" spans="8:91" s="376" customFormat="1" x14ac:dyDescent="0.2">
      <c r="H121" s="1"/>
      <c r="I121" s="1"/>
      <c r="J121" s="1"/>
      <c r="K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</row>
    <row r="122" spans="8:91" s="376" customFormat="1" x14ac:dyDescent="0.2">
      <c r="H122" s="1"/>
      <c r="I122" s="1"/>
      <c r="J122" s="1"/>
      <c r="K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</row>
    <row r="123" spans="8:91" s="376" customFormat="1" x14ac:dyDescent="0.2">
      <c r="H123" s="1"/>
      <c r="I123" s="1"/>
      <c r="J123" s="1"/>
      <c r="K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</row>
    <row r="124" spans="8:91" s="376" customFormat="1" x14ac:dyDescent="0.2">
      <c r="H124" s="1"/>
      <c r="I124" s="1"/>
      <c r="J124" s="1"/>
      <c r="K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</row>
    <row r="125" spans="8:91" s="376" customFormat="1" x14ac:dyDescent="0.2">
      <c r="H125" s="1"/>
      <c r="I125" s="1"/>
      <c r="J125" s="1"/>
      <c r="K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</row>
    <row r="126" spans="8:91" s="376" customFormat="1" x14ac:dyDescent="0.2">
      <c r="H126" s="1"/>
      <c r="I126" s="1"/>
      <c r="J126" s="1"/>
      <c r="K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</row>
    <row r="127" spans="8:91" s="376" customFormat="1" x14ac:dyDescent="0.2">
      <c r="H127" s="1"/>
      <c r="I127" s="1"/>
      <c r="J127" s="1"/>
      <c r="K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</row>
    <row r="128" spans="8:91" s="376" customFormat="1" x14ac:dyDescent="0.2">
      <c r="H128" s="1"/>
      <c r="I128" s="1"/>
      <c r="J128" s="1"/>
      <c r="K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</row>
    <row r="129" spans="8:91" s="376" customFormat="1" x14ac:dyDescent="0.2">
      <c r="H129" s="1"/>
      <c r="I129" s="1"/>
      <c r="J129" s="1"/>
      <c r="K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</row>
    <row r="130" spans="8:91" s="376" customFormat="1" x14ac:dyDescent="0.2">
      <c r="H130" s="1"/>
      <c r="I130" s="1"/>
      <c r="J130" s="1"/>
      <c r="K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</row>
    <row r="131" spans="8:91" s="376" customFormat="1" x14ac:dyDescent="0.2">
      <c r="H131" s="1"/>
      <c r="I131" s="1"/>
      <c r="J131" s="1"/>
      <c r="K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</row>
    <row r="132" spans="8:91" s="376" customFormat="1" x14ac:dyDescent="0.2">
      <c r="H132" s="1"/>
      <c r="I132" s="1"/>
      <c r="J132" s="1"/>
      <c r="K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</row>
    <row r="133" spans="8:91" s="376" customFormat="1" x14ac:dyDescent="0.2">
      <c r="H133" s="1"/>
      <c r="I133" s="1"/>
      <c r="J133" s="1"/>
      <c r="K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</row>
    <row r="134" spans="8:91" s="376" customFormat="1" x14ac:dyDescent="0.2">
      <c r="H134" s="1"/>
      <c r="I134" s="1"/>
      <c r="J134" s="1"/>
      <c r="K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</row>
    <row r="135" spans="8:91" s="376" customFormat="1" x14ac:dyDescent="0.2">
      <c r="H135" s="1"/>
      <c r="I135" s="1"/>
      <c r="J135" s="1"/>
      <c r="K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</row>
    <row r="136" spans="8:91" s="376" customFormat="1" x14ac:dyDescent="0.2">
      <c r="H136" s="1"/>
      <c r="I136" s="1"/>
      <c r="J136" s="1"/>
      <c r="K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</row>
    <row r="137" spans="8:91" s="376" customFormat="1" x14ac:dyDescent="0.2">
      <c r="H137" s="1"/>
      <c r="I137" s="1"/>
      <c r="J137" s="1"/>
      <c r="K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</row>
    <row r="138" spans="8:91" s="376" customFormat="1" x14ac:dyDescent="0.2">
      <c r="H138" s="1"/>
      <c r="I138" s="1"/>
      <c r="J138" s="1"/>
      <c r="K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</row>
    <row r="139" spans="8:91" s="376" customFormat="1" x14ac:dyDescent="0.2">
      <c r="H139" s="1"/>
      <c r="I139" s="1"/>
      <c r="J139" s="1"/>
      <c r="K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</row>
    <row r="140" spans="8:91" s="376" customFormat="1" x14ac:dyDescent="0.2">
      <c r="H140" s="1"/>
      <c r="I140" s="1"/>
      <c r="J140" s="1"/>
      <c r="K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</row>
    <row r="141" spans="8:91" s="376" customFormat="1" x14ac:dyDescent="0.2">
      <c r="H141" s="1"/>
      <c r="I141" s="1"/>
      <c r="J141" s="1"/>
      <c r="K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</row>
    <row r="142" spans="8:91" s="376" customFormat="1" x14ac:dyDescent="0.2">
      <c r="H142" s="1"/>
      <c r="I142" s="1"/>
      <c r="J142" s="1"/>
      <c r="K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</row>
    <row r="143" spans="8:91" s="376" customFormat="1" x14ac:dyDescent="0.2">
      <c r="H143" s="1"/>
      <c r="I143" s="1"/>
      <c r="J143" s="1"/>
      <c r="K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</row>
    <row r="144" spans="8:91" s="376" customFormat="1" x14ac:dyDescent="0.2">
      <c r="H144" s="1"/>
      <c r="I144" s="1"/>
      <c r="J144" s="1"/>
      <c r="K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</row>
    <row r="145" spans="8:91" s="376" customFormat="1" x14ac:dyDescent="0.2">
      <c r="H145" s="1"/>
      <c r="I145" s="1"/>
      <c r="J145" s="1"/>
      <c r="K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</row>
    <row r="146" spans="8:91" s="376" customFormat="1" x14ac:dyDescent="0.2">
      <c r="H146" s="1"/>
      <c r="I146" s="1"/>
      <c r="J146" s="1"/>
      <c r="K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</row>
    <row r="147" spans="8:91" s="376" customFormat="1" x14ac:dyDescent="0.2">
      <c r="H147" s="1"/>
      <c r="I147" s="1"/>
      <c r="J147" s="1"/>
      <c r="K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</row>
    <row r="148" spans="8:91" s="376" customFormat="1" x14ac:dyDescent="0.2">
      <c r="H148" s="1"/>
      <c r="I148" s="1"/>
      <c r="J148" s="1"/>
      <c r="K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</row>
    <row r="149" spans="8:91" s="376" customFormat="1" x14ac:dyDescent="0.2">
      <c r="H149" s="1"/>
      <c r="I149" s="1"/>
      <c r="J149" s="1"/>
      <c r="K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</row>
    <row r="150" spans="8:91" s="376" customFormat="1" x14ac:dyDescent="0.2">
      <c r="H150" s="1"/>
      <c r="I150" s="1"/>
      <c r="J150" s="1"/>
      <c r="K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</row>
    <row r="151" spans="8:91" s="376" customFormat="1" x14ac:dyDescent="0.2">
      <c r="H151" s="1"/>
      <c r="I151" s="1"/>
      <c r="J151" s="1"/>
      <c r="K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</row>
    <row r="152" spans="8:91" s="376" customFormat="1" x14ac:dyDescent="0.2">
      <c r="H152" s="1"/>
      <c r="I152" s="1"/>
      <c r="J152" s="1"/>
      <c r="K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</row>
    <row r="153" spans="8:91" s="376" customFormat="1" x14ac:dyDescent="0.2">
      <c r="H153" s="1"/>
      <c r="I153" s="1"/>
      <c r="J153" s="1"/>
      <c r="K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</row>
    <row r="154" spans="8:91" s="376" customFormat="1" x14ac:dyDescent="0.2">
      <c r="H154" s="1"/>
      <c r="I154" s="1"/>
      <c r="J154" s="1"/>
      <c r="K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</row>
    <row r="155" spans="8:91" s="376" customFormat="1" x14ac:dyDescent="0.2">
      <c r="H155" s="1"/>
      <c r="I155" s="1"/>
      <c r="J155" s="1"/>
      <c r="K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</row>
    <row r="156" spans="8:91" s="376" customFormat="1" x14ac:dyDescent="0.2">
      <c r="H156" s="1"/>
      <c r="I156" s="1"/>
      <c r="J156" s="1"/>
      <c r="K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</row>
    <row r="157" spans="8:91" s="376" customFormat="1" x14ac:dyDescent="0.2">
      <c r="H157" s="1"/>
      <c r="I157" s="1"/>
      <c r="J157" s="1"/>
      <c r="K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</row>
    <row r="158" spans="8:91" s="376" customFormat="1" x14ac:dyDescent="0.2">
      <c r="H158" s="1"/>
      <c r="I158" s="1"/>
      <c r="J158" s="1"/>
      <c r="K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</row>
    <row r="159" spans="8:91" s="376" customFormat="1" x14ac:dyDescent="0.2">
      <c r="H159" s="1"/>
      <c r="I159" s="1"/>
      <c r="J159" s="1"/>
      <c r="K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</row>
    <row r="160" spans="8:91" s="376" customFormat="1" x14ac:dyDescent="0.2">
      <c r="H160" s="1"/>
      <c r="I160" s="1"/>
      <c r="J160" s="1"/>
      <c r="K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</row>
    <row r="161" spans="8:91" s="376" customFormat="1" x14ac:dyDescent="0.2">
      <c r="H161" s="1"/>
      <c r="I161" s="1"/>
      <c r="J161" s="1"/>
      <c r="K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</row>
    <row r="162" spans="8:91" s="376" customFormat="1" x14ac:dyDescent="0.2">
      <c r="H162" s="1"/>
      <c r="I162" s="1"/>
      <c r="J162" s="1"/>
      <c r="K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</row>
    <row r="163" spans="8:91" s="376" customFormat="1" x14ac:dyDescent="0.2">
      <c r="H163" s="1"/>
      <c r="I163" s="1"/>
      <c r="J163" s="1"/>
      <c r="K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</row>
    <row r="164" spans="8:91" s="376" customFormat="1" x14ac:dyDescent="0.2">
      <c r="H164" s="1"/>
      <c r="I164" s="1"/>
      <c r="J164" s="1"/>
      <c r="K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</row>
    <row r="165" spans="8:91" s="376" customFormat="1" x14ac:dyDescent="0.2">
      <c r="H165" s="1"/>
      <c r="I165" s="1"/>
      <c r="J165" s="1"/>
      <c r="K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</row>
    <row r="166" spans="8:91" s="376" customFormat="1" x14ac:dyDescent="0.2">
      <c r="H166" s="1"/>
      <c r="I166" s="1"/>
      <c r="J166" s="1"/>
      <c r="K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</row>
    <row r="167" spans="8:91" s="376" customFormat="1" x14ac:dyDescent="0.2">
      <c r="H167" s="1"/>
      <c r="I167" s="1"/>
      <c r="J167" s="1"/>
      <c r="K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</row>
    <row r="168" spans="8:91" s="376" customFormat="1" x14ac:dyDescent="0.2">
      <c r="H168" s="1"/>
      <c r="I168" s="1"/>
      <c r="J168" s="1"/>
      <c r="K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</row>
    <row r="169" spans="8:91" s="376" customFormat="1" x14ac:dyDescent="0.2">
      <c r="H169" s="1"/>
      <c r="I169" s="1"/>
      <c r="J169" s="1"/>
      <c r="K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</row>
    <row r="170" spans="8:91" s="376" customFormat="1" x14ac:dyDescent="0.2">
      <c r="H170" s="1"/>
      <c r="I170" s="1"/>
      <c r="J170" s="1"/>
      <c r="K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</row>
    <row r="171" spans="8:91" s="376" customFormat="1" x14ac:dyDescent="0.2">
      <c r="H171" s="1"/>
      <c r="I171" s="1"/>
      <c r="J171" s="1"/>
      <c r="K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</row>
    <row r="172" spans="8:91" s="376" customFormat="1" x14ac:dyDescent="0.2">
      <c r="H172" s="1"/>
      <c r="I172" s="1"/>
      <c r="J172" s="1"/>
      <c r="K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</row>
    <row r="173" spans="8:91" s="376" customFormat="1" x14ac:dyDescent="0.2">
      <c r="H173" s="1"/>
      <c r="I173" s="1"/>
      <c r="J173" s="1"/>
      <c r="K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</row>
    <row r="174" spans="8:91" s="376" customFormat="1" x14ac:dyDescent="0.2">
      <c r="H174" s="1"/>
      <c r="I174" s="1"/>
      <c r="J174" s="1"/>
      <c r="K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</row>
    <row r="175" spans="8:91" s="376" customFormat="1" x14ac:dyDescent="0.2">
      <c r="H175" s="1"/>
      <c r="I175" s="1"/>
      <c r="J175" s="1"/>
      <c r="K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</row>
    <row r="176" spans="8:91" s="376" customFormat="1" x14ac:dyDescent="0.2">
      <c r="H176" s="1"/>
      <c r="I176" s="1"/>
      <c r="J176" s="1"/>
      <c r="K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</row>
    <row r="177" spans="8:91" s="376" customFormat="1" x14ac:dyDescent="0.2">
      <c r="H177" s="1"/>
      <c r="I177" s="1"/>
      <c r="J177" s="1"/>
      <c r="K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</row>
    <row r="178" spans="8:91" s="376" customFormat="1" x14ac:dyDescent="0.2">
      <c r="H178" s="1"/>
      <c r="I178" s="1"/>
      <c r="J178" s="1"/>
      <c r="K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</row>
    <row r="179" spans="8:91" s="376" customFormat="1" x14ac:dyDescent="0.2">
      <c r="H179" s="1"/>
      <c r="I179" s="1"/>
      <c r="J179" s="1"/>
      <c r="K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</row>
    <row r="180" spans="8:91" s="376" customFormat="1" x14ac:dyDescent="0.2">
      <c r="H180" s="1"/>
      <c r="I180" s="1"/>
      <c r="J180" s="1"/>
      <c r="K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</row>
    <row r="181" spans="8:91" s="376" customFormat="1" x14ac:dyDescent="0.2">
      <c r="H181" s="1"/>
      <c r="I181" s="1"/>
      <c r="J181" s="1"/>
      <c r="K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</row>
    <row r="182" spans="8:91" s="376" customFormat="1" x14ac:dyDescent="0.2">
      <c r="H182" s="1"/>
      <c r="I182" s="1"/>
      <c r="J182" s="1"/>
      <c r="K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</row>
    <row r="183" spans="8:91" s="376" customFormat="1" x14ac:dyDescent="0.2">
      <c r="H183" s="1"/>
      <c r="I183" s="1"/>
      <c r="J183" s="1"/>
      <c r="K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</row>
    <row r="184" spans="8:91" s="376" customFormat="1" x14ac:dyDescent="0.2">
      <c r="H184" s="1"/>
      <c r="I184" s="1"/>
      <c r="J184" s="1"/>
      <c r="K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</row>
    <row r="185" spans="8:91" s="376" customFormat="1" x14ac:dyDescent="0.2">
      <c r="H185" s="1"/>
      <c r="I185" s="1"/>
      <c r="J185" s="1"/>
      <c r="K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</row>
    <row r="186" spans="8:91" s="376" customFormat="1" x14ac:dyDescent="0.2">
      <c r="H186" s="1"/>
      <c r="I186" s="1"/>
      <c r="J186" s="1"/>
      <c r="K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</row>
    <row r="187" spans="8:91" s="376" customFormat="1" x14ac:dyDescent="0.2">
      <c r="H187" s="1"/>
      <c r="I187" s="1"/>
      <c r="J187" s="1"/>
      <c r="K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</row>
    <row r="188" spans="8:91" s="376" customFormat="1" x14ac:dyDescent="0.2">
      <c r="H188" s="1"/>
      <c r="I188" s="1"/>
      <c r="J188" s="1"/>
      <c r="K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</row>
    <row r="189" spans="8:91" s="376" customFormat="1" x14ac:dyDescent="0.2">
      <c r="H189" s="1"/>
      <c r="I189" s="1"/>
      <c r="J189" s="1"/>
      <c r="K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</row>
    <row r="190" spans="8:91" s="376" customFormat="1" x14ac:dyDescent="0.2">
      <c r="H190" s="1"/>
      <c r="I190" s="1"/>
      <c r="J190" s="1"/>
      <c r="K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</row>
    <row r="191" spans="8:91" s="376" customFormat="1" x14ac:dyDescent="0.2">
      <c r="H191" s="1"/>
      <c r="I191" s="1"/>
      <c r="J191" s="1"/>
      <c r="K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</row>
    <row r="192" spans="8:91" s="376" customFormat="1" x14ac:dyDescent="0.2">
      <c r="H192" s="1"/>
      <c r="I192" s="1"/>
      <c r="J192" s="1"/>
      <c r="K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</row>
    <row r="193" spans="8:91" s="376" customFormat="1" x14ac:dyDescent="0.2">
      <c r="H193" s="1"/>
      <c r="I193" s="1"/>
      <c r="J193" s="1"/>
      <c r="K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</row>
    <row r="194" spans="8:91" s="376" customFormat="1" x14ac:dyDescent="0.2">
      <c r="H194" s="1"/>
      <c r="I194" s="1"/>
      <c r="J194" s="1"/>
      <c r="K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</row>
    <row r="195" spans="8:91" s="376" customFormat="1" x14ac:dyDescent="0.2">
      <c r="H195" s="1"/>
      <c r="I195" s="1"/>
      <c r="J195" s="1"/>
      <c r="K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</row>
    <row r="196" spans="8:91" s="376" customFormat="1" x14ac:dyDescent="0.2">
      <c r="H196" s="1"/>
      <c r="I196" s="1"/>
      <c r="J196" s="1"/>
      <c r="K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</row>
    <row r="197" spans="8:91" s="376" customFormat="1" x14ac:dyDescent="0.2">
      <c r="H197" s="1"/>
      <c r="I197" s="1"/>
      <c r="J197" s="1"/>
      <c r="K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</row>
    <row r="198" spans="8:91" s="376" customFormat="1" x14ac:dyDescent="0.2">
      <c r="H198" s="1"/>
      <c r="I198" s="1"/>
      <c r="J198" s="1"/>
      <c r="K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</row>
    <row r="199" spans="8:91" s="376" customFormat="1" x14ac:dyDescent="0.2">
      <c r="H199" s="1"/>
      <c r="I199" s="1"/>
      <c r="J199" s="1"/>
      <c r="K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</row>
    <row r="200" spans="8:91" s="376" customFormat="1" x14ac:dyDescent="0.2">
      <c r="H200" s="1"/>
      <c r="I200" s="1"/>
      <c r="J200" s="1"/>
      <c r="K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</row>
    <row r="201" spans="8:91" s="376" customFormat="1" x14ac:dyDescent="0.2">
      <c r="H201" s="1"/>
      <c r="I201" s="1"/>
      <c r="J201" s="1"/>
      <c r="K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</row>
    <row r="202" spans="8:91" s="376" customFormat="1" x14ac:dyDescent="0.2">
      <c r="H202" s="1"/>
      <c r="I202" s="1"/>
      <c r="J202" s="1"/>
      <c r="K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</row>
    <row r="203" spans="8:91" s="376" customFormat="1" x14ac:dyDescent="0.2">
      <c r="H203" s="1"/>
      <c r="I203" s="1"/>
      <c r="J203" s="1"/>
      <c r="K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</row>
    <row r="204" spans="8:91" s="376" customFormat="1" x14ac:dyDescent="0.2">
      <c r="H204" s="1"/>
      <c r="I204" s="1"/>
      <c r="J204" s="1"/>
      <c r="K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</row>
    <row r="205" spans="8:91" s="376" customFormat="1" x14ac:dyDescent="0.2">
      <c r="H205" s="1"/>
      <c r="I205" s="1"/>
      <c r="J205" s="1"/>
      <c r="K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</row>
    <row r="206" spans="8:91" s="376" customFormat="1" x14ac:dyDescent="0.2">
      <c r="H206" s="1"/>
      <c r="I206" s="1"/>
      <c r="J206" s="1"/>
      <c r="K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</row>
    <row r="207" spans="8:91" s="376" customFormat="1" x14ac:dyDescent="0.2">
      <c r="H207" s="1"/>
      <c r="I207" s="1"/>
      <c r="J207" s="1"/>
      <c r="K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</row>
    <row r="208" spans="8:91" s="376" customFormat="1" x14ac:dyDescent="0.2">
      <c r="H208" s="1"/>
      <c r="I208" s="1"/>
      <c r="J208" s="1"/>
      <c r="K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</row>
    <row r="209" spans="8:91" s="376" customFormat="1" x14ac:dyDescent="0.2">
      <c r="H209" s="1"/>
      <c r="I209" s="1"/>
      <c r="J209" s="1"/>
      <c r="K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</row>
    <row r="210" spans="8:91" s="376" customFormat="1" x14ac:dyDescent="0.2">
      <c r="H210" s="1"/>
      <c r="I210" s="1"/>
      <c r="J210" s="1"/>
      <c r="K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</row>
    <row r="211" spans="8:91" s="376" customFormat="1" x14ac:dyDescent="0.2">
      <c r="H211" s="1"/>
      <c r="I211" s="1"/>
      <c r="J211" s="1"/>
      <c r="K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</row>
    <row r="212" spans="8:91" s="376" customFormat="1" x14ac:dyDescent="0.2">
      <c r="H212" s="1"/>
      <c r="I212" s="1"/>
      <c r="J212" s="1"/>
      <c r="K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</row>
    <row r="213" spans="8:91" s="376" customFormat="1" x14ac:dyDescent="0.2">
      <c r="H213" s="1"/>
      <c r="I213" s="1"/>
      <c r="J213" s="1"/>
      <c r="K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</row>
    <row r="214" spans="8:91" s="376" customFormat="1" x14ac:dyDescent="0.2">
      <c r="H214" s="1"/>
      <c r="I214" s="1"/>
      <c r="J214" s="1"/>
      <c r="K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</row>
    <row r="215" spans="8:91" s="376" customFormat="1" x14ac:dyDescent="0.2">
      <c r="H215" s="1"/>
      <c r="I215" s="1"/>
      <c r="J215" s="1"/>
      <c r="K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</row>
    <row r="216" spans="8:91" s="376" customFormat="1" x14ac:dyDescent="0.2">
      <c r="H216" s="1"/>
      <c r="I216" s="1"/>
      <c r="J216" s="1"/>
      <c r="K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</row>
    <row r="217" spans="8:91" s="376" customFormat="1" x14ac:dyDescent="0.2">
      <c r="H217" s="1"/>
      <c r="I217" s="1"/>
      <c r="J217" s="1"/>
      <c r="K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</row>
    <row r="218" spans="8:91" s="376" customFormat="1" x14ac:dyDescent="0.2">
      <c r="H218" s="1"/>
      <c r="I218" s="1"/>
      <c r="J218" s="1"/>
      <c r="K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</row>
    <row r="219" spans="8:91" s="376" customFormat="1" x14ac:dyDescent="0.2">
      <c r="H219" s="1"/>
      <c r="I219" s="1"/>
      <c r="J219" s="1"/>
      <c r="K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</row>
    <row r="220" spans="8:91" s="376" customFormat="1" x14ac:dyDescent="0.2">
      <c r="H220" s="1"/>
      <c r="I220" s="1"/>
      <c r="J220" s="1"/>
      <c r="K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</row>
    <row r="221" spans="8:91" s="376" customFormat="1" x14ac:dyDescent="0.2">
      <c r="H221" s="1"/>
      <c r="I221" s="1"/>
      <c r="J221" s="1"/>
      <c r="K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</row>
    <row r="222" spans="8:91" s="376" customFormat="1" x14ac:dyDescent="0.2">
      <c r="H222" s="1"/>
      <c r="I222" s="1"/>
      <c r="J222" s="1"/>
      <c r="K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</row>
    <row r="223" spans="8:91" s="376" customFormat="1" x14ac:dyDescent="0.2">
      <c r="H223" s="1"/>
      <c r="I223" s="1"/>
      <c r="J223" s="1"/>
      <c r="K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</row>
    <row r="224" spans="8:91" s="376" customFormat="1" x14ac:dyDescent="0.2">
      <c r="H224" s="1"/>
      <c r="I224" s="1"/>
      <c r="J224" s="1"/>
      <c r="K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</row>
    <row r="225" spans="8:91" s="376" customFormat="1" x14ac:dyDescent="0.2">
      <c r="H225" s="1"/>
      <c r="I225" s="1"/>
      <c r="J225" s="1"/>
      <c r="K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</row>
    <row r="226" spans="8:91" s="376" customFormat="1" x14ac:dyDescent="0.2">
      <c r="H226" s="1"/>
      <c r="I226" s="1"/>
      <c r="J226" s="1"/>
      <c r="K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</row>
    <row r="227" spans="8:91" s="376" customFormat="1" x14ac:dyDescent="0.2">
      <c r="H227" s="1"/>
      <c r="I227" s="1"/>
      <c r="J227" s="1"/>
      <c r="K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</row>
    <row r="228" spans="8:91" s="376" customFormat="1" x14ac:dyDescent="0.2">
      <c r="H228" s="1"/>
      <c r="I228" s="1"/>
      <c r="J228" s="1"/>
      <c r="K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</row>
    <row r="229" spans="8:91" s="376" customFormat="1" x14ac:dyDescent="0.2">
      <c r="H229" s="1"/>
      <c r="I229" s="1"/>
      <c r="J229" s="1"/>
      <c r="K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</row>
    <row r="230" spans="8:91" s="376" customFormat="1" x14ac:dyDescent="0.2">
      <c r="H230" s="1"/>
      <c r="I230" s="1"/>
      <c r="J230" s="1"/>
      <c r="K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</row>
    <row r="231" spans="8:91" s="376" customFormat="1" x14ac:dyDescent="0.2">
      <c r="H231" s="1"/>
      <c r="I231" s="1"/>
      <c r="J231" s="1"/>
      <c r="K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</row>
    <row r="232" spans="8:91" s="376" customFormat="1" x14ac:dyDescent="0.2">
      <c r="H232" s="1"/>
      <c r="I232" s="1"/>
      <c r="J232" s="1"/>
      <c r="K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</row>
    <row r="233" spans="8:91" s="376" customFormat="1" x14ac:dyDescent="0.2">
      <c r="H233" s="1"/>
      <c r="I233" s="1"/>
      <c r="J233" s="1"/>
      <c r="K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</row>
    <row r="234" spans="8:91" s="376" customFormat="1" x14ac:dyDescent="0.2">
      <c r="H234" s="1"/>
      <c r="I234" s="1"/>
      <c r="J234" s="1"/>
      <c r="K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</row>
    <row r="235" spans="8:91" s="376" customFormat="1" x14ac:dyDescent="0.2">
      <c r="H235" s="1"/>
      <c r="I235" s="1"/>
      <c r="J235" s="1"/>
      <c r="K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</row>
    <row r="236" spans="8:91" s="376" customFormat="1" x14ac:dyDescent="0.2">
      <c r="H236" s="1"/>
      <c r="I236" s="1"/>
      <c r="J236" s="1"/>
      <c r="K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</row>
    <row r="237" spans="8:91" s="376" customFormat="1" x14ac:dyDescent="0.2">
      <c r="H237" s="1"/>
      <c r="I237" s="1"/>
      <c r="J237" s="1"/>
      <c r="K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</row>
    <row r="238" spans="8:91" s="376" customFormat="1" x14ac:dyDescent="0.2">
      <c r="H238" s="1"/>
      <c r="I238" s="1"/>
      <c r="J238" s="1"/>
      <c r="K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</row>
    <row r="239" spans="8:91" s="376" customFormat="1" x14ac:dyDescent="0.2">
      <c r="H239" s="1"/>
      <c r="I239" s="1"/>
      <c r="J239" s="1"/>
      <c r="K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</row>
    <row r="240" spans="8:91" s="376" customFormat="1" x14ac:dyDescent="0.2">
      <c r="H240" s="1"/>
      <c r="I240" s="1"/>
      <c r="J240" s="1"/>
      <c r="K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</row>
    <row r="241" spans="8:91" s="376" customFormat="1" x14ac:dyDescent="0.2">
      <c r="H241" s="1"/>
      <c r="I241" s="1"/>
      <c r="J241" s="1"/>
      <c r="K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</row>
    <row r="242" spans="8:91" s="376" customFormat="1" x14ac:dyDescent="0.2">
      <c r="H242" s="1"/>
      <c r="I242" s="1"/>
      <c r="J242" s="1"/>
      <c r="K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</row>
    <row r="243" spans="8:91" s="376" customFormat="1" x14ac:dyDescent="0.2">
      <c r="H243" s="1"/>
      <c r="I243" s="1"/>
      <c r="J243" s="1"/>
      <c r="K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</row>
    <row r="244" spans="8:91" s="376" customFormat="1" x14ac:dyDescent="0.2">
      <c r="H244" s="1"/>
      <c r="I244" s="1"/>
      <c r="J244" s="1"/>
      <c r="K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</row>
    <row r="245" spans="8:91" s="376" customFormat="1" x14ac:dyDescent="0.2">
      <c r="H245" s="1"/>
      <c r="I245" s="1"/>
      <c r="J245" s="1"/>
      <c r="K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</row>
    <row r="246" spans="8:91" s="376" customFormat="1" x14ac:dyDescent="0.2">
      <c r="H246" s="1"/>
      <c r="I246" s="1"/>
      <c r="J246" s="1"/>
      <c r="K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</row>
    <row r="247" spans="8:91" s="376" customFormat="1" x14ac:dyDescent="0.2">
      <c r="H247" s="1"/>
      <c r="I247" s="1"/>
      <c r="J247" s="1"/>
      <c r="K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</row>
    <row r="248" spans="8:91" s="376" customFormat="1" x14ac:dyDescent="0.2">
      <c r="H248" s="1"/>
      <c r="I248" s="1"/>
      <c r="J248" s="1"/>
      <c r="K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</row>
    <row r="249" spans="8:91" s="376" customFormat="1" x14ac:dyDescent="0.2">
      <c r="H249" s="1"/>
      <c r="I249" s="1"/>
      <c r="J249" s="1"/>
      <c r="K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</row>
    <row r="250" spans="8:91" s="376" customFormat="1" x14ac:dyDescent="0.2">
      <c r="H250" s="1"/>
      <c r="I250" s="1"/>
      <c r="J250" s="1"/>
      <c r="K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</row>
    <row r="251" spans="8:91" s="376" customFormat="1" x14ac:dyDescent="0.2">
      <c r="H251" s="1"/>
      <c r="I251" s="1"/>
      <c r="J251" s="1"/>
      <c r="K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</row>
    <row r="252" spans="8:91" s="376" customFormat="1" x14ac:dyDescent="0.2">
      <c r="H252" s="1"/>
      <c r="I252" s="1"/>
      <c r="J252" s="1"/>
      <c r="K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</row>
    <row r="253" spans="8:91" s="376" customFormat="1" x14ac:dyDescent="0.2">
      <c r="H253" s="1"/>
      <c r="I253" s="1"/>
      <c r="J253" s="1"/>
      <c r="K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</row>
    <row r="254" spans="8:91" s="376" customFormat="1" x14ac:dyDescent="0.2">
      <c r="H254" s="1"/>
      <c r="I254" s="1"/>
      <c r="J254" s="1"/>
      <c r="K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</row>
    <row r="255" spans="8:91" s="376" customFormat="1" x14ac:dyDescent="0.2">
      <c r="H255" s="1"/>
      <c r="I255" s="1"/>
      <c r="J255" s="1"/>
      <c r="K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</row>
    <row r="256" spans="8:91" s="376" customFormat="1" x14ac:dyDescent="0.2">
      <c r="H256" s="1"/>
      <c r="I256" s="1"/>
      <c r="J256" s="1"/>
      <c r="K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</row>
    <row r="257" spans="8:91" s="376" customFormat="1" x14ac:dyDescent="0.2">
      <c r="H257" s="1"/>
      <c r="I257" s="1"/>
      <c r="J257" s="1"/>
      <c r="K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</row>
    <row r="258" spans="8:91" s="376" customFormat="1" x14ac:dyDescent="0.2">
      <c r="H258" s="1"/>
      <c r="I258" s="1"/>
      <c r="J258" s="1"/>
      <c r="K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</row>
    <row r="259" spans="8:91" s="376" customFormat="1" x14ac:dyDescent="0.2">
      <c r="H259" s="1"/>
      <c r="I259" s="1"/>
      <c r="J259" s="1"/>
      <c r="K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</row>
    <row r="260" spans="8:91" s="376" customFormat="1" x14ac:dyDescent="0.2">
      <c r="H260" s="1"/>
      <c r="I260" s="1"/>
      <c r="J260" s="1"/>
      <c r="K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</row>
    <row r="261" spans="8:91" s="376" customFormat="1" x14ac:dyDescent="0.2">
      <c r="H261" s="1"/>
      <c r="I261" s="1"/>
      <c r="J261" s="1"/>
      <c r="K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</row>
    <row r="262" spans="8:91" s="376" customFormat="1" x14ac:dyDescent="0.2">
      <c r="H262" s="1"/>
      <c r="I262" s="1"/>
      <c r="J262" s="1"/>
      <c r="K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</row>
    <row r="263" spans="8:91" s="376" customFormat="1" x14ac:dyDescent="0.2">
      <c r="H263" s="1"/>
      <c r="I263" s="1"/>
      <c r="J263" s="1"/>
      <c r="K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</row>
    <row r="264" spans="8:91" s="376" customFormat="1" x14ac:dyDescent="0.2">
      <c r="H264" s="1"/>
      <c r="I264" s="1"/>
      <c r="J264" s="1"/>
      <c r="K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</row>
    <row r="265" spans="8:91" s="376" customFormat="1" x14ac:dyDescent="0.2">
      <c r="H265" s="1"/>
      <c r="I265" s="1"/>
      <c r="J265" s="1"/>
      <c r="K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</row>
    <row r="266" spans="8:91" s="376" customFormat="1" x14ac:dyDescent="0.2">
      <c r="H266" s="1"/>
      <c r="I266" s="1"/>
      <c r="J266" s="1"/>
      <c r="K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</row>
    <row r="267" spans="8:91" s="376" customFormat="1" x14ac:dyDescent="0.2">
      <c r="H267" s="1"/>
      <c r="I267" s="1"/>
      <c r="J267" s="1"/>
      <c r="K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</row>
    <row r="268" spans="8:91" s="376" customFormat="1" x14ac:dyDescent="0.2">
      <c r="H268" s="1"/>
      <c r="I268" s="1"/>
      <c r="J268" s="1"/>
      <c r="K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</row>
    <row r="269" spans="8:91" s="376" customFormat="1" x14ac:dyDescent="0.2">
      <c r="H269" s="1"/>
      <c r="I269" s="1"/>
      <c r="J269" s="1"/>
      <c r="K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</row>
    <row r="270" spans="8:91" s="376" customFormat="1" x14ac:dyDescent="0.2">
      <c r="H270" s="1"/>
      <c r="I270" s="1"/>
      <c r="J270" s="1"/>
      <c r="K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</row>
    <row r="271" spans="8:91" s="376" customFormat="1" x14ac:dyDescent="0.2">
      <c r="H271" s="1"/>
      <c r="I271" s="1"/>
      <c r="J271" s="1"/>
      <c r="K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</row>
    <row r="272" spans="8:91" s="376" customFormat="1" x14ac:dyDescent="0.2">
      <c r="H272" s="1"/>
      <c r="I272" s="1"/>
      <c r="J272" s="1"/>
      <c r="K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</row>
    <row r="273" spans="8:91" s="376" customFormat="1" x14ac:dyDescent="0.2">
      <c r="H273" s="1"/>
      <c r="I273" s="1"/>
      <c r="J273" s="1"/>
      <c r="K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</row>
    <row r="274" spans="8:91" s="376" customFormat="1" x14ac:dyDescent="0.2">
      <c r="H274" s="1"/>
      <c r="I274" s="1"/>
      <c r="J274" s="1"/>
      <c r="K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</row>
    <row r="275" spans="8:91" s="376" customFormat="1" x14ac:dyDescent="0.2">
      <c r="H275" s="1"/>
      <c r="I275" s="1"/>
      <c r="J275" s="1"/>
      <c r="K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</row>
    <row r="276" spans="8:91" s="376" customFormat="1" x14ac:dyDescent="0.2">
      <c r="H276" s="1"/>
      <c r="I276" s="1"/>
      <c r="J276" s="1"/>
      <c r="K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</row>
    <row r="277" spans="8:91" s="376" customFormat="1" x14ac:dyDescent="0.2">
      <c r="H277" s="1"/>
      <c r="I277" s="1"/>
      <c r="J277" s="1"/>
      <c r="K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</row>
    <row r="278" spans="8:91" s="376" customFormat="1" x14ac:dyDescent="0.2">
      <c r="H278" s="1"/>
      <c r="I278" s="1"/>
      <c r="J278" s="1"/>
      <c r="K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</row>
    <row r="279" spans="8:91" s="376" customFormat="1" x14ac:dyDescent="0.2">
      <c r="H279" s="1"/>
      <c r="I279" s="1"/>
      <c r="J279" s="1"/>
      <c r="K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</row>
    <row r="280" spans="8:91" s="376" customFormat="1" x14ac:dyDescent="0.2">
      <c r="H280" s="1"/>
      <c r="I280" s="1"/>
      <c r="J280" s="1"/>
      <c r="K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</row>
    <row r="281" spans="8:91" s="376" customFormat="1" x14ac:dyDescent="0.2">
      <c r="H281" s="1"/>
      <c r="I281" s="1"/>
      <c r="J281" s="1"/>
      <c r="K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</row>
    <row r="282" spans="8:91" s="376" customFormat="1" x14ac:dyDescent="0.2">
      <c r="H282" s="1"/>
      <c r="I282" s="1"/>
      <c r="J282" s="1"/>
      <c r="K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</row>
    <row r="283" spans="8:91" s="376" customFormat="1" x14ac:dyDescent="0.2">
      <c r="H283" s="1"/>
      <c r="I283" s="1"/>
      <c r="J283" s="1"/>
      <c r="K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</row>
    <row r="284" spans="8:91" s="376" customFormat="1" x14ac:dyDescent="0.2">
      <c r="H284" s="1"/>
      <c r="I284" s="1"/>
      <c r="J284" s="1"/>
      <c r="K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</row>
    <row r="285" spans="8:91" s="376" customFormat="1" x14ac:dyDescent="0.2">
      <c r="H285" s="1"/>
      <c r="I285" s="1"/>
      <c r="J285" s="1"/>
      <c r="K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</row>
    <row r="286" spans="8:91" s="376" customFormat="1" x14ac:dyDescent="0.2">
      <c r="H286" s="1"/>
      <c r="I286" s="1"/>
      <c r="J286" s="1"/>
      <c r="K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</row>
    <row r="287" spans="8:91" s="376" customFormat="1" x14ac:dyDescent="0.2">
      <c r="H287" s="1"/>
      <c r="I287" s="1"/>
      <c r="J287" s="1"/>
      <c r="K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</row>
    <row r="288" spans="8:91" s="376" customFormat="1" x14ac:dyDescent="0.2">
      <c r="H288" s="1"/>
      <c r="I288" s="1"/>
      <c r="J288" s="1"/>
      <c r="K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</row>
    <row r="289" spans="8:91" s="376" customFormat="1" x14ac:dyDescent="0.2">
      <c r="H289" s="1"/>
      <c r="I289" s="1"/>
      <c r="J289" s="1"/>
      <c r="K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</row>
    <row r="290" spans="8:91" s="376" customFormat="1" x14ac:dyDescent="0.2">
      <c r="H290" s="1"/>
      <c r="I290" s="1"/>
      <c r="J290" s="1"/>
      <c r="K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</row>
    <row r="291" spans="8:91" s="376" customFormat="1" x14ac:dyDescent="0.2">
      <c r="H291" s="1"/>
      <c r="I291" s="1"/>
      <c r="J291" s="1"/>
      <c r="K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</row>
    <row r="292" spans="8:91" s="376" customFormat="1" x14ac:dyDescent="0.2">
      <c r="H292" s="1"/>
      <c r="I292" s="1"/>
      <c r="J292" s="1"/>
      <c r="K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</row>
    <row r="293" spans="8:91" s="376" customFormat="1" x14ac:dyDescent="0.2">
      <c r="H293" s="1"/>
      <c r="I293" s="1"/>
      <c r="J293" s="1"/>
      <c r="K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</row>
    <row r="294" spans="8:91" s="376" customFormat="1" x14ac:dyDescent="0.2">
      <c r="H294" s="1"/>
      <c r="I294" s="1"/>
      <c r="J294" s="1"/>
      <c r="K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</row>
    <row r="295" spans="8:91" s="376" customFormat="1" x14ac:dyDescent="0.2">
      <c r="H295" s="1"/>
      <c r="I295" s="1"/>
      <c r="J295" s="1"/>
      <c r="K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</row>
    <row r="296" spans="8:91" s="376" customFormat="1" x14ac:dyDescent="0.2">
      <c r="H296" s="1"/>
      <c r="I296" s="1"/>
      <c r="J296" s="1"/>
      <c r="K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</row>
    <row r="297" spans="8:91" s="376" customFormat="1" x14ac:dyDescent="0.2">
      <c r="H297" s="1"/>
      <c r="I297" s="1"/>
      <c r="J297" s="1"/>
      <c r="K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</row>
    <row r="298" spans="8:91" s="376" customFormat="1" x14ac:dyDescent="0.2">
      <c r="H298" s="1"/>
      <c r="I298" s="1"/>
      <c r="J298" s="1"/>
      <c r="K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</row>
    <row r="299" spans="8:91" s="376" customFormat="1" x14ac:dyDescent="0.2">
      <c r="H299" s="1"/>
      <c r="I299" s="1"/>
      <c r="J299" s="1"/>
      <c r="K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</row>
    <row r="300" spans="8:91" s="376" customFormat="1" x14ac:dyDescent="0.2">
      <c r="H300" s="1"/>
      <c r="I300" s="1"/>
      <c r="J300" s="1"/>
      <c r="K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</row>
    <row r="301" spans="8:91" s="376" customFormat="1" x14ac:dyDescent="0.2">
      <c r="H301" s="1"/>
      <c r="I301" s="1"/>
      <c r="J301" s="1"/>
      <c r="K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</row>
    <row r="302" spans="8:91" s="376" customFormat="1" x14ac:dyDescent="0.2">
      <c r="H302" s="1"/>
      <c r="I302" s="1"/>
      <c r="J302" s="1"/>
      <c r="K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</row>
    <row r="303" spans="8:91" s="376" customFormat="1" x14ac:dyDescent="0.2">
      <c r="H303" s="1"/>
      <c r="I303" s="1"/>
      <c r="J303" s="1"/>
      <c r="K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</row>
    <row r="304" spans="8:91" s="376" customFormat="1" x14ac:dyDescent="0.2">
      <c r="H304" s="1"/>
      <c r="I304" s="1"/>
      <c r="J304" s="1"/>
      <c r="K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</row>
    <row r="305" spans="8:91" s="376" customFormat="1" x14ac:dyDescent="0.2">
      <c r="H305" s="1"/>
      <c r="I305" s="1"/>
      <c r="J305" s="1"/>
      <c r="K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</row>
    <row r="306" spans="8:91" s="376" customFormat="1" x14ac:dyDescent="0.2">
      <c r="H306" s="1"/>
      <c r="I306" s="1"/>
      <c r="J306" s="1"/>
      <c r="K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</row>
    <row r="307" spans="8:91" s="376" customFormat="1" x14ac:dyDescent="0.2">
      <c r="H307" s="1"/>
      <c r="I307" s="1"/>
      <c r="J307" s="1"/>
      <c r="K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</row>
    <row r="308" spans="8:91" s="376" customFormat="1" x14ac:dyDescent="0.2">
      <c r="H308" s="1"/>
      <c r="I308" s="1"/>
      <c r="J308" s="1"/>
      <c r="K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</row>
    <row r="309" spans="8:91" s="376" customFormat="1" x14ac:dyDescent="0.2">
      <c r="H309" s="1"/>
      <c r="I309" s="1"/>
      <c r="J309" s="1"/>
      <c r="K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</row>
    <row r="310" spans="8:91" s="376" customFormat="1" x14ac:dyDescent="0.2">
      <c r="H310" s="1"/>
      <c r="I310" s="1"/>
      <c r="J310" s="1"/>
      <c r="K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</row>
    <row r="311" spans="8:91" s="376" customFormat="1" x14ac:dyDescent="0.2">
      <c r="H311" s="1"/>
      <c r="I311" s="1"/>
      <c r="J311" s="1"/>
      <c r="K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</row>
    <row r="312" spans="8:91" s="376" customFormat="1" x14ac:dyDescent="0.2">
      <c r="H312" s="1"/>
      <c r="I312" s="1"/>
      <c r="J312" s="1"/>
      <c r="K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</row>
    <row r="313" spans="8:91" s="376" customFormat="1" x14ac:dyDescent="0.2">
      <c r="H313" s="1"/>
      <c r="I313" s="1"/>
      <c r="J313" s="1"/>
      <c r="K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</row>
    <row r="314" spans="8:91" s="376" customFormat="1" x14ac:dyDescent="0.2">
      <c r="H314" s="1"/>
      <c r="I314" s="1"/>
      <c r="J314" s="1"/>
      <c r="K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</row>
    <row r="315" spans="8:91" s="376" customFormat="1" x14ac:dyDescent="0.2">
      <c r="H315" s="1"/>
      <c r="I315" s="1"/>
      <c r="J315" s="1"/>
      <c r="K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</row>
    <row r="316" spans="8:91" s="376" customFormat="1" x14ac:dyDescent="0.2">
      <c r="H316" s="1"/>
      <c r="I316" s="1"/>
      <c r="J316" s="1"/>
      <c r="K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</row>
    <row r="317" spans="8:91" s="376" customFormat="1" x14ac:dyDescent="0.2">
      <c r="H317" s="1"/>
      <c r="I317" s="1"/>
      <c r="J317" s="1"/>
      <c r="K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</row>
    <row r="318" spans="8:91" s="376" customFormat="1" x14ac:dyDescent="0.2">
      <c r="H318" s="1"/>
      <c r="I318" s="1"/>
      <c r="J318" s="1"/>
      <c r="K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</row>
    <row r="319" spans="8:91" s="376" customFormat="1" x14ac:dyDescent="0.2">
      <c r="H319" s="1"/>
      <c r="I319" s="1"/>
      <c r="J319" s="1"/>
      <c r="K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</row>
    <row r="320" spans="8:91" s="376" customFormat="1" x14ac:dyDescent="0.2">
      <c r="H320" s="1"/>
      <c r="I320" s="1"/>
      <c r="J320" s="1"/>
      <c r="K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</row>
    <row r="321" spans="8:91" s="376" customFormat="1" x14ac:dyDescent="0.2">
      <c r="H321" s="1"/>
      <c r="I321" s="1"/>
      <c r="J321" s="1"/>
      <c r="K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</row>
    <row r="322" spans="8:91" s="376" customFormat="1" x14ac:dyDescent="0.2">
      <c r="H322" s="1"/>
      <c r="I322" s="1"/>
      <c r="J322" s="1"/>
      <c r="K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</row>
    <row r="323" spans="8:91" s="376" customFormat="1" x14ac:dyDescent="0.2">
      <c r="H323" s="1"/>
      <c r="I323" s="1"/>
      <c r="J323" s="1"/>
      <c r="K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</row>
    <row r="324" spans="8:91" s="376" customFormat="1" x14ac:dyDescent="0.2">
      <c r="H324" s="1"/>
      <c r="I324" s="1"/>
      <c r="J324" s="1"/>
      <c r="K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</row>
    <row r="325" spans="8:91" s="376" customFormat="1" x14ac:dyDescent="0.2">
      <c r="H325" s="1"/>
      <c r="I325" s="1"/>
      <c r="J325" s="1"/>
      <c r="K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</row>
    <row r="326" spans="8:91" s="376" customFormat="1" x14ac:dyDescent="0.2">
      <c r="H326" s="1"/>
      <c r="I326" s="1"/>
      <c r="J326" s="1"/>
      <c r="K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</row>
    <row r="327" spans="8:91" s="376" customFormat="1" x14ac:dyDescent="0.2">
      <c r="H327" s="1"/>
      <c r="I327" s="1"/>
      <c r="J327" s="1"/>
      <c r="K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</row>
    <row r="328" spans="8:91" s="376" customFormat="1" x14ac:dyDescent="0.2">
      <c r="H328" s="1"/>
      <c r="I328" s="1"/>
      <c r="J328" s="1"/>
      <c r="K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</row>
    <row r="329" spans="8:91" s="376" customFormat="1" x14ac:dyDescent="0.2">
      <c r="H329" s="1"/>
      <c r="I329" s="1"/>
      <c r="J329" s="1"/>
      <c r="K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</row>
    <row r="330" spans="8:91" s="376" customFormat="1" x14ac:dyDescent="0.2">
      <c r="H330" s="1"/>
      <c r="I330" s="1"/>
      <c r="J330" s="1"/>
      <c r="K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</row>
    <row r="331" spans="8:91" s="376" customFormat="1" x14ac:dyDescent="0.2">
      <c r="H331" s="1"/>
      <c r="I331" s="1"/>
      <c r="J331" s="1"/>
      <c r="K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</row>
    <row r="332" spans="8:91" s="376" customFormat="1" x14ac:dyDescent="0.2">
      <c r="H332" s="1"/>
      <c r="I332" s="1"/>
      <c r="J332" s="1"/>
      <c r="K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</row>
    <row r="333" spans="8:91" s="376" customFormat="1" x14ac:dyDescent="0.2">
      <c r="H333" s="1"/>
      <c r="I333" s="1"/>
      <c r="J333" s="1"/>
      <c r="K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</row>
    <row r="334" spans="8:91" s="376" customFormat="1" x14ac:dyDescent="0.2">
      <c r="H334" s="1"/>
      <c r="I334" s="1"/>
      <c r="J334" s="1"/>
      <c r="K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</row>
    <row r="335" spans="8:91" s="376" customFormat="1" x14ac:dyDescent="0.2">
      <c r="H335" s="1"/>
      <c r="I335" s="1"/>
      <c r="J335" s="1"/>
      <c r="K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</row>
    <row r="336" spans="8:91" s="376" customFormat="1" x14ac:dyDescent="0.2">
      <c r="H336" s="1"/>
      <c r="I336" s="1"/>
      <c r="J336" s="1"/>
      <c r="K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</row>
    <row r="337" spans="8:91" s="376" customFormat="1" x14ac:dyDescent="0.2">
      <c r="H337" s="1"/>
      <c r="I337" s="1"/>
      <c r="J337" s="1"/>
      <c r="K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</row>
    <row r="338" spans="8:91" s="376" customFormat="1" x14ac:dyDescent="0.2">
      <c r="H338" s="1"/>
      <c r="I338" s="1"/>
      <c r="J338" s="1"/>
      <c r="K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</row>
    <row r="339" spans="8:91" s="376" customFormat="1" x14ac:dyDescent="0.2">
      <c r="H339" s="1"/>
      <c r="I339" s="1"/>
      <c r="J339" s="1"/>
      <c r="K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</row>
    <row r="340" spans="8:91" s="376" customFormat="1" x14ac:dyDescent="0.2">
      <c r="H340" s="1"/>
      <c r="I340" s="1"/>
      <c r="J340" s="1"/>
      <c r="K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</row>
    <row r="341" spans="8:91" s="376" customFormat="1" x14ac:dyDescent="0.2">
      <c r="H341" s="1"/>
      <c r="I341" s="1"/>
      <c r="J341" s="1"/>
      <c r="K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</row>
    <row r="342" spans="8:91" s="376" customFormat="1" x14ac:dyDescent="0.2">
      <c r="H342" s="1"/>
      <c r="I342" s="1"/>
      <c r="J342" s="1"/>
      <c r="K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</row>
    <row r="343" spans="8:91" s="376" customFormat="1" x14ac:dyDescent="0.2">
      <c r="H343" s="1"/>
      <c r="I343" s="1"/>
      <c r="J343" s="1"/>
      <c r="K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</row>
    <row r="344" spans="8:91" s="376" customFormat="1" x14ac:dyDescent="0.2">
      <c r="H344" s="1"/>
      <c r="I344" s="1"/>
      <c r="J344" s="1"/>
      <c r="K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240" priority="7" stopIfTrue="1" operator="equal">
      <formula>"ERRO-FT"</formula>
    </cfRule>
  </conditionalFormatting>
  <conditionalFormatting sqref="AI41:BG41">
    <cfRule type="cellIs" dxfId="239" priority="2" stopIfTrue="1" operator="lessThan">
      <formula>10000</formula>
    </cfRule>
    <cfRule type="cellIs" dxfId="238" priority="3" stopIfTrue="1" operator="lessThan">
      <formula>10000</formula>
    </cfRule>
  </conditionalFormatting>
  <conditionalFormatting sqref="BH40:CM42">
    <cfRule type="cellIs" dxfId="237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S66"/>
  <sheetViews>
    <sheetView topLeftCell="A2" zoomScale="220" zoomScaleNormal="220" workbookViewId="0">
      <selection activeCell="M4" sqref="M4:O10"/>
    </sheetView>
  </sheetViews>
  <sheetFormatPr defaultRowHeight="12.75" x14ac:dyDescent="0.2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  <col min="19" max="19" width="9.140625" hidden="1" customWidth="1"/>
  </cols>
  <sheetData>
    <row r="1" spans="1:19" ht="13.5" thickTop="1" x14ac:dyDescent="0.2">
      <c r="A1" s="406"/>
      <c r="B1" s="407"/>
      <c r="C1" s="407"/>
      <c r="D1" s="407"/>
      <c r="E1" s="407"/>
      <c r="F1" s="323"/>
      <c r="G1" s="323"/>
      <c r="H1" s="323"/>
      <c r="I1" s="323"/>
      <c r="J1" s="323"/>
      <c r="K1" s="323"/>
      <c r="L1" s="323"/>
      <c r="M1" s="323"/>
      <c r="N1" s="323"/>
      <c r="O1" s="411"/>
      <c r="S1" t="s">
        <v>362</v>
      </c>
    </row>
    <row r="2" spans="1:19" x14ac:dyDescent="0.2">
      <c r="A2" s="408"/>
      <c r="B2" s="412"/>
      <c r="C2" s="412"/>
      <c r="D2" s="412"/>
      <c r="E2" s="409"/>
      <c r="F2" s="744"/>
      <c r="G2" s="744"/>
      <c r="H2" s="744"/>
      <c r="I2" s="744"/>
      <c r="J2" s="744"/>
      <c r="K2" s="744"/>
      <c r="L2" s="744"/>
      <c r="M2" s="744"/>
      <c r="N2" s="744"/>
      <c r="O2" s="745"/>
    </row>
    <row r="3" spans="1:19" x14ac:dyDescent="0.2">
      <c r="A3" s="408"/>
      <c r="B3" s="412"/>
      <c r="C3" s="412"/>
      <c r="D3" s="412"/>
      <c r="E3" s="429"/>
      <c r="F3" s="409"/>
      <c r="G3" s="409"/>
      <c r="H3" s="409"/>
      <c r="I3" s="429" t="s">
        <v>300</v>
      </c>
      <c r="J3" s="746"/>
      <c r="K3" s="746"/>
      <c r="L3" s="746"/>
      <c r="M3" s="746"/>
      <c r="N3" s="746"/>
      <c r="O3" s="747"/>
    </row>
    <row r="4" spans="1:19" ht="12.75" customHeight="1" x14ac:dyDescent="0.2">
      <c r="A4" s="408"/>
      <c r="B4" s="412"/>
      <c r="C4" s="412"/>
      <c r="D4" s="412"/>
      <c r="E4" s="752"/>
      <c r="F4" s="752"/>
      <c r="G4" s="752"/>
      <c r="H4" s="752"/>
      <c r="I4" s="752"/>
      <c r="J4" s="752"/>
      <c r="K4" s="752"/>
      <c r="L4" s="752"/>
      <c r="M4" s="757" t="str" cm="1">
        <f t="array" ref="M4">QrCode(S1)</f>
        <v/>
      </c>
      <c r="N4" s="757"/>
      <c r="O4" s="758"/>
    </row>
    <row r="5" spans="1:19" ht="12.75" customHeight="1" x14ac:dyDescent="0.2">
      <c r="A5" s="408"/>
      <c r="B5" s="412"/>
      <c r="C5" s="412"/>
      <c r="D5" s="412"/>
      <c r="E5" s="752"/>
      <c r="F5" s="752"/>
      <c r="G5" s="752"/>
      <c r="H5" s="752"/>
      <c r="I5" s="752"/>
      <c r="J5" s="752"/>
      <c r="K5" s="752"/>
      <c r="L5" s="752"/>
      <c r="M5" s="757"/>
      <c r="N5" s="757"/>
      <c r="O5" s="758"/>
    </row>
    <row r="6" spans="1:19" ht="12.75" customHeight="1" x14ac:dyDescent="0.2">
      <c r="A6" s="408"/>
      <c r="B6" s="412"/>
      <c r="C6" s="412"/>
      <c r="D6" s="412"/>
      <c r="E6" s="752"/>
      <c r="F6" s="752"/>
      <c r="G6" s="752"/>
      <c r="H6" s="752"/>
      <c r="I6" s="752"/>
      <c r="J6" s="752"/>
      <c r="K6" s="752"/>
      <c r="L6" s="752"/>
      <c r="M6" s="757"/>
      <c r="N6" s="757"/>
      <c r="O6" s="758"/>
    </row>
    <row r="7" spans="1:19" ht="12.75" customHeight="1" x14ac:dyDescent="0.2">
      <c r="A7" s="408"/>
      <c r="B7" s="412"/>
      <c r="C7" s="412"/>
      <c r="D7" s="412"/>
      <c r="E7" s="752"/>
      <c r="F7" s="752"/>
      <c r="G7" s="752"/>
      <c r="H7" s="752"/>
      <c r="I7" s="752"/>
      <c r="J7" s="752"/>
      <c r="K7" s="752"/>
      <c r="L7" s="752"/>
      <c r="M7" s="757"/>
      <c r="N7" s="757"/>
      <c r="O7" s="758"/>
    </row>
    <row r="8" spans="1:19" ht="12.75" customHeight="1" x14ac:dyDescent="0.2">
      <c r="A8" s="408"/>
      <c r="B8" s="412"/>
      <c r="C8" s="412"/>
      <c r="D8" s="412"/>
      <c r="E8" s="752"/>
      <c r="F8" s="752"/>
      <c r="G8" s="752"/>
      <c r="H8" s="752"/>
      <c r="I8" s="752"/>
      <c r="J8" s="752"/>
      <c r="K8" s="752"/>
      <c r="L8" s="752"/>
      <c r="M8" s="757"/>
      <c r="N8" s="757"/>
      <c r="O8" s="758"/>
    </row>
    <row r="9" spans="1:19" ht="12.75" customHeight="1" x14ac:dyDescent="0.2">
      <c r="A9" s="408"/>
      <c r="B9" s="412"/>
      <c r="C9" s="412"/>
      <c r="D9" s="412"/>
      <c r="E9" s="752"/>
      <c r="F9" s="752"/>
      <c r="G9" s="752"/>
      <c r="H9" s="752"/>
      <c r="I9" s="752"/>
      <c r="J9" s="752"/>
      <c r="K9" s="752"/>
      <c r="L9" s="752"/>
      <c r="M9" s="757"/>
      <c r="N9" s="757"/>
      <c r="O9" s="758"/>
    </row>
    <row r="10" spans="1:19" ht="12.75" customHeight="1" thickBot="1" x14ac:dyDescent="0.25">
      <c r="A10" s="408"/>
      <c r="B10" s="412"/>
      <c r="C10" s="412"/>
      <c r="D10" s="412"/>
      <c r="E10" s="752"/>
      <c r="F10" s="752"/>
      <c r="G10" s="752"/>
      <c r="H10" s="752"/>
      <c r="I10" s="752"/>
      <c r="J10" s="752"/>
      <c r="K10" s="752"/>
      <c r="L10" s="752"/>
      <c r="M10" s="759"/>
      <c r="N10" s="759"/>
      <c r="O10" s="760"/>
    </row>
    <row r="11" spans="1:19" ht="15.75" thickTop="1" thickBot="1" x14ac:dyDescent="0.35">
      <c r="A11" s="753" t="s">
        <v>309</v>
      </c>
      <c r="B11" s="754"/>
      <c r="C11" s="754"/>
      <c r="D11" s="754"/>
      <c r="E11" s="754"/>
      <c r="F11" s="754"/>
      <c r="G11" s="754"/>
      <c r="H11" s="754"/>
      <c r="I11" s="754"/>
      <c r="J11" s="754"/>
      <c r="K11" s="754"/>
      <c r="L11" s="754"/>
      <c r="M11" s="754"/>
      <c r="N11" s="754"/>
      <c r="O11" s="755"/>
    </row>
    <row r="12" spans="1:19" ht="13.5" thickTop="1" x14ac:dyDescent="0.2">
      <c r="A12" s="324" t="s">
        <v>250</v>
      </c>
      <c r="B12" s="751"/>
      <c r="C12" s="751"/>
      <c r="D12" s="751"/>
      <c r="E12" s="751"/>
      <c r="F12" s="751"/>
      <c r="G12" s="751"/>
      <c r="H12" s="751"/>
      <c r="I12" s="751"/>
      <c r="J12" s="751"/>
      <c r="K12" s="751"/>
      <c r="L12" s="751"/>
      <c r="M12" s="414"/>
      <c r="N12" s="720"/>
      <c r="O12" s="721"/>
    </row>
    <row r="13" spans="1:19" x14ac:dyDescent="0.2">
      <c r="A13" s="437" t="s">
        <v>252</v>
      </c>
      <c r="B13" s="436"/>
      <c r="C13" s="338" t="s">
        <v>253</v>
      </c>
      <c r="D13" s="425"/>
      <c r="E13" s="434" t="s">
        <v>255</v>
      </c>
      <c r="F13" s="435"/>
      <c r="G13" s="428"/>
      <c r="H13" s="420"/>
      <c r="I13" s="420"/>
      <c r="J13" s="420"/>
      <c r="K13" s="420"/>
      <c r="L13" s="420"/>
      <c r="M13" s="420"/>
      <c r="N13" s="420"/>
      <c r="O13" s="410"/>
    </row>
    <row r="14" spans="1:19" x14ac:dyDescent="0.2">
      <c r="A14" s="437"/>
      <c r="B14" s="435"/>
      <c r="C14" s="338"/>
      <c r="D14" s="339"/>
      <c r="E14" s="414"/>
      <c r="F14" s="434" t="s">
        <v>254</v>
      </c>
      <c r="G14" s="722"/>
      <c r="H14" s="722"/>
      <c r="I14" s="722"/>
      <c r="J14" s="445" t="s">
        <v>253</v>
      </c>
      <c r="K14" s="434"/>
      <c r="L14" s="438"/>
      <c r="M14" s="426"/>
      <c r="N14" s="426"/>
      <c r="O14" s="427"/>
    </row>
    <row r="15" spans="1:19" x14ac:dyDescent="0.2">
      <c r="A15" s="437"/>
      <c r="B15" s="435"/>
      <c r="C15" s="414"/>
      <c r="D15" s="414"/>
      <c r="E15" s="414"/>
      <c r="F15" s="434" t="s">
        <v>251</v>
      </c>
      <c r="G15" s="756"/>
      <c r="H15" s="756"/>
      <c r="I15" s="756"/>
      <c r="J15" s="416"/>
      <c r="K15" s="416"/>
      <c r="L15" s="416"/>
      <c r="M15" s="417"/>
      <c r="N15" s="418"/>
      <c r="O15" s="419"/>
    </row>
    <row r="16" spans="1:19" x14ac:dyDescent="0.2">
      <c r="A16" s="437"/>
      <c r="B16" s="435"/>
      <c r="C16" s="414"/>
      <c r="D16" s="414"/>
      <c r="E16" s="414"/>
      <c r="F16" s="434"/>
      <c r="G16" s="756"/>
      <c r="H16" s="756"/>
      <c r="I16" s="756"/>
      <c r="J16" s="756"/>
      <c r="K16" s="756"/>
      <c r="L16" s="756"/>
      <c r="M16" s="441"/>
      <c r="N16" s="418"/>
      <c r="O16" s="419"/>
    </row>
    <row r="17" spans="1:15" ht="13.5" thickBot="1" x14ac:dyDescent="0.25">
      <c r="A17" s="324" t="str">
        <f>IF(B17="","","Sup. Pai2:")</f>
        <v/>
      </c>
      <c r="B17" s="751"/>
      <c r="C17" s="751"/>
      <c r="D17" s="751"/>
      <c r="E17" s="751"/>
      <c r="F17" s="415"/>
      <c r="G17" s="416"/>
      <c r="H17" s="416"/>
      <c r="I17" s="416"/>
      <c r="J17" s="416"/>
      <c r="K17" s="416"/>
      <c r="L17" s="416"/>
      <c r="M17" s="417"/>
      <c r="N17" s="418"/>
      <c r="O17" s="419"/>
    </row>
    <row r="18" spans="1:15" ht="15.75" customHeight="1" thickTop="1" thickBot="1" x14ac:dyDescent="0.35">
      <c r="A18" s="753" t="s">
        <v>310</v>
      </c>
      <c r="B18" s="754"/>
      <c r="C18" s="754"/>
      <c r="D18" s="754"/>
      <c r="E18" s="755"/>
      <c r="F18" s="748" t="s">
        <v>256</v>
      </c>
      <c r="G18" s="749"/>
      <c r="H18" s="749"/>
      <c r="I18" s="749"/>
      <c r="J18" s="749"/>
      <c r="K18" s="749"/>
      <c r="L18" s="749"/>
      <c r="M18" s="749"/>
      <c r="N18" s="749"/>
      <c r="O18" s="750"/>
    </row>
    <row r="19" spans="1:15" ht="15.75" customHeight="1" thickTop="1" x14ac:dyDescent="0.2">
      <c r="A19" s="324" t="str">
        <f>IF(B19="","","Sup. Avó:")</f>
        <v/>
      </c>
      <c r="B19" s="420"/>
      <c r="C19" s="420"/>
      <c r="D19" s="420"/>
      <c r="E19" s="410"/>
      <c r="F19" s="325" t="s">
        <v>50</v>
      </c>
      <c r="G19" s="726" t="str">
        <f>'PD0101'!B8</f>
        <v>MÃE</v>
      </c>
      <c r="H19" s="726"/>
      <c r="I19" s="726" t="s">
        <v>261</v>
      </c>
      <c r="J19" s="726"/>
      <c r="K19" s="726" t="str">
        <f>'PD0101'!F8</f>
        <v>SUP. PAI</v>
      </c>
      <c r="L19" s="726"/>
      <c r="M19" s="326" t="str">
        <f>'PD0101'!$AG$8</f>
        <v>FREQ.</v>
      </c>
      <c r="N19" s="326" t="str">
        <f>'PD0101'!$AH$8</f>
        <v>PI</v>
      </c>
      <c r="O19" s="421" t="str">
        <f>'PD0101'!$AI$8</f>
        <v>PR. PAT</v>
      </c>
    </row>
    <row r="20" spans="1:15" ht="15.75" customHeight="1" x14ac:dyDescent="0.2">
      <c r="A20" s="714"/>
      <c r="B20" s="715"/>
      <c r="C20" s="715"/>
      <c r="D20" s="715"/>
      <c r="E20" s="716"/>
      <c r="F20" s="327" t="str">
        <f>'PD0101'!$A$9</f>
        <v>D3S1358</v>
      </c>
      <c r="G20" s="328">
        <f>'PD0101'!$B$9</f>
        <v>0</v>
      </c>
      <c r="H20" s="328">
        <f>'PD0101'!$C$9</f>
        <v>0</v>
      </c>
      <c r="I20" s="328">
        <f>'PD0101'!$D$9</f>
        <v>0</v>
      </c>
      <c r="J20" s="328">
        <f>'PD0101'!$E$9</f>
        <v>0</v>
      </c>
      <c r="K20" s="328">
        <f>'PD0101'!$F$9</f>
        <v>0</v>
      </c>
      <c r="L20" s="328">
        <f>'PD0101'!$G$9</f>
        <v>0</v>
      </c>
      <c r="M20" s="329">
        <f>'PD0101'!$AG$9</f>
        <v>0</v>
      </c>
      <c r="N20" s="439">
        <f>'PD0101'!$AH$9</f>
        <v>1</v>
      </c>
      <c r="O20" s="702">
        <f>'PD0101'!$AI$9</f>
        <v>0.5</v>
      </c>
    </row>
    <row r="21" spans="1:15" ht="15.75" customHeight="1" x14ac:dyDescent="0.2">
      <c r="A21" s="714" t="s">
        <v>302</v>
      </c>
      <c r="B21" s="715"/>
      <c r="C21" s="715"/>
      <c r="D21" s="715"/>
      <c r="E21" s="716"/>
      <c r="F21" s="327" t="str">
        <f>'PD0101'!$A$10</f>
        <v>D1S1656</v>
      </c>
      <c r="G21" s="328">
        <f>'PD0101'!$B$10</f>
        <v>0</v>
      </c>
      <c r="H21" s="328">
        <f>'PD0101'!$C$10</f>
        <v>0</v>
      </c>
      <c r="I21" s="328">
        <f>'PD0101'!$D$10</f>
        <v>0</v>
      </c>
      <c r="J21" s="328">
        <f>'PD0101'!$E$10</f>
        <v>0</v>
      </c>
      <c r="K21" s="328">
        <f>'PD0101'!$F$10</f>
        <v>0</v>
      </c>
      <c r="L21" s="328">
        <f>'PD0101'!$G$10</f>
        <v>0</v>
      </c>
      <c r="M21" s="329">
        <f>'PD0101'!$AG$10</f>
        <v>0</v>
      </c>
      <c r="N21" s="439">
        <f>'PD0101'!$AH$10</f>
        <v>1</v>
      </c>
      <c r="O21" s="702">
        <f>'PD0101'!$AI$10</f>
        <v>0.5</v>
      </c>
    </row>
    <row r="22" spans="1:15" ht="15.75" customHeight="1" x14ac:dyDescent="0.2">
      <c r="A22" s="714" t="s">
        <v>303</v>
      </c>
      <c r="B22" s="715"/>
      <c r="C22" s="715"/>
      <c r="D22" s="715"/>
      <c r="E22" s="716"/>
      <c r="F22" s="327" t="str">
        <f>'PD0101'!$A$11</f>
        <v>D2S441</v>
      </c>
      <c r="G22" s="328">
        <f>'PD0101'!$B$11</f>
        <v>0</v>
      </c>
      <c r="H22" s="328">
        <f>'PD0101'!$C$11</f>
        <v>0</v>
      </c>
      <c r="I22" s="328">
        <f>'PD0101'!$D$11</f>
        <v>0</v>
      </c>
      <c r="J22" s="328">
        <f>'PD0101'!$E$11</f>
        <v>0</v>
      </c>
      <c r="K22" s="328">
        <f>'PD0101'!$F$11</f>
        <v>0</v>
      </c>
      <c r="L22" s="328">
        <f>'PD0101'!$G$11</f>
        <v>0</v>
      </c>
      <c r="M22" s="329">
        <f>'PD0101'!$AG$11</f>
        <v>0</v>
      </c>
      <c r="N22" s="439">
        <f>'PD0101'!$AH$11</f>
        <v>1</v>
      </c>
      <c r="O22" s="702">
        <f>'PD0101'!$AI$11</f>
        <v>0.5</v>
      </c>
    </row>
    <row r="23" spans="1:15" ht="15.75" customHeight="1" x14ac:dyDescent="0.2">
      <c r="A23" s="714" t="s">
        <v>298</v>
      </c>
      <c r="B23" s="715"/>
      <c r="C23" s="715"/>
      <c r="D23" s="715"/>
      <c r="E23" s="716"/>
      <c r="F23" s="327" t="str">
        <f>'PD0101'!$A$12</f>
        <v>D10S1248</v>
      </c>
      <c r="G23" s="328">
        <f>'PD0101'!$B$12</f>
        <v>0</v>
      </c>
      <c r="H23" s="328">
        <f>'PD0101'!$C$12</f>
        <v>0</v>
      </c>
      <c r="I23" s="328">
        <f>'PD0101'!$D$12</f>
        <v>0</v>
      </c>
      <c r="J23" s="328">
        <f>'PD0101'!$E$12</f>
        <v>0</v>
      </c>
      <c r="K23" s="328">
        <f>'PD0101'!$F$12</f>
        <v>0</v>
      </c>
      <c r="L23" s="328">
        <f>'PD0101'!$G$12</f>
        <v>0</v>
      </c>
      <c r="M23" s="329">
        <f>'PD0101'!$AG$12</f>
        <v>0</v>
      </c>
      <c r="N23" s="439">
        <f>'PD0101'!$AH$12</f>
        <v>1</v>
      </c>
      <c r="O23" s="702">
        <f>'PD0101'!$AI$12</f>
        <v>0.5</v>
      </c>
    </row>
    <row r="24" spans="1:15" ht="15.75" customHeight="1" x14ac:dyDescent="0.2">
      <c r="A24" s="714" t="s">
        <v>304</v>
      </c>
      <c r="B24" s="715"/>
      <c r="C24" s="715"/>
      <c r="D24" s="715"/>
      <c r="E24" s="716"/>
      <c r="F24" s="327" t="str">
        <f>'PD0101'!$A$13</f>
        <v>D13S317</v>
      </c>
      <c r="G24" s="328">
        <f>'PD0101'!$B$13</f>
        <v>0</v>
      </c>
      <c r="H24" s="328">
        <f>'PD0101'!$C$13</f>
        <v>0</v>
      </c>
      <c r="I24" s="328">
        <f>'PD0101'!$D$13</f>
        <v>0</v>
      </c>
      <c r="J24" s="328">
        <f>'PD0101'!$E$13</f>
        <v>0</v>
      </c>
      <c r="K24" s="328">
        <f>'PD0101'!$F$13</f>
        <v>0</v>
      </c>
      <c r="L24" s="328">
        <f>'PD0101'!$G$13</f>
        <v>0</v>
      </c>
      <c r="M24" s="329">
        <f>'PD0101'!$AG$13</f>
        <v>0</v>
      </c>
      <c r="N24" s="439">
        <f>'PD0101'!$AH$13</f>
        <v>1</v>
      </c>
      <c r="O24" s="702">
        <f>'PD0101'!$AI$13</f>
        <v>0.5</v>
      </c>
    </row>
    <row r="25" spans="1:15" ht="15.75" customHeight="1" x14ac:dyDescent="0.2">
      <c r="A25" s="714" t="s">
        <v>305</v>
      </c>
      <c r="B25" s="715"/>
      <c r="C25" s="715"/>
      <c r="D25" s="715"/>
      <c r="E25" s="716"/>
      <c r="F25" s="327" t="str">
        <f>'PD0101'!$A$14</f>
        <v>Penta_E</v>
      </c>
      <c r="G25" s="328">
        <f>'PD0101'!$B$14</f>
        <v>0</v>
      </c>
      <c r="H25" s="328">
        <f>'PD0101'!$C$14</f>
        <v>0</v>
      </c>
      <c r="I25" s="328">
        <f>'PD0101'!$D$14</f>
        <v>0</v>
      </c>
      <c r="J25" s="328">
        <f>'PD0101'!$E$14</f>
        <v>0</v>
      </c>
      <c r="K25" s="328">
        <f>'PD0101'!$F$14</f>
        <v>0</v>
      </c>
      <c r="L25" s="328">
        <f>'PD0101'!$G$14</f>
        <v>0</v>
      </c>
      <c r="M25" s="329">
        <f>'PD0101'!$AG$14</f>
        <v>0</v>
      </c>
      <c r="N25" s="439">
        <f>'PD0101'!$AH$14</f>
        <v>1</v>
      </c>
      <c r="O25" s="702">
        <f>'PD0101'!$AI$14</f>
        <v>0.5</v>
      </c>
    </row>
    <row r="26" spans="1:15" ht="15.75" customHeight="1" x14ac:dyDescent="0.2">
      <c r="A26" s="714"/>
      <c r="B26" s="715"/>
      <c r="C26" s="715"/>
      <c r="D26" s="715"/>
      <c r="E26" s="716"/>
      <c r="F26" s="327" t="str">
        <f>'PD0101'!$A$15</f>
        <v>D16S539</v>
      </c>
      <c r="G26" s="328">
        <f>'PD0101'!$B$15</f>
        <v>0</v>
      </c>
      <c r="H26" s="328">
        <f>'PD0101'!$C$15</f>
        <v>0</v>
      </c>
      <c r="I26" s="328">
        <f>'PD0101'!$D$15</f>
        <v>0</v>
      </c>
      <c r="J26" s="328">
        <f>'PD0101'!$E$15</f>
        <v>0</v>
      </c>
      <c r="K26" s="328">
        <f>'PD0101'!$F$15</f>
        <v>0</v>
      </c>
      <c r="L26" s="328">
        <f>'PD0101'!$G$15</f>
        <v>0</v>
      </c>
      <c r="M26" s="329">
        <f>'PD0101'!$AG$15</f>
        <v>0</v>
      </c>
      <c r="N26" s="439">
        <f>'PD0101'!$AH$15</f>
        <v>1</v>
      </c>
      <c r="O26" s="702">
        <f>'PD0101'!$AI$15</f>
        <v>0.5</v>
      </c>
    </row>
    <row r="27" spans="1:15" ht="15.75" customHeight="1" x14ac:dyDescent="0.2">
      <c r="A27" s="714"/>
      <c r="B27" s="715"/>
      <c r="C27" s="715"/>
      <c r="D27" s="715"/>
      <c r="E27" s="716"/>
      <c r="F27" s="327" t="str">
        <f>'PD0101'!$A$16</f>
        <v>D18S51</v>
      </c>
      <c r="G27" s="328">
        <f>'PD0101'!$B$16</f>
        <v>0</v>
      </c>
      <c r="H27" s="328">
        <f>'PD0101'!$C$16</f>
        <v>0</v>
      </c>
      <c r="I27" s="328">
        <f>'PD0101'!$D$16</f>
        <v>0</v>
      </c>
      <c r="J27" s="328">
        <f>'PD0101'!$E$16</f>
        <v>0</v>
      </c>
      <c r="K27" s="328">
        <f>'PD0101'!$F$16</f>
        <v>0</v>
      </c>
      <c r="L27" s="328">
        <f>'PD0101'!$G$16</f>
        <v>0</v>
      </c>
      <c r="M27" s="329">
        <f>'PD0101'!$AG$16</f>
        <v>0</v>
      </c>
      <c r="N27" s="439">
        <f>'PD0101'!$AH$16</f>
        <v>1</v>
      </c>
      <c r="O27" s="702">
        <f>'PD0101'!$AI$16</f>
        <v>0.5</v>
      </c>
    </row>
    <row r="28" spans="1:15" ht="15.75" customHeight="1" thickBot="1" x14ac:dyDescent="0.25">
      <c r="A28" s="714"/>
      <c r="B28" s="715"/>
      <c r="C28" s="715"/>
      <c r="D28" s="715"/>
      <c r="E28" s="716"/>
      <c r="F28" s="327" t="str">
        <f>'PD0101'!$A$17</f>
        <v>D2S1338</v>
      </c>
      <c r="G28" s="328">
        <f>'PD0101'!$B$17</f>
        <v>0</v>
      </c>
      <c r="H28" s="328">
        <f>'PD0101'!$C$17</f>
        <v>0</v>
      </c>
      <c r="I28" s="328">
        <f>'PD0101'!$D$17</f>
        <v>0</v>
      </c>
      <c r="J28" s="328">
        <f>'PD0101'!$E$17</f>
        <v>0</v>
      </c>
      <c r="K28" s="328">
        <f>'PD0101'!$F$17</f>
        <v>0</v>
      </c>
      <c r="L28" s="328">
        <f>'PD0101'!$G$17</f>
        <v>0</v>
      </c>
      <c r="M28" s="329">
        <f>'PD0101'!$AG$17</f>
        <v>0</v>
      </c>
      <c r="N28" s="439">
        <f>'PD0101'!$AH$17</f>
        <v>1</v>
      </c>
      <c r="O28" s="702">
        <f>'PD0101'!$AI$17</f>
        <v>0.5</v>
      </c>
    </row>
    <row r="29" spans="1:15" ht="15.75" customHeight="1" thickTop="1" thickBot="1" x14ac:dyDescent="0.35">
      <c r="A29" s="447" t="s">
        <v>311</v>
      </c>
      <c r="B29" s="448"/>
      <c r="C29" s="446"/>
      <c r="D29" s="446"/>
      <c r="E29" s="449"/>
      <c r="F29" s="327" t="str">
        <f>'PD0101'!$A$18</f>
        <v>CSF1PO</v>
      </c>
      <c r="G29" s="328">
        <f>'PD0101'!$B$18</f>
        <v>0</v>
      </c>
      <c r="H29" s="328">
        <f>'PD0101'!$C$18</f>
        <v>0</v>
      </c>
      <c r="I29" s="328">
        <f>'PD0101'!$D$18</f>
        <v>0</v>
      </c>
      <c r="J29" s="328">
        <f>'PD0101'!$E$18</f>
        <v>0</v>
      </c>
      <c r="K29" s="328">
        <f>'PD0101'!$F$18</f>
        <v>0</v>
      </c>
      <c r="L29" s="328">
        <f>'PD0101'!$G$18</f>
        <v>0</v>
      </c>
      <c r="M29" s="329">
        <f>'PD0101'!$AG$18</f>
        <v>0</v>
      </c>
      <c r="N29" s="439">
        <f>'PD0101'!$AH$18</f>
        <v>1</v>
      </c>
      <c r="O29" s="702">
        <f>'PD0101'!$AI$18</f>
        <v>0.5</v>
      </c>
    </row>
    <row r="30" spans="1:15" ht="15.75" customHeight="1" thickTop="1" x14ac:dyDescent="0.2">
      <c r="A30" s="714" t="s">
        <v>308</v>
      </c>
      <c r="B30" s="715"/>
      <c r="C30" s="715"/>
      <c r="D30" s="715"/>
      <c r="E30" s="716"/>
      <c r="F30" s="327" t="str">
        <f>'PD0101'!$A$19</f>
        <v>Penta_D</v>
      </c>
      <c r="G30" s="328">
        <f>'PD0101'!$B$19</f>
        <v>0</v>
      </c>
      <c r="H30" s="328">
        <f>'PD0101'!$C$19</f>
        <v>0</v>
      </c>
      <c r="I30" s="328">
        <f>'PD0101'!$D$19</f>
        <v>0</v>
      </c>
      <c r="J30" s="328">
        <f>'PD0101'!$E$19</f>
        <v>0</v>
      </c>
      <c r="K30" s="328">
        <f>'PD0101'!$F$19</f>
        <v>0</v>
      </c>
      <c r="L30" s="328">
        <f>'PD0101'!$G$19</f>
        <v>0</v>
      </c>
      <c r="M30" s="329">
        <f>'PD0101'!$AG$19</f>
        <v>0</v>
      </c>
      <c r="N30" s="439">
        <f>'PD0101'!$AH$19</f>
        <v>1</v>
      </c>
      <c r="O30" s="702">
        <f>'PD0101'!$AI$19</f>
        <v>0.5</v>
      </c>
    </row>
    <row r="31" spans="1:15" ht="15.75" customHeight="1" x14ac:dyDescent="0.2">
      <c r="A31" s="714"/>
      <c r="B31" s="715"/>
      <c r="C31" s="715"/>
      <c r="D31" s="715"/>
      <c r="E31" s="716"/>
      <c r="F31" s="327" t="str">
        <f>'PD0101'!$A$20</f>
        <v>TH01</v>
      </c>
      <c r="G31" s="328">
        <f>'PD0101'!$B$20</f>
        <v>0</v>
      </c>
      <c r="H31" s="328">
        <f>'PD0101'!$C$20</f>
        <v>0</v>
      </c>
      <c r="I31" s="328">
        <f>'PD0101'!$D$20</f>
        <v>0</v>
      </c>
      <c r="J31" s="328">
        <f>'PD0101'!$E$20</f>
        <v>0</v>
      </c>
      <c r="K31" s="328">
        <f>'PD0101'!$F$20</f>
        <v>0</v>
      </c>
      <c r="L31" s="328">
        <f>'PD0101'!$G$20</f>
        <v>0</v>
      </c>
      <c r="M31" s="329">
        <f>'PD0101'!$AG$20</f>
        <v>0</v>
      </c>
      <c r="N31" s="439">
        <f>'PD0101'!$AH$20</f>
        <v>1</v>
      </c>
      <c r="O31" s="702">
        <f>'PD0101'!$AI$20</f>
        <v>0.5</v>
      </c>
    </row>
    <row r="32" spans="1:15" ht="15.75" customHeight="1" x14ac:dyDescent="0.2">
      <c r="A32" s="714"/>
      <c r="B32" s="715"/>
      <c r="C32" s="715"/>
      <c r="D32" s="715"/>
      <c r="E32" s="716"/>
      <c r="F32" s="327" t="str">
        <f>'PD0101'!$A$21</f>
        <v>vWA</v>
      </c>
      <c r="G32" s="328">
        <f>'PD0101'!$B$21</f>
        <v>0</v>
      </c>
      <c r="H32" s="328">
        <f>'PD0101'!$C$21</f>
        <v>0</v>
      </c>
      <c r="I32" s="328">
        <f>'PD0101'!$D$21</f>
        <v>0</v>
      </c>
      <c r="J32" s="328">
        <f>'PD0101'!$E$21</f>
        <v>0</v>
      </c>
      <c r="K32" s="328">
        <f>'PD0101'!$F$21</f>
        <v>0</v>
      </c>
      <c r="L32" s="328">
        <f>'PD0101'!$G$21</f>
        <v>0</v>
      </c>
      <c r="M32" s="329">
        <f>'PD0101'!$AG$21</f>
        <v>0</v>
      </c>
      <c r="N32" s="439">
        <f>'PD0101'!$AH$21</f>
        <v>1</v>
      </c>
      <c r="O32" s="702">
        <f>'PD0101'!$AI$21</f>
        <v>0.5</v>
      </c>
    </row>
    <row r="33" spans="1:15" ht="15.75" customHeight="1" x14ac:dyDescent="0.2">
      <c r="A33" s="714"/>
      <c r="B33" s="715"/>
      <c r="C33" s="715"/>
      <c r="D33" s="715"/>
      <c r="E33" s="716"/>
      <c r="F33" s="327" t="str">
        <f>'PD0101'!$A$22</f>
        <v>D21S11</v>
      </c>
      <c r="G33" s="328">
        <f>'PD0101'!$B$22</f>
        <v>0</v>
      </c>
      <c r="H33" s="328">
        <f>'PD0101'!$C$22</f>
        <v>0</v>
      </c>
      <c r="I33" s="328">
        <f>'PD0101'!$D$22</f>
        <v>0</v>
      </c>
      <c r="J33" s="328">
        <f>'PD0101'!$E$22</f>
        <v>0</v>
      </c>
      <c r="K33" s="328">
        <f>'PD0101'!$F$22</f>
        <v>0</v>
      </c>
      <c r="L33" s="328">
        <f>'PD0101'!$G$22</f>
        <v>0</v>
      </c>
      <c r="M33" s="329">
        <f>'PD0101'!$AG$22</f>
        <v>0</v>
      </c>
      <c r="N33" s="439">
        <f>'PD0101'!$AH$22</f>
        <v>1</v>
      </c>
      <c r="O33" s="702">
        <f>'PD0101'!$AI$22</f>
        <v>0.5</v>
      </c>
    </row>
    <row r="34" spans="1:15" ht="15.75" customHeight="1" x14ac:dyDescent="0.2">
      <c r="A34" s="714"/>
      <c r="B34" s="715"/>
      <c r="C34" s="715"/>
      <c r="D34" s="715"/>
      <c r="E34" s="716"/>
      <c r="F34" s="327" t="str">
        <f>'PD0101'!$A$23</f>
        <v>D7S820</v>
      </c>
      <c r="G34" s="328">
        <f>'PD0101'!$B$23</f>
        <v>0</v>
      </c>
      <c r="H34" s="328">
        <f>'PD0101'!$C$23</f>
        <v>0</v>
      </c>
      <c r="I34" s="328">
        <f>'PD0101'!$D$23</f>
        <v>0</v>
      </c>
      <c r="J34" s="328">
        <f>'PD0101'!$E$23</f>
        <v>0</v>
      </c>
      <c r="K34" s="328">
        <f>'PD0101'!$F$23</f>
        <v>0</v>
      </c>
      <c r="L34" s="328">
        <f>'PD0101'!$G$23</f>
        <v>0</v>
      </c>
      <c r="M34" s="329">
        <f>'PD0101'!$AG$23</f>
        <v>0</v>
      </c>
      <c r="N34" s="439">
        <f>'PD0101'!$AH$23</f>
        <v>1</v>
      </c>
      <c r="O34" s="702">
        <f>'PD0101'!$AI$23</f>
        <v>0.5</v>
      </c>
    </row>
    <row r="35" spans="1:15" ht="15.75" customHeight="1" x14ac:dyDescent="0.2">
      <c r="A35" s="714"/>
      <c r="B35" s="715"/>
      <c r="C35" s="715"/>
      <c r="D35" s="715"/>
      <c r="E35" s="716"/>
      <c r="F35" s="327" t="str">
        <f>'PD0101'!$A$24</f>
        <v>D5S818</v>
      </c>
      <c r="G35" s="328">
        <f>'PD0101'!$B$24</f>
        <v>0</v>
      </c>
      <c r="H35" s="328">
        <f>'PD0101'!$C$24</f>
        <v>0</v>
      </c>
      <c r="I35" s="328">
        <f>'PD0101'!$D$24</f>
        <v>0</v>
      </c>
      <c r="J35" s="328">
        <f>'PD0101'!$E$24</f>
        <v>0</v>
      </c>
      <c r="K35" s="328">
        <f>'PD0101'!$F$24</f>
        <v>0</v>
      </c>
      <c r="L35" s="328">
        <f>'PD0101'!$G$24</f>
        <v>0</v>
      </c>
      <c r="M35" s="329">
        <f>'PD0101'!$AG$24</f>
        <v>0</v>
      </c>
      <c r="N35" s="439">
        <f>'PD0101'!$AH$24</f>
        <v>1</v>
      </c>
      <c r="O35" s="702">
        <f>'PD0101'!$AI$24</f>
        <v>0.5</v>
      </c>
    </row>
    <row r="36" spans="1:15" ht="15.75" customHeight="1" thickBot="1" x14ac:dyDescent="0.25">
      <c r="A36" s="714"/>
      <c r="B36" s="715"/>
      <c r="C36" s="715"/>
      <c r="D36" s="715"/>
      <c r="E36" s="716"/>
      <c r="F36" s="327" t="str">
        <f>'PD0101'!$A$25</f>
        <v>TPOX</v>
      </c>
      <c r="G36" s="328">
        <f>'PD0101'!$B$25</f>
        <v>0</v>
      </c>
      <c r="H36" s="328">
        <f>'PD0101'!$C$25</f>
        <v>0</v>
      </c>
      <c r="I36" s="328">
        <f>'PD0101'!$D$25</f>
        <v>0</v>
      </c>
      <c r="J36" s="328">
        <f>'PD0101'!$E$25</f>
        <v>0</v>
      </c>
      <c r="K36" s="328">
        <f>'PD0101'!$F$25</f>
        <v>0</v>
      </c>
      <c r="L36" s="328">
        <f>'PD0101'!$G$25</f>
        <v>0</v>
      </c>
      <c r="M36" s="329">
        <f>'PD0101'!$AG$25</f>
        <v>0</v>
      </c>
      <c r="N36" s="439">
        <f>'PD0101'!$AH$25</f>
        <v>1</v>
      </c>
      <c r="O36" s="702">
        <f>'PD0101'!$AI$25</f>
        <v>0.5</v>
      </c>
    </row>
    <row r="37" spans="1:15" ht="15.75" customHeight="1" thickTop="1" thickBot="1" x14ac:dyDescent="0.35">
      <c r="A37" s="450" t="s">
        <v>312</v>
      </c>
      <c r="B37" s="446"/>
      <c r="C37" s="446"/>
      <c r="D37" s="446"/>
      <c r="E37" s="449"/>
      <c r="F37" s="327" t="str">
        <f>'PD0101'!$A$26</f>
        <v>D8S1179</v>
      </c>
      <c r="G37" s="328">
        <f>'PD0101'!$B$26</f>
        <v>0</v>
      </c>
      <c r="H37" s="328">
        <f>'PD0101'!$C$26</f>
        <v>0</v>
      </c>
      <c r="I37" s="328">
        <f>'PD0101'!$D$26</f>
        <v>0</v>
      </c>
      <c r="J37" s="328">
        <f>'PD0101'!$E$26</f>
        <v>0</v>
      </c>
      <c r="K37" s="328">
        <f>'PD0101'!$F$26</f>
        <v>0</v>
      </c>
      <c r="L37" s="328">
        <f>'PD0101'!$G$26</f>
        <v>0</v>
      </c>
      <c r="M37" s="329">
        <f>'PD0101'!$AG$26</f>
        <v>0</v>
      </c>
      <c r="N37" s="439">
        <f>'PD0101'!$AH$26</f>
        <v>1</v>
      </c>
      <c r="O37" s="702">
        <f>'PD0101'!$AI$26</f>
        <v>0.5</v>
      </c>
    </row>
    <row r="38" spans="1:15" ht="15.75" customHeight="1" thickTop="1" x14ac:dyDescent="0.2">
      <c r="A38" s="714"/>
      <c r="B38" s="715"/>
      <c r="C38" s="715"/>
      <c r="D38" s="715"/>
      <c r="E38" s="716"/>
      <c r="F38" s="327" t="str">
        <f>'PD0101'!$A$27</f>
        <v>D12S391</v>
      </c>
      <c r="G38" s="328">
        <f>'PD0101'!$B$27</f>
        <v>0</v>
      </c>
      <c r="H38" s="328">
        <f>'PD0101'!$C$27</f>
        <v>0</v>
      </c>
      <c r="I38" s="328">
        <f>'PD0101'!$D$27</f>
        <v>0</v>
      </c>
      <c r="J38" s="328">
        <f>'PD0101'!$E$27</f>
        <v>0</v>
      </c>
      <c r="K38" s="328">
        <f>'PD0101'!$F$27</f>
        <v>0</v>
      </c>
      <c r="L38" s="328">
        <f>'PD0101'!$G$27</f>
        <v>0</v>
      </c>
      <c r="M38" s="329">
        <f>'PD0101'!$AG$27</f>
        <v>0</v>
      </c>
      <c r="N38" s="439">
        <f>'PD0101'!$AH$27</f>
        <v>1</v>
      </c>
      <c r="O38" s="702">
        <f>'PD0101'!$AI$27</f>
        <v>0.5</v>
      </c>
    </row>
    <row r="39" spans="1:15" ht="15.75" customHeight="1" x14ac:dyDescent="0.2">
      <c r="A39" s="723"/>
      <c r="B39" s="724"/>
      <c r="C39" s="724"/>
      <c r="D39" s="724"/>
      <c r="E39" s="725"/>
      <c r="F39" s="327" t="str">
        <f>'PD0101'!$A$28</f>
        <v>D19S433</v>
      </c>
      <c r="G39" s="328">
        <f>'PD0101'!$B$28</f>
        <v>0</v>
      </c>
      <c r="H39" s="328">
        <f>'PD0101'!$C$28</f>
        <v>0</v>
      </c>
      <c r="I39" s="328">
        <f>'PD0101'!$D$28</f>
        <v>0</v>
      </c>
      <c r="J39" s="328">
        <f>'PD0101'!$E$28</f>
        <v>0</v>
      </c>
      <c r="K39" s="328">
        <f>'PD0101'!$F$28</f>
        <v>0</v>
      </c>
      <c r="L39" s="328">
        <f>'PD0101'!$G$28</f>
        <v>0</v>
      </c>
      <c r="M39" s="329">
        <f>'PD0101'!$AG$28</f>
        <v>0</v>
      </c>
      <c r="N39" s="439">
        <f>'PD0101'!$AH$28</f>
        <v>1</v>
      </c>
      <c r="O39" s="702">
        <f>'PD0101'!$AI$28</f>
        <v>0.5</v>
      </c>
    </row>
    <row r="40" spans="1:15" ht="15.75" customHeight="1" x14ac:dyDescent="0.2">
      <c r="A40" s="714"/>
      <c r="B40" s="715"/>
      <c r="C40" s="715"/>
      <c r="D40" s="715"/>
      <c r="E40" s="716"/>
      <c r="F40" s="327" t="str">
        <f>'PD0101'!$A$29</f>
        <v>FGA</v>
      </c>
      <c r="G40" s="328">
        <f>'PD0101'!$B$29</f>
        <v>0</v>
      </c>
      <c r="H40" s="328">
        <f>'PD0101'!$C$29</f>
        <v>0</v>
      </c>
      <c r="I40" s="328">
        <f>'PD0101'!$D$29</f>
        <v>0</v>
      </c>
      <c r="J40" s="328">
        <f>'PD0101'!$E$29</f>
        <v>0</v>
      </c>
      <c r="K40" s="328">
        <f>'PD0101'!$F$29</f>
        <v>0</v>
      </c>
      <c r="L40" s="328">
        <f>'PD0101'!$G$29</f>
        <v>0</v>
      </c>
      <c r="M40" s="329">
        <f>'PD0101'!$AG$29</f>
        <v>0</v>
      </c>
      <c r="N40" s="439">
        <f>'PD0101'!$AH$29</f>
        <v>1</v>
      </c>
      <c r="O40" s="702">
        <f>'PD0101'!$AI$29</f>
        <v>0.5</v>
      </c>
    </row>
    <row r="41" spans="1:15" ht="15.75" customHeight="1" thickBot="1" x14ac:dyDescent="0.25">
      <c r="A41" s="714" t="s">
        <v>306</v>
      </c>
      <c r="B41" s="715"/>
      <c r="C41" s="715"/>
      <c r="D41" s="715"/>
      <c r="E41" s="716"/>
      <c r="F41" s="330" t="str">
        <f>'PD0101'!$A$30</f>
        <v>D22S1045</v>
      </c>
      <c r="G41" s="331">
        <f>'PD0101'!$B$30</f>
        <v>0</v>
      </c>
      <c r="H41" s="331">
        <f>'PD0101'!$C$30</f>
        <v>0</v>
      </c>
      <c r="I41" s="331">
        <f>'PD0101'!$D$30</f>
        <v>0</v>
      </c>
      <c r="J41" s="331">
        <f>'PD0101'!$E$30</f>
        <v>0</v>
      </c>
      <c r="K41" s="331">
        <f>'PD0101'!$F$30</f>
        <v>0</v>
      </c>
      <c r="L41" s="331">
        <f>'PD0101'!$G$30</f>
        <v>0</v>
      </c>
      <c r="M41" s="332">
        <f>'PD0101'!$AG$30</f>
        <v>0</v>
      </c>
      <c r="N41" s="440">
        <f>'PD0101'!$AH$30</f>
        <v>1</v>
      </c>
      <c r="O41" s="703">
        <f>'PD0101'!$AI$30</f>
        <v>0.5</v>
      </c>
    </row>
    <row r="42" spans="1:15" ht="15.75" customHeight="1" thickTop="1" x14ac:dyDescent="0.2">
      <c r="A42" s="714"/>
      <c r="B42" s="715"/>
      <c r="C42" s="715"/>
      <c r="D42" s="715"/>
      <c r="E42" s="716"/>
      <c r="F42" s="422"/>
      <c r="G42" s="422"/>
      <c r="H42" s="422"/>
      <c r="I42" s="695"/>
      <c r="J42" s="695"/>
      <c r="K42" s="696"/>
      <c r="L42" s="433" t="str">
        <f>'PD0101'!G43</f>
        <v xml:space="preserve">ÍNDICE DE PATERNIDADE ACUMULADO: </v>
      </c>
      <c r="M42" s="712">
        <f>'PD0101'!$AG$43</f>
        <v>8064.5161290322576</v>
      </c>
      <c r="N42" s="712"/>
      <c r="O42" s="713"/>
    </row>
    <row r="43" spans="1:15" ht="15.75" customHeight="1" x14ac:dyDescent="0.2">
      <c r="A43" s="714" t="s">
        <v>307</v>
      </c>
      <c r="B43" s="715"/>
      <c r="C43" s="715"/>
      <c r="D43" s="715"/>
      <c r="E43" s="716"/>
      <c r="F43" s="422"/>
      <c r="G43" s="422"/>
      <c r="H43" s="422"/>
      <c r="I43" s="695"/>
      <c r="J43" s="695"/>
      <c r="K43" s="696"/>
      <c r="L43" s="433" t="str">
        <f>'PD0101'!G44</f>
        <v xml:space="preserve">PROBABILIDADE DE PATERNIDADE: </v>
      </c>
      <c r="M43" s="736">
        <f>'PD0101'!$AG$44</f>
        <v>0.99987601537000004</v>
      </c>
      <c r="N43" s="736"/>
      <c r="O43" s="737"/>
    </row>
    <row r="44" spans="1:15" ht="15.75" customHeight="1" x14ac:dyDescent="0.2">
      <c r="A44" s="714"/>
      <c r="B44" s="715"/>
      <c r="C44" s="715"/>
      <c r="D44" s="715"/>
      <c r="E44" s="716"/>
      <c r="F44" s="422"/>
      <c r="G44" s="422"/>
      <c r="H44" s="422"/>
      <c r="I44" s="695"/>
      <c r="J44" s="695"/>
      <c r="K44" s="696"/>
      <c r="L44" s="433" t="str">
        <f>'PD0101'!G45</f>
        <v xml:space="preserve">CAP. DE EFICIÊNCIA DOS MARCADORES: </v>
      </c>
      <c r="M44" s="736">
        <f>'PD0101'!$AG$45</f>
        <v>0.99988863228000002</v>
      </c>
      <c r="N44" s="736"/>
      <c r="O44" s="737"/>
    </row>
    <row r="45" spans="1:15" ht="15.75" customHeight="1" thickBot="1" x14ac:dyDescent="0.25">
      <c r="A45" s="740"/>
      <c r="B45" s="741"/>
      <c r="C45" s="741"/>
      <c r="D45" s="741"/>
      <c r="E45" s="742"/>
      <c r="F45" s="337"/>
      <c r="G45" s="333"/>
      <c r="H45" s="333"/>
      <c r="I45" s="432" t="str">
        <f>'PD0101'!$G$46</f>
        <v xml:space="preserve">RESULTADO: </v>
      </c>
      <c r="J45" s="738" t="str">
        <f>'PD0101'!$AG$46</f>
        <v>PATERNIDADE MUITO PROVÁVEL</v>
      </c>
      <c r="K45" s="738"/>
      <c r="L45" s="738"/>
      <c r="M45" s="738"/>
      <c r="N45" s="738"/>
      <c r="O45" s="739"/>
    </row>
    <row r="46" spans="1:15" ht="13.5" thickTop="1" x14ac:dyDescent="0.2">
      <c r="A46" s="334"/>
      <c r="B46" s="423"/>
      <c r="C46" s="423"/>
      <c r="D46" s="423"/>
      <c r="E46" s="423"/>
      <c r="F46" s="423"/>
      <c r="G46" s="423"/>
      <c r="H46" s="423"/>
      <c r="I46" s="423"/>
      <c r="J46" s="423"/>
      <c r="K46" s="423"/>
      <c r="L46" s="423"/>
      <c r="M46" s="423"/>
      <c r="N46" s="423"/>
      <c r="O46" s="413"/>
    </row>
    <row r="47" spans="1:15" hidden="1" x14ac:dyDescent="0.2">
      <c r="A47" s="334"/>
      <c r="B47" s="423"/>
      <c r="C47" s="423"/>
      <c r="D47" s="423"/>
      <c r="E47" s="423"/>
      <c r="F47" s="423"/>
      <c r="G47" s="423"/>
      <c r="H47" s="423"/>
      <c r="I47" s="423"/>
      <c r="J47" s="423"/>
      <c r="K47" s="423"/>
      <c r="L47" s="423"/>
      <c r="M47" s="423"/>
      <c r="N47" s="423"/>
      <c r="O47" s="413"/>
    </row>
    <row r="48" spans="1:15" x14ac:dyDescent="0.2">
      <c r="A48" s="334"/>
      <c r="B48" s="423"/>
      <c r="C48" s="423"/>
      <c r="D48" s="423"/>
      <c r="E48" s="423"/>
      <c r="F48" s="423"/>
      <c r="G48" s="423"/>
      <c r="H48" s="423"/>
      <c r="I48" s="423"/>
      <c r="J48" s="423"/>
      <c r="K48" s="423"/>
      <c r="L48" s="423"/>
      <c r="M48" s="423"/>
      <c r="N48" s="423"/>
      <c r="O48" s="413"/>
    </row>
    <row r="49" spans="1:15" ht="9.9499999999999993" customHeight="1" x14ac:dyDescent="0.2">
      <c r="A49" s="730"/>
      <c r="B49" s="731"/>
      <c r="C49" s="731"/>
      <c r="D49" s="731"/>
      <c r="E49" s="731"/>
      <c r="F49" s="731"/>
      <c r="G49" s="731"/>
      <c r="H49" s="731"/>
      <c r="I49" s="731"/>
      <c r="J49" s="731"/>
      <c r="K49" s="731"/>
      <c r="L49" s="731"/>
      <c r="M49" s="731"/>
      <c r="N49" s="731"/>
      <c r="O49" s="732"/>
    </row>
    <row r="50" spans="1:15" ht="9.75" customHeight="1" x14ac:dyDescent="0.2">
      <c r="A50" s="733" t="s">
        <v>257</v>
      </c>
      <c r="B50" s="734"/>
      <c r="C50" s="734"/>
      <c r="D50" s="734"/>
      <c r="E50" s="734"/>
      <c r="F50" s="734"/>
      <c r="G50" s="734"/>
      <c r="H50" s="734"/>
      <c r="I50" s="734"/>
      <c r="J50" s="734"/>
      <c r="K50" s="734"/>
      <c r="L50" s="734"/>
      <c r="M50" s="734"/>
      <c r="N50" s="734"/>
      <c r="O50" s="735"/>
    </row>
    <row r="51" spans="1:15" ht="9.75" customHeight="1" x14ac:dyDescent="0.2">
      <c r="A51" s="727" t="s">
        <v>258</v>
      </c>
      <c r="B51" s="728"/>
      <c r="C51" s="728"/>
      <c r="D51" s="728"/>
      <c r="E51" s="728"/>
      <c r="F51" s="728"/>
      <c r="G51" s="728"/>
      <c r="H51" s="728"/>
      <c r="I51" s="728"/>
      <c r="J51" s="728"/>
      <c r="K51" s="728"/>
      <c r="L51" s="728"/>
      <c r="M51" s="728"/>
      <c r="N51" s="728"/>
      <c r="O51" s="729"/>
    </row>
    <row r="52" spans="1:15" ht="9.75" customHeight="1" x14ac:dyDescent="0.2">
      <c r="A52" s="727" t="s">
        <v>259</v>
      </c>
      <c r="B52" s="728"/>
      <c r="C52" s="728"/>
      <c r="D52" s="728"/>
      <c r="E52" s="728"/>
      <c r="F52" s="728"/>
      <c r="G52" s="728"/>
      <c r="H52" s="728"/>
      <c r="I52" s="728"/>
      <c r="J52" s="728"/>
      <c r="K52" s="728"/>
      <c r="L52" s="728"/>
      <c r="M52" s="728"/>
      <c r="N52" s="728"/>
      <c r="O52" s="729"/>
    </row>
    <row r="53" spans="1:15" ht="9.75" customHeight="1" x14ac:dyDescent="0.2">
      <c r="A53" s="727" t="s">
        <v>299</v>
      </c>
      <c r="B53" s="728"/>
      <c r="C53" s="728"/>
      <c r="D53" s="728"/>
      <c r="E53" s="728"/>
      <c r="F53" s="728"/>
      <c r="G53" s="728"/>
      <c r="H53" s="728"/>
      <c r="I53" s="728"/>
      <c r="J53" s="728"/>
      <c r="K53" s="728"/>
      <c r="L53" s="728"/>
      <c r="M53" s="728"/>
      <c r="N53" s="728"/>
      <c r="O53" s="729"/>
    </row>
    <row r="54" spans="1:15" ht="9.75" customHeight="1" thickBot="1" x14ac:dyDescent="0.25">
      <c r="A54" s="717" t="s">
        <v>260</v>
      </c>
      <c r="B54" s="718"/>
      <c r="C54" s="718"/>
      <c r="D54" s="718"/>
      <c r="E54" s="718"/>
      <c r="F54" s="718"/>
      <c r="G54" s="718"/>
      <c r="H54" s="718"/>
      <c r="I54" s="718"/>
      <c r="J54" s="718"/>
      <c r="K54" s="718"/>
      <c r="L54" s="718"/>
      <c r="M54" s="718"/>
      <c r="N54" s="718"/>
      <c r="O54" s="719"/>
    </row>
    <row r="55" spans="1:15" hidden="1" x14ac:dyDescent="0.2">
      <c r="A55" s="334"/>
      <c r="B55" s="423"/>
      <c r="C55" s="423"/>
      <c r="D55" s="423"/>
      <c r="E55" s="423"/>
      <c r="F55" s="423"/>
      <c r="G55" s="423"/>
      <c r="H55" s="423"/>
      <c r="I55" s="423"/>
      <c r="J55" s="423"/>
      <c r="K55" s="423"/>
      <c r="L55" s="423"/>
      <c r="M55" s="423"/>
      <c r="N55" s="423"/>
      <c r="O55" s="413"/>
    </row>
    <row r="56" spans="1:15" hidden="1" x14ac:dyDescent="0.2">
      <c r="A56" s="334"/>
      <c r="B56" s="423"/>
      <c r="C56" s="423"/>
      <c r="D56" s="423"/>
      <c r="E56" s="423"/>
      <c r="F56" s="423"/>
      <c r="G56" s="423"/>
      <c r="H56" s="423"/>
      <c r="I56" s="423"/>
      <c r="J56" s="423"/>
      <c r="K56" s="423"/>
      <c r="L56" s="423"/>
      <c r="M56" s="423"/>
      <c r="N56" s="423"/>
      <c r="O56" s="413"/>
    </row>
    <row r="57" spans="1:15" ht="13.5" hidden="1" thickBot="1" x14ac:dyDescent="0.25">
      <c r="A57" s="335"/>
      <c r="B57" s="336"/>
      <c r="C57" s="336"/>
      <c r="D57" s="336"/>
      <c r="E57" s="336"/>
      <c r="F57" s="336"/>
      <c r="G57" s="336"/>
      <c r="H57" s="336"/>
      <c r="I57" s="336"/>
      <c r="J57" s="336"/>
      <c r="K57" s="336"/>
      <c r="L57" s="336"/>
      <c r="M57" s="336"/>
      <c r="N57" s="336"/>
      <c r="O57" s="424"/>
    </row>
    <row r="58" spans="1:15" ht="13.5" thickTop="1" x14ac:dyDescent="0.2"/>
    <row r="60" spans="1:15" x14ac:dyDescent="0.2">
      <c r="C60" s="761"/>
      <c r="D60" s="761"/>
      <c r="E60" s="761"/>
      <c r="F60" s="442"/>
      <c r="G60" s="442"/>
      <c r="H60" s="442"/>
      <c r="I60" s="442"/>
      <c r="J60" s="442"/>
      <c r="K60" s="442"/>
      <c r="L60" s="442"/>
      <c r="M60" s="442"/>
      <c r="N60" s="442"/>
      <c r="O60" s="442"/>
    </row>
    <row r="61" spans="1:15" x14ac:dyDescent="0.2">
      <c r="A61" s="444"/>
      <c r="B61" s="444"/>
      <c r="C61" s="743"/>
      <c r="D61" s="743"/>
      <c r="E61" s="743"/>
      <c r="F61" s="743"/>
      <c r="G61" s="743"/>
      <c r="H61" s="743"/>
      <c r="I61" s="743"/>
      <c r="J61" s="743"/>
      <c r="K61" s="443"/>
      <c r="L61" s="443"/>
      <c r="M61" s="443"/>
      <c r="N61" s="443"/>
      <c r="O61" s="443"/>
    </row>
    <row r="62" spans="1:15" x14ac:dyDescent="0.2">
      <c r="A62" s="444"/>
      <c r="B62" s="444"/>
      <c r="C62" s="743"/>
      <c r="D62" s="743"/>
      <c r="E62" s="743"/>
      <c r="F62" s="743"/>
      <c r="G62" s="743"/>
      <c r="H62" s="743"/>
      <c r="I62" s="743"/>
      <c r="J62" s="743"/>
      <c r="K62" s="743"/>
      <c r="L62" s="743"/>
      <c r="M62" s="743"/>
      <c r="N62" s="743"/>
      <c r="O62" s="743"/>
    </row>
    <row r="63" spans="1:15" x14ac:dyDescent="0.2">
      <c r="A63" s="444"/>
      <c r="B63" s="444"/>
      <c r="C63" s="743"/>
      <c r="D63" s="743"/>
      <c r="E63" s="743"/>
      <c r="F63" s="743"/>
      <c r="G63" s="743"/>
      <c r="H63" s="743"/>
      <c r="I63" s="743"/>
      <c r="J63" s="743"/>
      <c r="K63" s="743"/>
      <c r="L63" s="743"/>
      <c r="M63" s="743"/>
      <c r="N63" s="743"/>
      <c r="O63" s="743"/>
    </row>
    <row r="64" spans="1:15" x14ac:dyDescent="0.2">
      <c r="A64" s="444"/>
      <c r="B64" s="444"/>
      <c r="C64" s="743"/>
      <c r="D64" s="743"/>
      <c r="E64" s="743"/>
      <c r="F64" s="743"/>
      <c r="G64" s="743"/>
      <c r="H64" s="743"/>
      <c r="I64" s="743"/>
      <c r="J64" s="743"/>
      <c r="K64" s="743"/>
      <c r="L64" s="743"/>
      <c r="M64" s="743"/>
      <c r="N64" s="743"/>
      <c r="O64" s="743"/>
    </row>
    <row r="65" spans="1:15" x14ac:dyDescent="0.2">
      <c r="A65" s="444"/>
      <c r="B65" s="444"/>
      <c r="C65" s="743"/>
      <c r="D65" s="743"/>
      <c r="E65" s="743"/>
      <c r="F65" s="743"/>
      <c r="G65" s="743"/>
      <c r="H65" s="743"/>
      <c r="I65" s="743"/>
      <c r="J65" s="743"/>
      <c r="K65" s="743"/>
      <c r="L65" s="743"/>
      <c r="M65" s="743"/>
      <c r="N65" s="743"/>
      <c r="O65" s="743"/>
    </row>
    <row r="66" spans="1:15" x14ac:dyDescent="0.2">
      <c r="C66" s="442"/>
      <c r="D66" s="442"/>
      <c r="E66" s="442"/>
      <c r="F66" s="442"/>
      <c r="G66" s="442"/>
      <c r="H66" s="442"/>
      <c r="I66" s="442"/>
      <c r="J66" s="442"/>
      <c r="K66" s="442"/>
      <c r="L66" s="442"/>
      <c r="M66" s="442"/>
      <c r="N66" s="442"/>
      <c r="O66" s="442"/>
    </row>
  </sheetData>
  <mergeCells count="50">
    <mergeCell ref="C60:E60"/>
    <mergeCell ref="C61:J61"/>
    <mergeCell ref="C62:O62"/>
    <mergeCell ref="C63:O63"/>
    <mergeCell ref="C64:O64"/>
    <mergeCell ref="C65:O65"/>
    <mergeCell ref="F2:O2"/>
    <mergeCell ref="J3:O3"/>
    <mergeCell ref="A22:E22"/>
    <mergeCell ref="F18:O18"/>
    <mergeCell ref="B12:L12"/>
    <mergeCell ref="B17:E17"/>
    <mergeCell ref="E4:L10"/>
    <mergeCell ref="A18:E18"/>
    <mergeCell ref="A11:O11"/>
    <mergeCell ref="G15:I15"/>
    <mergeCell ref="M4:O10"/>
    <mergeCell ref="G16:L16"/>
    <mergeCell ref="A52:O52"/>
    <mergeCell ref="A42:E42"/>
    <mergeCell ref="A23:E23"/>
    <mergeCell ref="A24:E24"/>
    <mergeCell ref="A25:E25"/>
    <mergeCell ref="A26:E26"/>
    <mergeCell ref="A27:E27"/>
    <mergeCell ref="A41:E41"/>
    <mergeCell ref="A49:O49"/>
    <mergeCell ref="A50:O50"/>
    <mergeCell ref="A51:O51"/>
    <mergeCell ref="M43:O43"/>
    <mergeCell ref="M44:O44"/>
    <mergeCell ref="J45:O45"/>
    <mergeCell ref="A44:E44"/>
    <mergeCell ref="A45:E45"/>
    <mergeCell ref="M42:O42"/>
    <mergeCell ref="A28:E28"/>
    <mergeCell ref="A54:O54"/>
    <mergeCell ref="N12:O12"/>
    <mergeCell ref="G14:I14"/>
    <mergeCell ref="A39:E39"/>
    <mergeCell ref="A40:E40"/>
    <mergeCell ref="G19:H19"/>
    <mergeCell ref="I19:J19"/>
    <mergeCell ref="K19:L19"/>
    <mergeCell ref="A30:E36"/>
    <mergeCell ref="A38:E38"/>
    <mergeCell ref="A21:E21"/>
    <mergeCell ref="A20:E20"/>
    <mergeCell ref="A53:O53"/>
    <mergeCell ref="A43:E43"/>
  </mergeCells>
  <phoneticPr fontId="31" type="noConversion"/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6"/>
  <sheetViews>
    <sheetView topLeftCell="A2" zoomScale="205" zoomScaleNormal="205" workbookViewId="0">
      <selection activeCell="L4" sqref="L4:N10"/>
    </sheetView>
  </sheetViews>
  <sheetFormatPr defaultRowHeight="12.75" x14ac:dyDescent="0.2"/>
  <cols>
    <col min="1" max="5" width="8.7109375" customWidth="1"/>
    <col min="6" max="7" width="3.42578125" customWidth="1"/>
    <col min="8" max="11" width="3.7109375" customWidth="1"/>
    <col min="12" max="14" width="5.7109375" customWidth="1"/>
    <col min="16" max="18" width="9.140625" customWidth="1"/>
    <col min="19" max="19" width="0" hidden="1" customWidth="1"/>
  </cols>
  <sheetData>
    <row r="1" spans="1:19" ht="13.5" thickTop="1" x14ac:dyDescent="0.2">
      <c r="A1" s="406"/>
      <c r="B1" s="407"/>
      <c r="C1" s="407"/>
      <c r="D1" s="407"/>
      <c r="E1" s="407"/>
      <c r="F1" s="323"/>
      <c r="G1" s="323"/>
      <c r="H1" s="323"/>
      <c r="I1" s="323"/>
      <c r="J1" s="323"/>
      <c r="K1" s="323"/>
      <c r="L1" s="323"/>
      <c r="M1" s="323"/>
      <c r="N1" s="411"/>
      <c r="S1" t="s">
        <v>362</v>
      </c>
    </row>
    <row r="2" spans="1:19" x14ac:dyDescent="0.2">
      <c r="A2" s="408"/>
      <c r="B2" s="412"/>
      <c r="C2" s="412"/>
      <c r="D2" s="412"/>
      <c r="E2" s="409"/>
      <c r="F2" s="744"/>
      <c r="G2" s="744"/>
      <c r="H2" s="744"/>
      <c r="I2" s="744"/>
      <c r="J2" s="744"/>
      <c r="K2" s="744"/>
      <c r="L2" s="744"/>
      <c r="M2" s="744"/>
      <c r="N2" s="745"/>
    </row>
    <row r="3" spans="1:19" x14ac:dyDescent="0.2">
      <c r="A3" s="408"/>
      <c r="B3" s="412"/>
      <c r="C3" s="412"/>
      <c r="D3" s="412"/>
      <c r="E3" s="429"/>
      <c r="F3" s="409"/>
      <c r="G3" s="409"/>
      <c r="H3" s="429" t="s">
        <v>300</v>
      </c>
      <c r="I3" s="746"/>
      <c r="J3" s="746"/>
      <c r="K3" s="746"/>
      <c r="L3" s="746"/>
      <c r="M3" s="746"/>
      <c r="N3" s="747"/>
    </row>
    <row r="4" spans="1:19" ht="12.75" customHeight="1" x14ac:dyDescent="0.2">
      <c r="A4" s="408"/>
      <c r="B4" s="412"/>
      <c r="C4" s="412"/>
      <c r="D4" s="412"/>
      <c r="E4" s="752"/>
      <c r="F4" s="752"/>
      <c r="G4" s="752"/>
      <c r="H4" s="752"/>
      <c r="I4" s="752"/>
      <c r="J4" s="752"/>
      <c r="K4" s="752"/>
      <c r="L4" s="757" t="str" cm="1">
        <f t="array" ref="L4">QrCode(S1)</f>
        <v/>
      </c>
      <c r="M4" s="757"/>
      <c r="N4" s="758"/>
    </row>
    <row r="5" spans="1:19" ht="12.75" customHeight="1" x14ac:dyDescent="0.2">
      <c r="A5" s="408"/>
      <c r="B5" s="412"/>
      <c r="C5" s="412"/>
      <c r="D5" s="412"/>
      <c r="E5" s="752"/>
      <c r="F5" s="752"/>
      <c r="G5" s="752"/>
      <c r="H5" s="752"/>
      <c r="I5" s="752"/>
      <c r="J5" s="752"/>
      <c r="K5" s="752"/>
      <c r="L5" s="757"/>
      <c r="M5" s="757"/>
      <c r="N5" s="758"/>
    </row>
    <row r="6" spans="1:19" ht="12.75" customHeight="1" x14ac:dyDescent="0.2">
      <c r="A6" s="408"/>
      <c r="B6" s="412"/>
      <c r="C6" s="412"/>
      <c r="D6" s="412"/>
      <c r="E6" s="752"/>
      <c r="F6" s="752"/>
      <c r="G6" s="752"/>
      <c r="H6" s="752"/>
      <c r="I6" s="752"/>
      <c r="J6" s="752"/>
      <c r="K6" s="752"/>
      <c r="L6" s="757"/>
      <c r="M6" s="757"/>
      <c r="N6" s="758"/>
    </row>
    <row r="7" spans="1:19" ht="12.75" customHeight="1" x14ac:dyDescent="0.2">
      <c r="A7" s="408"/>
      <c r="B7" s="412"/>
      <c r="C7" s="412"/>
      <c r="D7" s="412"/>
      <c r="E7" s="752"/>
      <c r="F7" s="752"/>
      <c r="G7" s="752"/>
      <c r="H7" s="752"/>
      <c r="I7" s="752"/>
      <c r="J7" s="752"/>
      <c r="K7" s="752"/>
      <c r="L7" s="757"/>
      <c r="M7" s="757"/>
      <c r="N7" s="758"/>
    </row>
    <row r="8" spans="1:19" ht="12.75" customHeight="1" x14ac:dyDescent="0.2">
      <c r="A8" s="408"/>
      <c r="B8" s="412"/>
      <c r="C8" s="412"/>
      <c r="D8" s="412"/>
      <c r="E8" s="752"/>
      <c r="F8" s="752"/>
      <c r="G8" s="752"/>
      <c r="H8" s="752"/>
      <c r="I8" s="752"/>
      <c r="J8" s="752"/>
      <c r="K8" s="752"/>
      <c r="L8" s="757"/>
      <c r="M8" s="757"/>
      <c r="N8" s="758"/>
    </row>
    <row r="9" spans="1:19" ht="12.75" customHeight="1" x14ac:dyDescent="0.2">
      <c r="A9" s="408"/>
      <c r="B9" s="412"/>
      <c r="C9" s="412"/>
      <c r="D9" s="412"/>
      <c r="E9" s="752"/>
      <c r="F9" s="752"/>
      <c r="G9" s="752"/>
      <c r="H9" s="752"/>
      <c r="I9" s="752"/>
      <c r="J9" s="752"/>
      <c r="K9" s="752"/>
      <c r="L9" s="757"/>
      <c r="M9" s="757"/>
      <c r="N9" s="758"/>
    </row>
    <row r="10" spans="1:19" ht="12.75" customHeight="1" thickBot="1" x14ac:dyDescent="0.25">
      <c r="A10" s="408"/>
      <c r="B10" s="412"/>
      <c r="C10" s="412"/>
      <c r="D10" s="412"/>
      <c r="E10" s="752"/>
      <c r="F10" s="752"/>
      <c r="G10" s="752"/>
      <c r="H10" s="752"/>
      <c r="I10" s="752"/>
      <c r="J10" s="752"/>
      <c r="K10" s="752"/>
      <c r="L10" s="759"/>
      <c r="M10" s="759"/>
      <c r="N10" s="760"/>
    </row>
    <row r="11" spans="1:19" ht="15.75" thickTop="1" thickBot="1" x14ac:dyDescent="0.35">
      <c r="A11" s="753" t="s">
        <v>309</v>
      </c>
      <c r="B11" s="754"/>
      <c r="C11" s="754"/>
      <c r="D11" s="754"/>
      <c r="E11" s="754"/>
      <c r="F11" s="754"/>
      <c r="G11" s="754"/>
      <c r="H11" s="754"/>
      <c r="I11" s="754"/>
      <c r="J11" s="754"/>
      <c r="K11" s="754"/>
      <c r="L11" s="754"/>
      <c r="M11" s="754"/>
      <c r="N11" s="755"/>
    </row>
    <row r="12" spans="1:19" ht="13.5" thickTop="1" x14ac:dyDescent="0.2">
      <c r="A12" s="324" t="s">
        <v>250</v>
      </c>
      <c r="B12" s="751"/>
      <c r="C12" s="751"/>
      <c r="D12" s="751"/>
      <c r="E12" s="751"/>
      <c r="F12" s="751"/>
      <c r="G12" s="751"/>
      <c r="H12" s="751"/>
      <c r="I12" s="751"/>
      <c r="J12" s="751"/>
      <c r="K12" s="751"/>
      <c r="L12" s="414"/>
      <c r="M12" s="720"/>
      <c r="N12" s="721"/>
    </row>
    <row r="13" spans="1:19" x14ac:dyDescent="0.2">
      <c r="A13" s="437" t="s">
        <v>252</v>
      </c>
      <c r="B13" s="456"/>
      <c r="C13" s="338" t="s">
        <v>253</v>
      </c>
      <c r="D13" s="425"/>
      <c r="E13" s="434"/>
      <c r="F13" s="434" t="s">
        <v>255</v>
      </c>
      <c r="G13" s="420"/>
      <c r="H13" s="420"/>
      <c r="I13" s="420"/>
      <c r="J13" s="420"/>
      <c r="K13" s="420"/>
      <c r="L13" s="420"/>
      <c r="M13" s="420"/>
      <c r="N13" s="410"/>
    </row>
    <row r="14" spans="1:19" x14ac:dyDescent="0.2">
      <c r="A14" s="437"/>
      <c r="B14" s="435"/>
      <c r="C14" s="338"/>
      <c r="D14" s="453"/>
      <c r="E14" s="414"/>
      <c r="F14" s="540"/>
      <c r="G14" s="540"/>
      <c r="H14" s="434" t="s">
        <v>254</v>
      </c>
      <c r="I14" s="724"/>
      <c r="J14" s="724"/>
      <c r="K14" s="724"/>
      <c r="L14" s="445" t="s">
        <v>253</v>
      </c>
      <c r="M14" s="426"/>
      <c r="N14" s="427"/>
    </row>
    <row r="15" spans="1:19" x14ac:dyDescent="0.2">
      <c r="A15" s="437"/>
      <c r="B15" s="435"/>
      <c r="C15" s="414"/>
      <c r="D15" s="414"/>
      <c r="E15" s="414"/>
      <c r="F15" s="539"/>
      <c r="G15" s="539"/>
      <c r="H15" s="434" t="s">
        <v>251</v>
      </c>
      <c r="I15" s="416"/>
      <c r="J15" s="416"/>
      <c r="K15" s="416"/>
      <c r="L15" s="417"/>
      <c r="M15" s="418"/>
      <c r="N15" s="419"/>
    </row>
    <row r="16" spans="1:19" x14ac:dyDescent="0.2">
      <c r="A16" s="437"/>
      <c r="B16" s="435"/>
      <c r="C16" s="414"/>
      <c r="D16" s="414"/>
      <c r="E16" s="414"/>
      <c r="F16" s="539"/>
      <c r="G16" s="539"/>
      <c r="H16" s="539"/>
      <c r="I16" s="539"/>
      <c r="J16" s="539"/>
      <c r="K16" s="539"/>
      <c r="L16" s="455"/>
      <c r="M16" s="418"/>
      <c r="N16" s="419"/>
    </row>
    <row r="17" spans="1:14" ht="13.5" thickBot="1" x14ac:dyDescent="0.25">
      <c r="A17" s="324" t="str">
        <f>IF(B17="","","Sup. Pai2:")</f>
        <v/>
      </c>
      <c r="B17" s="751"/>
      <c r="C17" s="751"/>
      <c r="D17" s="751"/>
      <c r="E17" s="751"/>
      <c r="F17" s="416"/>
      <c r="G17" s="416"/>
      <c r="H17" s="416"/>
      <c r="I17" s="416"/>
      <c r="J17" s="416"/>
      <c r="K17" s="416"/>
      <c r="L17" s="417"/>
      <c r="M17" s="418"/>
      <c r="N17" s="419"/>
    </row>
    <row r="18" spans="1:14" ht="15.75" customHeight="1" thickTop="1" thickBot="1" x14ac:dyDescent="0.35">
      <c r="A18" s="753" t="s">
        <v>310</v>
      </c>
      <c r="B18" s="754"/>
      <c r="C18" s="754"/>
      <c r="D18" s="754"/>
      <c r="E18" s="755"/>
      <c r="F18" s="748" t="s">
        <v>256</v>
      </c>
      <c r="G18" s="749"/>
      <c r="H18" s="749"/>
      <c r="I18" s="749"/>
      <c r="J18" s="749"/>
      <c r="K18" s="749"/>
      <c r="L18" s="749"/>
      <c r="M18" s="749"/>
      <c r="N18" s="750"/>
    </row>
    <row r="19" spans="1:14" ht="15.75" customHeight="1" thickTop="1" x14ac:dyDescent="0.2">
      <c r="A19" s="324" t="str">
        <f>IF(B19="","","Sup. Avó:")</f>
        <v/>
      </c>
      <c r="B19" s="420"/>
      <c r="C19" s="420"/>
      <c r="D19" s="420"/>
      <c r="E19" s="410"/>
      <c r="F19" s="762" t="s">
        <v>50</v>
      </c>
      <c r="G19" s="763"/>
      <c r="H19" s="763" t="s">
        <v>261</v>
      </c>
      <c r="I19" s="763"/>
      <c r="J19" s="763" t="str">
        <f>'PD0201'!D11</f>
        <v>SUP. PAI</v>
      </c>
      <c r="K19" s="763"/>
      <c r="L19" s="698" t="str">
        <f>'PD0201'!X11</f>
        <v>FREQ.</v>
      </c>
      <c r="M19" s="698" t="str">
        <f>'PD0201'!Y11</f>
        <v>PI</v>
      </c>
      <c r="N19" s="699" t="str">
        <f>'PD0201'!Z11</f>
        <v>PR. PAT</v>
      </c>
    </row>
    <row r="20" spans="1:14" ht="15.75" customHeight="1" x14ac:dyDescent="0.2">
      <c r="A20" s="714"/>
      <c r="B20" s="715"/>
      <c r="C20" s="715"/>
      <c r="D20" s="715"/>
      <c r="E20" s="716"/>
      <c r="F20" s="764" t="str">
        <f>'PD0201'!A12</f>
        <v>D3S1358</v>
      </c>
      <c r="G20" s="765"/>
      <c r="H20" s="328" t="s">
        <v>358</v>
      </c>
      <c r="I20" s="328" t="s">
        <v>359</v>
      </c>
      <c r="J20" s="328" t="s">
        <v>360</v>
      </c>
      <c r="K20" s="328" t="s">
        <v>361</v>
      </c>
      <c r="L20" s="329">
        <f>'PD0201'!X12</f>
        <v>0</v>
      </c>
      <c r="M20" s="329">
        <f>'PD0201'!Y12</f>
        <v>1</v>
      </c>
      <c r="N20" s="704">
        <f>'PD0201'!Z12</f>
        <v>0.5</v>
      </c>
    </row>
    <row r="21" spans="1:14" ht="15.75" customHeight="1" x14ac:dyDescent="0.2">
      <c r="A21" s="714" t="s">
        <v>302</v>
      </c>
      <c r="B21" s="715"/>
      <c r="C21" s="715"/>
      <c r="D21" s="715"/>
      <c r="E21" s="716"/>
      <c r="F21" s="764" t="str">
        <f>'PD0201'!A13</f>
        <v>D1S1656</v>
      </c>
      <c r="G21" s="765"/>
      <c r="H21" s="328" t="s">
        <v>358</v>
      </c>
      <c r="I21" s="328" t="s">
        <v>359</v>
      </c>
      <c r="J21" s="328" t="s">
        <v>360</v>
      </c>
      <c r="K21" s="328" t="s">
        <v>361</v>
      </c>
      <c r="L21" s="329">
        <f>'PD0201'!X13</f>
        <v>0</v>
      </c>
      <c r="M21" s="329">
        <f>'PD0201'!Y13</f>
        <v>1</v>
      </c>
      <c r="N21" s="704">
        <f>'PD0201'!Z13</f>
        <v>0.5</v>
      </c>
    </row>
    <row r="22" spans="1:14" ht="15.75" customHeight="1" x14ac:dyDescent="0.2">
      <c r="A22" s="714" t="s">
        <v>303</v>
      </c>
      <c r="B22" s="715"/>
      <c r="C22" s="715"/>
      <c r="D22" s="715"/>
      <c r="E22" s="716"/>
      <c r="F22" s="764" t="str">
        <f>'PD0201'!A14</f>
        <v>D2S441</v>
      </c>
      <c r="G22" s="765"/>
      <c r="H22" s="328" t="s">
        <v>358</v>
      </c>
      <c r="I22" s="328" t="s">
        <v>359</v>
      </c>
      <c r="J22" s="328" t="s">
        <v>360</v>
      </c>
      <c r="K22" s="328" t="s">
        <v>361</v>
      </c>
      <c r="L22" s="329">
        <f>'PD0201'!X14</f>
        <v>0</v>
      </c>
      <c r="M22" s="329">
        <f>'PD0201'!Y14</f>
        <v>1</v>
      </c>
      <c r="N22" s="704">
        <f>'PD0201'!Z14</f>
        <v>0.5</v>
      </c>
    </row>
    <row r="23" spans="1:14" ht="15.75" customHeight="1" x14ac:dyDescent="0.2">
      <c r="A23" s="714" t="s">
        <v>298</v>
      </c>
      <c r="B23" s="715"/>
      <c r="C23" s="715"/>
      <c r="D23" s="715"/>
      <c r="E23" s="716"/>
      <c r="F23" s="764" t="str">
        <f>'PD0201'!A15</f>
        <v>D10S1248</v>
      </c>
      <c r="G23" s="765"/>
      <c r="H23" s="328" t="s">
        <v>358</v>
      </c>
      <c r="I23" s="328" t="s">
        <v>359</v>
      </c>
      <c r="J23" s="328" t="s">
        <v>360</v>
      </c>
      <c r="K23" s="328" t="s">
        <v>361</v>
      </c>
      <c r="L23" s="329">
        <f>'PD0201'!X15</f>
        <v>0</v>
      </c>
      <c r="M23" s="329">
        <f>'PD0201'!Y15</f>
        <v>1</v>
      </c>
      <c r="N23" s="704">
        <f>'PD0201'!Z15</f>
        <v>0.5</v>
      </c>
    </row>
    <row r="24" spans="1:14" ht="15.75" customHeight="1" x14ac:dyDescent="0.2">
      <c r="A24" s="714" t="s">
        <v>304</v>
      </c>
      <c r="B24" s="715"/>
      <c r="C24" s="715"/>
      <c r="D24" s="715"/>
      <c r="E24" s="716"/>
      <c r="F24" s="764" t="str">
        <f>'PD0201'!A16</f>
        <v>D13S317</v>
      </c>
      <c r="G24" s="765"/>
      <c r="H24" s="328" t="s">
        <v>358</v>
      </c>
      <c r="I24" s="328" t="s">
        <v>359</v>
      </c>
      <c r="J24" s="328" t="s">
        <v>360</v>
      </c>
      <c r="K24" s="328" t="s">
        <v>361</v>
      </c>
      <c r="L24" s="329">
        <f>'PD0201'!X16</f>
        <v>0</v>
      </c>
      <c r="M24" s="329">
        <f>'PD0201'!Y16</f>
        <v>1</v>
      </c>
      <c r="N24" s="704">
        <f>'PD0201'!Z16</f>
        <v>0.5</v>
      </c>
    </row>
    <row r="25" spans="1:14" ht="15.75" customHeight="1" x14ac:dyDescent="0.2">
      <c r="A25" s="714" t="s">
        <v>305</v>
      </c>
      <c r="B25" s="715"/>
      <c r="C25" s="715"/>
      <c r="D25" s="715"/>
      <c r="E25" s="716"/>
      <c r="F25" s="764" t="str">
        <f>'PD0201'!A17</f>
        <v>Penta_E</v>
      </c>
      <c r="G25" s="765"/>
      <c r="H25" s="328" t="s">
        <v>358</v>
      </c>
      <c r="I25" s="328" t="s">
        <v>359</v>
      </c>
      <c r="J25" s="328" t="s">
        <v>360</v>
      </c>
      <c r="K25" s="328" t="s">
        <v>361</v>
      </c>
      <c r="L25" s="329">
        <f>'PD0201'!X17</f>
        <v>0</v>
      </c>
      <c r="M25" s="329">
        <f>'PD0201'!Y17</f>
        <v>1</v>
      </c>
      <c r="N25" s="704">
        <f>'PD0201'!Z17</f>
        <v>0.5</v>
      </c>
    </row>
    <row r="26" spans="1:14" ht="15.75" customHeight="1" x14ac:dyDescent="0.2">
      <c r="A26" s="714"/>
      <c r="B26" s="715"/>
      <c r="C26" s="715"/>
      <c r="D26" s="715"/>
      <c r="E26" s="716"/>
      <c r="F26" s="764" t="str">
        <f>'PD0201'!A18</f>
        <v>D16S539</v>
      </c>
      <c r="G26" s="765"/>
      <c r="H26" s="328" t="s">
        <v>358</v>
      </c>
      <c r="I26" s="328" t="s">
        <v>359</v>
      </c>
      <c r="J26" s="328" t="s">
        <v>360</v>
      </c>
      <c r="K26" s="328" t="s">
        <v>361</v>
      </c>
      <c r="L26" s="329">
        <f>'PD0201'!X18</f>
        <v>0</v>
      </c>
      <c r="M26" s="329">
        <f>'PD0201'!Y18</f>
        <v>1</v>
      </c>
      <c r="N26" s="704">
        <f>'PD0201'!Z18</f>
        <v>0.5</v>
      </c>
    </row>
    <row r="27" spans="1:14" ht="15.75" customHeight="1" x14ac:dyDescent="0.2">
      <c r="A27" s="714"/>
      <c r="B27" s="715"/>
      <c r="C27" s="715"/>
      <c r="D27" s="715"/>
      <c r="E27" s="716"/>
      <c r="F27" s="764" t="str">
        <f>'PD0201'!A19</f>
        <v>D18S51</v>
      </c>
      <c r="G27" s="765"/>
      <c r="H27" s="328" t="s">
        <v>358</v>
      </c>
      <c r="I27" s="328" t="s">
        <v>359</v>
      </c>
      <c r="J27" s="328" t="s">
        <v>360</v>
      </c>
      <c r="K27" s="328" t="s">
        <v>361</v>
      </c>
      <c r="L27" s="329">
        <f>'PD0201'!X19</f>
        <v>0</v>
      </c>
      <c r="M27" s="329">
        <f>'PD0201'!Y19</f>
        <v>1</v>
      </c>
      <c r="N27" s="704">
        <f>'PD0201'!Z19</f>
        <v>0.5</v>
      </c>
    </row>
    <row r="28" spans="1:14" ht="15.75" customHeight="1" thickBot="1" x14ac:dyDescent="0.25">
      <c r="A28" s="714"/>
      <c r="B28" s="715"/>
      <c r="C28" s="715"/>
      <c r="D28" s="715"/>
      <c r="E28" s="716"/>
      <c r="F28" s="764" t="str">
        <f>'PD0201'!A20</f>
        <v>D2S1338</v>
      </c>
      <c r="G28" s="765"/>
      <c r="H28" s="328" t="s">
        <v>358</v>
      </c>
      <c r="I28" s="328" t="s">
        <v>359</v>
      </c>
      <c r="J28" s="328" t="s">
        <v>360</v>
      </c>
      <c r="K28" s="328" t="s">
        <v>361</v>
      </c>
      <c r="L28" s="329">
        <f>'PD0201'!X20</f>
        <v>0</v>
      </c>
      <c r="M28" s="329">
        <f>'PD0201'!Y20</f>
        <v>1</v>
      </c>
      <c r="N28" s="704">
        <f>'PD0201'!Z20</f>
        <v>0.5</v>
      </c>
    </row>
    <row r="29" spans="1:14" ht="15.75" customHeight="1" thickTop="1" thickBot="1" x14ac:dyDescent="0.35">
      <c r="A29" s="454" t="s">
        <v>311</v>
      </c>
      <c r="B29" s="448"/>
      <c r="C29" s="446"/>
      <c r="D29" s="446"/>
      <c r="E29" s="449"/>
      <c r="F29" s="764" t="str">
        <f>'PD0201'!A21</f>
        <v>CSF1PO</v>
      </c>
      <c r="G29" s="765"/>
      <c r="H29" s="328" t="s">
        <v>358</v>
      </c>
      <c r="I29" s="328" t="s">
        <v>359</v>
      </c>
      <c r="J29" s="328" t="s">
        <v>360</v>
      </c>
      <c r="K29" s="328" t="s">
        <v>361</v>
      </c>
      <c r="L29" s="329">
        <f>'PD0201'!X21</f>
        <v>0</v>
      </c>
      <c r="M29" s="329">
        <f>'PD0201'!Y21</f>
        <v>1</v>
      </c>
      <c r="N29" s="704">
        <f>'PD0201'!Z21</f>
        <v>0.5</v>
      </c>
    </row>
    <row r="30" spans="1:14" ht="15.75" customHeight="1" thickTop="1" x14ac:dyDescent="0.2">
      <c r="A30" s="714" t="s">
        <v>308</v>
      </c>
      <c r="B30" s="715"/>
      <c r="C30" s="715"/>
      <c r="D30" s="715"/>
      <c r="E30" s="716"/>
      <c r="F30" s="764" t="str">
        <f>'PD0201'!A22</f>
        <v>Penta_D</v>
      </c>
      <c r="G30" s="765"/>
      <c r="H30" s="328" t="s">
        <v>358</v>
      </c>
      <c r="I30" s="328" t="s">
        <v>359</v>
      </c>
      <c r="J30" s="328" t="s">
        <v>360</v>
      </c>
      <c r="K30" s="328" t="s">
        <v>361</v>
      </c>
      <c r="L30" s="329">
        <f>'PD0201'!X22</f>
        <v>0</v>
      </c>
      <c r="M30" s="329">
        <f>'PD0201'!Y22</f>
        <v>1</v>
      </c>
      <c r="N30" s="704">
        <f>'PD0201'!Z22</f>
        <v>0.5</v>
      </c>
    </row>
    <row r="31" spans="1:14" ht="15.75" customHeight="1" x14ac:dyDescent="0.2">
      <c r="A31" s="714"/>
      <c r="B31" s="715"/>
      <c r="C31" s="715"/>
      <c r="D31" s="715"/>
      <c r="E31" s="716"/>
      <c r="F31" s="764" t="str">
        <f>'PD0201'!A23</f>
        <v>TH01</v>
      </c>
      <c r="G31" s="765"/>
      <c r="H31" s="328" t="s">
        <v>358</v>
      </c>
      <c r="I31" s="328" t="s">
        <v>359</v>
      </c>
      <c r="J31" s="328" t="s">
        <v>360</v>
      </c>
      <c r="K31" s="328" t="s">
        <v>361</v>
      </c>
      <c r="L31" s="329">
        <f>'PD0201'!X23</f>
        <v>0</v>
      </c>
      <c r="M31" s="329">
        <f>'PD0201'!Y23</f>
        <v>1</v>
      </c>
      <c r="N31" s="704">
        <f>'PD0201'!Z23</f>
        <v>0.5</v>
      </c>
    </row>
    <row r="32" spans="1:14" ht="15.75" customHeight="1" x14ac:dyDescent="0.2">
      <c r="A32" s="714"/>
      <c r="B32" s="715"/>
      <c r="C32" s="715"/>
      <c r="D32" s="715"/>
      <c r="E32" s="716"/>
      <c r="F32" s="764" t="str">
        <f>'PD0201'!A24</f>
        <v>vWA</v>
      </c>
      <c r="G32" s="765"/>
      <c r="H32" s="328" t="s">
        <v>358</v>
      </c>
      <c r="I32" s="328" t="s">
        <v>359</v>
      </c>
      <c r="J32" s="328" t="s">
        <v>360</v>
      </c>
      <c r="K32" s="328" t="s">
        <v>361</v>
      </c>
      <c r="L32" s="329">
        <f>'PD0201'!X24</f>
        <v>0</v>
      </c>
      <c r="M32" s="329">
        <f>'PD0201'!Y24</f>
        <v>1</v>
      </c>
      <c r="N32" s="704">
        <f>'PD0201'!Z24</f>
        <v>0.5</v>
      </c>
    </row>
    <row r="33" spans="1:14" ht="15.75" customHeight="1" x14ac:dyDescent="0.2">
      <c r="A33" s="714"/>
      <c r="B33" s="715"/>
      <c r="C33" s="715"/>
      <c r="D33" s="715"/>
      <c r="E33" s="716"/>
      <c r="F33" s="764" t="str">
        <f>'PD0201'!A25</f>
        <v>D21S11</v>
      </c>
      <c r="G33" s="765"/>
      <c r="H33" s="328" t="s">
        <v>358</v>
      </c>
      <c r="I33" s="328" t="s">
        <v>359</v>
      </c>
      <c r="J33" s="328" t="s">
        <v>360</v>
      </c>
      <c r="K33" s="328" t="s">
        <v>361</v>
      </c>
      <c r="L33" s="329">
        <f>'PD0201'!X25</f>
        <v>0</v>
      </c>
      <c r="M33" s="329">
        <f>'PD0201'!Y25</f>
        <v>1</v>
      </c>
      <c r="N33" s="704">
        <f>'PD0201'!Z25</f>
        <v>0.5</v>
      </c>
    </row>
    <row r="34" spans="1:14" ht="15.75" customHeight="1" x14ac:dyDescent="0.2">
      <c r="A34" s="714"/>
      <c r="B34" s="715"/>
      <c r="C34" s="715"/>
      <c r="D34" s="715"/>
      <c r="E34" s="716"/>
      <c r="F34" s="764" t="str">
        <f>'PD0201'!A26</f>
        <v>D7S820</v>
      </c>
      <c r="G34" s="765"/>
      <c r="H34" s="328" t="s">
        <v>358</v>
      </c>
      <c r="I34" s="328" t="s">
        <v>359</v>
      </c>
      <c r="J34" s="328" t="s">
        <v>360</v>
      </c>
      <c r="K34" s="328" t="s">
        <v>361</v>
      </c>
      <c r="L34" s="329">
        <f>'PD0201'!X26</f>
        <v>0</v>
      </c>
      <c r="M34" s="329">
        <f>'PD0201'!Y26</f>
        <v>1</v>
      </c>
      <c r="N34" s="704">
        <f>'PD0201'!Z26</f>
        <v>0.5</v>
      </c>
    </row>
    <row r="35" spans="1:14" ht="15.75" customHeight="1" x14ac:dyDescent="0.2">
      <c r="A35" s="714"/>
      <c r="B35" s="715"/>
      <c r="C35" s="715"/>
      <c r="D35" s="715"/>
      <c r="E35" s="716"/>
      <c r="F35" s="764" t="str">
        <f>'PD0201'!A27</f>
        <v>D5S818</v>
      </c>
      <c r="G35" s="765"/>
      <c r="H35" s="328" t="s">
        <v>358</v>
      </c>
      <c r="I35" s="328" t="s">
        <v>359</v>
      </c>
      <c r="J35" s="328" t="s">
        <v>360</v>
      </c>
      <c r="K35" s="328" t="s">
        <v>361</v>
      </c>
      <c r="L35" s="329">
        <f>'PD0201'!X27</f>
        <v>0</v>
      </c>
      <c r="M35" s="329">
        <f>'PD0201'!Y27</f>
        <v>1</v>
      </c>
      <c r="N35" s="704">
        <f>'PD0201'!Z27</f>
        <v>0.5</v>
      </c>
    </row>
    <row r="36" spans="1:14" ht="15.75" customHeight="1" thickBot="1" x14ac:dyDescent="0.25">
      <c r="A36" s="714"/>
      <c r="B36" s="715"/>
      <c r="C36" s="715"/>
      <c r="D36" s="715"/>
      <c r="E36" s="716"/>
      <c r="F36" s="764" t="str">
        <f>'PD0201'!A28</f>
        <v>TPOX</v>
      </c>
      <c r="G36" s="765"/>
      <c r="H36" s="328" t="s">
        <v>358</v>
      </c>
      <c r="I36" s="328" t="s">
        <v>359</v>
      </c>
      <c r="J36" s="328" t="s">
        <v>360</v>
      </c>
      <c r="K36" s="328" t="s">
        <v>361</v>
      </c>
      <c r="L36" s="329">
        <f>'PD0201'!X28</f>
        <v>0</v>
      </c>
      <c r="M36" s="329">
        <f>'PD0201'!Y28</f>
        <v>1</v>
      </c>
      <c r="N36" s="704">
        <f>'PD0201'!Z28</f>
        <v>0.5</v>
      </c>
    </row>
    <row r="37" spans="1:14" ht="15.75" customHeight="1" thickTop="1" thickBot="1" x14ac:dyDescent="0.35">
      <c r="A37" s="450" t="s">
        <v>312</v>
      </c>
      <c r="B37" s="446"/>
      <c r="C37" s="446"/>
      <c r="D37" s="446"/>
      <c r="E37" s="449"/>
      <c r="F37" s="764" t="str">
        <f>'PD0201'!A29</f>
        <v>D8S1179</v>
      </c>
      <c r="G37" s="765"/>
      <c r="H37" s="328" t="s">
        <v>358</v>
      </c>
      <c r="I37" s="328" t="s">
        <v>359</v>
      </c>
      <c r="J37" s="328" t="s">
        <v>360</v>
      </c>
      <c r="K37" s="328" t="s">
        <v>361</v>
      </c>
      <c r="L37" s="329">
        <f>'PD0201'!X29</f>
        <v>0</v>
      </c>
      <c r="M37" s="329">
        <f>'PD0201'!Y29</f>
        <v>1</v>
      </c>
      <c r="N37" s="704">
        <f>'PD0201'!Z29</f>
        <v>0.5</v>
      </c>
    </row>
    <row r="38" spans="1:14" ht="15.75" customHeight="1" thickTop="1" x14ac:dyDescent="0.2">
      <c r="A38" s="714"/>
      <c r="B38" s="715"/>
      <c r="C38" s="715"/>
      <c r="D38" s="715"/>
      <c r="E38" s="716"/>
      <c r="F38" s="764" t="str">
        <f>'PD0201'!A30</f>
        <v>D12S391</v>
      </c>
      <c r="G38" s="765"/>
      <c r="H38" s="328" t="s">
        <v>358</v>
      </c>
      <c r="I38" s="328" t="s">
        <v>359</v>
      </c>
      <c r="J38" s="328" t="s">
        <v>360</v>
      </c>
      <c r="K38" s="328" t="s">
        <v>361</v>
      </c>
      <c r="L38" s="329">
        <f>'PD0201'!X30</f>
        <v>0</v>
      </c>
      <c r="M38" s="329">
        <f>'PD0201'!Y30</f>
        <v>1</v>
      </c>
      <c r="N38" s="704">
        <f>'PD0201'!Z30</f>
        <v>0.5</v>
      </c>
    </row>
    <row r="39" spans="1:14" ht="15.75" customHeight="1" x14ac:dyDescent="0.2">
      <c r="A39" s="723"/>
      <c r="B39" s="724"/>
      <c r="C39" s="724"/>
      <c r="D39" s="724"/>
      <c r="E39" s="725"/>
      <c r="F39" s="764" t="str">
        <f>'PD0201'!A31</f>
        <v>D19S433</v>
      </c>
      <c r="G39" s="765"/>
      <c r="H39" s="328" t="s">
        <v>358</v>
      </c>
      <c r="I39" s="328" t="s">
        <v>359</v>
      </c>
      <c r="J39" s="328" t="s">
        <v>360</v>
      </c>
      <c r="K39" s="328" t="s">
        <v>361</v>
      </c>
      <c r="L39" s="329">
        <f>'PD0201'!X31</f>
        <v>0</v>
      </c>
      <c r="M39" s="329">
        <f>'PD0201'!Y31</f>
        <v>1</v>
      </c>
      <c r="N39" s="704">
        <f>'PD0201'!Z31</f>
        <v>0.5</v>
      </c>
    </row>
    <row r="40" spans="1:14" ht="15.75" customHeight="1" x14ac:dyDescent="0.2">
      <c r="A40" s="714"/>
      <c r="B40" s="715"/>
      <c r="C40" s="715"/>
      <c r="D40" s="715"/>
      <c r="E40" s="716"/>
      <c r="F40" s="764" t="str">
        <f>'PD0201'!A32</f>
        <v>FGA</v>
      </c>
      <c r="G40" s="765"/>
      <c r="H40" s="328" t="s">
        <v>358</v>
      </c>
      <c r="I40" s="328" t="s">
        <v>359</v>
      </c>
      <c r="J40" s="328" t="s">
        <v>360</v>
      </c>
      <c r="K40" s="328" t="s">
        <v>361</v>
      </c>
      <c r="L40" s="329">
        <f>'PD0201'!X32</f>
        <v>0</v>
      </c>
      <c r="M40" s="329">
        <f>'PD0201'!Y32</f>
        <v>1</v>
      </c>
      <c r="N40" s="704">
        <f>'PD0201'!Z32</f>
        <v>0.5</v>
      </c>
    </row>
    <row r="41" spans="1:14" ht="15.75" customHeight="1" thickBot="1" x14ac:dyDescent="0.25">
      <c r="A41" s="714" t="s">
        <v>306</v>
      </c>
      <c r="B41" s="715"/>
      <c r="C41" s="715"/>
      <c r="D41" s="715"/>
      <c r="E41" s="716"/>
      <c r="F41" s="766" t="str">
        <f>'PD0201'!A33</f>
        <v>D22S1045</v>
      </c>
      <c r="G41" s="767"/>
      <c r="H41" s="331" t="s">
        <v>358</v>
      </c>
      <c r="I41" s="331" t="s">
        <v>359</v>
      </c>
      <c r="J41" s="331" t="s">
        <v>360</v>
      </c>
      <c r="K41" s="331" t="s">
        <v>361</v>
      </c>
      <c r="L41" s="332">
        <f>'PD0201'!X33</f>
        <v>0</v>
      </c>
      <c r="M41" s="332">
        <f>'PD0201'!Y33</f>
        <v>1</v>
      </c>
      <c r="N41" s="705">
        <f>'PD0201'!Z33</f>
        <v>0.5</v>
      </c>
    </row>
    <row r="42" spans="1:14" ht="15.75" customHeight="1" thickTop="1" x14ac:dyDescent="0.2">
      <c r="A42" s="714"/>
      <c r="B42" s="715"/>
      <c r="C42" s="715"/>
      <c r="D42" s="715"/>
      <c r="E42" s="716"/>
      <c r="F42" s="422"/>
      <c r="G42" s="692"/>
      <c r="H42" s="693"/>
      <c r="I42" s="693"/>
      <c r="J42" s="692"/>
      <c r="K42" s="433"/>
      <c r="L42" s="433" t="str">
        <f>'PD0201'!$X$46</f>
        <v>ÍNDICE DE PATERNIDADE ACUMULADO:</v>
      </c>
      <c r="M42" s="768">
        <f>'PD0201'!$AG$43</f>
        <v>0</v>
      </c>
      <c r="N42" s="769"/>
    </row>
    <row r="43" spans="1:14" ht="15.75" customHeight="1" x14ac:dyDescent="0.2">
      <c r="A43" s="714" t="s">
        <v>307</v>
      </c>
      <c r="B43" s="715"/>
      <c r="C43" s="715"/>
      <c r="D43" s="715"/>
      <c r="E43" s="716"/>
      <c r="F43" s="422"/>
      <c r="G43" s="692"/>
      <c r="H43" s="693"/>
      <c r="I43" s="693"/>
      <c r="J43" s="692"/>
      <c r="K43" s="433"/>
      <c r="L43" s="691" t="str">
        <f>'PD0201'!$X$47</f>
        <v>PROBABILIDADE DE PATERNIDADE:</v>
      </c>
      <c r="M43" s="736">
        <f>'PD0201'!$AG$44</f>
        <v>0</v>
      </c>
      <c r="N43" s="737"/>
    </row>
    <row r="44" spans="1:14" ht="15.75" customHeight="1" x14ac:dyDescent="0.2">
      <c r="A44" s="714"/>
      <c r="B44" s="715"/>
      <c r="C44" s="715"/>
      <c r="D44" s="715"/>
      <c r="E44" s="716"/>
      <c r="F44" s="422"/>
      <c r="G44" s="692"/>
      <c r="H44" s="693"/>
      <c r="I44" s="693"/>
      <c r="J44" s="692"/>
      <c r="K44" s="433"/>
      <c r="L44" s="433" t="str">
        <f>'PD0201'!$X$48</f>
        <v>CAP. DE EFICIÊNCIA DOS MARCADORES:</v>
      </c>
      <c r="M44" s="736">
        <f>'PD0201'!$AG$45</f>
        <v>0</v>
      </c>
      <c r="N44" s="737"/>
    </row>
    <row r="45" spans="1:14" ht="15.75" customHeight="1" thickBot="1" x14ac:dyDescent="0.25">
      <c r="A45" s="740"/>
      <c r="B45" s="741"/>
      <c r="C45" s="741"/>
      <c r="D45" s="741"/>
      <c r="E45" s="742"/>
      <c r="F45" s="333"/>
      <c r="G45" s="694"/>
      <c r="H45" s="432" t="str">
        <f>'PD0201'!$X$49</f>
        <v>RESULTADO:</v>
      </c>
      <c r="I45" s="738" t="str">
        <f>'PD0201'!$Y$49</f>
        <v>VÍNCULO BIOLOGICAMENTE PROVADO</v>
      </c>
      <c r="J45" s="738"/>
      <c r="K45" s="738"/>
      <c r="L45" s="738"/>
      <c r="M45" s="738"/>
      <c r="N45" s="739"/>
    </row>
    <row r="46" spans="1:14" ht="13.5" thickTop="1" x14ac:dyDescent="0.2">
      <c r="A46" s="334"/>
      <c r="B46" s="423"/>
      <c r="C46" s="423"/>
      <c r="D46" s="423"/>
      <c r="E46" s="423"/>
      <c r="F46" s="423"/>
      <c r="G46" s="423"/>
      <c r="H46" s="423"/>
      <c r="I46" s="423"/>
      <c r="J46" s="423"/>
      <c r="K46" s="423"/>
      <c r="L46" s="423"/>
      <c r="M46" s="423"/>
      <c r="N46" s="413"/>
    </row>
    <row r="47" spans="1:14" hidden="1" x14ac:dyDescent="0.2">
      <c r="A47" s="334"/>
      <c r="B47" s="423"/>
      <c r="C47" s="423"/>
      <c r="D47" s="423"/>
      <c r="E47" s="423"/>
      <c r="F47" s="423"/>
      <c r="G47" s="423"/>
      <c r="H47" s="423"/>
      <c r="I47" s="423"/>
      <c r="J47" s="423"/>
      <c r="K47" s="423"/>
      <c r="L47" s="423"/>
      <c r="M47" s="423"/>
      <c r="N47" s="413"/>
    </row>
    <row r="48" spans="1:14" x14ac:dyDescent="0.2">
      <c r="A48" s="334"/>
      <c r="B48" s="423"/>
      <c r="C48" s="423"/>
      <c r="D48" s="423"/>
      <c r="E48" s="423"/>
      <c r="F48" s="423"/>
      <c r="G48" s="423"/>
      <c r="H48" s="423"/>
      <c r="I48" s="423"/>
      <c r="J48" s="423"/>
      <c r="K48" s="423"/>
      <c r="L48" s="423"/>
      <c r="M48" s="423"/>
      <c r="N48" s="413"/>
    </row>
    <row r="49" spans="1:14" ht="9.9499999999999993" customHeight="1" x14ac:dyDescent="0.2">
      <c r="A49" s="730"/>
      <c r="B49" s="731"/>
      <c r="C49" s="731"/>
      <c r="D49" s="731"/>
      <c r="E49" s="731"/>
      <c r="F49" s="731"/>
      <c r="G49" s="731"/>
      <c r="H49" s="731"/>
      <c r="I49" s="731"/>
      <c r="J49" s="731"/>
      <c r="K49" s="731"/>
      <c r="L49" s="731"/>
      <c r="M49" s="731"/>
      <c r="N49" s="732"/>
    </row>
    <row r="50" spans="1:14" ht="9.75" customHeight="1" x14ac:dyDescent="0.2">
      <c r="A50" s="733" t="s">
        <v>257</v>
      </c>
      <c r="B50" s="734"/>
      <c r="C50" s="734"/>
      <c r="D50" s="734"/>
      <c r="E50" s="734"/>
      <c r="F50" s="734"/>
      <c r="G50" s="734"/>
      <c r="H50" s="734"/>
      <c r="I50" s="734"/>
      <c r="J50" s="734"/>
      <c r="K50" s="734"/>
      <c r="L50" s="734"/>
      <c r="M50" s="734"/>
      <c r="N50" s="735"/>
    </row>
    <row r="51" spans="1:14" ht="9.75" customHeight="1" x14ac:dyDescent="0.2">
      <c r="A51" s="727" t="s">
        <v>258</v>
      </c>
      <c r="B51" s="728"/>
      <c r="C51" s="728"/>
      <c r="D51" s="728"/>
      <c r="E51" s="728"/>
      <c r="F51" s="728"/>
      <c r="G51" s="728"/>
      <c r="H51" s="728"/>
      <c r="I51" s="728"/>
      <c r="J51" s="728"/>
      <c r="K51" s="728"/>
      <c r="L51" s="728"/>
      <c r="M51" s="728"/>
      <c r="N51" s="729"/>
    </row>
    <row r="52" spans="1:14" ht="9.75" customHeight="1" x14ac:dyDescent="0.2">
      <c r="A52" s="727" t="s">
        <v>259</v>
      </c>
      <c r="B52" s="728"/>
      <c r="C52" s="728"/>
      <c r="D52" s="728"/>
      <c r="E52" s="728"/>
      <c r="F52" s="728"/>
      <c r="G52" s="728"/>
      <c r="H52" s="728"/>
      <c r="I52" s="728"/>
      <c r="J52" s="728"/>
      <c r="K52" s="728"/>
      <c r="L52" s="728"/>
      <c r="M52" s="728"/>
      <c r="N52" s="729"/>
    </row>
    <row r="53" spans="1:14" ht="9.75" customHeight="1" x14ac:dyDescent="0.2">
      <c r="A53" s="727" t="s">
        <v>299</v>
      </c>
      <c r="B53" s="728"/>
      <c r="C53" s="728"/>
      <c r="D53" s="728"/>
      <c r="E53" s="728"/>
      <c r="F53" s="728"/>
      <c r="G53" s="728"/>
      <c r="H53" s="728"/>
      <c r="I53" s="728"/>
      <c r="J53" s="728"/>
      <c r="K53" s="728"/>
      <c r="L53" s="728"/>
      <c r="M53" s="728"/>
      <c r="N53" s="729"/>
    </row>
    <row r="54" spans="1:14" ht="9.75" customHeight="1" thickBot="1" x14ac:dyDescent="0.25">
      <c r="A54" s="717" t="s">
        <v>260</v>
      </c>
      <c r="B54" s="718"/>
      <c r="C54" s="718"/>
      <c r="D54" s="718"/>
      <c r="E54" s="718"/>
      <c r="F54" s="718"/>
      <c r="G54" s="718"/>
      <c r="H54" s="718"/>
      <c r="I54" s="718"/>
      <c r="J54" s="718"/>
      <c r="K54" s="718"/>
      <c r="L54" s="718"/>
      <c r="M54" s="718"/>
      <c r="N54" s="719"/>
    </row>
    <row r="55" spans="1:14" ht="13.5" hidden="1" thickTop="1" x14ac:dyDescent="0.2">
      <c r="A55" s="334"/>
      <c r="B55" s="423"/>
      <c r="C55" s="423"/>
      <c r="D55" s="423"/>
      <c r="E55" s="423"/>
      <c r="F55" s="423"/>
      <c r="G55" s="423"/>
      <c r="H55" s="423"/>
      <c r="I55" s="423"/>
      <c r="J55" s="423"/>
      <c r="K55" s="423"/>
      <c r="L55" s="423"/>
      <c r="M55" s="423"/>
      <c r="N55" s="413"/>
    </row>
    <row r="56" spans="1:14" ht="13.5" hidden="1" thickTop="1" x14ac:dyDescent="0.2">
      <c r="A56" s="334"/>
      <c r="B56" s="423"/>
      <c r="C56" s="423"/>
      <c r="D56" s="423"/>
      <c r="E56" s="423"/>
      <c r="F56" s="423"/>
      <c r="G56" s="423"/>
      <c r="H56" s="423"/>
      <c r="I56" s="423"/>
      <c r="J56" s="423"/>
      <c r="K56" s="423"/>
      <c r="L56" s="423"/>
      <c r="M56" s="423"/>
      <c r="N56" s="413"/>
    </row>
    <row r="57" spans="1:14" ht="14.25" hidden="1" thickTop="1" thickBot="1" x14ac:dyDescent="0.25">
      <c r="A57" s="335"/>
      <c r="B57" s="336"/>
      <c r="C57" s="336"/>
      <c r="D57" s="336"/>
      <c r="E57" s="336"/>
      <c r="F57" s="336"/>
      <c r="G57" s="336"/>
      <c r="H57" s="336"/>
      <c r="I57" s="336"/>
      <c r="J57" s="336"/>
      <c r="K57" s="336"/>
      <c r="L57" s="336"/>
      <c r="M57" s="336"/>
      <c r="N57" s="424"/>
    </row>
    <row r="58" spans="1:14" ht="13.5" thickTop="1" x14ac:dyDescent="0.2"/>
    <row r="60" spans="1:14" x14ac:dyDescent="0.2">
      <c r="C60" s="761"/>
      <c r="D60" s="761"/>
      <c r="E60" s="761"/>
      <c r="F60" s="442"/>
      <c r="G60" s="442"/>
      <c r="H60" s="442"/>
      <c r="I60" s="442"/>
      <c r="J60" s="442"/>
      <c r="K60" s="442"/>
      <c r="L60" s="442"/>
      <c r="M60" s="442"/>
      <c r="N60" s="442"/>
    </row>
    <row r="61" spans="1:14" x14ac:dyDescent="0.2">
      <c r="A61" s="444"/>
      <c r="B61" s="444"/>
      <c r="C61" s="743"/>
      <c r="D61" s="743"/>
      <c r="E61" s="743"/>
      <c r="F61" s="743"/>
      <c r="G61" s="743"/>
      <c r="H61" s="743"/>
      <c r="I61" s="743"/>
      <c r="J61" s="452"/>
      <c r="K61" s="452"/>
      <c r="L61" s="452"/>
      <c r="M61" s="452"/>
      <c r="N61" s="452"/>
    </row>
    <row r="62" spans="1:14" x14ac:dyDescent="0.2">
      <c r="A62" s="444"/>
      <c r="B62" s="444"/>
      <c r="C62" s="743"/>
      <c r="D62" s="743"/>
      <c r="E62" s="743"/>
      <c r="F62" s="743"/>
      <c r="G62" s="743"/>
      <c r="H62" s="743"/>
      <c r="I62" s="743"/>
      <c r="J62" s="743"/>
      <c r="K62" s="743"/>
      <c r="L62" s="743"/>
      <c r="M62" s="743"/>
      <c r="N62" s="743"/>
    </row>
    <row r="63" spans="1:14" x14ac:dyDescent="0.2">
      <c r="A63" s="444"/>
      <c r="B63" s="444"/>
      <c r="C63" s="743"/>
      <c r="D63" s="743"/>
      <c r="E63" s="743"/>
      <c r="F63" s="743"/>
      <c r="G63" s="743"/>
      <c r="H63" s="743"/>
      <c r="I63" s="743"/>
      <c r="J63" s="743"/>
      <c r="K63" s="743"/>
      <c r="L63" s="743"/>
      <c r="M63" s="743"/>
      <c r="N63" s="743"/>
    </row>
    <row r="64" spans="1:14" x14ac:dyDescent="0.2">
      <c r="A64" s="444"/>
      <c r="B64" s="444"/>
      <c r="C64" s="743"/>
      <c r="D64" s="743"/>
      <c r="E64" s="743"/>
      <c r="F64" s="743"/>
      <c r="G64" s="743"/>
      <c r="H64" s="743"/>
      <c r="I64" s="743"/>
      <c r="J64" s="743"/>
      <c r="K64" s="743"/>
      <c r="L64" s="743"/>
      <c r="M64" s="743"/>
      <c r="N64" s="743"/>
    </row>
    <row r="65" spans="1:14" x14ac:dyDescent="0.2">
      <c r="A65" s="444"/>
      <c r="B65" s="444"/>
      <c r="C65" s="743"/>
      <c r="D65" s="743"/>
      <c r="E65" s="743"/>
      <c r="F65" s="743"/>
      <c r="G65" s="743"/>
      <c r="H65" s="743"/>
      <c r="I65" s="743"/>
      <c r="J65" s="743"/>
      <c r="K65" s="743"/>
      <c r="L65" s="743"/>
      <c r="M65" s="743"/>
      <c r="N65" s="743"/>
    </row>
    <row r="66" spans="1:14" x14ac:dyDescent="0.2">
      <c r="C66" s="442"/>
      <c r="D66" s="442"/>
      <c r="E66" s="442"/>
      <c r="F66" s="442"/>
      <c r="G66" s="442"/>
      <c r="H66" s="442"/>
      <c r="I66" s="442"/>
      <c r="J66" s="442"/>
      <c r="K66" s="442"/>
      <c r="L66" s="442"/>
      <c r="M66" s="442"/>
      <c r="N66" s="442"/>
    </row>
  </sheetData>
  <mergeCells count="70">
    <mergeCell ref="F29:G29"/>
    <mergeCell ref="F30:G30"/>
    <mergeCell ref="F31:G31"/>
    <mergeCell ref="F32:G32"/>
    <mergeCell ref="F33:G33"/>
    <mergeCell ref="F36:G36"/>
    <mergeCell ref="F37:G37"/>
    <mergeCell ref="F38:G38"/>
    <mergeCell ref="F39:G39"/>
    <mergeCell ref="F40:G40"/>
    <mergeCell ref="F24:G24"/>
    <mergeCell ref="F25:G25"/>
    <mergeCell ref="F26:G26"/>
    <mergeCell ref="F27:G27"/>
    <mergeCell ref="F28:G28"/>
    <mergeCell ref="C65:N65"/>
    <mergeCell ref="A49:N49"/>
    <mergeCell ref="A50:N50"/>
    <mergeCell ref="A51:N51"/>
    <mergeCell ref="A52:N52"/>
    <mergeCell ref="A53:N53"/>
    <mergeCell ref="A54:N54"/>
    <mergeCell ref="C60:E60"/>
    <mergeCell ref="C61:I61"/>
    <mergeCell ref="C62:N62"/>
    <mergeCell ref="C63:N63"/>
    <mergeCell ref="C64:N64"/>
    <mergeCell ref="A43:E43"/>
    <mergeCell ref="A44:E44"/>
    <mergeCell ref="A45:E45"/>
    <mergeCell ref="I45:N45"/>
    <mergeCell ref="A30:E36"/>
    <mergeCell ref="A38:E38"/>
    <mergeCell ref="A39:E39"/>
    <mergeCell ref="A40:E40"/>
    <mergeCell ref="A41:E41"/>
    <mergeCell ref="A42:E42"/>
    <mergeCell ref="F34:G34"/>
    <mergeCell ref="F41:G41"/>
    <mergeCell ref="M42:N42"/>
    <mergeCell ref="M43:N43"/>
    <mergeCell ref="M44:N44"/>
    <mergeCell ref="F35:G35"/>
    <mergeCell ref="A28:E28"/>
    <mergeCell ref="F19:G19"/>
    <mergeCell ref="H19:I19"/>
    <mergeCell ref="J19:K19"/>
    <mergeCell ref="A20:E20"/>
    <mergeCell ref="A21:E21"/>
    <mergeCell ref="A22:E22"/>
    <mergeCell ref="F20:G20"/>
    <mergeCell ref="F21:G21"/>
    <mergeCell ref="F22:G22"/>
    <mergeCell ref="A23:E23"/>
    <mergeCell ref="A24:E24"/>
    <mergeCell ref="A25:E25"/>
    <mergeCell ref="A26:E26"/>
    <mergeCell ref="A27:E27"/>
    <mergeCell ref="F23:G23"/>
    <mergeCell ref="B17:E17"/>
    <mergeCell ref="A18:E18"/>
    <mergeCell ref="F18:N18"/>
    <mergeCell ref="F2:N2"/>
    <mergeCell ref="I3:N3"/>
    <mergeCell ref="E4:K10"/>
    <mergeCell ref="L4:N10"/>
    <mergeCell ref="A11:N11"/>
    <mergeCell ref="B12:K12"/>
    <mergeCell ref="M12:N12"/>
    <mergeCell ref="I14:K14"/>
  </mergeCells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6"/>
  <sheetViews>
    <sheetView topLeftCell="A2" zoomScale="175" zoomScaleNormal="175" workbookViewId="0">
      <selection activeCell="M4" sqref="M4:Q10"/>
    </sheetView>
  </sheetViews>
  <sheetFormatPr defaultRowHeight="12.75" x14ac:dyDescent="0.2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 x14ac:dyDescent="0.2">
      <c r="A1" s="406"/>
      <c r="B1" s="407"/>
      <c r="C1" s="407"/>
      <c r="D1" s="407"/>
      <c r="E1" s="407"/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706"/>
      <c r="S1" t="s">
        <v>362</v>
      </c>
    </row>
    <row r="2" spans="1:19" x14ac:dyDescent="0.2">
      <c r="A2" s="408"/>
      <c r="B2" s="412"/>
      <c r="C2" s="412"/>
      <c r="D2" s="412"/>
      <c r="E2" s="409"/>
      <c r="F2" s="744"/>
      <c r="G2" s="744"/>
      <c r="H2" s="744"/>
      <c r="I2" s="744"/>
      <c r="J2" s="744"/>
      <c r="K2" s="744"/>
      <c r="L2" s="744"/>
      <c r="M2" s="744"/>
      <c r="N2" s="744"/>
      <c r="O2" s="744"/>
      <c r="P2" s="744"/>
      <c r="Q2" s="745"/>
    </row>
    <row r="3" spans="1:19" x14ac:dyDescent="0.2">
      <c r="A3" s="408"/>
      <c r="B3" s="412"/>
      <c r="C3" s="412"/>
      <c r="D3" s="412"/>
      <c r="E3" s="429"/>
      <c r="F3" s="409"/>
      <c r="G3" s="409"/>
      <c r="H3" s="409"/>
      <c r="I3" s="429" t="s">
        <v>300</v>
      </c>
      <c r="J3" s="746"/>
      <c r="K3" s="746"/>
      <c r="L3" s="746"/>
      <c r="M3" s="746"/>
      <c r="N3" s="746"/>
      <c r="O3" s="746"/>
      <c r="P3" s="746"/>
      <c r="Q3" s="747"/>
    </row>
    <row r="4" spans="1:19" ht="12.75" customHeight="1" x14ac:dyDescent="0.2">
      <c r="A4" s="408"/>
      <c r="B4" s="412"/>
      <c r="C4" s="412"/>
      <c r="D4" s="412"/>
      <c r="E4" s="752"/>
      <c r="F4" s="752"/>
      <c r="G4" s="752"/>
      <c r="H4" s="752"/>
      <c r="I4" s="752"/>
      <c r="J4" s="752"/>
      <c r="K4" s="752"/>
      <c r="L4" s="752"/>
      <c r="M4" s="757" t="str" cm="1">
        <f t="array" ref="M4">QrCode(S1)</f>
        <v/>
      </c>
      <c r="N4" s="757"/>
      <c r="O4" s="757"/>
      <c r="P4" s="757"/>
      <c r="Q4" s="758"/>
    </row>
    <row r="5" spans="1:19" ht="12.75" customHeight="1" x14ac:dyDescent="0.2">
      <c r="A5" s="408"/>
      <c r="B5" s="412"/>
      <c r="C5" s="412"/>
      <c r="D5" s="412"/>
      <c r="E5" s="752"/>
      <c r="F5" s="752"/>
      <c r="G5" s="752"/>
      <c r="H5" s="752"/>
      <c r="I5" s="752"/>
      <c r="J5" s="752"/>
      <c r="K5" s="752"/>
      <c r="L5" s="752"/>
      <c r="M5" s="757"/>
      <c r="N5" s="757"/>
      <c r="O5" s="757"/>
      <c r="P5" s="757"/>
      <c r="Q5" s="758"/>
    </row>
    <row r="6" spans="1:19" ht="12.75" customHeight="1" x14ac:dyDescent="0.2">
      <c r="A6" s="408"/>
      <c r="B6" s="412"/>
      <c r="C6" s="412"/>
      <c r="D6" s="412"/>
      <c r="E6" s="752"/>
      <c r="F6" s="752"/>
      <c r="G6" s="752"/>
      <c r="H6" s="752"/>
      <c r="I6" s="752"/>
      <c r="J6" s="752"/>
      <c r="K6" s="752"/>
      <c r="L6" s="752"/>
      <c r="M6" s="757"/>
      <c r="N6" s="757"/>
      <c r="O6" s="757"/>
      <c r="P6" s="757"/>
      <c r="Q6" s="758"/>
    </row>
    <row r="7" spans="1:19" ht="12.75" customHeight="1" x14ac:dyDescent="0.2">
      <c r="A7" s="408"/>
      <c r="B7" s="412"/>
      <c r="C7" s="412"/>
      <c r="D7" s="412"/>
      <c r="E7" s="752"/>
      <c r="F7" s="752"/>
      <c r="G7" s="752"/>
      <c r="H7" s="752"/>
      <c r="I7" s="752"/>
      <c r="J7" s="752"/>
      <c r="K7" s="752"/>
      <c r="L7" s="752"/>
      <c r="M7" s="757"/>
      <c r="N7" s="757"/>
      <c r="O7" s="757"/>
      <c r="P7" s="757"/>
      <c r="Q7" s="758"/>
    </row>
    <row r="8" spans="1:19" ht="12.75" customHeight="1" x14ac:dyDescent="0.2">
      <c r="A8" s="408"/>
      <c r="B8" s="412"/>
      <c r="C8" s="412"/>
      <c r="D8" s="412"/>
      <c r="E8" s="752"/>
      <c r="F8" s="752"/>
      <c r="G8" s="752"/>
      <c r="H8" s="752"/>
      <c r="I8" s="752"/>
      <c r="J8" s="752"/>
      <c r="K8" s="752"/>
      <c r="L8" s="752"/>
      <c r="M8" s="757"/>
      <c r="N8" s="757"/>
      <c r="O8" s="757"/>
      <c r="P8" s="757"/>
      <c r="Q8" s="758"/>
    </row>
    <row r="9" spans="1:19" ht="12.75" customHeight="1" x14ac:dyDescent="0.2">
      <c r="A9" s="408"/>
      <c r="B9" s="412"/>
      <c r="C9" s="412"/>
      <c r="D9" s="412"/>
      <c r="E9" s="752"/>
      <c r="F9" s="752"/>
      <c r="G9" s="752"/>
      <c r="H9" s="752"/>
      <c r="I9" s="752"/>
      <c r="J9" s="752"/>
      <c r="K9" s="752"/>
      <c r="L9" s="752"/>
      <c r="M9" s="757"/>
      <c r="N9" s="757"/>
      <c r="O9" s="757"/>
      <c r="P9" s="757"/>
      <c r="Q9" s="758"/>
    </row>
    <row r="10" spans="1:19" ht="12.75" customHeight="1" thickBot="1" x14ac:dyDescent="0.25">
      <c r="A10" s="408"/>
      <c r="B10" s="412"/>
      <c r="C10" s="412"/>
      <c r="D10" s="412"/>
      <c r="E10" s="752"/>
      <c r="F10" s="752"/>
      <c r="G10" s="752"/>
      <c r="H10" s="752"/>
      <c r="I10" s="752"/>
      <c r="J10" s="752"/>
      <c r="K10" s="752"/>
      <c r="L10" s="752"/>
      <c r="M10" s="759"/>
      <c r="N10" s="759"/>
      <c r="O10" s="759"/>
      <c r="P10" s="759"/>
      <c r="Q10" s="760"/>
    </row>
    <row r="11" spans="1:19" ht="15.75" thickTop="1" thickBot="1" x14ac:dyDescent="0.35">
      <c r="A11" s="753" t="s">
        <v>309</v>
      </c>
      <c r="B11" s="754"/>
      <c r="C11" s="754"/>
      <c r="D11" s="754"/>
      <c r="E11" s="754"/>
      <c r="F11" s="754"/>
      <c r="G11" s="754"/>
      <c r="H11" s="754"/>
      <c r="I11" s="754"/>
      <c r="J11" s="754"/>
      <c r="K11" s="754"/>
      <c r="L11" s="754"/>
      <c r="M11" s="754"/>
      <c r="N11" s="754"/>
      <c r="O11" s="754"/>
      <c r="P11" s="754"/>
      <c r="Q11" s="755"/>
    </row>
    <row r="12" spans="1:19" ht="13.5" thickTop="1" x14ac:dyDescent="0.2">
      <c r="A12" s="324" t="s">
        <v>250</v>
      </c>
      <c r="B12" s="751"/>
      <c r="C12" s="751"/>
      <c r="D12" s="751"/>
      <c r="E12" s="751"/>
      <c r="F12" s="751"/>
      <c r="G12" s="751"/>
      <c r="H12" s="751"/>
      <c r="I12" s="751"/>
      <c r="J12" s="751"/>
      <c r="K12" s="751"/>
      <c r="L12" s="751"/>
      <c r="M12" s="453"/>
      <c r="N12" s="453"/>
      <c r="O12" s="414"/>
      <c r="P12" s="720"/>
      <c r="Q12" s="721"/>
    </row>
    <row r="13" spans="1:19" x14ac:dyDescent="0.2">
      <c r="A13" s="437" t="s">
        <v>252</v>
      </c>
      <c r="B13" s="456"/>
      <c r="C13" s="338" t="s">
        <v>253</v>
      </c>
      <c r="D13" s="425"/>
      <c r="E13" s="434" t="s">
        <v>255</v>
      </c>
      <c r="F13" s="435"/>
      <c r="G13" s="428"/>
      <c r="H13" s="420"/>
      <c r="I13" s="420"/>
      <c r="J13" s="420"/>
      <c r="K13" s="420"/>
      <c r="L13" s="420"/>
      <c r="M13" s="420"/>
      <c r="N13" s="420"/>
      <c r="O13" s="420"/>
      <c r="P13" s="420"/>
      <c r="Q13" s="410"/>
    </row>
    <row r="14" spans="1:19" x14ac:dyDescent="0.2">
      <c r="A14" s="437"/>
      <c r="B14" s="435"/>
      <c r="C14" s="338"/>
      <c r="D14" s="453"/>
      <c r="E14" s="414"/>
      <c r="F14" s="434" t="s">
        <v>254</v>
      </c>
      <c r="G14" s="722"/>
      <c r="H14" s="722"/>
      <c r="I14" s="722"/>
      <c r="J14" s="445" t="s">
        <v>253</v>
      </c>
      <c r="K14" s="434"/>
      <c r="L14" s="455"/>
      <c r="M14" s="455"/>
      <c r="N14" s="455"/>
      <c r="O14" s="426"/>
      <c r="P14" s="426"/>
      <c r="Q14" s="427"/>
    </row>
    <row r="15" spans="1:19" x14ac:dyDescent="0.2">
      <c r="A15" s="437"/>
      <c r="B15" s="435"/>
      <c r="C15" s="414"/>
      <c r="D15" s="414"/>
      <c r="E15" s="414"/>
      <c r="F15" s="434" t="s">
        <v>251</v>
      </c>
      <c r="G15" s="756"/>
      <c r="H15" s="756"/>
      <c r="I15" s="756"/>
      <c r="J15" s="416"/>
      <c r="K15" s="416"/>
      <c r="L15" s="416"/>
      <c r="M15" s="416"/>
      <c r="N15" s="416"/>
      <c r="O15" s="417"/>
      <c r="P15" s="418"/>
      <c r="Q15" s="419"/>
    </row>
    <row r="16" spans="1:19" x14ac:dyDescent="0.2">
      <c r="A16" s="324"/>
      <c r="B16" s="435"/>
      <c r="C16" s="414"/>
      <c r="D16" s="414"/>
      <c r="E16" s="414"/>
      <c r="F16" s="434"/>
      <c r="G16" s="756"/>
      <c r="H16" s="756"/>
      <c r="I16" s="756"/>
      <c r="J16" s="756"/>
      <c r="K16" s="756"/>
      <c r="L16" s="756"/>
      <c r="M16" s="455"/>
      <c r="N16" s="455"/>
      <c r="O16" s="455"/>
      <c r="P16" s="418"/>
      <c r="Q16" s="419"/>
    </row>
    <row r="17" spans="1:17" ht="13.5" thickBot="1" x14ac:dyDescent="0.25">
      <c r="A17" s="324"/>
      <c r="B17" s="420"/>
      <c r="C17" s="420"/>
      <c r="D17" s="420"/>
      <c r="E17" s="420"/>
      <c r="F17" s="415"/>
      <c r="G17" s="416"/>
      <c r="H17" s="416"/>
      <c r="I17" s="416"/>
      <c r="J17" s="416"/>
      <c r="K17" s="416"/>
      <c r="L17" s="416"/>
      <c r="M17" s="416"/>
      <c r="N17" s="416"/>
      <c r="O17" s="417"/>
      <c r="P17" s="418"/>
      <c r="Q17" s="419"/>
    </row>
    <row r="18" spans="1:17" ht="15.75" customHeight="1" thickTop="1" thickBot="1" x14ac:dyDescent="0.35">
      <c r="A18" s="753" t="s">
        <v>310</v>
      </c>
      <c r="B18" s="754"/>
      <c r="C18" s="754"/>
      <c r="D18" s="754"/>
      <c r="E18" s="755"/>
      <c r="F18" s="748" t="s">
        <v>256</v>
      </c>
      <c r="G18" s="749"/>
      <c r="H18" s="749"/>
      <c r="I18" s="749"/>
      <c r="J18" s="749"/>
      <c r="K18" s="749"/>
      <c r="L18" s="749"/>
      <c r="M18" s="749"/>
      <c r="N18" s="749"/>
      <c r="O18" s="749"/>
      <c r="P18" s="749"/>
      <c r="Q18" s="750"/>
    </row>
    <row r="19" spans="1:17" ht="15.75" customHeight="1" thickTop="1" x14ac:dyDescent="0.2">
      <c r="A19" s="324" t="str">
        <f>IF(B19="","","Sup. Avó:")</f>
        <v/>
      </c>
      <c r="B19" s="420"/>
      <c r="C19" s="420"/>
      <c r="D19" s="420"/>
      <c r="E19" s="410"/>
      <c r="F19" s="325" t="s">
        <v>50</v>
      </c>
      <c r="G19" s="726" t="str">
        <f>'RD0301'!B8</f>
        <v>MÃE</v>
      </c>
      <c r="H19" s="726"/>
      <c r="I19" s="726" t="s">
        <v>261</v>
      </c>
      <c r="J19" s="726"/>
      <c r="K19" s="726" t="str">
        <f>'RD0301'!F8</f>
        <v>SP. AVÔ</v>
      </c>
      <c r="L19" s="726"/>
      <c r="M19" s="726" t="str">
        <f>'RD0301'!H8</f>
        <v>SP. AVÓ</v>
      </c>
      <c r="N19" s="726"/>
      <c r="O19" s="326" t="str">
        <f>'RD0301'!AM8</f>
        <v>FREQ.</v>
      </c>
      <c r="P19" s="326" t="str">
        <f>'RD0301'!AN8</f>
        <v>PI</v>
      </c>
      <c r="Q19" s="421" t="str">
        <f>'RD0301'!AO8</f>
        <v>PR. PAT</v>
      </c>
    </row>
    <row r="20" spans="1:17" ht="15.75" customHeight="1" x14ac:dyDescent="0.2">
      <c r="A20" s="714"/>
      <c r="B20" s="715"/>
      <c r="C20" s="715"/>
      <c r="D20" s="715"/>
      <c r="E20" s="716"/>
      <c r="F20" s="327" t="str">
        <f>'RD0301'!$A$9</f>
        <v>D3S1358</v>
      </c>
      <c r="G20" s="328">
        <f>'RD0301'!$B$9</f>
        <v>0</v>
      </c>
      <c r="H20" s="328">
        <f>'RD0301'!$C$9</f>
        <v>0</v>
      </c>
      <c r="I20" s="328">
        <f>'RD0301'!$D$9</f>
        <v>0</v>
      </c>
      <c r="J20" s="328">
        <f>'RD0301'!$E$9</f>
        <v>0</v>
      </c>
      <c r="K20" s="328">
        <f>'RD0301'!$F$9</f>
        <v>0</v>
      </c>
      <c r="L20" s="328">
        <f>'RD0301'!$G$9</f>
        <v>0</v>
      </c>
      <c r="M20" s="328">
        <f>'RD0301'!$H$9</f>
        <v>0</v>
      </c>
      <c r="N20" s="328">
        <f>'RD0301'!$I$9</f>
        <v>0</v>
      </c>
      <c r="O20" s="700">
        <f>'RD0301'!$AM$9</f>
        <v>1</v>
      </c>
      <c r="P20" s="439">
        <f>'RD0301'!$AN$9</f>
        <v>1</v>
      </c>
      <c r="Q20" s="702">
        <f>'RD0301'!$AO$9</f>
        <v>0.5</v>
      </c>
    </row>
    <row r="21" spans="1:17" ht="15.75" customHeight="1" x14ac:dyDescent="0.2">
      <c r="A21" s="714" t="s">
        <v>302</v>
      </c>
      <c r="B21" s="715"/>
      <c r="C21" s="715"/>
      <c r="D21" s="715"/>
      <c r="E21" s="716"/>
      <c r="F21" s="327" t="str">
        <f>'RD0301'!$A$10</f>
        <v>D1S1656</v>
      </c>
      <c r="G21" s="328">
        <f>'RD0301'!$B$10</f>
        <v>0</v>
      </c>
      <c r="H21" s="328">
        <f>'RD0301'!$C$10</f>
        <v>0</v>
      </c>
      <c r="I21" s="328">
        <f>'RD0301'!$D$10</f>
        <v>0</v>
      </c>
      <c r="J21" s="328">
        <f>'RD0301'!$E$10</f>
        <v>0</v>
      </c>
      <c r="K21" s="328">
        <f>'RD0301'!$F$10</f>
        <v>0</v>
      </c>
      <c r="L21" s="328">
        <f>'RD0301'!$G$10</f>
        <v>0</v>
      </c>
      <c r="M21" s="328">
        <f>'RD0301'!$H$10</f>
        <v>0</v>
      </c>
      <c r="N21" s="328">
        <f>'RD0301'!$I$10</f>
        <v>0</v>
      </c>
      <c r="O21" s="700">
        <f>'RD0301'!$AM$10</f>
        <v>1</v>
      </c>
      <c r="P21" s="439">
        <f>'RD0301'!$AN$10</f>
        <v>1</v>
      </c>
      <c r="Q21" s="702">
        <f>'RD0301'!$AO$10</f>
        <v>0.5</v>
      </c>
    </row>
    <row r="22" spans="1:17" ht="15.75" customHeight="1" x14ac:dyDescent="0.2">
      <c r="A22" s="714" t="s">
        <v>303</v>
      </c>
      <c r="B22" s="715"/>
      <c r="C22" s="715"/>
      <c r="D22" s="715"/>
      <c r="E22" s="716"/>
      <c r="F22" s="327" t="str">
        <f>'RD0301'!$A$11</f>
        <v>D2S441</v>
      </c>
      <c r="G22" s="328">
        <f>'RD0301'!$B$11</f>
        <v>0</v>
      </c>
      <c r="H22" s="328">
        <f>'RD0301'!$C$11</f>
        <v>0</v>
      </c>
      <c r="I22" s="328">
        <f>'RD0301'!$D$11</f>
        <v>0</v>
      </c>
      <c r="J22" s="328">
        <f>'RD0301'!$E$11</f>
        <v>0</v>
      </c>
      <c r="K22" s="328">
        <f>'RD0301'!$F$11</f>
        <v>0</v>
      </c>
      <c r="L22" s="328">
        <f>'RD0301'!$G$11</f>
        <v>0</v>
      </c>
      <c r="M22" s="328">
        <f>'RD0301'!$H$11</f>
        <v>0</v>
      </c>
      <c r="N22" s="328">
        <f>'RD0301'!$I$11</f>
        <v>0</v>
      </c>
      <c r="O22" s="700">
        <f>'RD0301'!$AM$11</f>
        <v>1</v>
      </c>
      <c r="P22" s="439">
        <f>'RD0301'!$AN$11</f>
        <v>1</v>
      </c>
      <c r="Q22" s="702">
        <f>'RD0301'!$AO$11</f>
        <v>0.5</v>
      </c>
    </row>
    <row r="23" spans="1:17" ht="15.75" customHeight="1" x14ac:dyDescent="0.2">
      <c r="A23" s="714" t="s">
        <v>298</v>
      </c>
      <c r="B23" s="715"/>
      <c r="C23" s="715"/>
      <c r="D23" s="715"/>
      <c r="E23" s="716"/>
      <c r="F23" s="327" t="str">
        <f>'RD0301'!$A$12</f>
        <v>D10S1248</v>
      </c>
      <c r="G23" s="328">
        <f>'RD0301'!$B$12</f>
        <v>0</v>
      </c>
      <c r="H23" s="328">
        <f>'RD0301'!$C$12</f>
        <v>0</v>
      </c>
      <c r="I23" s="328">
        <f>'RD0301'!$D$12</f>
        <v>0</v>
      </c>
      <c r="J23" s="328">
        <f>'RD0301'!$E$12</f>
        <v>0</v>
      </c>
      <c r="K23" s="328">
        <f>'RD0301'!$F$12</f>
        <v>0</v>
      </c>
      <c r="L23" s="328">
        <f>'RD0301'!$G$12</f>
        <v>0</v>
      </c>
      <c r="M23" s="328">
        <f>'RD0301'!$H$12</f>
        <v>0</v>
      </c>
      <c r="N23" s="328">
        <f>'RD0301'!$I$12</f>
        <v>0</v>
      </c>
      <c r="O23" s="700">
        <f>'RD0301'!$AM$12</f>
        <v>1</v>
      </c>
      <c r="P23" s="439">
        <f>'RD0301'!$AN$12</f>
        <v>1</v>
      </c>
      <c r="Q23" s="702">
        <f>'RD0301'!$AO$12</f>
        <v>0.5</v>
      </c>
    </row>
    <row r="24" spans="1:17" ht="15.75" customHeight="1" x14ac:dyDescent="0.2">
      <c r="A24" s="714" t="s">
        <v>304</v>
      </c>
      <c r="B24" s="715"/>
      <c r="C24" s="715"/>
      <c r="D24" s="715"/>
      <c r="E24" s="716"/>
      <c r="F24" s="327" t="str">
        <f>'RD0301'!$A$13</f>
        <v>D13S317</v>
      </c>
      <c r="G24" s="328">
        <f>'RD0301'!$B$13</f>
        <v>0</v>
      </c>
      <c r="H24" s="328">
        <f>'RD0301'!$C$13</f>
        <v>0</v>
      </c>
      <c r="I24" s="328">
        <f>'RD0301'!$D$13</f>
        <v>0</v>
      </c>
      <c r="J24" s="328">
        <f>'RD0301'!$E$13</f>
        <v>0</v>
      </c>
      <c r="K24" s="328">
        <f>'RD0301'!$F$13</f>
        <v>0</v>
      </c>
      <c r="L24" s="328">
        <f>'RD0301'!$G$13</f>
        <v>0</v>
      </c>
      <c r="M24" s="328">
        <f>'RD0301'!$H$13</f>
        <v>0</v>
      </c>
      <c r="N24" s="328">
        <f>'RD0301'!$I$13</f>
        <v>0</v>
      </c>
      <c r="O24" s="700">
        <f>'RD0301'!$AM$13</f>
        <v>1</v>
      </c>
      <c r="P24" s="439">
        <f>'RD0301'!$AN$13</f>
        <v>1</v>
      </c>
      <c r="Q24" s="702">
        <f>'RD0301'!$AO$13</f>
        <v>0.5</v>
      </c>
    </row>
    <row r="25" spans="1:17" ht="15.75" customHeight="1" x14ac:dyDescent="0.2">
      <c r="A25" s="714" t="s">
        <v>305</v>
      </c>
      <c r="B25" s="715"/>
      <c r="C25" s="715"/>
      <c r="D25" s="715"/>
      <c r="E25" s="716"/>
      <c r="F25" s="327" t="str">
        <f>'RD0301'!$A$14</f>
        <v>Penta_E</v>
      </c>
      <c r="G25" s="328">
        <f>'RD0301'!$B$14</f>
        <v>0</v>
      </c>
      <c r="H25" s="328">
        <f>'RD0301'!$C$14</f>
        <v>0</v>
      </c>
      <c r="I25" s="328">
        <f>'RD0301'!$D$14</f>
        <v>0</v>
      </c>
      <c r="J25" s="328">
        <f>'RD0301'!$E$14</f>
        <v>0</v>
      </c>
      <c r="K25" s="328">
        <f>'RD0301'!$F$14</f>
        <v>0</v>
      </c>
      <c r="L25" s="328">
        <f>'RD0301'!$G$14</f>
        <v>0</v>
      </c>
      <c r="M25" s="328">
        <f>'RD0301'!$H$14</f>
        <v>0</v>
      </c>
      <c r="N25" s="328">
        <f>'RD0301'!$I$14</f>
        <v>0</v>
      </c>
      <c r="O25" s="700">
        <f>'RD0301'!$AM$14</f>
        <v>1</v>
      </c>
      <c r="P25" s="439">
        <f>'RD0301'!$AN$14</f>
        <v>1</v>
      </c>
      <c r="Q25" s="702">
        <f>'RD0301'!$AO$14</f>
        <v>0.5</v>
      </c>
    </row>
    <row r="26" spans="1:17" ht="15.75" customHeight="1" x14ac:dyDescent="0.2">
      <c r="A26" s="714"/>
      <c r="B26" s="715"/>
      <c r="C26" s="715"/>
      <c r="D26" s="715"/>
      <c r="E26" s="716"/>
      <c r="F26" s="327" t="str">
        <f>'RD0301'!$A$15</f>
        <v>D16S539</v>
      </c>
      <c r="G26" s="328">
        <f>'RD0301'!$B$15</f>
        <v>0</v>
      </c>
      <c r="H26" s="328">
        <f>'RD0301'!$C$15</f>
        <v>0</v>
      </c>
      <c r="I26" s="328">
        <f>'RD0301'!$D$15</f>
        <v>0</v>
      </c>
      <c r="J26" s="328">
        <f>'RD0301'!$E$15</f>
        <v>0</v>
      </c>
      <c r="K26" s="328">
        <f>'RD0301'!$F$15</f>
        <v>0</v>
      </c>
      <c r="L26" s="328">
        <f>'RD0301'!$G$15</f>
        <v>0</v>
      </c>
      <c r="M26" s="328">
        <f>'RD0301'!$H$15</f>
        <v>0</v>
      </c>
      <c r="N26" s="328">
        <f>'RD0301'!$I$15</f>
        <v>0</v>
      </c>
      <c r="O26" s="700">
        <f>'RD0301'!$AM$15</f>
        <v>1</v>
      </c>
      <c r="P26" s="439">
        <f>'RD0301'!$AN$15</f>
        <v>1</v>
      </c>
      <c r="Q26" s="702">
        <f>'RD0301'!$AO$15</f>
        <v>0.5</v>
      </c>
    </row>
    <row r="27" spans="1:17" ht="15.75" customHeight="1" x14ac:dyDescent="0.2">
      <c r="A27" s="714"/>
      <c r="B27" s="715"/>
      <c r="C27" s="715"/>
      <c r="D27" s="715"/>
      <c r="E27" s="716"/>
      <c r="F27" s="327" t="str">
        <f>'RD0301'!$A$16</f>
        <v>D18S51</v>
      </c>
      <c r="G27" s="328">
        <f>'RD0301'!$B$16</f>
        <v>0</v>
      </c>
      <c r="H27" s="328">
        <f>'RD0301'!$C$16</f>
        <v>0</v>
      </c>
      <c r="I27" s="328">
        <f>'RD0301'!$D$16</f>
        <v>0</v>
      </c>
      <c r="J27" s="328">
        <f>'RD0301'!$E$16</f>
        <v>0</v>
      </c>
      <c r="K27" s="328">
        <f>'RD0301'!$F$16</f>
        <v>0</v>
      </c>
      <c r="L27" s="328">
        <f>'RD0301'!$G$16</f>
        <v>0</v>
      </c>
      <c r="M27" s="328">
        <f>'RD0301'!$H$16</f>
        <v>0</v>
      </c>
      <c r="N27" s="328">
        <f>'RD0301'!$I$16</f>
        <v>0</v>
      </c>
      <c r="O27" s="700">
        <f>'RD0301'!$AM$16</f>
        <v>1</v>
      </c>
      <c r="P27" s="439">
        <f>'RD0301'!$AN$16</f>
        <v>1</v>
      </c>
      <c r="Q27" s="702">
        <f>'RD0301'!$AO$16</f>
        <v>0.5</v>
      </c>
    </row>
    <row r="28" spans="1:17" ht="15.75" customHeight="1" thickBot="1" x14ac:dyDescent="0.25">
      <c r="A28" s="714"/>
      <c r="B28" s="715"/>
      <c r="C28" s="715"/>
      <c r="D28" s="715"/>
      <c r="E28" s="716"/>
      <c r="F28" s="327" t="str">
        <f>'RD0301'!$A$17</f>
        <v>D2S1338</v>
      </c>
      <c r="G28" s="328">
        <f>'RD0301'!$B$17</f>
        <v>0</v>
      </c>
      <c r="H28" s="328">
        <f>'RD0301'!$C$17</f>
        <v>0</v>
      </c>
      <c r="I28" s="328">
        <f>'RD0301'!$D$17</f>
        <v>0</v>
      </c>
      <c r="J28" s="328">
        <f>'RD0301'!$E$17</f>
        <v>0</v>
      </c>
      <c r="K28" s="328">
        <f>'RD0301'!$F$17</f>
        <v>0</v>
      </c>
      <c r="L28" s="328">
        <f>'RD0301'!$G$17</f>
        <v>0</v>
      </c>
      <c r="M28" s="328">
        <f>'RD0301'!$H$17</f>
        <v>0</v>
      </c>
      <c r="N28" s="328">
        <f>'RD0301'!$I$17</f>
        <v>0</v>
      </c>
      <c r="O28" s="700">
        <f>'RD0301'!$AM$17</f>
        <v>1</v>
      </c>
      <c r="P28" s="439">
        <f>'RD0301'!$AN$17</f>
        <v>1</v>
      </c>
      <c r="Q28" s="702">
        <f>'RD0301'!$AO$17</f>
        <v>0.5</v>
      </c>
    </row>
    <row r="29" spans="1:17" ht="15.75" customHeight="1" thickTop="1" thickBot="1" x14ac:dyDescent="0.35">
      <c r="A29" s="454" t="s">
        <v>311</v>
      </c>
      <c r="B29" s="448"/>
      <c r="C29" s="446"/>
      <c r="D29" s="446"/>
      <c r="E29" s="449"/>
      <c r="F29" s="327" t="str">
        <f>'RD0301'!$A$18</f>
        <v>CSF1PO</v>
      </c>
      <c r="G29" s="328">
        <f>'RD0301'!$B$18</f>
        <v>0</v>
      </c>
      <c r="H29" s="328">
        <f>'RD0301'!$C$18</f>
        <v>0</v>
      </c>
      <c r="I29" s="328">
        <f>'RD0301'!$D$18</f>
        <v>0</v>
      </c>
      <c r="J29" s="328">
        <f>'RD0301'!$E$18</f>
        <v>0</v>
      </c>
      <c r="K29" s="328">
        <f>'RD0301'!$F$18</f>
        <v>0</v>
      </c>
      <c r="L29" s="328">
        <f>'RD0301'!$G$18</f>
        <v>0</v>
      </c>
      <c r="M29" s="328">
        <f>'RD0301'!$H$18</f>
        <v>0</v>
      </c>
      <c r="N29" s="328">
        <f>'RD0301'!$I$18</f>
        <v>0</v>
      </c>
      <c r="O29" s="700">
        <f>'RD0301'!$AM$18</f>
        <v>1</v>
      </c>
      <c r="P29" s="439">
        <f>'RD0301'!$AN$18</f>
        <v>1</v>
      </c>
      <c r="Q29" s="702">
        <f>'RD0301'!$AO$18</f>
        <v>0.5</v>
      </c>
    </row>
    <row r="30" spans="1:17" ht="15.75" customHeight="1" thickTop="1" x14ac:dyDescent="0.2">
      <c r="A30" s="714" t="s">
        <v>308</v>
      </c>
      <c r="B30" s="715"/>
      <c r="C30" s="715"/>
      <c r="D30" s="715"/>
      <c r="E30" s="716"/>
      <c r="F30" s="327" t="str">
        <f>'RD0301'!$A$19</f>
        <v>Penta_D</v>
      </c>
      <c r="G30" s="328">
        <f>'RD0301'!$B$19</f>
        <v>0</v>
      </c>
      <c r="H30" s="328">
        <f>'RD0301'!$C$19</f>
        <v>0</v>
      </c>
      <c r="I30" s="328">
        <f>'RD0301'!$D$19</f>
        <v>0</v>
      </c>
      <c r="J30" s="328">
        <f>'RD0301'!$E$19</f>
        <v>0</v>
      </c>
      <c r="K30" s="328">
        <f>'RD0301'!$F$19</f>
        <v>0</v>
      </c>
      <c r="L30" s="328">
        <f>'RD0301'!$G$19</f>
        <v>0</v>
      </c>
      <c r="M30" s="328">
        <f>'RD0301'!$H$19</f>
        <v>0</v>
      </c>
      <c r="N30" s="328">
        <f>'RD0301'!$I$19</f>
        <v>0</v>
      </c>
      <c r="O30" s="700">
        <f>'RD0301'!$AM$19</f>
        <v>1</v>
      </c>
      <c r="P30" s="439">
        <f>'RD0301'!$AN$19</f>
        <v>1</v>
      </c>
      <c r="Q30" s="702">
        <f>'RD0301'!$AO$19</f>
        <v>0.5</v>
      </c>
    </row>
    <row r="31" spans="1:17" ht="15.75" customHeight="1" x14ac:dyDescent="0.2">
      <c r="A31" s="714"/>
      <c r="B31" s="715"/>
      <c r="C31" s="715"/>
      <c r="D31" s="715"/>
      <c r="E31" s="716"/>
      <c r="F31" s="327" t="str">
        <f>'RD0301'!$A$20</f>
        <v>TH01</v>
      </c>
      <c r="G31" s="328">
        <f>'RD0301'!$B$20</f>
        <v>0</v>
      </c>
      <c r="H31" s="328">
        <f>'RD0301'!$C$20</f>
        <v>0</v>
      </c>
      <c r="I31" s="328">
        <f>'RD0301'!$D$20</f>
        <v>0</v>
      </c>
      <c r="J31" s="328">
        <f>'RD0301'!$E$20</f>
        <v>0</v>
      </c>
      <c r="K31" s="328">
        <f>'RD0301'!$F$20</f>
        <v>0</v>
      </c>
      <c r="L31" s="328">
        <f>'RD0301'!$G$20</f>
        <v>0</v>
      </c>
      <c r="M31" s="328">
        <f>'RD0301'!$H$20</f>
        <v>0</v>
      </c>
      <c r="N31" s="328">
        <f>'RD0301'!$I$20</f>
        <v>0</v>
      </c>
      <c r="O31" s="700">
        <f>'RD0301'!$AM$20</f>
        <v>1</v>
      </c>
      <c r="P31" s="439">
        <f>'RD0301'!$AN$20</f>
        <v>1</v>
      </c>
      <c r="Q31" s="702">
        <f>'RD0301'!$AO$20</f>
        <v>0.5</v>
      </c>
    </row>
    <row r="32" spans="1:17" ht="15.75" customHeight="1" x14ac:dyDescent="0.2">
      <c r="A32" s="714"/>
      <c r="B32" s="715"/>
      <c r="C32" s="715"/>
      <c r="D32" s="715"/>
      <c r="E32" s="716"/>
      <c r="F32" s="327" t="str">
        <f>'RD0301'!$A$21</f>
        <v>vWA</v>
      </c>
      <c r="G32" s="328">
        <f>'RD0301'!$B$21</f>
        <v>0</v>
      </c>
      <c r="H32" s="328">
        <f>'RD0301'!$C$21</f>
        <v>0</v>
      </c>
      <c r="I32" s="328">
        <f>'RD0301'!$D$21</f>
        <v>0</v>
      </c>
      <c r="J32" s="328">
        <f>'RD0301'!$E$21</f>
        <v>0</v>
      </c>
      <c r="K32" s="328">
        <f>'RD0301'!$F$21</f>
        <v>0</v>
      </c>
      <c r="L32" s="328">
        <f>'RD0301'!$G$21</f>
        <v>0</v>
      </c>
      <c r="M32" s="328">
        <f>'RD0301'!$H$21</f>
        <v>0</v>
      </c>
      <c r="N32" s="328">
        <f>'RD0301'!$I$21</f>
        <v>0</v>
      </c>
      <c r="O32" s="700">
        <f>'RD0301'!$AM$21</f>
        <v>1</v>
      </c>
      <c r="P32" s="439">
        <f>'RD0301'!$AN$21</f>
        <v>1</v>
      </c>
      <c r="Q32" s="702">
        <f>'RD0301'!$AO$21</f>
        <v>0.5</v>
      </c>
    </row>
    <row r="33" spans="1:17" ht="15.75" customHeight="1" x14ac:dyDescent="0.2">
      <c r="A33" s="714"/>
      <c r="B33" s="715"/>
      <c r="C33" s="715"/>
      <c r="D33" s="715"/>
      <c r="E33" s="716"/>
      <c r="F33" s="327" t="str">
        <f>'RD0301'!$A$22</f>
        <v>D21S11</v>
      </c>
      <c r="G33" s="328">
        <f>'RD0301'!$B$22</f>
        <v>0</v>
      </c>
      <c r="H33" s="328">
        <f>'RD0301'!$C$22</f>
        <v>0</v>
      </c>
      <c r="I33" s="328">
        <f>'RD0301'!$D$22</f>
        <v>0</v>
      </c>
      <c r="J33" s="328">
        <f>'RD0301'!$E$22</f>
        <v>0</v>
      </c>
      <c r="K33" s="328">
        <f>'RD0301'!$F$22</f>
        <v>0</v>
      </c>
      <c r="L33" s="328">
        <f>'RD0301'!$G$22</f>
        <v>0</v>
      </c>
      <c r="M33" s="328">
        <f>'RD0301'!$H$22</f>
        <v>0</v>
      </c>
      <c r="N33" s="328">
        <f>'RD0301'!$I$22</f>
        <v>0</v>
      </c>
      <c r="O33" s="700">
        <f>'RD0301'!$AM$22</f>
        <v>1</v>
      </c>
      <c r="P33" s="439">
        <f>'RD0301'!$AN$22</f>
        <v>1</v>
      </c>
      <c r="Q33" s="702">
        <f>'RD0301'!$AO$22</f>
        <v>0.5</v>
      </c>
    </row>
    <row r="34" spans="1:17" ht="15.75" customHeight="1" x14ac:dyDescent="0.2">
      <c r="A34" s="714"/>
      <c r="B34" s="715"/>
      <c r="C34" s="715"/>
      <c r="D34" s="715"/>
      <c r="E34" s="716"/>
      <c r="F34" s="327" t="str">
        <f>'RD0301'!$A$23</f>
        <v>D7S820</v>
      </c>
      <c r="G34" s="328">
        <f>'RD0301'!$B$23</f>
        <v>0</v>
      </c>
      <c r="H34" s="328">
        <f>'RD0301'!$C$23</f>
        <v>0</v>
      </c>
      <c r="I34" s="328">
        <f>'RD0301'!$D$23</f>
        <v>0</v>
      </c>
      <c r="J34" s="328">
        <f>'RD0301'!$E$23</f>
        <v>0</v>
      </c>
      <c r="K34" s="328">
        <f>'RD0301'!$F$23</f>
        <v>0</v>
      </c>
      <c r="L34" s="328">
        <f>'RD0301'!$G$23</f>
        <v>0</v>
      </c>
      <c r="M34" s="328">
        <f>'RD0301'!$H$23</f>
        <v>0</v>
      </c>
      <c r="N34" s="328">
        <f>'RD0301'!$I$23</f>
        <v>0</v>
      </c>
      <c r="O34" s="700">
        <f>'RD0301'!$AM$23</f>
        <v>1</v>
      </c>
      <c r="P34" s="439">
        <f>'RD0301'!$AN$23</f>
        <v>1</v>
      </c>
      <c r="Q34" s="702">
        <f>'RD0301'!$AO$23</f>
        <v>0.5</v>
      </c>
    </row>
    <row r="35" spans="1:17" ht="15.75" customHeight="1" x14ac:dyDescent="0.2">
      <c r="A35" s="714"/>
      <c r="B35" s="715"/>
      <c r="C35" s="715"/>
      <c r="D35" s="715"/>
      <c r="E35" s="716"/>
      <c r="F35" s="327" t="str">
        <f>'RD0301'!$A$24</f>
        <v>D5S818</v>
      </c>
      <c r="G35" s="328">
        <f>'RD0301'!$B$24</f>
        <v>0</v>
      </c>
      <c r="H35" s="328">
        <f>'RD0301'!$C$24</f>
        <v>0</v>
      </c>
      <c r="I35" s="328">
        <f>'RD0301'!$D$24</f>
        <v>0</v>
      </c>
      <c r="J35" s="328">
        <f>'RD0301'!$E$24</f>
        <v>0</v>
      </c>
      <c r="K35" s="328">
        <f>'RD0301'!$F$24</f>
        <v>0</v>
      </c>
      <c r="L35" s="328">
        <f>'RD0301'!$G$24</f>
        <v>0</v>
      </c>
      <c r="M35" s="328">
        <f>'RD0301'!$H$24</f>
        <v>0</v>
      </c>
      <c r="N35" s="328">
        <f>'RD0301'!$I$24</f>
        <v>0</v>
      </c>
      <c r="O35" s="700">
        <f>'RD0301'!$AM$24</f>
        <v>1</v>
      </c>
      <c r="P35" s="439">
        <f>'RD0301'!$AN$24</f>
        <v>1</v>
      </c>
      <c r="Q35" s="702">
        <f>'RD0301'!$AO$24</f>
        <v>0.5</v>
      </c>
    </row>
    <row r="36" spans="1:17" ht="15.75" customHeight="1" thickBot="1" x14ac:dyDescent="0.25">
      <c r="A36" s="714"/>
      <c r="B36" s="715"/>
      <c r="C36" s="715"/>
      <c r="D36" s="715"/>
      <c r="E36" s="716"/>
      <c r="F36" s="327" t="str">
        <f>'RD0301'!$A$25</f>
        <v>TPOX</v>
      </c>
      <c r="G36" s="328">
        <f>'RD0301'!$B$25</f>
        <v>0</v>
      </c>
      <c r="H36" s="328">
        <f>'RD0301'!$C$25</f>
        <v>0</v>
      </c>
      <c r="I36" s="328">
        <f>'RD0301'!$D$25</f>
        <v>0</v>
      </c>
      <c r="J36" s="328">
        <f>'RD0301'!$E$25</f>
        <v>0</v>
      </c>
      <c r="K36" s="328">
        <f>'RD0301'!$F$25</f>
        <v>0</v>
      </c>
      <c r="L36" s="328">
        <f>'RD0301'!$G$25</f>
        <v>0</v>
      </c>
      <c r="M36" s="328">
        <f>'RD0301'!$H$25</f>
        <v>0</v>
      </c>
      <c r="N36" s="328">
        <f>'RD0301'!$I$25</f>
        <v>0</v>
      </c>
      <c r="O36" s="700">
        <f>'RD0301'!$AM$25</f>
        <v>1</v>
      </c>
      <c r="P36" s="439">
        <f>'RD0301'!$AN$25</f>
        <v>1</v>
      </c>
      <c r="Q36" s="702">
        <f>'RD0301'!$AO$25</f>
        <v>0.5</v>
      </c>
    </row>
    <row r="37" spans="1:17" ht="15.75" customHeight="1" thickTop="1" thickBot="1" x14ac:dyDescent="0.35">
      <c r="A37" s="450" t="s">
        <v>312</v>
      </c>
      <c r="B37" s="446"/>
      <c r="C37" s="446"/>
      <c r="D37" s="446"/>
      <c r="E37" s="449"/>
      <c r="F37" s="327" t="str">
        <f>'RD0301'!$A$26</f>
        <v>D8S1179</v>
      </c>
      <c r="G37" s="328">
        <f>'RD0301'!$B$26</f>
        <v>0</v>
      </c>
      <c r="H37" s="328">
        <f>'RD0301'!$C$26</f>
        <v>0</v>
      </c>
      <c r="I37" s="328">
        <f>'RD0301'!$D$26</f>
        <v>0</v>
      </c>
      <c r="J37" s="328">
        <f>'RD0301'!$E$26</f>
        <v>0</v>
      </c>
      <c r="K37" s="328">
        <f>'RD0301'!$F$26</f>
        <v>0</v>
      </c>
      <c r="L37" s="328">
        <f>'RD0301'!$G$26</f>
        <v>0</v>
      </c>
      <c r="M37" s="328">
        <f>'RD0301'!$H$26</f>
        <v>0</v>
      </c>
      <c r="N37" s="328">
        <f>'RD0301'!$I$26</f>
        <v>0</v>
      </c>
      <c r="O37" s="700">
        <f>'RD0301'!$AM$26</f>
        <v>1</v>
      </c>
      <c r="P37" s="439">
        <f>'RD0301'!$AN$26</f>
        <v>1</v>
      </c>
      <c r="Q37" s="702">
        <f>'RD0301'!$AO$26</f>
        <v>0.5</v>
      </c>
    </row>
    <row r="38" spans="1:17" ht="15.75" customHeight="1" thickTop="1" x14ac:dyDescent="0.2">
      <c r="A38" s="714"/>
      <c r="B38" s="715"/>
      <c r="C38" s="715"/>
      <c r="D38" s="715"/>
      <c r="E38" s="716"/>
      <c r="F38" s="327" t="str">
        <f>'RD0301'!$A$27</f>
        <v>D12S391</v>
      </c>
      <c r="G38" s="328">
        <f>'RD0301'!$B$27</f>
        <v>0</v>
      </c>
      <c r="H38" s="328">
        <f>'RD0301'!$C$27</f>
        <v>0</v>
      </c>
      <c r="I38" s="328">
        <f>'RD0301'!$D$27</f>
        <v>0</v>
      </c>
      <c r="J38" s="328">
        <f>'RD0301'!$E$27</f>
        <v>0</v>
      </c>
      <c r="K38" s="328">
        <f>'RD0301'!$F$27</f>
        <v>0</v>
      </c>
      <c r="L38" s="328">
        <f>'RD0301'!$G$27</f>
        <v>0</v>
      </c>
      <c r="M38" s="328">
        <f>'RD0301'!$H$27</f>
        <v>0</v>
      </c>
      <c r="N38" s="328">
        <f>'RD0301'!$I$27</f>
        <v>0</v>
      </c>
      <c r="O38" s="700">
        <f>'RD0301'!$AM$27</f>
        <v>1</v>
      </c>
      <c r="P38" s="439">
        <f>'RD0301'!$AN$27</f>
        <v>1</v>
      </c>
      <c r="Q38" s="702">
        <f>'RD0301'!$AO$27</f>
        <v>0.5</v>
      </c>
    </row>
    <row r="39" spans="1:17" ht="15.75" customHeight="1" x14ac:dyDescent="0.2">
      <c r="A39" s="723"/>
      <c r="B39" s="724"/>
      <c r="C39" s="724"/>
      <c r="D39" s="724"/>
      <c r="E39" s="725"/>
      <c r="F39" s="327" t="str">
        <f>'RD0301'!$A$28</f>
        <v>D19S433</v>
      </c>
      <c r="G39" s="328">
        <f>'RD0301'!$B$28</f>
        <v>0</v>
      </c>
      <c r="H39" s="328">
        <f>'RD0301'!$C$28</f>
        <v>0</v>
      </c>
      <c r="I39" s="328">
        <f>'RD0301'!$D$28</f>
        <v>0</v>
      </c>
      <c r="J39" s="328">
        <f>'RD0301'!$E$28</f>
        <v>0</v>
      </c>
      <c r="K39" s="328">
        <f>'RD0301'!$F$28</f>
        <v>0</v>
      </c>
      <c r="L39" s="328">
        <f>'RD0301'!$G$28</f>
        <v>0</v>
      </c>
      <c r="M39" s="328">
        <f>'RD0301'!$H$28</f>
        <v>0</v>
      </c>
      <c r="N39" s="328">
        <f>'RD0301'!$I$28</f>
        <v>0</v>
      </c>
      <c r="O39" s="700">
        <f>'RD0301'!$AM$28</f>
        <v>1</v>
      </c>
      <c r="P39" s="439">
        <f>'RD0301'!$AN$28</f>
        <v>1</v>
      </c>
      <c r="Q39" s="702">
        <f>'RD0301'!$AO$28</f>
        <v>0.5</v>
      </c>
    </row>
    <row r="40" spans="1:17" ht="15.75" customHeight="1" x14ac:dyDescent="0.2">
      <c r="A40" s="714"/>
      <c r="B40" s="715"/>
      <c r="C40" s="715"/>
      <c r="D40" s="715"/>
      <c r="E40" s="716"/>
      <c r="F40" s="327" t="str">
        <f>'RD0301'!$A$29</f>
        <v>FGA</v>
      </c>
      <c r="G40" s="328">
        <f>'RD0301'!$B$29</f>
        <v>0</v>
      </c>
      <c r="H40" s="328">
        <f>'RD0301'!$C$29</f>
        <v>0</v>
      </c>
      <c r="I40" s="328">
        <f>'RD0301'!$D$29</f>
        <v>0</v>
      </c>
      <c r="J40" s="328">
        <f>'RD0301'!$E$29</f>
        <v>0</v>
      </c>
      <c r="K40" s="328">
        <f>'RD0301'!$F$29</f>
        <v>0</v>
      </c>
      <c r="L40" s="328">
        <f>'RD0301'!$G$29</f>
        <v>0</v>
      </c>
      <c r="M40" s="328">
        <f>'RD0301'!$H$29</f>
        <v>0</v>
      </c>
      <c r="N40" s="328">
        <f>'RD0301'!$I$29</f>
        <v>0</v>
      </c>
      <c r="O40" s="700">
        <f>'RD0301'!$AM$29</f>
        <v>1</v>
      </c>
      <c r="P40" s="439">
        <f>'RD0301'!$AN$29</f>
        <v>1</v>
      </c>
      <c r="Q40" s="702">
        <f>'RD0301'!$AO$29</f>
        <v>0.5</v>
      </c>
    </row>
    <row r="41" spans="1:17" ht="15.75" customHeight="1" thickBot="1" x14ac:dyDescent="0.25">
      <c r="A41" s="714" t="s">
        <v>306</v>
      </c>
      <c r="B41" s="715"/>
      <c r="C41" s="715"/>
      <c r="D41" s="715"/>
      <c r="E41" s="716"/>
      <c r="F41" s="330" t="str">
        <f>'RD0301'!$A$30</f>
        <v>D22S1045</v>
      </c>
      <c r="G41" s="331">
        <f>'RD0301'!$B$30</f>
        <v>0</v>
      </c>
      <c r="H41" s="331">
        <f>'RD0301'!$C$30</f>
        <v>0</v>
      </c>
      <c r="I41" s="331">
        <f>'RD0301'!$D$30</f>
        <v>0</v>
      </c>
      <c r="J41" s="331">
        <f>'RD0301'!$E$30</f>
        <v>0</v>
      </c>
      <c r="K41" s="331">
        <f>'RD0301'!$F$30</f>
        <v>0</v>
      </c>
      <c r="L41" s="331">
        <f>'RD0301'!$G$30</f>
        <v>0</v>
      </c>
      <c r="M41" s="331">
        <f>'RD0301'!$H$30</f>
        <v>0</v>
      </c>
      <c r="N41" s="331">
        <f>'RD0301'!$I$30</f>
        <v>0</v>
      </c>
      <c r="O41" s="701">
        <f>'RD0301'!$AM$30</f>
        <v>1</v>
      </c>
      <c r="P41" s="440">
        <f>'RD0301'!$AN$30</f>
        <v>1</v>
      </c>
      <c r="Q41" s="703">
        <f>'RD0301'!$AO$30</f>
        <v>0.5</v>
      </c>
    </row>
    <row r="42" spans="1:17" ht="15.75" customHeight="1" thickTop="1" x14ac:dyDescent="0.2">
      <c r="A42" s="714"/>
      <c r="B42" s="715"/>
      <c r="C42" s="715"/>
      <c r="D42" s="715"/>
      <c r="E42" s="716"/>
      <c r="F42" s="422"/>
      <c r="G42" s="422"/>
      <c r="H42" s="696"/>
      <c r="I42" s="695"/>
      <c r="J42" s="695"/>
      <c r="K42" s="696"/>
      <c r="L42" s="433" t="str">
        <f>'PD0101'!G43</f>
        <v xml:space="preserve">ÍNDICE DE PATERNIDADE ACUMULADO: </v>
      </c>
      <c r="M42" s="712">
        <f>'RD0301'!$H$43</f>
        <v>1</v>
      </c>
      <c r="N42" s="712"/>
      <c r="O42" s="712"/>
      <c r="P42" s="712"/>
      <c r="Q42" s="713"/>
    </row>
    <row r="43" spans="1:17" ht="15.75" customHeight="1" x14ac:dyDescent="0.2">
      <c r="A43" s="714" t="s">
        <v>307</v>
      </c>
      <c r="B43" s="715"/>
      <c r="C43" s="715"/>
      <c r="D43" s="715"/>
      <c r="E43" s="716"/>
      <c r="F43" s="422"/>
      <c r="G43" s="422"/>
      <c r="H43" s="696"/>
      <c r="I43" s="695"/>
      <c r="J43" s="695"/>
      <c r="K43" s="696"/>
      <c r="L43" s="433" t="str">
        <f>'PD0101'!G44</f>
        <v xml:space="preserve">PROBABILIDADE DE PATERNIDADE: </v>
      </c>
      <c r="M43" s="768">
        <f>'RD0301'!$H$44</f>
        <v>0.5</v>
      </c>
      <c r="N43" s="768"/>
      <c r="O43" s="768"/>
      <c r="P43" s="768"/>
      <c r="Q43" s="769"/>
    </row>
    <row r="44" spans="1:17" ht="15.75" customHeight="1" x14ac:dyDescent="0.2">
      <c r="A44" s="714"/>
      <c r="B44" s="715"/>
      <c r="C44" s="715"/>
      <c r="D44" s="715"/>
      <c r="E44" s="716"/>
      <c r="F44" s="422"/>
      <c r="G44" s="422"/>
      <c r="H44" s="696"/>
      <c r="I44" s="695"/>
      <c r="J44" s="695"/>
      <c r="K44" s="696"/>
      <c r="L44" s="433" t="str">
        <f>'PD0101'!G45</f>
        <v xml:space="preserve">CAP. DE EFICIÊNCIA DOS MARCADORES: </v>
      </c>
      <c r="M44" s="768">
        <f>'RD0301'!$H$45</f>
        <v>0</v>
      </c>
      <c r="N44" s="768"/>
      <c r="O44" s="768"/>
      <c r="P44" s="768"/>
      <c r="Q44" s="769"/>
    </row>
    <row r="45" spans="1:17" ht="15.75" customHeight="1" thickBot="1" x14ac:dyDescent="0.25">
      <c r="A45" s="740"/>
      <c r="B45" s="741"/>
      <c r="C45" s="741"/>
      <c r="D45" s="741"/>
      <c r="E45" s="742"/>
      <c r="F45" s="337"/>
      <c r="G45" s="333"/>
      <c r="H45" s="697"/>
      <c r="I45" s="432" t="str">
        <f>'RD0301'!$G$46</f>
        <v>RESULTADO:</v>
      </c>
      <c r="J45" s="738" t="str">
        <f>'RD0301'!$H$46</f>
        <v>PATERNIDADE REMOTA</v>
      </c>
      <c r="K45" s="738"/>
      <c r="L45" s="738"/>
      <c r="M45" s="738"/>
      <c r="N45" s="738"/>
      <c r="O45" s="738"/>
      <c r="P45" s="738"/>
      <c r="Q45" s="739"/>
    </row>
    <row r="46" spans="1:17" ht="13.5" thickTop="1" x14ac:dyDescent="0.2">
      <c r="A46" s="334"/>
      <c r="B46" s="423"/>
      <c r="C46" s="423"/>
      <c r="D46" s="423"/>
      <c r="E46" s="423"/>
      <c r="F46" s="423"/>
      <c r="G46" s="423"/>
      <c r="H46" s="423"/>
      <c r="I46" s="423"/>
      <c r="J46" s="423"/>
      <c r="K46" s="423"/>
      <c r="L46" s="423"/>
      <c r="M46" s="423"/>
      <c r="N46" s="423"/>
      <c r="O46" s="423"/>
      <c r="P46" s="423"/>
      <c r="Q46" s="413"/>
    </row>
    <row r="47" spans="1:17" hidden="1" x14ac:dyDescent="0.2">
      <c r="A47" s="334"/>
      <c r="B47" s="423"/>
      <c r="C47" s="423"/>
      <c r="D47" s="423"/>
      <c r="E47" s="423"/>
      <c r="F47" s="423"/>
      <c r="G47" s="423"/>
      <c r="H47" s="423"/>
      <c r="I47" s="423"/>
      <c r="J47" s="423"/>
      <c r="K47" s="423"/>
      <c r="L47" s="423"/>
      <c r="M47" s="423"/>
      <c r="N47" s="423"/>
      <c r="O47" s="423"/>
      <c r="P47" s="423"/>
      <c r="Q47" s="413"/>
    </row>
    <row r="48" spans="1:17" x14ac:dyDescent="0.2">
      <c r="A48" s="334"/>
      <c r="B48" s="423"/>
      <c r="C48" s="423"/>
      <c r="D48" s="423"/>
      <c r="E48" s="423"/>
      <c r="F48" s="423"/>
      <c r="G48" s="423"/>
      <c r="H48" s="423"/>
      <c r="I48" s="423"/>
      <c r="J48" s="423"/>
      <c r="K48" s="423"/>
      <c r="L48" s="423"/>
      <c r="M48" s="423"/>
      <c r="N48" s="423"/>
      <c r="O48" s="423"/>
      <c r="P48" s="423"/>
      <c r="Q48" s="413"/>
    </row>
    <row r="49" spans="1:17" ht="9.9499999999999993" customHeight="1" x14ac:dyDescent="0.2">
      <c r="A49" s="730"/>
      <c r="B49" s="731"/>
      <c r="C49" s="731"/>
      <c r="D49" s="731"/>
      <c r="E49" s="731"/>
      <c r="F49" s="731"/>
      <c r="G49" s="731"/>
      <c r="H49" s="731"/>
      <c r="I49" s="731"/>
      <c r="J49" s="731"/>
      <c r="K49" s="731"/>
      <c r="L49" s="731"/>
      <c r="M49" s="731"/>
      <c r="N49" s="731"/>
      <c r="O49" s="731"/>
      <c r="P49" s="731"/>
      <c r="Q49" s="732"/>
    </row>
    <row r="50" spans="1:17" ht="9.75" customHeight="1" x14ac:dyDescent="0.2">
      <c r="A50" s="733" t="s">
        <v>257</v>
      </c>
      <c r="B50" s="734"/>
      <c r="C50" s="734"/>
      <c r="D50" s="734"/>
      <c r="E50" s="734"/>
      <c r="F50" s="734"/>
      <c r="G50" s="734"/>
      <c r="H50" s="734"/>
      <c r="I50" s="734"/>
      <c r="J50" s="734"/>
      <c r="K50" s="734"/>
      <c r="L50" s="734"/>
      <c r="M50" s="734"/>
      <c r="N50" s="734"/>
      <c r="O50" s="734"/>
      <c r="P50" s="734"/>
      <c r="Q50" s="735"/>
    </row>
    <row r="51" spans="1:17" ht="9.75" customHeight="1" x14ac:dyDescent="0.2">
      <c r="A51" s="727" t="s">
        <v>258</v>
      </c>
      <c r="B51" s="728"/>
      <c r="C51" s="728"/>
      <c r="D51" s="728"/>
      <c r="E51" s="728"/>
      <c r="F51" s="728"/>
      <c r="G51" s="728"/>
      <c r="H51" s="728"/>
      <c r="I51" s="728"/>
      <c r="J51" s="728"/>
      <c r="K51" s="728"/>
      <c r="L51" s="728"/>
      <c r="M51" s="728"/>
      <c r="N51" s="728"/>
      <c r="O51" s="728"/>
      <c r="P51" s="728"/>
      <c r="Q51" s="729"/>
    </row>
    <row r="52" spans="1:17" ht="9.75" customHeight="1" x14ac:dyDescent="0.2">
      <c r="A52" s="727" t="s">
        <v>259</v>
      </c>
      <c r="B52" s="728"/>
      <c r="C52" s="728"/>
      <c r="D52" s="728"/>
      <c r="E52" s="728"/>
      <c r="F52" s="728"/>
      <c r="G52" s="728"/>
      <c r="H52" s="728"/>
      <c r="I52" s="728"/>
      <c r="J52" s="728"/>
      <c r="K52" s="728"/>
      <c r="L52" s="728"/>
      <c r="M52" s="728"/>
      <c r="N52" s="728"/>
      <c r="O52" s="728"/>
      <c r="P52" s="728"/>
      <c r="Q52" s="729"/>
    </row>
    <row r="53" spans="1:17" ht="9.75" customHeight="1" x14ac:dyDescent="0.2">
      <c r="A53" s="727" t="s">
        <v>299</v>
      </c>
      <c r="B53" s="728"/>
      <c r="C53" s="728"/>
      <c r="D53" s="728"/>
      <c r="E53" s="728"/>
      <c r="F53" s="728"/>
      <c r="G53" s="728"/>
      <c r="H53" s="728"/>
      <c r="I53" s="728"/>
      <c r="J53" s="728"/>
      <c r="K53" s="728"/>
      <c r="L53" s="728"/>
      <c r="M53" s="728"/>
      <c r="N53" s="728"/>
      <c r="O53" s="728"/>
      <c r="P53" s="728"/>
      <c r="Q53" s="729"/>
    </row>
    <row r="54" spans="1:17" ht="9.75" customHeight="1" thickBot="1" x14ac:dyDescent="0.25">
      <c r="A54" s="717" t="s">
        <v>260</v>
      </c>
      <c r="B54" s="718"/>
      <c r="C54" s="718"/>
      <c r="D54" s="718"/>
      <c r="E54" s="718"/>
      <c r="F54" s="718"/>
      <c r="G54" s="718"/>
      <c r="H54" s="718"/>
      <c r="I54" s="718"/>
      <c r="J54" s="718"/>
      <c r="K54" s="718"/>
      <c r="L54" s="718"/>
      <c r="M54" s="718"/>
      <c r="N54" s="718"/>
      <c r="O54" s="718"/>
      <c r="P54" s="718"/>
      <c r="Q54" s="719"/>
    </row>
    <row r="55" spans="1:17" ht="13.5" hidden="1" thickTop="1" x14ac:dyDescent="0.2">
      <c r="A55" s="334"/>
      <c r="B55" s="423"/>
      <c r="C55" s="423"/>
      <c r="D55" s="423"/>
      <c r="E55" s="423"/>
      <c r="F55" s="423"/>
      <c r="G55" s="423"/>
      <c r="H55" s="423"/>
      <c r="I55" s="423"/>
      <c r="J55" s="423"/>
      <c r="K55" s="423"/>
      <c r="L55" s="423"/>
      <c r="M55" s="423"/>
      <c r="N55" s="423"/>
      <c r="O55" s="423"/>
      <c r="P55" s="423"/>
      <c r="Q55" s="413"/>
    </row>
    <row r="56" spans="1:17" ht="13.5" hidden="1" thickTop="1" x14ac:dyDescent="0.2">
      <c r="A56" s="334"/>
      <c r="B56" s="423"/>
      <c r="C56" s="423"/>
      <c r="D56" s="423"/>
      <c r="E56" s="423"/>
      <c r="F56" s="423"/>
      <c r="G56" s="423"/>
      <c r="H56" s="423"/>
      <c r="I56" s="423"/>
      <c r="J56" s="423"/>
      <c r="K56" s="423"/>
      <c r="L56" s="423"/>
      <c r="M56" s="423"/>
      <c r="N56" s="423"/>
      <c r="O56" s="423"/>
      <c r="P56" s="423"/>
      <c r="Q56" s="413"/>
    </row>
    <row r="57" spans="1:17" ht="14.25" hidden="1" thickTop="1" thickBot="1" x14ac:dyDescent="0.25">
      <c r="A57" s="335"/>
      <c r="B57" s="336"/>
      <c r="C57" s="336"/>
      <c r="D57" s="336"/>
      <c r="E57" s="336"/>
      <c r="F57" s="336"/>
      <c r="G57" s="336"/>
      <c r="H57" s="336"/>
      <c r="I57" s="336"/>
      <c r="J57" s="336"/>
      <c r="K57" s="336"/>
      <c r="L57" s="336"/>
      <c r="M57" s="336"/>
      <c r="N57" s="336"/>
      <c r="O57" s="336"/>
      <c r="P57" s="336"/>
      <c r="Q57" s="424"/>
    </row>
    <row r="58" spans="1:17" ht="13.5" thickTop="1" x14ac:dyDescent="0.2"/>
    <row r="60" spans="1:17" x14ac:dyDescent="0.2">
      <c r="C60" s="761"/>
      <c r="D60" s="761"/>
      <c r="E60" s="761"/>
      <c r="F60" s="442"/>
      <c r="G60" s="442"/>
      <c r="H60" s="442"/>
      <c r="I60" s="442"/>
      <c r="J60" s="442"/>
      <c r="K60" s="442"/>
      <c r="L60" s="442"/>
      <c r="M60" s="442"/>
      <c r="N60" s="442"/>
      <c r="O60" s="442"/>
      <c r="P60" s="442"/>
      <c r="Q60" s="442"/>
    </row>
    <row r="61" spans="1:17" x14ac:dyDescent="0.2">
      <c r="A61" s="444"/>
      <c r="B61" s="444"/>
      <c r="C61" s="743"/>
      <c r="D61" s="743"/>
      <c r="E61" s="743"/>
      <c r="F61" s="743"/>
      <c r="G61" s="743"/>
      <c r="H61" s="743"/>
      <c r="I61" s="743"/>
      <c r="J61" s="743"/>
      <c r="K61" s="452"/>
      <c r="L61" s="452"/>
      <c r="M61" s="452"/>
      <c r="N61" s="452"/>
      <c r="O61" s="452"/>
      <c r="P61" s="452"/>
      <c r="Q61" s="452"/>
    </row>
    <row r="62" spans="1:17" x14ac:dyDescent="0.2">
      <c r="A62" s="444"/>
      <c r="B62" s="444"/>
      <c r="C62" s="743"/>
      <c r="D62" s="743"/>
      <c r="E62" s="743"/>
      <c r="F62" s="743"/>
      <c r="G62" s="743"/>
      <c r="H62" s="743"/>
      <c r="I62" s="743"/>
      <c r="J62" s="743"/>
      <c r="K62" s="743"/>
      <c r="L62" s="743"/>
      <c r="M62" s="743"/>
      <c r="N62" s="743"/>
      <c r="O62" s="743"/>
      <c r="P62" s="743"/>
      <c r="Q62" s="743"/>
    </row>
    <row r="63" spans="1:17" x14ac:dyDescent="0.2">
      <c r="A63" s="444"/>
      <c r="B63" s="444"/>
      <c r="C63" s="743"/>
      <c r="D63" s="743"/>
      <c r="E63" s="743"/>
      <c r="F63" s="743"/>
      <c r="G63" s="743"/>
      <c r="H63" s="743"/>
      <c r="I63" s="743"/>
      <c r="J63" s="743"/>
      <c r="K63" s="743"/>
      <c r="L63" s="743"/>
      <c r="M63" s="743"/>
      <c r="N63" s="743"/>
      <c r="O63" s="743"/>
      <c r="P63" s="743"/>
      <c r="Q63" s="743"/>
    </row>
    <row r="64" spans="1:17" x14ac:dyDescent="0.2">
      <c r="A64" s="444"/>
      <c r="B64" s="444"/>
      <c r="C64" s="743"/>
      <c r="D64" s="743"/>
      <c r="E64" s="743"/>
      <c r="F64" s="743"/>
      <c r="G64" s="743"/>
      <c r="H64" s="743"/>
      <c r="I64" s="743"/>
      <c r="J64" s="743"/>
      <c r="K64" s="743"/>
      <c r="L64" s="743"/>
      <c r="M64" s="743"/>
      <c r="N64" s="743"/>
      <c r="O64" s="743"/>
      <c r="P64" s="743"/>
      <c r="Q64" s="743"/>
    </row>
    <row r="65" spans="1:17" x14ac:dyDescent="0.2">
      <c r="A65" s="444"/>
      <c r="B65" s="444"/>
      <c r="C65" s="743"/>
      <c r="D65" s="743"/>
      <c r="E65" s="743"/>
      <c r="F65" s="743"/>
      <c r="G65" s="743"/>
      <c r="H65" s="743"/>
      <c r="I65" s="743"/>
      <c r="J65" s="743"/>
      <c r="K65" s="743"/>
      <c r="L65" s="743"/>
      <c r="M65" s="743"/>
      <c r="N65" s="743"/>
      <c r="O65" s="743"/>
      <c r="P65" s="743"/>
      <c r="Q65" s="743"/>
    </row>
    <row r="66" spans="1:17" x14ac:dyDescent="0.2">
      <c r="C66" s="442"/>
      <c r="D66" s="442"/>
      <c r="E66" s="442"/>
      <c r="F66" s="442"/>
      <c r="G66" s="442"/>
      <c r="H66" s="442"/>
      <c r="I66" s="442"/>
      <c r="J66" s="442"/>
      <c r="K66" s="442"/>
      <c r="L66" s="442"/>
      <c r="M66" s="442"/>
      <c r="N66" s="442"/>
      <c r="O66" s="442"/>
      <c r="P66" s="442"/>
      <c r="Q66" s="442"/>
    </row>
  </sheetData>
  <mergeCells count="50">
    <mergeCell ref="M19:N19"/>
    <mergeCell ref="M42:Q42"/>
    <mergeCell ref="M43:Q43"/>
    <mergeCell ref="M44:Q44"/>
    <mergeCell ref="M4:Q10"/>
    <mergeCell ref="C65:Q65"/>
    <mergeCell ref="A49:Q49"/>
    <mergeCell ref="A50:Q50"/>
    <mergeCell ref="A51:Q51"/>
    <mergeCell ref="A52:Q52"/>
    <mergeCell ref="A53:Q53"/>
    <mergeCell ref="A54:Q54"/>
    <mergeCell ref="C60:E60"/>
    <mergeCell ref="C61:J61"/>
    <mergeCell ref="C62:Q62"/>
    <mergeCell ref="C63:Q63"/>
    <mergeCell ref="C64:Q64"/>
    <mergeCell ref="A43:E43"/>
    <mergeCell ref="A44:E44"/>
    <mergeCell ref="A45:E45"/>
    <mergeCell ref="J45:Q45"/>
    <mergeCell ref="A30:E36"/>
    <mergeCell ref="A38:E38"/>
    <mergeCell ref="A39:E39"/>
    <mergeCell ref="A40:E40"/>
    <mergeCell ref="A41:E41"/>
    <mergeCell ref="A42:E42"/>
    <mergeCell ref="A28:E28"/>
    <mergeCell ref="G19:H19"/>
    <mergeCell ref="I19:J19"/>
    <mergeCell ref="K19:L19"/>
    <mergeCell ref="A20:E20"/>
    <mergeCell ref="A21:E21"/>
    <mergeCell ref="A22:E22"/>
    <mergeCell ref="A23:E23"/>
    <mergeCell ref="A24:E24"/>
    <mergeCell ref="A25:E25"/>
    <mergeCell ref="A26:E26"/>
    <mergeCell ref="A27:E27"/>
    <mergeCell ref="G14:I14"/>
    <mergeCell ref="G15:I15"/>
    <mergeCell ref="G16:L16"/>
    <mergeCell ref="A18:E18"/>
    <mergeCell ref="F18:Q18"/>
    <mergeCell ref="F2:Q2"/>
    <mergeCell ref="J3:Q3"/>
    <mergeCell ref="E4:L10"/>
    <mergeCell ref="A11:Q11"/>
    <mergeCell ref="B12:L12"/>
    <mergeCell ref="P12:Q12"/>
  </mergeCells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B9" sqref="B9:E30"/>
    </sheetView>
  </sheetViews>
  <sheetFormatPr defaultColWidth="9.140625" defaultRowHeight="12.75" x14ac:dyDescent="0.2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 x14ac:dyDescent="0.25">
      <c r="A1" s="807" t="s">
        <v>245</v>
      </c>
      <c r="B1" s="808"/>
      <c r="C1" s="808"/>
      <c r="D1" s="808"/>
      <c r="E1" s="808"/>
      <c r="F1" s="808"/>
      <c r="G1" s="808"/>
      <c r="H1" s="808"/>
      <c r="I1" s="808"/>
      <c r="J1" s="808"/>
      <c r="K1" s="808"/>
      <c r="L1" s="808"/>
      <c r="M1" s="808"/>
      <c r="N1" s="808"/>
      <c r="O1" s="808"/>
      <c r="P1" s="808"/>
      <c r="Q1" s="808"/>
      <c r="R1" s="808"/>
      <c r="S1" s="808"/>
      <c r="T1" s="808"/>
      <c r="U1" s="808"/>
      <c r="V1" s="808"/>
      <c r="W1" s="808"/>
      <c r="X1" s="808"/>
      <c r="Y1" s="808"/>
      <c r="Z1" s="808"/>
      <c r="AA1" s="808"/>
      <c r="AB1" s="808"/>
      <c r="AC1" s="808"/>
      <c r="AD1" s="808"/>
      <c r="AE1" s="808"/>
      <c r="AF1" s="808"/>
      <c r="AG1" s="808"/>
      <c r="AH1" s="808"/>
      <c r="AI1" s="808"/>
      <c r="AJ1" s="808"/>
      <c r="AK1" s="808"/>
      <c r="AL1" s="808"/>
      <c r="AM1" s="808"/>
      <c r="AN1" s="809"/>
      <c r="AO1" s="20"/>
      <c r="AP1" s="21"/>
    </row>
    <row r="2" spans="1:80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 x14ac:dyDescent="0.25">
      <c r="A3" s="237" t="s">
        <v>81</v>
      </c>
      <c r="B3" s="810"/>
      <c r="C3" s="810"/>
      <c r="D3" s="810"/>
      <c r="E3" s="810"/>
      <c r="F3" s="810"/>
      <c r="G3" s="810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806" t="s">
        <v>0</v>
      </c>
      <c r="AI3" s="806"/>
      <c r="AJ3" s="806"/>
      <c r="AK3" s="806"/>
      <c r="AL3" s="806"/>
      <c r="AM3" s="806"/>
      <c r="AN3" s="240"/>
    </row>
    <row r="4" spans="1:80" ht="14.45" customHeight="1" x14ac:dyDescent="0.25">
      <c r="A4" s="237" t="s">
        <v>161</v>
      </c>
      <c r="B4" s="319"/>
      <c r="C4" s="320"/>
      <c r="D4" s="320"/>
      <c r="E4" s="320"/>
      <c r="F4" s="320"/>
      <c r="G4" s="320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8"/>
      <c r="U4" s="238"/>
      <c r="V4" s="238"/>
      <c r="W4" s="238"/>
      <c r="X4" s="238"/>
      <c r="Y4" s="238"/>
      <c r="Z4" s="238"/>
      <c r="AA4" s="238"/>
      <c r="AB4" s="238"/>
      <c r="AC4" s="238"/>
      <c r="AD4" s="238"/>
      <c r="AE4" s="238"/>
      <c r="AF4" s="238"/>
      <c r="AG4" s="238"/>
      <c r="AH4" s="238"/>
      <c r="AI4" s="244" t="str">
        <f>(IF(('IMPORTAÇÃO GENOTIPER'!AA4="X"),"XX",(IF(('IMPORTAÇÃO GENOTIPER'!AA4&lt;&gt;"X"),"ERRO"))))</f>
        <v>ERRO</v>
      </c>
      <c r="AJ4" s="239"/>
      <c r="AK4" s="239"/>
      <c r="AL4" s="239"/>
      <c r="AM4" s="241" t="str">
        <f>IF(('SUPERVISÃO 1'!$AB$34="EVIDÊNCIA DE TROCA"),"VERIFICAR","OK")</f>
        <v>OK</v>
      </c>
      <c r="AN4" s="242"/>
    </row>
    <row r="5" spans="1:80" ht="14.45" customHeight="1" thickBot="1" x14ac:dyDescent="0.3">
      <c r="A5" s="237" t="s">
        <v>92</v>
      </c>
      <c r="B5" s="319"/>
      <c r="C5" s="320"/>
      <c r="D5" s="320"/>
      <c r="E5" s="320"/>
      <c r="F5" s="320"/>
      <c r="G5" s="320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43"/>
      <c r="Y5" s="243"/>
      <c r="Z5" s="243"/>
      <c r="AA5" s="243"/>
      <c r="AB5" s="243"/>
      <c r="AC5" s="243"/>
      <c r="AD5" s="243"/>
      <c r="AE5" s="238"/>
      <c r="AF5" s="238"/>
      <c r="AG5" s="238"/>
      <c r="AH5" s="238"/>
      <c r="AI5" s="245" t="str">
        <f>(IF(('IMPORTAÇÃO GENOTIPER'!AQ4="Y"),"XY",(IF(('IMPORTAÇÃO GENOTIPER'!AQ4="X"),"XX","ERRO"))))</f>
        <v>ERRO</v>
      </c>
      <c r="AJ5" s="239"/>
      <c r="AK5" s="239"/>
      <c r="AL5" s="239"/>
      <c r="AM5" s="241" t="str">
        <f>IF(('SUPERVISÃO 2'!$AB$34="EVIDÊNCIA DE TROCA"),"VERIFICAR","OK")</f>
        <v>OK</v>
      </c>
      <c r="AN5" s="242"/>
    </row>
    <row r="6" spans="1:80" ht="14.45" customHeight="1" thickTop="1" thickBot="1" x14ac:dyDescent="0.3">
      <c r="A6" s="237" t="s">
        <v>93</v>
      </c>
      <c r="B6" s="319"/>
      <c r="C6" s="320"/>
      <c r="D6" s="320"/>
      <c r="E6" s="320"/>
      <c r="F6" s="320"/>
      <c r="G6" s="320"/>
      <c r="H6" s="238"/>
      <c r="I6" s="238"/>
      <c r="J6" s="238"/>
      <c r="K6" s="238"/>
      <c r="L6" s="238"/>
      <c r="M6" s="238"/>
      <c r="N6" s="238"/>
      <c r="O6" s="238"/>
      <c r="P6" s="238"/>
      <c r="Q6" s="238"/>
      <c r="R6" s="238"/>
      <c r="S6" s="238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7"/>
      <c r="AI6" s="246" t="str">
        <f>(IF(('IMPORTAÇÃO GENOTIPER'!BG4="Y"),"XY",(IF(('IMPORTAÇÃO GENOTIPER'!BG4&lt;&gt;"Y"),"ERRO"))))</f>
        <v>ERRO</v>
      </c>
      <c r="AJ6" s="239" t="s">
        <v>149</v>
      </c>
      <c r="AK6" s="239"/>
      <c r="AL6" s="239"/>
      <c r="AM6" s="241" t="str">
        <f>IF(('SUPERVISÃO 3'!$AB$34="TROCA POSSÍVEL"),"VERIFICAR","OK")</f>
        <v>OK</v>
      </c>
      <c r="AN6" s="242"/>
      <c r="AO6" s="22"/>
      <c r="AZ6" s="811" t="s">
        <v>88</v>
      </c>
      <c r="BA6" s="812"/>
      <c r="BB6" s="31">
        <v>1E-3</v>
      </c>
      <c r="BH6" s="67"/>
      <c r="BI6" s="56"/>
      <c r="BJ6" s="56"/>
      <c r="BK6" s="56"/>
      <c r="BL6" s="56"/>
    </row>
    <row r="7" spans="1:80" s="22" customFormat="1" ht="14.45" customHeight="1" thickTop="1" thickBot="1" x14ac:dyDescent="0.25">
      <c r="A7" s="233" t="str">
        <f>IF(($BD$43=1)," DETECTADA 1 MUTAÇÃO MATERNA",IF(($BD$43=2)," DETECTADAS 2 MUTAÇÕES MATERNAS",IF(($BD$43&gt;=3)," DETECTADA EXCLUSÃO DE MÃE"," MATERNIDADE CONFIRMADA")))</f>
        <v xml:space="preserve"> DETECTADA EXCLUSÃO DE MÃE</v>
      </c>
      <c r="B7" s="234"/>
      <c r="C7" s="235"/>
      <c r="D7" s="235"/>
      <c r="E7" s="235"/>
      <c r="F7" s="236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 t="s">
        <v>221</v>
      </c>
      <c r="AC7" s="235"/>
      <c r="AD7" s="235"/>
      <c r="AE7" s="235"/>
      <c r="AF7" s="235"/>
      <c r="AG7" s="235"/>
      <c r="AH7" s="11" t="s">
        <v>91</v>
      </c>
      <c r="AI7" s="306">
        <v>0.05</v>
      </c>
      <c r="AJ7" s="22" t="s">
        <v>150</v>
      </c>
      <c r="AM7" s="214" t="str">
        <f>IF(('SUPERVISÃO 4'!$AG$34="VERIFICAR"),"VERIFICAR","OK")</f>
        <v>VERIFICAR</v>
      </c>
      <c r="AN7" s="74"/>
      <c r="AO7" s="22" t="s">
        <v>78</v>
      </c>
      <c r="AZ7" s="784" t="s">
        <v>87</v>
      </c>
      <c r="BA7" s="785"/>
      <c r="BB7" s="786"/>
      <c r="BF7" s="38"/>
      <c r="BG7" s="38"/>
      <c r="BI7" s="784" t="s">
        <v>108</v>
      </c>
      <c r="BJ7" s="785"/>
      <c r="BK7" s="786"/>
      <c r="BL7" s="787" t="s">
        <v>109</v>
      </c>
      <c r="BM7" s="788"/>
      <c r="BN7" s="789"/>
      <c r="BO7" s="790" t="s">
        <v>111</v>
      </c>
      <c r="BP7" s="791"/>
      <c r="BQ7" s="792"/>
    </row>
    <row r="8" spans="1:80" ht="14.45" customHeight="1" thickTop="1" thickBot="1" x14ac:dyDescent="0.3">
      <c r="A8" s="227" t="s">
        <v>50</v>
      </c>
      <c r="B8" s="793" t="s">
        <v>130</v>
      </c>
      <c r="C8" s="794"/>
      <c r="D8" s="793" t="s">
        <v>131</v>
      </c>
      <c r="E8" s="794"/>
      <c r="F8" s="793" t="s">
        <v>133</v>
      </c>
      <c r="G8" s="794"/>
      <c r="H8" s="793" t="s">
        <v>97</v>
      </c>
      <c r="I8" s="794"/>
      <c r="J8" s="793" t="s">
        <v>98</v>
      </c>
      <c r="K8" s="794"/>
      <c r="L8" s="793" t="s">
        <v>99</v>
      </c>
      <c r="M8" s="794"/>
      <c r="N8" s="793" t="s">
        <v>165</v>
      </c>
      <c r="O8" s="794"/>
      <c r="P8" s="793" t="s">
        <v>166</v>
      </c>
      <c r="Q8" s="794"/>
      <c r="R8" s="793" t="s">
        <v>167</v>
      </c>
      <c r="S8" s="794"/>
      <c r="T8" s="228" t="s">
        <v>135</v>
      </c>
      <c r="U8" s="228" t="s">
        <v>136</v>
      </c>
      <c r="V8" s="228" t="s">
        <v>137</v>
      </c>
      <c r="W8" s="229" t="s">
        <v>134</v>
      </c>
      <c r="X8" s="795" t="s">
        <v>138</v>
      </c>
      <c r="Y8" s="796"/>
      <c r="Z8" s="795" t="s">
        <v>141</v>
      </c>
      <c r="AA8" s="796"/>
      <c r="AB8" s="228" t="s">
        <v>145</v>
      </c>
      <c r="AC8" s="228" t="s">
        <v>147</v>
      </c>
      <c r="AD8" s="795" t="s">
        <v>244</v>
      </c>
      <c r="AE8" s="817"/>
      <c r="AF8" s="796"/>
      <c r="AG8" s="2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31" t="s">
        <v>143</v>
      </c>
      <c r="AJ8" s="104" t="s">
        <v>139</v>
      </c>
      <c r="AK8" s="104"/>
      <c r="AL8" s="104"/>
      <c r="AM8" s="231" t="s">
        <v>176</v>
      </c>
      <c r="AN8" s="231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51" t="s">
        <v>100</v>
      </c>
      <c r="BG8" s="51" t="s">
        <v>101</v>
      </c>
      <c r="BI8" s="13" t="s">
        <v>105</v>
      </c>
      <c r="BJ8" s="54" t="s">
        <v>106</v>
      </c>
      <c r="BK8" s="54" t="s">
        <v>107</v>
      </c>
      <c r="BL8" s="58" t="s">
        <v>105</v>
      </c>
      <c r="BM8" s="59" t="s">
        <v>112</v>
      </c>
      <c r="BN8" s="59" t="s">
        <v>110</v>
      </c>
      <c r="BO8" s="61" t="s">
        <v>105</v>
      </c>
      <c r="BP8" s="62" t="s">
        <v>113</v>
      </c>
      <c r="BQ8" s="63" t="s">
        <v>114</v>
      </c>
    </row>
    <row r="9" spans="1:80" ht="14.45" customHeight="1" thickTop="1" thickBot="1" x14ac:dyDescent="0.25">
      <c r="A9" s="232" t="str">
        <f>'IMPORTAÇÃO GENOTIPER'!A5</f>
        <v>D3S1358</v>
      </c>
      <c r="B9" s="307">
        <f>'IMPORTAÇÃO GENOTIPER'!S5</f>
        <v>0</v>
      </c>
      <c r="C9" s="307">
        <f>'IMPORTAÇÃO GENOTIPER'!AA5</f>
        <v>0</v>
      </c>
      <c r="D9" s="307">
        <f>'IMPORTAÇÃO GENOTIPER'!AI5</f>
        <v>0</v>
      </c>
      <c r="E9" s="307">
        <f>'IMPORTAÇÃO GENOTIPER'!AQ5</f>
        <v>0</v>
      </c>
      <c r="F9" s="307">
        <f>'IMPORTAÇÃO GENOTIPER'!AY5</f>
        <v>0</v>
      </c>
      <c r="G9" s="307">
        <f>'IMPORTAÇÃO GENOTIPER'!BG5</f>
        <v>0</v>
      </c>
      <c r="H9" s="308">
        <f t="shared" ref="H9:H42" si="0">(IF(CODE(B9)=(60),($BF9-1),(IF(CODE(B9)=(62),($BG9+1),B9))))</f>
        <v>0</v>
      </c>
      <c r="I9" s="308">
        <f t="shared" ref="I9:I42" si="1">(IF(CODE(C9)=(60),($BF9-1),(IF(CODE(C9)=(62),($BG9+1),C9))))</f>
        <v>0</v>
      </c>
      <c r="J9" s="308">
        <f t="shared" ref="J9:J42" si="2">(IF(CODE(D9)=(60),($BF9-1),(IF(CODE(D9)=(62),($BG9+1),D9))))</f>
        <v>0</v>
      </c>
      <c r="K9" s="308">
        <f t="shared" ref="K9:K42" si="3">(IF(CODE(E9)=(60),($BF9-1),(IF(CODE(E9)=(62),($BG9+1),E9))))</f>
        <v>0</v>
      </c>
      <c r="L9" s="308">
        <f t="shared" ref="L9:L42" si="4">(IF(CODE(F9)=(60),($BF9-1),(IF(CODE(F9)=(62),($BG9+1),F9))))</f>
        <v>0</v>
      </c>
      <c r="M9" s="308">
        <f t="shared" ref="M9:M42" si="5">(IF(CODE(G9)=(60),($BF9-1),(IF(CODE(G9)=(62),($BG9+1),G9))))</f>
        <v>0</v>
      </c>
      <c r="N9" s="94">
        <f t="shared" ref="N9:N23" si="6">IF((H9&gt;I9),I9,H9)</f>
        <v>0</v>
      </c>
      <c r="O9" s="94">
        <f t="shared" ref="O9:O23" si="7">IF((I9&gt;H9),I9,H9)</f>
        <v>0</v>
      </c>
      <c r="P9" s="94">
        <f t="shared" ref="P9:P23" si="8">IF((J9&gt;K9),K9,J9)</f>
        <v>0</v>
      </c>
      <c r="Q9" s="94">
        <f t="shared" ref="Q9:Q23" si="9">IF((K9&gt;J9),K9,J9)</f>
        <v>0</v>
      </c>
      <c r="R9" s="94">
        <f t="shared" ref="R9:R23" si="10">IF((L9&gt;M9),M9,L9)</f>
        <v>0</v>
      </c>
      <c r="S9" s="94">
        <f t="shared" ref="S9:S23" si="11">IF((M9&gt;L9),M9,L9)</f>
        <v>0</v>
      </c>
      <c r="T9" s="95">
        <f t="shared" ref="T9:T23" si="12">IF((P9=N9),P9,(IF((P9=O9),P9,0)))</f>
        <v>0</v>
      </c>
      <c r="U9" s="95">
        <f t="shared" ref="U9:U23" si="13">IF((Q9=N9),Q9,(IF((Q9=O9),Q9,0)))</f>
        <v>0</v>
      </c>
      <c r="V9" s="96">
        <f>(IF((OR((P9="&gt;18"),(Q9="&gt;18"))),2,(IF(((T9+U9)=(P9+Q9)),0,1))))</f>
        <v>0</v>
      </c>
      <c r="W9" s="97">
        <f>IF(OR(($T9=$U9),($U9=0)),$T9,(IF(AND(($T9=0),($U9&lt;&gt;0)),$U9,$AJ$7)))</f>
        <v>0</v>
      </c>
      <c r="X9" s="120">
        <f t="shared" ref="X9:X42" si="14">(ROUND( (IF((AND((T9=0),(U9=0))),D9,(IF((V9=2),S9,(IF((W9&lt;&gt;$AJ$7),(P9+Q9-W9),P9)))))),1))</f>
        <v>0</v>
      </c>
      <c r="Y9" s="95">
        <f>(IF((AND(($T9=0),($U9=0))),$E9,(IF(($W9&lt;&gt;$AJ$7),0,$Q9))))</f>
        <v>0</v>
      </c>
      <c r="Z9" s="98">
        <f t="shared" ref="Z9:Z23" si="15">(IF(OR((X9=R9),(X9=S9)),X9,0))</f>
        <v>0</v>
      </c>
      <c r="AA9" s="99">
        <f t="shared" ref="AA9:AA38" si="16">(IF(AND((V9=0),(Z9=0),(OR((S9=T9),(S9=U9)))),Y9,(IF((Y9&lt;&gt;0),(IF(OR((Y9=R9),(Y9=S9)),Y9,0)),0))))</f>
        <v>0</v>
      </c>
      <c r="AB9" s="100">
        <f>IF(X9=0,0,VLOOKUP(X9,FREQUENCIAS!$1:$1048576,(IF(($A9=FREQUENCIAS!$B$1),2,"ERRO")),FREQUENCIAS!$1:$1048576))</f>
        <v>0</v>
      </c>
      <c r="AC9" s="100">
        <f>IF(Y9=0,0,VLOOKUP(Y9,FREQUENCIAS!$1:$1048576,(IF(($A9=FREQUENCIAS!$B$1),2,"ERRO")),FREQUENCIAS!$1:$1048576))</f>
        <v>0</v>
      </c>
      <c r="AD9" s="100"/>
      <c r="AE9" s="321"/>
      <c r="AF9" s="100"/>
      <c r="AG9" s="101">
        <f>(IF((A9="ERRO-FT"),"11",(IF((AND(($Z9=0),($AA9=0),(AX$44="S"))),0,(IF((AB9+AC9)&lt;=$AI$7,$AI$7,(AB9+AC9)))))))</f>
        <v>0</v>
      </c>
      <c r="AH9" s="102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1</v>
      </c>
      <c r="AI9" s="103">
        <f t="shared" ref="AI9:AI23" si="18">(IF((AH9=0),0,(AH9/(AH9+1))))</f>
        <v>0.5</v>
      </c>
      <c r="AJ9" s="104"/>
      <c r="AK9" s="105">
        <f>IF(AG9=0,0,(1-AG9)^2)</f>
        <v>0</v>
      </c>
      <c r="AL9" s="104"/>
      <c r="AM9" s="106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7" t="str">
        <f t="shared" ref="AN9:AN42" si="20">(IF((AND(($BD$43&lt;=2),(BD9=1))),"MT",(IF((AND(($BD$43&gt;2),(BD9=1))),"EM","OK"))))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1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1">
        <f t="shared" ref="BC9:BC42" si="22">(IF((AND(($AX$44="N"),($AX$46="O"),($AX9=1))),1,$AH9))</f>
        <v>1</v>
      </c>
      <c r="BD9" s="2">
        <f t="shared" ref="BD9:BD30" si="23">IF((W9=0),1,0)</f>
        <v>1</v>
      </c>
      <c r="BE9" s="68"/>
      <c r="BF9" s="52">
        <v>8</v>
      </c>
      <c r="BG9" s="52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7" t="str">
        <f t="shared" ref="BI9:BI42" si="24">IF(($W9=($BF9-1)),"&lt;",IF(($W9=($BG9+1)),"&gt;",""))</f>
        <v/>
      </c>
      <c r="BJ9" s="57">
        <f t="shared" ref="BJ9:BJ42" si="25">IF(($W9=($BF9-1)),$BF9,IF(($W9=($BG9-1)),$BG9,$W9))</f>
        <v>0</v>
      </c>
      <c r="BK9" s="57">
        <f t="shared" ref="BK9:BK42" si="26">(IF((OR(($W9=($BF9-1)),($W9=($BG9+1)))),(CONCATENATE((BI9),(BJ9))),$W9))</f>
        <v>0</v>
      </c>
      <c r="BL9" s="60" t="str">
        <f t="shared" ref="BL9:BL42" si="27">IF(($Z9=($BF9-1)),"&lt;",IF(($Z9=($BG9+1)),"&gt;",""))</f>
        <v/>
      </c>
      <c r="BM9" s="60">
        <f t="shared" ref="BM9:BM42" si="28">IF(($Z9=($BF9-1)),$BF9,IF(($Z9=($BG9+1)),$BG9,$Z9))</f>
        <v>0</v>
      </c>
      <c r="BN9" s="60">
        <f t="shared" ref="BN9:BN42" si="29">(IF((OR(($Z9=($BF9-1)),($Z9=($BG9+1)))),(CONCATENATE((BL9),(BM9))),$Z9))</f>
        <v>0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309">
        <v>9</v>
      </c>
      <c r="BU9" s="310" t="s">
        <v>103</v>
      </c>
    </row>
    <row r="10" spans="1:80" ht="14.45" customHeight="1" thickTop="1" thickBot="1" x14ac:dyDescent="0.25">
      <c r="A10" s="232" t="str">
        <f>'IMPORTAÇÃO GENOTIPER'!A6</f>
        <v>D1S1656</v>
      </c>
      <c r="B10" s="307">
        <f>'IMPORTAÇÃO GENOTIPER'!S6</f>
        <v>0</v>
      </c>
      <c r="C10" s="307">
        <f>'IMPORTAÇÃO GENOTIPER'!AA6</f>
        <v>0</v>
      </c>
      <c r="D10" s="307">
        <f>'IMPORTAÇÃO GENOTIPER'!AI6</f>
        <v>0</v>
      </c>
      <c r="E10" s="307">
        <f>'IMPORTAÇÃO GENOTIPER'!AQ6</f>
        <v>0</v>
      </c>
      <c r="F10" s="307">
        <f>'IMPORTAÇÃO GENOTIPER'!AY6</f>
        <v>0</v>
      </c>
      <c r="G10" s="307">
        <f>'IMPORTAÇÃO GENOTIPER'!BG6</f>
        <v>0</v>
      </c>
      <c r="H10" s="308">
        <f t="shared" si="0"/>
        <v>0</v>
      </c>
      <c r="I10" s="308">
        <f t="shared" si="1"/>
        <v>0</v>
      </c>
      <c r="J10" s="308">
        <f t="shared" si="2"/>
        <v>0</v>
      </c>
      <c r="K10" s="308">
        <f t="shared" si="3"/>
        <v>0</v>
      </c>
      <c r="L10" s="308">
        <f t="shared" si="4"/>
        <v>0</v>
      </c>
      <c r="M10" s="308">
        <f t="shared" si="5"/>
        <v>0</v>
      </c>
      <c r="N10" s="94">
        <f t="shared" si="6"/>
        <v>0</v>
      </c>
      <c r="O10" s="94">
        <f t="shared" si="7"/>
        <v>0</v>
      </c>
      <c r="P10" s="94">
        <f t="shared" si="8"/>
        <v>0</v>
      </c>
      <c r="Q10" s="94">
        <f t="shared" si="9"/>
        <v>0</v>
      </c>
      <c r="R10" s="94">
        <f t="shared" si="10"/>
        <v>0</v>
      </c>
      <c r="S10" s="94">
        <f t="shared" si="11"/>
        <v>0</v>
      </c>
      <c r="T10" s="95">
        <f t="shared" si="12"/>
        <v>0</v>
      </c>
      <c r="U10" s="95">
        <f t="shared" si="13"/>
        <v>0</v>
      </c>
      <c r="V10" s="96">
        <f>(IF((OR((P10="&gt;36"),(Q10="&gt;36"))),2,(IF(((T10+U10)=(P10+Q10)),0,1))))</f>
        <v>0</v>
      </c>
      <c r="W10" s="97">
        <f t="shared" ref="W10:W23" si="33">IF(OR((T10=U10),(U10=0)),T10,(IF(AND((T10=0),(U10&lt;&gt;0)),U10,$AJ$7)))</f>
        <v>0</v>
      </c>
      <c r="X10" s="120">
        <f t="shared" si="14"/>
        <v>0</v>
      </c>
      <c r="Y10" s="95">
        <f>(IF((AND((T10=0),(U10=0))),E10,(IF((W10&lt;&gt;$AJ$7),0,Q10))))</f>
        <v>0</v>
      </c>
      <c r="Z10" s="98">
        <f t="shared" si="15"/>
        <v>0</v>
      </c>
      <c r="AA10" s="99">
        <f t="shared" si="16"/>
        <v>0</v>
      </c>
      <c r="AB10" s="100">
        <f>IF(X10=0,0,VLOOKUP(X10,FREQUENCIAS!$1:$1048576,(IF(($A10=FREQUENCIAS!$C$1),3,"ERRO")),FREQUENCIAS!$1:$1048576))</f>
        <v>0</v>
      </c>
      <c r="AC10" s="100">
        <f>IF(Y10=0,0,VLOOKUP(Y10,FREQUENCIAS!$1:$1048576,(IF(($A10=FREQUENCIAS!$C$1),3,"ERRO")),FREQUENCIAS!$1:$1048576))</f>
        <v>0</v>
      </c>
      <c r="AD10" s="100"/>
      <c r="AE10" s="321"/>
      <c r="AF10" s="100"/>
      <c r="AG10" s="101">
        <f t="shared" ref="AG10:AG31" si="34">(IF((A10="ERRO-FT"),"11",(IF((AND(($Z10=0),($AA10=0),(AX$44="S"))),0,(IF((AB10+AC10)&lt;=$AI$7,$AI$7,(AB10+AC10)))))))</f>
        <v>0</v>
      </c>
      <c r="AH10" s="102">
        <f t="shared" si="17"/>
        <v>1</v>
      </c>
      <c r="AI10" s="103">
        <f t="shared" si="18"/>
        <v>0.5</v>
      </c>
      <c r="AJ10" s="104"/>
      <c r="AK10" s="105">
        <f t="shared" ref="AK10:AK30" si="35">IF(AG10=0,0,(1-AG10)^2)</f>
        <v>0</v>
      </c>
      <c r="AL10" s="104"/>
      <c r="AM10" s="106" t="str">
        <f t="shared" si="19"/>
        <v>EXCLUI</v>
      </c>
      <c r="AN10" s="97" t="str">
        <f t="shared" si="20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1</v>
      </c>
      <c r="AY10" s="39">
        <f t="shared" ref="AY10:AY42" si="36">BB10/BA10</f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0</v>
      </c>
      <c r="BC10" s="41">
        <f t="shared" si="22"/>
        <v>1</v>
      </c>
      <c r="BD10" s="2">
        <f t="shared" si="23"/>
        <v>1</v>
      </c>
      <c r="BF10" s="53">
        <v>24</v>
      </c>
      <c r="BG10" s="53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7" t="str">
        <f t="shared" si="24"/>
        <v/>
      </c>
      <c r="BJ10" s="57">
        <f t="shared" si="25"/>
        <v>0</v>
      </c>
      <c r="BK10" s="57">
        <f t="shared" si="26"/>
        <v>0</v>
      </c>
      <c r="BL10" s="60" t="str">
        <f t="shared" si="27"/>
        <v/>
      </c>
      <c r="BM10" s="66">
        <f t="shared" si="28"/>
        <v>0</v>
      </c>
      <c r="BN10" s="60">
        <f t="shared" si="29"/>
        <v>0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309">
        <v>24</v>
      </c>
      <c r="BU10" s="310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 x14ac:dyDescent="0.25">
      <c r="A11" s="232" t="str">
        <f>'IMPORTAÇÃO GENOTIPER'!A7</f>
        <v>D2S441</v>
      </c>
      <c r="B11" s="307">
        <f>'IMPORTAÇÃO GENOTIPER'!S7</f>
        <v>0</v>
      </c>
      <c r="C11" s="307">
        <f>'IMPORTAÇÃO GENOTIPER'!AA7</f>
        <v>0</v>
      </c>
      <c r="D11" s="307">
        <f>'IMPORTAÇÃO GENOTIPER'!AI7</f>
        <v>0</v>
      </c>
      <c r="E11" s="307">
        <f>'IMPORTAÇÃO GENOTIPER'!AQ7</f>
        <v>0</v>
      </c>
      <c r="F11" s="307">
        <f>'IMPORTAÇÃO GENOTIPER'!AY7</f>
        <v>0</v>
      </c>
      <c r="G11" s="307">
        <f>'IMPORTAÇÃO GENOTIPER'!BG7</f>
        <v>0</v>
      </c>
      <c r="H11" s="308">
        <f t="shared" si="0"/>
        <v>0</v>
      </c>
      <c r="I11" s="308">
        <f t="shared" si="1"/>
        <v>0</v>
      </c>
      <c r="J11" s="308">
        <f t="shared" si="2"/>
        <v>0</v>
      </c>
      <c r="K11" s="308">
        <f t="shared" si="3"/>
        <v>0</v>
      </c>
      <c r="L11" s="308">
        <f t="shared" si="4"/>
        <v>0</v>
      </c>
      <c r="M11" s="308">
        <f t="shared" si="5"/>
        <v>0</v>
      </c>
      <c r="N11" s="94">
        <f t="shared" si="6"/>
        <v>0</v>
      </c>
      <c r="O11" s="94">
        <f t="shared" si="7"/>
        <v>0</v>
      </c>
      <c r="P11" s="94">
        <f t="shared" si="8"/>
        <v>0</v>
      </c>
      <c r="Q11" s="94">
        <f t="shared" si="9"/>
        <v>0</v>
      </c>
      <c r="R11" s="94">
        <f t="shared" si="10"/>
        <v>0</v>
      </c>
      <c r="S11" s="94">
        <f t="shared" si="11"/>
        <v>0</v>
      </c>
      <c r="T11" s="95">
        <f t="shared" si="12"/>
        <v>0</v>
      </c>
      <c r="U11" s="95">
        <f t="shared" si="13"/>
        <v>0</v>
      </c>
      <c r="V11" s="96">
        <f>(IF((OR((P11="&gt;22"),(Q11="&gt;22"))),2,(IF(((T11+U11)=(P11+Q11)),0,1))))</f>
        <v>0</v>
      </c>
      <c r="W11" s="97">
        <f t="shared" si="33"/>
        <v>0</v>
      </c>
      <c r="X11" s="120">
        <f t="shared" si="14"/>
        <v>0</v>
      </c>
      <c r="Y11" s="95">
        <f>(ROUND( (IF((AND((T11=0),(U11=0))),E11,(IF((W11&lt;&gt;$AJ$7),0,Q11)))),1))</f>
        <v>0</v>
      </c>
      <c r="Z11" s="98">
        <f t="shared" si="15"/>
        <v>0</v>
      </c>
      <c r="AA11" s="99">
        <f t="shared" si="16"/>
        <v>0</v>
      </c>
      <c r="AB11" s="100">
        <f>IF(X11=0,0,VLOOKUP(X11,FREQUENCIAS!$1:$1048576,(IF(($A11=FREQUENCIAS!$D$1),4,"ERRO")),FREQUENCIAS!$1:$1048576))</f>
        <v>0</v>
      </c>
      <c r="AC11" s="100">
        <f>IF(Y11=0,0,VLOOKUP(Y11,FREQUENCIAS!$1:$1048576,(IF(($A11=FREQUENCIAS!$D$1),4,"ERRO")),FREQUENCIAS!$1:$1048576))</f>
        <v>0</v>
      </c>
      <c r="AD11" s="123"/>
      <c r="AE11" s="321"/>
      <c r="AF11" s="100"/>
      <c r="AG11" s="101">
        <f t="shared" si="34"/>
        <v>0</v>
      </c>
      <c r="AH11" s="102">
        <f t="shared" si="17"/>
        <v>1</v>
      </c>
      <c r="AI11" s="103">
        <f t="shared" si="18"/>
        <v>0.5</v>
      </c>
      <c r="AJ11" s="104"/>
      <c r="AK11" s="105">
        <f t="shared" si="35"/>
        <v>0</v>
      </c>
      <c r="AL11" s="104"/>
      <c r="AM11" s="106" t="str">
        <f t="shared" si="19"/>
        <v>EXCLUI</v>
      </c>
      <c r="AN11" s="97" t="str">
        <f t="shared" si="20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1</v>
      </c>
      <c r="AY11" s="39">
        <f t="shared" si="36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0</v>
      </c>
      <c r="BC11" s="41">
        <f t="shared" si="22"/>
        <v>1</v>
      </c>
      <c r="BD11" s="2">
        <f t="shared" si="23"/>
        <v>1</v>
      </c>
      <c r="BF11" s="53">
        <v>6</v>
      </c>
      <c r="BG11" s="53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7" t="str">
        <f t="shared" si="24"/>
        <v/>
      </c>
      <c r="BJ11" s="57">
        <f t="shared" si="25"/>
        <v>0</v>
      </c>
      <c r="BK11" s="57">
        <f t="shared" si="26"/>
        <v>0</v>
      </c>
      <c r="BL11" s="60" t="str">
        <f t="shared" si="27"/>
        <v/>
      </c>
      <c r="BM11" s="60">
        <f t="shared" si="28"/>
        <v>0</v>
      </c>
      <c r="BN11" s="60">
        <f t="shared" si="29"/>
        <v>0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309">
        <v>10</v>
      </c>
      <c r="BU11" s="310">
        <v>10</v>
      </c>
    </row>
    <row r="12" spans="1:80" s="131" customFormat="1" ht="14.45" customHeight="1" thickTop="1" thickBot="1" x14ac:dyDescent="0.25">
      <c r="A12" s="232" t="str">
        <f>'IMPORTAÇÃO GENOTIPER'!A8</f>
        <v>D10S1248</v>
      </c>
      <c r="B12" s="311">
        <f>'IMPORTAÇÃO GENOTIPER'!S8</f>
        <v>0</v>
      </c>
      <c r="C12" s="311">
        <f>'IMPORTAÇÃO GENOTIPER'!AA8</f>
        <v>0</v>
      </c>
      <c r="D12" s="311">
        <f>'IMPORTAÇÃO GENOTIPER'!AI8</f>
        <v>0</v>
      </c>
      <c r="E12" s="311">
        <f>'IMPORTAÇÃO GENOTIPER'!AQ8</f>
        <v>0</v>
      </c>
      <c r="F12" s="311">
        <f>'IMPORTAÇÃO GENOTIPER'!AY8</f>
        <v>0</v>
      </c>
      <c r="G12" s="311">
        <f>'IMPORTAÇÃO GENOTIPER'!BG8</f>
        <v>0</v>
      </c>
      <c r="H12" s="312">
        <f t="shared" si="0"/>
        <v>0</v>
      </c>
      <c r="I12" s="312">
        <f t="shared" si="1"/>
        <v>0</v>
      </c>
      <c r="J12" s="312">
        <f t="shared" si="2"/>
        <v>0</v>
      </c>
      <c r="K12" s="312">
        <f t="shared" si="3"/>
        <v>0</v>
      </c>
      <c r="L12" s="312">
        <f t="shared" si="4"/>
        <v>0</v>
      </c>
      <c r="M12" s="312">
        <f t="shared" si="5"/>
        <v>0</v>
      </c>
      <c r="N12" s="117">
        <f t="shared" si="6"/>
        <v>0</v>
      </c>
      <c r="O12" s="117">
        <f t="shared" si="7"/>
        <v>0</v>
      </c>
      <c r="P12" s="117">
        <f t="shared" si="8"/>
        <v>0</v>
      </c>
      <c r="Q12" s="117">
        <f t="shared" si="9"/>
        <v>0</v>
      </c>
      <c r="R12" s="117">
        <f t="shared" si="10"/>
        <v>0</v>
      </c>
      <c r="S12" s="117">
        <f t="shared" si="11"/>
        <v>0</v>
      </c>
      <c r="T12" s="118">
        <f t="shared" si="12"/>
        <v>0</v>
      </c>
      <c r="U12" s="118">
        <f t="shared" si="13"/>
        <v>0</v>
      </c>
      <c r="V12" s="119">
        <f>(IF((OR((P12="&gt;21"),(Q12="&gt;21"))),2,(IF(((T12+U12)=(P12+Q12)),0,1))))</f>
        <v>0</v>
      </c>
      <c r="W12" s="118">
        <f t="shared" si="33"/>
        <v>0</v>
      </c>
      <c r="X12" s="120">
        <f t="shared" si="14"/>
        <v>0</v>
      </c>
      <c r="Y12" s="118">
        <f xml:space="preserve"> (IF((AND((T12=0),(U12=0))),E12,(IF((W12&lt;&gt;$AJ$7),0,Q12))))</f>
        <v>0</v>
      </c>
      <c r="Z12" s="121">
        <f t="shared" si="15"/>
        <v>0</v>
      </c>
      <c r="AA12" s="122">
        <f t="shared" si="16"/>
        <v>0</v>
      </c>
      <c r="AB12" s="123">
        <f>IF(X12=0,0,VLOOKUP(X12,FREQUENCIAS!$1:$1048576,(IF(($A12=FREQUENCIAS!$E$1),5,"ERRO")),FREQUENCIAS!$1:$1048576))</f>
        <v>0</v>
      </c>
      <c r="AC12" s="123">
        <f>IF(Y12=0,0,VLOOKUP(Y12,FREQUENCIAS!$1:$1048576,(IF(($A12=FREQUENCIAS!$E$1),5,"ERRO")),FREQUENCIAS!$1:$1048576))</f>
        <v>0</v>
      </c>
      <c r="AD12" s="100"/>
      <c r="AE12" s="321"/>
      <c r="AF12" s="123"/>
      <c r="AG12" s="101">
        <f t="shared" si="34"/>
        <v>0</v>
      </c>
      <c r="AH12" s="102">
        <f t="shared" si="17"/>
        <v>1</v>
      </c>
      <c r="AI12" s="126">
        <f t="shared" si="18"/>
        <v>0.5</v>
      </c>
      <c r="AJ12" s="127" t="s">
        <v>140</v>
      </c>
      <c r="AK12" s="105">
        <f t="shared" si="35"/>
        <v>0</v>
      </c>
      <c r="AL12" s="127"/>
      <c r="AM12" s="106" t="str">
        <f t="shared" si="19"/>
        <v>EXCLUI</v>
      </c>
      <c r="AN12" s="130" t="str">
        <f t="shared" si="20"/>
        <v>EM</v>
      </c>
      <c r="AQ12" s="131" t="e">
        <f>(IF(OR((B12="&lt;6"),(B12="&gt;15"),(B12=11.3),(B12=15),(B12=#REF!),(B12=#REF!),(B12=#REF!),(B12=#REF!),(B12=#REF!),(B12=#REF!),(B12=#REF!),(B12=#REF!),(B12=#REF!)),1,0))</f>
        <v>#REF!</v>
      </c>
      <c r="AR12" s="131" t="e">
        <f>(IF(OR((C12="&lt;6"),(C12="&gt;15"),(C12=11.3),(C12=15),(C12=#REF!),(C12=#REF!),(C12=#REF!),(C12=#REF!),(C12=#REF!),(C12=#REF!),(C12=#REF!),(C12=#REF!),(C12=#REF!)),1,0))</f>
        <v>#REF!</v>
      </c>
      <c r="AS12" s="131" t="e">
        <f>(IF(OR((D12="&lt;6"),(D12="&gt;15"),(D12=11.3),(D12=15),(D12=#REF!),(D12=#REF!),(D12=#REF!),(D12=#REF!),(D12=#REF!),(D12=#REF!),(D12=#REF!),(D12=#REF!),(D12=#REF!)),1,0))</f>
        <v>#REF!</v>
      </c>
      <c r="AT12" s="131" t="e">
        <f>(IF(OR((E12="&lt;6"),(E12="&gt;15"),(E12=11.3),(E12=15),(E12=#REF!),(E12=#REF!),(E12=#REF!),(E12=#REF!),(E12=#REF!),(E12=#REF!),(E12=#REF!),(E12=#REF!),(E12=#REF!)),1,0))</f>
        <v>#REF!</v>
      </c>
      <c r="AU12" s="131" t="e">
        <f>(IF(OR((F12="&lt;6"),(F12="&gt;15"),(F12=11.3),(F12=15),(F12=#REF!),(F12=#REF!),(F12=#REF!),(F12=#REF!),(F12=#REF!),(F12=#REF!),(F12=#REF!),(F12=#REF!),(F12=#REF!)),1,0))</f>
        <v>#REF!</v>
      </c>
      <c r="AV12" s="131" t="e">
        <f>(IF(OR((G12="&lt;6"),(G12="&gt;15"),(G12=11.3),(G12=15),(G12=#REF!),(G12=#REF!),(G12=#REF!),(G12=#REF!),(G12=#REF!),(G12=#REF!),(G12=#REF!),(G12=#REF!),(G12=#REF!)),1,0))</f>
        <v>#REF!</v>
      </c>
      <c r="AX12" s="132">
        <f t="shared" si="21"/>
        <v>1</v>
      </c>
      <c r="AY12" s="39">
        <f t="shared" si="36"/>
        <v>0</v>
      </c>
      <c r="AZ12" s="134"/>
      <c r="BA12" s="40">
        <f>IF($A12=FREQUENCIAS!$E$1,FREQUENCIAS!$E$2,"ERRO NO PE")</f>
        <v>0.54300000000000004</v>
      </c>
      <c r="BB12" s="40">
        <f>IF($A12=FREQUENCIAS!$E$1,FREQUENCIAS!$E$3,"ERRO NA MUT")</f>
        <v>0</v>
      </c>
      <c r="BC12" s="135">
        <f t="shared" si="22"/>
        <v>1</v>
      </c>
      <c r="BD12" s="136">
        <f t="shared" si="23"/>
        <v>1</v>
      </c>
      <c r="BF12" s="137">
        <v>6</v>
      </c>
      <c r="BG12" s="137">
        <v>15</v>
      </c>
      <c r="BH12" s="131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8" t="str">
        <f t="shared" si="24"/>
        <v/>
      </c>
      <c r="BJ12" s="118">
        <f t="shared" si="25"/>
        <v>0</v>
      </c>
      <c r="BK12" s="118">
        <f t="shared" si="26"/>
        <v>0</v>
      </c>
      <c r="BL12" s="118" t="str">
        <f t="shared" si="27"/>
        <v/>
      </c>
      <c r="BM12" s="118">
        <f t="shared" si="28"/>
        <v>0</v>
      </c>
      <c r="BN12" s="118">
        <f t="shared" si="29"/>
        <v>0</v>
      </c>
      <c r="BO12" s="118" t="str">
        <f t="shared" si="30"/>
        <v/>
      </c>
      <c r="BP12" s="118">
        <f t="shared" si="31"/>
        <v>0</v>
      </c>
      <c r="BQ12" s="118">
        <f t="shared" si="32"/>
        <v>0</v>
      </c>
      <c r="BT12" s="313">
        <v>9</v>
      </c>
      <c r="BU12" s="314">
        <v>12</v>
      </c>
    </row>
    <row r="13" spans="1:80" ht="14.45" customHeight="1" thickTop="1" thickBot="1" x14ac:dyDescent="0.25">
      <c r="A13" s="232" t="str">
        <f>'IMPORTAÇÃO GENOTIPER'!A9</f>
        <v>D13S317</v>
      </c>
      <c r="B13" s="307">
        <f>'IMPORTAÇÃO GENOTIPER'!S9</f>
        <v>0</v>
      </c>
      <c r="C13" s="307">
        <f>'IMPORTAÇÃO GENOTIPER'!AA9</f>
        <v>0</v>
      </c>
      <c r="D13" s="307">
        <f>'IMPORTAÇÃO GENOTIPER'!AI9</f>
        <v>0</v>
      </c>
      <c r="E13" s="307">
        <f>'IMPORTAÇÃO GENOTIPER'!AQ9</f>
        <v>0</v>
      </c>
      <c r="F13" s="307">
        <f>'IMPORTAÇÃO GENOTIPER'!AY9</f>
        <v>0</v>
      </c>
      <c r="G13" s="307">
        <f>'IMPORTAÇÃO GENOTIPER'!BG9</f>
        <v>0</v>
      </c>
      <c r="H13" s="308">
        <f t="shared" si="0"/>
        <v>0</v>
      </c>
      <c r="I13" s="308">
        <f t="shared" si="1"/>
        <v>0</v>
      </c>
      <c r="J13" s="308">
        <f t="shared" si="2"/>
        <v>0</v>
      </c>
      <c r="K13" s="308">
        <f t="shared" si="3"/>
        <v>0</v>
      </c>
      <c r="L13" s="308">
        <f t="shared" si="4"/>
        <v>0</v>
      </c>
      <c r="M13" s="308">
        <f t="shared" si="5"/>
        <v>0</v>
      </c>
      <c r="N13" s="94">
        <f t="shared" si="6"/>
        <v>0</v>
      </c>
      <c r="O13" s="94">
        <f t="shared" si="7"/>
        <v>0</v>
      </c>
      <c r="P13" s="94">
        <f t="shared" si="8"/>
        <v>0</v>
      </c>
      <c r="Q13" s="94">
        <f t="shared" si="9"/>
        <v>0</v>
      </c>
      <c r="R13" s="94">
        <f t="shared" si="10"/>
        <v>0</v>
      </c>
      <c r="S13" s="94">
        <f t="shared" si="11"/>
        <v>0</v>
      </c>
      <c r="T13" s="95">
        <f t="shared" si="12"/>
        <v>0</v>
      </c>
      <c r="U13" s="95">
        <f t="shared" si="13"/>
        <v>0</v>
      </c>
      <c r="V13" s="96">
        <f>(IF((OR((P13="&gt;21"),(Q13="&gt;21"))),2,(IF(((T13+U13)=(P13+Q13)),0,1))))</f>
        <v>0</v>
      </c>
      <c r="W13" s="97">
        <f t="shared" si="33"/>
        <v>0</v>
      </c>
      <c r="X13" s="120">
        <f t="shared" si="14"/>
        <v>0</v>
      </c>
      <c r="Y13" s="95">
        <f t="shared" ref="Y13:Y23" si="38">(IF((AND((T13=0),(U13=0))),E13,(IF((W13&lt;&gt;$AJ$7),0,Q13))))</f>
        <v>0</v>
      </c>
      <c r="Z13" s="98">
        <f t="shared" si="15"/>
        <v>0</v>
      </c>
      <c r="AA13" s="99">
        <f t="shared" si="16"/>
        <v>0</v>
      </c>
      <c r="AB13" s="100">
        <f>IF(X13=0,0,VLOOKUP(X13,FREQUENCIAS!$1:$1048576,(IF(($A13=FREQUENCIAS!$F$1),6,"ERRO")),FREQUENCIAS!$1:$1048576))</f>
        <v>0</v>
      </c>
      <c r="AC13" s="100">
        <f>IF(Y13=0,0,VLOOKUP(Y13,FREQUENCIAS!$1:$1048576,(IF(($A13=FREQUENCIAS!$F$1),6,"ERRO")),FREQUENCIAS!$1:$1048576))</f>
        <v>0</v>
      </c>
      <c r="AD13" s="100"/>
      <c r="AE13" s="321"/>
      <c r="AF13" s="100"/>
      <c r="AG13" s="101">
        <f t="shared" si="34"/>
        <v>0</v>
      </c>
      <c r="AH13" s="102">
        <f t="shared" si="17"/>
        <v>1</v>
      </c>
      <c r="AI13" s="103">
        <f t="shared" si="18"/>
        <v>0.5</v>
      </c>
      <c r="AJ13" s="104" t="s">
        <v>163</v>
      </c>
      <c r="AK13" s="105">
        <f t="shared" si="35"/>
        <v>0</v>
      </c>
      <c r="AL13" s="104"/>
      <c r="AM13" s="106" t="str">
        <f t="shared" si="19"/>
        <v>EXCLUI</v>
      </c>
      <c r="AN13" s="97" t="str">
        <f t="shared" si="20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1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1">
        <f t="shared" si="22"/>
        <v>1</v>
      </c>
      <c r="BD13" s="2">
        <f t="shared" si="23"/>
        <v>1</v>
      </c>
      <c r="BF13" s="53">
        <v>12</v>
      </c>
      <c r="BG13" s="53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7" t="str">
        <f t="shared" si="24"/>
        <v/>
      </c>
      <c r="BJ13" s="57">
        <f t="shared" si="25"/>
        <v>0</v>
      </c>
      <c r="BK13" s="57">
        <f t="shared" si="26"/>
        <v>0</v>
      </c>
      <c r="BL13" s="60" t="str">
        <f t="shared" si="27"/>
        <v/>
      </c>
      <c r="BM13" s="60">
        <f t="shared" si="28"/>
        <v>0</v>
      </c>
      <c r="BN13" s="60">
        <f t="shared" si="29"/>
        <v>0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309">
        <v>12</v>
      </c>
      <c r="BU13" s="310">
        <v>15</v>
      </c>
    </row>
    <row r="14" spans="1:80" ht="14.45" customHeight="1" thickTop="1" thickBot="1" x14ac:dyDescent="0.25">
      <c r="A14" s="232" t="str">
        <f>'IMPORTAÇÃO GENOTIPER'!A10</f>
        <v>Penta_E</v>
      </c>
      <c r="B14" s="307">
        <f>'IMPORTAÇÃO GENOTIPER'!S10</f>
        <v>0</v>
      </c>
      <c r="C14" s="307">
        <f>'IMPORTAÇÃO GENOTIPER'!AA10</f>
        <v>0</v>
      </c>
      <c r="D14" s="307">
        <f>'IMPORTAÇÃO GENOTIPER'!AI10</f>
        <v>0</v>
      </c>
      <c r="E14" s="307">
        <f>'IMPORTAÇÃO GENOTIPER'!AQ10</f>
        <v>0</v>
      </c>
      <c r="F14" s="307">
        <f>'IMPORTAÇÃO GENOTIPER'!AY10</f>
        <v>0</v>
      </c>
      <c r="G14" s="307">
        <f>'IMPORTAÇÃO GENOTIPER'!BG10</f>
        <v>0</v>
      </c>
      <c r="H14" s="308">
        <f t="shared" si="0"/>
        <v>0</v>
      </c>
      <c r="I14" s="308">
        <f t="shared" si="1"/>
        <v>0</v>
      </c>
      <c r="J14" s="308">
        <f t="shared" si="2"/>
        <v>0</v>
      </c>
      <c r="K14" s="308">
        <f t="shared" si="3"/>
        <v>0</v>
      </c>
      <c r="L14" s="308">
        <f t="shared" si="4"/>
        <v>0</v>
      </c>
      <c r="M14" s="308">
        <f t="shared" si="5"/>
        <v>0</v>
      </c>
      <c r="N14" s="94">
        <f t="shared" si="6"/>
        <v>0</v>
      </c>
      <c r="O14" s="94">
        <f t="shared" si="7"/>
        <v>0</v>
      </c>
      <c r="P14" s="94">
        <f t="shared" si="8"/>
        <v>0</v>
      </c>
      <c r="Q14" s="94">
        <f t="shared" si="9"/>
        <v>0</v>
      </c>
      <c r="R14" s="94">
        <f t="shared" si="10"/>
        <v>0</v>
      </c>
      <c r="S14" s="94">
        <f t="shared" si="11"/>
        <v>0</v>
      </c>
      <c r="T14" s="95">
        <f t="shared" si="12"/>
        <v>0</v>
      </c>
      <c r="U14" s="95">
        <f t="shared" si="13"/>
        <v>0</v>
      </c>
      <c r="V14" s="96">
        <f>(IF((OR((P14="&gt;20"),(Q14="&gt;20"))),2,(IF(((T14+U14)=(P14+Q14)),0,1))))</f>
        <v>0</v>
      </c>
      <c r="W14" s="97">
        <f t="shared" si="33"/>
        <v>0</v>
      </c>
      <c r="X14" s="120">
        <f t="shared" si="14"/>
        <v>0</v>
      </c>
      <c r="Y14" s="95">
        <f t="shared" si="38"/>
        <v>0</v>
      </c>
      <c r="Z14" s="98">
        <f t="shared" si="15"/>
        <v>0</v>
      </c>
      <c r="AA14" s="99">
        <f t="shared" si="16"/>
        <v>0</v>
      </c>
      <c r="AB14" s="100">
        <f>IF(X14=0,0,VLOOKUP(X14,FREQUENCIAS!$1:$1048576,(IF(($A14=FREQUENCIAS!$G$1),7,"ERRO")),FREQUENCIAS!$1:$1048576))</f>
        <v>0</v>
      </c>
      <c r="AC14" s="100">
        <f>IF(Y14=0,0,VLOOKUP(Y14,FREQUENCIAS!$1:$1048576,(IF(($A14=FREQUENCIAS!$G$1),7,"ERRO")),FREQUENCIAS!$1:$1048576))</f>
        <v>0</v>
      </c>
      <c r="AD14" s="100"/>
      <c r="AE14" s="321"/>
      <c r="AF14" s="100"/>
      <c r="AG14" s="101">
        <f t="shared" si="34"/>
        <v>0</v>
      </c>
      <c r="AH14" s="102">
        <f t="shared" si="17"/>
        <v>1</v>
      </c>
      <c r="AI14" s="103">
        <f t="shared" si="18"/>
        <v>0.5</v>
      </c>
      <c r="AJ14" s="104"/>
      <c r="AK14" s="105">
        <f t="shared" si="35"/>
        <v>0</v>
      </c>
      <c r="AL14" s="104"/>
      <c r="AM14" s="106" t="str">
        <f t="shared" si="19"/>
        <v>EXCLUI</v>
      </c>
      <c r="AN14" s="97" t="str">
        <f t="shared" si="20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1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1">
        <f t="shared" si="22"/>
        <v>1</v>
      </c>
      <c r="BD14" s="2">
        <f t="shared" si="23"/>
        <v>1</v>
      </c>
      <c r="BF14" s="53">
        <v>4</v>
      </c>
      <c r="BG14" s="53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7" t="str">
        <f t="shared" si="24"/>
        <v/>
      </c>
      <c r="BJ14" s="57">
        <f t="shared" si="25"/>
        <v>0</v>
      </c>
      <c r="BK14" s="57">
        <f t="shared" si="26"/>
        <v>0</v>
      </c>
      <c r="BL14" s="60" t="str">
        <f t="shared" si="27"/>
        <v/>
      </c>
      <c r="BM14" s="60">
        <f t="shared" si="28"/>
        <v>0</v>
      </c>
      <c r="BN14" s="60">
        <f t="shared" si="29"/>
        <v>0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309">
        <v>5</v>
      </c>
      <c r="BU14" s="310">
        <v>11</v>
      </c>
    </row>
    <row r="15" spans="1:80" ht="14.45" customHeight="1" thickTop="1" thickBot="1" x14ac:dyDescent="0.25">
      <c r="A15" s="232" t="str">
        <f>'IMPORTAÇÃO GENOTIPER'!A11</f>
        <v>D16S539</v>
      </c>
      <c r="B15" s="307">
        <f>'IMPORTAÇÃO GENOTIPER'!S11</f>
        <v>0</v>
      </c>
      <c r="C15" s="307">
        <f>'IMPORTAÇÃO GENOTIPER'!AA11</f>
        <v>0</v>
      </c>
      <c r="D15" s="307">
        <f>'IMPORTAÇÃO GENOTIPER'!AI11</f>
        <v>0</v>
      </c>
      <c r="E15" s="307">
        <f>'IMPORTAÇÃO GENOTIPER'!AQ11</f>
        <v>0</v>
      </c>
      <c r="F15" s="307">
        <f>'IMPORTAÇÃO GENOTIPER'!AY11</f>
        <v>0</v>
      </c>
      <c r="G15" s="307">
        <f>'IMPORTAÇÃO GENOTIPER'!BG11</f>
        <v>0</v>
      </c>
      <c r="H15" s="308">
        <f t="shared" si="0"/>
        <v>0</v>
      </c>
      <c r="I15" s="308">
        <f t="shared" si="1"/>
        <v>0</v>
      </c>
      <c r="J15" s="308">
        <f t="shared" si="2"/>
        <v>0</v>
      </c>
      <c r="K15" s="308">
        <f t="shared" si="3"/>
        <v>0</v>
      </c>
      <c r="L15" s="308">
        <f t="shared" si="4"/>
        <v>0</v>
      </c>
      <c r="M15" s="308">
        <f t="shared" si="5"/>
        <v>0</v>
      </c>
      <c r="N15" s="94">
        <f t="shared" si="6"/>
        <v>0</v>
      </c>
      <c r="O15" s="94">
        <f t="shared" si="7"/>
        <v>0</v>
      </c>
      <c r="P15" s="94">
        <f t="shared" si="8"/>
        <v>0</v>
      </c>
      <c r="Q15" s="94">
        <f t="shared" si="9"/>
        <v>0</v>
      </c>
      <c r="R15" s="94">
        <f t="shared" si="10"/>
        <v>0</v>
      </c>
      <c r="S15" s="94">
        <f t="shared" si="11"/>
        <v>0</v>
      </c>
      <c r="T15" s="95">
        <f t="shared" si="12"/>
        <v>0</v>
      </c>
      <c r="U15" s="95">
        <f t="shared" si="13"/>
        <v>0</v>
      </c>
      <c r="V15" s="96">
        <f>(IF((OR((P15="&gt;23"),(Q15="&gt;23"))),2,(IF(((T15+U15)=(P15+Q15)),0,1))))</f>
        <v>0</v>
      </c>
      <c r="W15" s="97">
        <f t="shared" si="33"/>
        <v>0</v>
      </c>
      <c r="X15" s="120">
        <f t="shared" si="14"/>
        <v>0</v>
      </c>
      <c r="Y15" s="95">
        <f t="shared" si="38"/>
        <v>0</v>
      </c>
      <c r="Z15" s="98">
        <f t="shared" si="15"/>
        <v>0</v>
      </c>
      <c r="AA15" s="99">
        <f t="shared" si="16"/>
        <v>0</v>
      </c>
      <c r="AB15" s="100">
        <f>IF(X15=0,0,VLOOKUP(X15,FREQUENCIAS!$1:$1048576,(IF(($A15=FREQUENCIAS!$H$1),8,"ERRO")),FREQUENCIAS!$1:$1048576))</f>
        <v>0</v>
      </c>
      <c r="AC15" s="100">
        <f>IF(Y15=0,0,VLOOKUP(Y15,FREQUENCIAS!$1:$1048576,(IF(($A15=FREQUENCIAS!$H$1),8,"ERRO")),FREQUENCIAS!$1:$1048576))</f>
        <v>0</v>
      </c>
      <c r="AD15" s="100"/>
      <c r="AE15" s="321"/>
      <c r="AF15" s="100"/>
      <c r="AG15" s="101">
        <f t="shared" si="34"/>
        <v>0</v>
      </c>
      <c r="AH15" s="102">
        <f t="shared" si="17"/>
        <v>1</v>
      </c>
      <c r="AI15" s="103">
        <f t="shared" si="18"/>
        <v>0.5</v>
      </c>
      <c r="AJ15" s="104"/>
      <c r="AK15" s="105">
        <f t="shared" si="35"/>
        <v>0</v>
      </c>
      <c r="AL15" s="104"/>
      <c r="AM15" s="106" t="str">
        <f t="shared" si="19"/>
        <v>EXCLUI</v>
      </c>
      <c r="AN15" s="97" t="str">
        <f t="shared" si="20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1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1">
        <f t="shared" si="22"/>
        <v>1</v>
      </c>
      <c r="BD15" s="2">
        <f t="shared" si="23"/>
        <v>1</v>
      </c>
      <c r="BF15" s="53">
        <v>8</v>
      </c>
      <c r="BG15" s="53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7" t="str">
        <f t="shared" si="24"/>
        <v/>
      </c>
      <c r="BJ15" s="57">
        <f t="shared" si="25"/>
        <v>0</v>
      </c>
      <c r="BK15" s="57">
        <f t="shared" si="26"/>
        <v>0</v>
      </c>
      <c r="BL15" s="60" t="str">
        <f t="shared" si="27"/>
        <v/>
      </c>
      <c r="BM15" s="60">
        <f t="shared" si="28"/>
        <v>0</v>
      </c>
      <c r="BN15" s="60">
        <f t="shared" si="29"/>
        <v>0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309">
        <v>8</v>
      </c>
      <c r="BU15" s="310">
        <v>11</v>
      </c>
    </row>
    <row r="16" spans="1:80" ht="14.45" customHeight="1" thickTop="1" thickBot="1" x14ac:dyDescent="0.25">
      <c r="A16" s="232" t="str">
        <f>'IMPORTAÇÃO GENOTIPER'!A12</f>
        <v>D18S51</v>
      </c>
      <c r="B16" s="307">
        <f>'IMPORTAÇÃO GENOTIPER'!S12</f>
        <v>0</v>
      </c>
      <c r="C16" s="307">
        <f>'IMPORTAÇÃO GENOTIPER'!AA12</f>
        <v>0</v>
      </c>
      <c r="D16" s="307">
        <f>'IMPORTAÇÃO GENOTIPER'!AI12</f>
        <v>0</v>
      </c>
      <c r="E16" s="307">
        <f>'IMPORTAÇÃO GENOTIPER'!AQ12</f>
        <v>0</v>
      </c>
      <c r="F16" s="307">
        <f>'IMPORTAÇÃO GENOTIPER'!AY12</f>
        <v>0</v>
      </c>
      <c r="G16" s="307">
        <f>'IMPORTAÇÃO GENOTIPER'!BG12</f>
        <v>0</v>
      </c>
      <c r="H16" s="308">
        <f t="shared" si="0"/>
        <v>0</v>
      </c>
      <c r="I16" s="308">
        <f t="shared" si="1"/>
        <v>0</v>
      </c>
      <c r="J16" s="308">
        <f t="shared" si="2"/>
        <v>0</v>
      </c>
      <c r="K16" s="308">
        <f t="shared" si="3"/>
        <v>0</v>
      </c>
      <c r="L16" s="308">
        <f t="shared" si="4"/>
        <v>0</v>
      </c>
      <c r="M16" s="308">
        <f t="shared" si="5"/>
        <v>0</v>
      </c>
      <c r="N16" s="94">
        <f t="shared" si="6"/>
        <v>0</v>
      </c>
      <c r="O16" s="94">
        <f t="shared" si="7"/>
        <v>0</v>
      </c>
      <c r="P16" s="94">
        <f t="shared" si="8"/>
        <v>0</v>
      </c>
      <c r="Q16" s="94">
        <f t="shared" si="9"/>
        <v>0</v>
      </c>
      <c r="R16" s="94">
        <f t="shared" si="10"/>
        <v>0</v>
      </c>
      <c r="S16" s="94">
        <f t="shared" si="11"/>
        <v>0</v>
      </c>
      <c r="T16" s="95">
        <f t="shared" si="12"/>
        <v>0</v>
      </c>
      <c r="U16" s="95">
        <f t="shared" si="13"/>
        <v>0</v>
      </c>
      <c r="V16" s="96">
        <f>(IF((OR((P16="&gt;22"),(Q16="&gt;22"))),2,(IF(((T16+U16)=(P16+Q16)),0,1))))</f>
        <v>0</v>
      </c>
      <c r="W16" s="97">
        <f t="shared" si="33"/>
        <v>0</v>
      </c>
      <c r="X16" s="120">
        <f t="shared" si="14"/>
        <v>0</v>
      </c>
      <c r="Y16" s="95">
        <f t="shared" si="38"/>
        <v>0</v>
      </c>
      <c r="Z16" s="98">
        <f t="shared" si="15"/>
        <v>0</v>
      </c>
      <c r="AA16" s="99">
        <f t="shared" si="16"/>
        <v>0</v>
      </c>
      <c r="AB16" s="100">
        <f>IF(X16=0,0,VLOOKUP(X16,FREQUENCIAS!$1:$1048576,(IF(($A16=FREQUENCIAS!$I$1),9,"ERRO")),FREQUENCIAS!$1:$1048576))</f>
        <v>0</v>
      </c>
      <c r="AC16" s="100">
        <f>IF(Y16=0,0,VLOOKUP(Y16,FREQUENCIAS!$1:$1048576,(IF(($A16=FREQUENCIAS!$I$1),9,"ERRO")),FREQUENCIAS!$1:$1048576))</f>
        <v>0</v>
      </c>
      <c r="AD16" s="100"/>
      <c r="AE16" s="321"/>
      <c r="AF16" s="100"/>
      <c r="AG16" s="101">
        <f t="shared" si="34"/>
        <v>0</v>
      </c>
      <c r="AH16" s="102">
        <f t="shared" si="17"/>
        <v>1</v>
      </c>
      <c r="AI16" s="103">
        <f t="shared" si="18"/>
        <v>0.5</v>
      </c>
      <c r="AJ16" s="104"/>
      <c r="AK16" s="105">
        <f t="shared" si="35"/>
        <v>0</v>
      </c>
      <c r="AL16" s="104"/>
      <c r="AM16" s="106" t="str">
        <f t="shared" si="19"/>
        <v>EXCLUI</v>
      </c>
      <c r="AN16" s="97" t="str">
        <f t="shared" si="20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1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1">
        <f t="shared" si="22"/>
        <v>1</v>
      </c>
      <c r="BD16" s="2">
        <f t="shared" si="23"/>
        <v>1</v>
      </c>
      <c r="BF16" s="53">
        <v>5</v>
      </c>
      <c r="BG16" s="53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7" t="str">
        <f t="shared" si="24"/>
        <v/>
      </c>
      <c r="BJ16" s="57">
        <f t="shared" si="25"/>
        <v>0</v>
      </c>
      <c r="BK16" s="57">
        <f t="shared" si="26"/>
        <v>0</v>
      </c>
      <c r="BL16" s="60" t="str">
        <f t="shared" si="27"/>
        <v/>
      </c>
      <c r="BM16" s="60">
        <f t="shared" si="28"/>
        <v>0</v>
      </c>
      <c r="BN16" s="60">
        <f t="shared" si="29"/>
        <v>0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309">
        <v>9</v>
      </c>
      <c r="BU16" s="310">
        <v>10</v>
      </c>
    </row>
    <row r="17" spans="1:80" ht="14.45" customHeight="1" thickTop="1" thickBot="1" x14ac:dyDescent="0.25">
      <c r="A17" s="232" t="str">
        <f>'IMPORTAÇÃO GENOTIPER'!A13</f>
        <v>D2S1338</v>
      </c>
      <c r="B17" s="307">
        <f>'IMPORTAÇÃO GENOTIPER'!S13</f>
        <v>0</v>
      </c>
      <c r="C17" s="307">
        <f>'IMPORTAÇÃO GENOTIPER'!AA13</f>
        <v>0</v>
      </c>
      <c r="D17" s="307">
        <f>'IMPORTAÇÃO GENOTIPER'!AI13</f>
        <v>0</v>
      </c>
      <c r="E17" s="307">
        <f>'IMPORTAÇÃO GENOTIPER'!AQ13</f>
        <v>0</v>
      </c>
      <c r="F17" s="307">
        <f>'IMPORTAÇÃO GENOTIPER'!AY13</f>
        <v>0</v>
      </c>
      <c r="G17" s="307">
        <f>'IMPORTAÇÃO GENOTIPER'!BG13</f>
        <v>0</v>
      </c>
      <c r="H17" s="308">
        <f t="shared" si="0"/>
        <v>0</v>
      </c>
      <c r="I17" s="308">
        <f t="shared" si="1"/>
        <v>0</v>
      </c>
      <c r="J17" s="308">
        <f t="shared" si="2"/>
        <v>0</v>
      </c>
      <c r="K17" s="308">
        <f t="shared" si="3"/>
        <v>0</v>
      </c>
      <c r="L17" s="308">
        <f t="shared" si="4"/>
        <v>0</v>
      </c>
      <c r="M17" s="308">
        <f t="shared" si="5"/>
        <v>0</v>
      </c>
      <c r="N17" s="94">
        <f t="shared" si="6"/>
        <v>0</v>
      </c>
      <c r="O17" s="94">
        <f t="shared" si="7"/>
        <v>0</v>
      </c>
      <c r="P17" s="94">
        <f t="shared" si="8"/>
        <v>0</v>
      </c>
      <c r="Q17" s="94">
        <f t="shared" si="9"/>
        <v>0</v>
      </c>
      <c r="R17" s="94">
        <f t="shared" si="10"/>
        <v>0</v>
      </c>
      <c r="S17" s="94">
        <f t="shared" si="11"/>
        <v>0</v>
      </c>
      <c r="T17" s="95">
        <f t="shared" si="12"/>
        <v>0</v>
      </c>
      <c r="U17" s="95">
        <f t="shared" si="13"/>
        <v>0</v>
      </c>
      <c r="V17" s="96">
        <f>(IF((OR((P17="&gt;28"),(Q17="&gt;28"))),2,(IF(((T17+U17)=(P17+Q17)),0,1))))</f>
        <v>0</v>
      </c>
      <c r="W17" s="97">
        <f t="shared" si="33"/>
        <v>0</v>
      </c>
      <c r="X17" s="120">
        <f t="shared" si="14"/>
        <v>0</v>
      </c>
      <c r="Y17" s="95">
        <f t="shared" si="38"/>
        <v>0</v>
      </c>
      <c r="Z17" s="98">
        <f t="shared" si="15"/>
        <v>0</v>
      </c>
      <c r="AA17" s="99">
        <f t="shared" si="16"/>
        <v>0</v>
      </c>
      <c r="AB17" s="100">
        <f>IF(X17=0,0,VLOOKUP(X17,FREQUENCIAS!$1:$1048576,(IF(($A17=FREQUENCIAS!$J$1),10,"ERRO")),FREQUENCIAS!$1:$1048576))</f>
        <v>0</v>
      </c>
      <c r="AC17" s="100">
        <f>IF(Y17=0,0,VLOOKUP(Y17,FREQUENCIAS!$1:$1048576,(IF(($A17=FREQUENCIAS!$J$1),10,"ERRO")),FREQUENCIAS!$1:$1048576))</f>
        <v>0</v>
      </c>
      <c r="AD17" s="100"/>
      <c r="AE17" s="321"/>
      <c r="AF17" s="100"/>
      <c r="AG17" s="101">
        <f t="shared" si="34"/>
        <v>0</v>
      </c>
      <c r="AH17" s="102">
        <f t="shared" si="17"/>
        <v>1</v>
      </c>
      <c r="AI17" s="103">
        <f t="shared" si="18"/>
        <v>0.5</v>
      </c>
      <c r="AJ17" s="104" t="s">
        <v>173</v>
      </c>
      <c r="AK17" s="105">
        <f t="shared" si="35"/>
        <v>0</v>
      </c>
      <c r="AL17" s="104"/>
      <c r="AM17" s="106" t="str">
        <f t="shared" si="19"/>
        <v>EXCLUI</v>
      </c>
      <c r="AN17" s="97" t="str">
        <f t="shared" si="20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1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1">
        <f t="shared" si="22"/>
        <v>1</v>
      </c>
      <c r="BD17" s="2">
        <f t="shared" si="23"/>
        <v>1</v>
      </c>
      <c r="BF17" s="53">
        <v>15</v>
      </c>
      <c r="BG17" s="53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7" t="str">
        <f t="shared" si="24"/>
        <v/>
      </c>
      <c r="BJ17" s="57">
        <f t="shared" si="25"/>
        <v>0</v>
      </c>
      <c r="BK17" s="57">
        <f t="shared" si="26"/>
        <v>0</v>
      </c>
      <c r="BL17" s="60" t="str">
        <f t="shared" si="27"/>
        <v/>
      </c>
      <c r="BM17" s="60">
        <f t="shared" si="28"/>
        <v>0</v>
      </c>
      <c r="BN17" s="60">
        <f t="shared" si="29"/>
        <v>0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309">
        <v>23</v>
      </c>
      <c r="BU17" s="310">
        <v>24</v>
      </c>
    </row>
    <row r="18" spans="1:80" ht="14.45" customHeight="1" thickTop="1" thickBot="1" x14ac:dyDescent="0.25">
      <c r="A18" s="232" t="str">
        <f>'IMPORTAÇÃO GENOTIPER'!A14</f>
        <v>CSF1PO</v>
      </c>
      <c r="B18" s="307">
        <f>'IMPORTAÇÃO GENOTIPER'!S14</f>
        <v>0</v>
      </c>
      <c r="C18" s="307">
        <f>'IMPORTAÇÃO GENOTIPER'!AA14</f>
        <v>0</v>
      </c>
      <c r="D18" s="307">
        <f>'IMPORTAÇÃO GENOTIPER'!AI14</f>
        <v>0</v>
      </c>
      <c r="E18" s="307">
        <f>'IMPORTAÇÃO GENOTIPER'!AQ14</f>
        <v>0</v>
      </c>
      <c r="F18" s="307">
        <f>'IMPORTAÇÃO GENOTIPER'!AY14</f>
        <v>0</v>
      </c>
      <c r="G18" s="307">
        <f>'IMPORTAÇÃO GENOTIPER'!BG14</f>
        <v>0</v>
      </c>
      <c r="H18" s="308">
        <f t="shared" si="0"/>
        <v>0</v>
      </c>
      <c r="I18" s="308">
        <f t="shared" si="1"/>
        <v>0</v>
      </c>
      <c r="J18" s="308">
        <f t="shared" si="2"/>
        <v>0</v>
      </c>
      <c r="K18" s="308">
        <f t="shared" si="3"/>
        <v>0</v>
      </c>
      <c r="L18" s="308">
        <f t="shared" si="4"/>
        <v>0</v>
      </c>
      <c r="M18" s="308">
        <f t="shared" si="5"/>
        <v>0</v>
      </c>
      <c r="N18" s="94">
        <f t="shared" si="6"/>
        <v>0</v>
      </c>
      <c r="O18" s="94">
        <f t="shared" si="7"/>
        <v>0</v>
      </c>
      <c r="P18" s="94">
        <f t="shared" si="8"/>
        <v>0</v>
      </c>
      <c r="Q18" s="94">
        <f t="shared" si="9"/>
        <v>0</v>
      </c>
      <c r="R18" s="94">
        <f t="shared" si="10"/>
        <v>0</v>
      </c>
      <c r="S18" s="94">
        <f t="shared" si="11"/>
        <v>0</v>
      </c>
      <c r="T18" s="95">
        <f t="shared" si="12"/>
        <v>0</v>
      </c>
      <c r="U18" s="95">
        <f t="shared" si="13"/>
        <v>0</v>
      </c>
      <c r="V18" s="96">
        <f>(IF((OR((P18="&gt;17,2"),(Q18="&gt;17,2"))),2,(IF(((T18+U18)=(P18+Q18)),0,1))))</f>
        <v>0</v>
      </c>
      <c r="W18" s="97">
        <f t="shared" si="33"/>
        <v>0</v>
      </c>
      <c r="X18" s="120">
        <f t="shared" si="14"/>
        <v>0</v>
      </c>
      <c r="Y18" s="95">
        <f t="shared" si="38"/>
        <v>0</v>
      </c>
      <c r="Z18" s="98">
        <f t="shared" si="15"/>
        <v>0</v>
      </c>
      <c r="AA18" s="99">
        <f t="shared" si="16"/>
        <v>0</v>
      </c>
      <c r="AB18" s="100">
        <f>IF(X18=0,0,VLOOKUP(X18,FREQUENCIAS!$1:$1048576,(IF(($A18=FREQUENCIAS!$K$1),11,"ERRO")),FREQUENCIAS!$1:$1048576))</f>
        <v>0</v>
      </c>
      <c r="AC18" s="100">
        <f>IF(Y18=0,0,VLOOKUP(Y18,FREQUENCIAS!$1:$1048576,(IF(($A18=FREQUENCIAS!$K$1),11,"ERRO")),FREQUENCIAS!$1:$1048576))</f>
        <v>0</v>
      </c>
      <c r="AD18" s="100"/>
      <c r="AE18" s="321"/>
      <c r="AF18" s="100"/>
      <c r="AG18" s="101">
        <f t="shared" si="34"/>
        <v>0</v>
      </c>
      <c r="AH18" s="102">
        <f t="shared" si="17"/>
        <v>1</v>
      </c>
      <c r="AI18" s="103">
        <f t="shared" si="18"/>
        <v>0.5</v>
      </c>
      <c r="AJ18" s="104"/>
      <c r="AK18" s="105">
        <f t="shared" si="35"/>
        <v>0</v>
      </c>
      <c r="AL18" s="104"/>
      <c r="AM18" s="106" t="str">
        <f t="shared" si="19"/>
        <v>EXCLUI</v>
      </c>
      <c r="AN18" s="97" t="str">
        <f t="shared" si="20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1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1">
        <f t="shared" si="22"/>
        <v>1</v>
      </c>
      <c r="BD18" s="2">
        <f t="shared" si="23"/>
        <v>1</v>
      </c>
      <c r="BF18" s="53">
        <v>9</v>
      </c>
      <c r="BG18" s="53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7" t="str">
        <f t="shared" si="24"/>
        <v/>
      </c>
      <c r="BJ18" s="57">
        <f t="shared" si="25"/>
        <v>0</v>
      </c>
      <c r="BK18" s="57">
        <f t="shared" si="26"/>
        <v>0</v>
      </c>
      <c r="BL18" s="60" t="str">
        <f t="shared" si="27"/>
        <v/>
      </c>
      <c r="BM18" s="60">
        <f t="shared" si="28"/>
        <v>0</v>
      </c>
      <c r="BN18" s="60">
        <f t="shared" si="29"/>
        <v>0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309">
        <v>15</v>
      </c>
      <c r="BU18" s="310">
        <v>15</v>
      </c>
    </row>
    <row r="19" spans="1:80" ht="14.45" customHeight="1" thickTop="1" thickBot="1" x14ac:dyDescent="0.25">
      <c r="A19" s="232" t="str">
        <f>'IMPORTAÇÃO GENOTIPER'!A15</f>
        <v>Penta_D</v>
      </c>
      <c r="B19" s="307">
        <f>'IMPORTAÇÃO GENOTIPER'!S15</f>
        <v>0</v>
      </c>
      <c r="C19" s="307">
        <f>'IMPORTAÇÃO GENOTIPER'!AA15</f>
        <v>0</v>
      </c>
      <c r="D19" s="307">
        <f>'IMPORTAÇÃO GENOTIPER'!AI15</f>
        <v>0</v>
      </c>
      <c r="E19" s="307">
        <f>'IMPORTAÇÃO GENOTIPER'!AQ15</f>
        <v>0</v>
      </c>
      <c r="F19" s="307">
        <f>'IMPORTAÇÃO GENOTIPER'!AY15</f>
        <v>0</v>
      </c>
      <c r="G19" s="307">
        <f>'IMPORTAÇÃO GENOTIPER'!BG15</f>
        <v>0</v>
      </c>
      <c r="H19" s="308">
        <f t="shared" si="0"/>
        <v>0</v>
      </c>
      <c r="I19" s="308">
        <f t="shared" si="1"/>
        <v>0</v>
      </c>
      <c r="J19" s="308">
        <f t="shared" si="2"/>
        <v>0</v>
      </c>
      <c r="K19" s="308">
        <f t="shared" si="3"/>
        <v>0</v>
      </c>
      <c r="L19" s="308">
        <f t="shared" si="4"/>
        <v>0</v>
      </c>
      <c r="M19" s="308">
        <f t="shared" si="5"/>
        <v>0</v>
      </c>
      <c r="N19" s="94">
        <f t="shared" si="6"/>
        <v>0</v>
      </c>
      <c r="O19" s="94">
        <f t="shared" si="7"/>
        <v>0</v>
      </c>
      <c r="P19" s="94">
        <f t="shared" si="8"/>
        <v>0</v>
      </c>
      <c r="Q19" s="94">
        <f t="shared" si="9"/>
        <v>0</v>
      </c>
      <c r="R19" s="94">
        <f t="shared" si="10"/>
        <v>0</v>
      </c>
      <c r="S19" s="94">
        <f t="shared" si="11"/>
        <v>0</v>
      </c>
      <c r="T19" s="95">
        <f t="shared" si="12"/>
        <v>0</v>
      </c>
      <c r="U19" s="95">
        <f t="shared" si="13"/>
        <v>0</v>
      </c>
      <c r="V19" s="96">
        <f>(IF((OR((P19="&gt;21"),(Q19="&gt;21"))),2,(IF(((T19+U19)=(P19+Q19)),0,1))))</f>
        <v>0</v>
      </c>
      <c r="W19" s="97">
        <f t="shared" si="33"/>
        <v>0</v>
      </c>
      <c r="X19" s="120">
        <f t="shared" si="14"/>
        <v>0</v>
      </c>
      <c r="Y19" s="95">
        <f t="shared" si="38"/>
        <v>0</v>
      </c>
      <c r="Z19" s="98">
        <f t="shared" si="15"/>
        <v>0</v>
      </c>
      <c r="AA19" s="99">
        <f t="shared" si="16"/>
        <v>0</v>
      </c>
      <c r="AB19" s="100">
        <f>IF(X19=0,0,VLOOKUP(X19,FREQUENCIAS!$1:$1048576,(IF(($A19=FREQUENCIAS!$L$1),12,"ERRO")),FREQUENCIAS!$1:$1048576))</f>
        <v>0</v>
      </c>
      <c r="AC19" s="100">
        <f>IF(Y19=0,0,VLOOKUP(Y19,FREQUENCIAS!$1:$1048576,(IF(($A19=FREQUENCIAS!$L$1),12,"ERRO")),FREQUENCIAS!$1:$1048576))</f>
        <v>0</v>
      </c>
      <c r="AD19" s="100"/>
      <c r="AE19" s="321"/>
      <c r="AF19" s="100"/>
      <c r="AG19" s="101">
        <f t="shared" si="34"/>
        <v>0</v>
      </c>
      <c r="AH19" s="102">
        <f t="shared" si="17"/>
        <v>1</v>
      </c>
      <c r="AI19" s="103">
        <f t="shared" si="18"/>
        <v>0.5</v>
      </c>
      <c r="AJ19" s="104" t="s">
        <v>164</v>
      </c>
      <c r="AK19" s="105">
        <f t="shared" si="35"/>
        <v>0</v>
      </c>
      <c r="AL19" s="104"/>
      <c r="AM19" s="106" t="str">
        <f t="shared" si="19"/>
        <v>EXCLUI</v>
      </c>
      <c r="AN19" s="97" t="str">
        <f t="shared" si="20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1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1">
        <f t="shared" si="22"/>
        <v>1</v>
      </c>
      <c r="BD19" s="2">
        <f t="shared" si="23"/>
        <v>1</v>
      </c>
      <c r="BF19" s="53">
        <v>11</v>
      </c>
      <c r="BG19" s="53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7" t="str">
        <f t="shared" si="24"/>
        <v/>
      </c>
      <c r="BJ19" s="57">
        <f t="shared" si="25"/>
        <v>0</v>
      </c>
      <c r="BK19" s="57">
        <f t="shared" si="26"/>
        <v>0</v>
      </c>
      <c r="BL19" s="60" t="str">
        <f t="shared" si="27"/>
        <v/>
      </c>
      <c r="BM19" s="60">
        <f t="shared" si="28"/>
        <v>0</v>
      </c>
      <c r="BN19" s="60">
        <f t="shared" si="29"/>
        <v>0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309">
        <v>15</v>
      </c>
      <c r="BU19" s="310">
        <v>17</v>
      </c>
    </row>
    <row r="20" spans="1:80" ht="14.45" customHeight="1" thickTop="1" thickBot="1" x14ac:dyDescent="0.25">
      <c r="A20" s="232" t="str">
        <f>'IMPORTAÇÃO GENOTIPER'!A16</f>
        <v>TH01</v>
      </c>
      <c r="B20" s="307">
        <f>'IMPORTAÇÃO GENOTIPER'!S16</f>
        <v>0</v>
      </c>
      <c r="C20" s="307">
        <f>'IMPORTAÇÃO GENOTIPER'!AA16</f>
        <v>0</v>
      </c>
      <c r="D20" s="307">
        <f>'IMPORTAÇÃO GENOTIPER'!AI16</f>
        <v>0</v>
      </c>
      <c r="E20" s="307">
        <f>'IMPORTAÇÃO GENOTIPER'!AQ16</f>
        <v>0</v>
      </c>
      <c r="F20" s="307">
        <f>'IMPORTAÇÃO GENOTIPER'!AY16</f>
        <v>0</v>
      </c>
      <c r="G20" s="307">
        <f>'IMPORTAÇÃO GENOTIPER'!BG16</f>
        <v>0</v>
      </c>
      <c r="H20" s="308">
        <f t="shared" si="0"/>
        <v>0</v>
      </c>
      <c r="I20" s="308">
        <f t="shared" si="1"/>
        <v>0</v>
      </c>
      <c r="J20" s="308">
        <f t="shared" si="2"/>
        <v>0</v>
      </c>
      <c r="K20" s="308">
        <f t="shared" si="3"/>
        <v>0</v>
      </c>
      <c r="L20" s="308">
        <f t="shared" si="4"/>
        <v>0</v>
      </c>
      <c r="M20" s="308">
        <f t="shared" si="5"/>
        <v>0</v>
      </c>
      <c r="N20" s="94">
        <f t="shared" si="6"/>
        <v>0</v>
      </c>
      <c r="O20" s="94">
        <f t="shared" si="7"/>
        <v>0</v>
      </c>
      <c r="P20" s="94">
        <f t="shared" si="8"/>
        <v>0</v>
      </c>
      <c r="Q20" s="94">
        <f t="shared" si="9"/>
        <v>0</v>
      </c>
      <c r="R20" s="94">
        <f t="shared" si="10"/>
        <v>0</v>
      </c>
      <c r="S20" s="94">
        <f t="shared" si="11"/>
        <v>0</v>
      </c>
      <c r="T20" s="95">
        <f t="shared" si="12"/>
        <v>0</v>
      </c>
      <c r="U20" s="95">
        <f t="shared" si="13"/>
        <v>0</v>
      </c>
      <c r="V20" s="96">
        <f>(IF((OR((P20="&gt;20"),(Q20="&gt;20"))),2,(IF(((T20+U20)=(P20+Q20)),0,1))))</f>
        <v>0</v>
      </c>
      <c r="W20" s="97">
        <f t="shared" si="33"/>
        <v>0</v>
      </c>
      <c r="X20" s="120">
        <f t="shared" si="14"/>
        <v>0</v>
      </c>
      <c r="Y20" s="95">
        <f t="shared" si="38"/>
        <v>0</v>
      </c>
      <c r="Z20" s="98">
        <f t="shared" si="15"/>
        <v>0</v>
      </c>
      <c r="AA20" s="99">
        <f t="shared" si="16"/>
        <v>0</v>
      </c>
      <c r="AB20" s="100">
        <f>IF(X20=0,0,VLOOKUP(X20,FREQUENCIAS!$1:$1048576,(IF(($A20=FREQUENCIAS!$M$1),13,"ERRO")),FREQUENCIAS!$1:$1048576))</f>
        <v>0</v>
      </c>
      <c r="AC20" s="100">
        <f>IF(Y20=0,0,VLOOKUP(Y20,FREQUENCIAS!$1:$1048576,(IF(($A20=FREQUENCIAS!$M$1),13,"ERRO")),FREQUENCIAS!$1:$1048576))</f>
        <v>0</v>
      </c>
      <c r="AD20" s="100"/>
      <c r="AE20" s="321"/>
      <c r="AF20" s="100"/>
      <c r="AG20" s="101">
        <f t="shared" si="34"/>
        <v>0</v>
      </c>
      <c r="AH20" s="102">
        <f t="shared" si="17"/>
        <v>1</v>
      </c>
      <c r="AI20" s="103">
        <f t="shared" si="18"/>
        <v>0.5</v>
      </c>
      <c r="AJ20" s="104"/>
      <c r="AK20" s="105">
        <f t="shared" si="35"/>
        <v>0</v>
      </c>
      <c r="AL20" s="104"/>
      <c r="AM20" s="106" t="str">
        <f t="shared" si="19"/>
        <v>EXCLUI</v>
      </c>
      <c r="AN20" s="97" t="str">
        <f t="shared" si="20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1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1">
        <f t="shared" si="22"/>
        <v>1</v>
      </c>
      <c r="BD20" s="2">
        <f t="shared" si="23"/>
        <v>1</v>
      </c>
      <c r="BF20" s="53">
        <v>5</v>
      </c>
      <c r="BG20" s="53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7" t="str">
        <f t="shared" si="24"/>
        <v/>
      </c>
      <c r="BJ20" s="57">
        <f t="shared" si="25"/>
        <v>0</v>
      </c>
      <c r="BK20" s="57">
        <f t="shared" si="26"/>
        <v>0</v>
      </c>
      <c r="BL20" s="60" t="str">
        <f t="shared" si="27"/>
        <v/>
      </c>
      <c r="BM20" s="60">
        <f t="shared" si="28"/>
        <v>0</v>
      </c>
      <c r="BN20" s="60">
        <f t="shared" si="29"/>
        <v>0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309">
        <v>11</v>
      </c>
      <c r="BU20" s="310">
        <v>11</v>
      </c>
    </row>
    <row r="21" spans="1:80" ht="14.45" customHeight="1" thickTop="1" thickBot="1" x14ac:dyDescent="0.25">
      <c r="A21" s="232" t="str">
        <f>'IMPORTAÇÃO GENOTIPER'!A17</f>
        <v>vWA</v>
      </c>
      <c r="B21" s="307">
        <f>'IMPORTAÇÃO GENOTIPER'!S17</f>
        <v>0</v>
      </c>
      <c r="C21" s="307">
        <f>'IMPORTAÇÃO GENOTIPER'!AA17</f>
        <v>0</v>
      </c>
      <c r="D21" s="307">
        <f>'IMPORTAÇÃO GENOTIPER'!AI17</f>
        <v>0</v>
      </c>
      <c r="E21" s="307">
        <f>'IMPORTAÇÃO GENOTIPER'!AQ17</f>
        <v>0</v>
      </c>
      <c r="F21" s="307">
        <f>'IMPORTAÇÃO GENOTIPER'!AY17</f>
        <v>0</v>
      </c>
      <c r="G21" s="307">
        <f>'IMPORTAÇÃO GENOTIPER'!BG17</f>
        <v>0</v>
      </c>
      <c r="H21" s="308">
        <f t="shared" si="0"/>
        <v>0</v>
      </c>
      <c r="I21" s="308">
        <f t="shared" si="1"/>
        <v>0</v>
      </c>
      <c r="J21" s="308">
        <f t="shared" si="2"/>
        <v>0</v>
      </c>
      <c r="K21" s="308">
        <f t="shared" si="3"/>
        <v>0</v>
      </c>
      <c r="L21" s="308">
        <f t="shared" si="4"/>
        <v>0</v>
      </c>
      <c r="M21" s="308">
        <f t="shared" si="5"/>
        <v>0</v>
      </c>
      <c r="N21" s="94">
        <f t="shared" si="6"/>
        <v>0</v>
      </c>
      <c r="O21" s="94">
        <f t="shared" si="7"/>
        <v>0</v>
      </c>
      <c r="P21" s="94">
        <f t="shared" si="8"/>
        <v>0</v>
      </c>
      <c r="Q21" s="94">
        <f t="shared" si="9"/>
        <v>0</v>
      </c>
      <c r="R21" s="94">
        <f t="shared" si="10"/>
        <v>0</v>
      </c>
      <c r="S21" s="94">
        <f t="shared" si="11"/>
        <v>0</v>
      </c>
      <c r="T21" s="95">
        <f t="shared" si="12"/>
        <v>0</v>
      </c>
      <c r="U21" s="95">
        <f t="shared" si="13"/>
        <v>0</v>
      </c>
      <c r="V21" s="96">
        <f>(IF((OR((P21="&gt;24"),(Q21="&gt;24"))),2,(IF(((T21+U21)=(P21+Q21)),0,1))))</f>
        <v>0</v>
      </c>
      <c r="W21" s="97">
        <f t="shared" si="33"/>
        <v>0</v>
      </c>
      <c r="X21" s="120">
        <f t="shared" si="14"/>
        <v>0</v>
      </c>
      <c r="Y21" s="95">
        <f t="shared" si="38"/>
        <v>0</v>
      </c>
      <c r="Z21" s="98">
        <f t="shared" si="15"/>
        <v>0</v>
      </c>
      <c r="AA21" s="99">
        <f t="shared" si="16"/>
        <v>0</v>
      </c>
      <c r="AB21" s="100">
        <f>IF(X21=0,0,VLOOKUP(X21,FREQUENCIAS!$1:$1048576,(IF(($A21=FREQUENCIAS!$N$1),14,"ERRO")),FREQUENCIAS!$1:$1048576))</f>
        <v>0</v>
      </c>
      <c r="AC21" s="100">
        <f>IF(Y21=0,0,VLOOKUP(Y21,FREQUENCIAS!$1:$1048576,(IF(($A21=FREQUENCIAS!$N$1),14,"ERRO")),FREQUENCIAS!$1:$1048576))</f>
        <v>0</v>
      </c>
      <c r="AD21" s="100"/>
      <c r="AE21" s="321"/>
      <c r="AF21" s="100"/>
      <c r="AG21" s="101">
        <f t="shared" si="34"/>
        <v>0</v>
      </c>
      <c r="AH21" s="102">
        <f t="shared" si="17"/>
        <v>1</v>
      </c>
      <c r="AI21" s="103">
        <f t="shared" si="18"/>
        <v>0.5</v>
      </c>
      <c r="AJ21" s="104"/>
      <c r="AK21" s="105">
        <f t="shared" si="35"/>
        <v>0</v>
      </c>
      <c r="AL21" s="104"/>
      <c r="AM21" s="106" t="str">
        <f t="shared" si="19"/>
        <v>EXCLUI</v>
      </c>
      <c r="AN21" s="97" t="str">
        <f t="shared" si="20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1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1">
        <f t="shared" si="22"/>
        <v>1</v>
      </c>
      <c r="BD21" s="2">
        <f t="shared" si="23"/>
        <v>1</v>
      </c>
      <c r="BF21" s="53">
        <v>7</v>
      </c>
      <c r="BG21" s="53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7" t="str">
        <f t="shared" si="24"/>
        <v/>
      </c>
      <c r="BJ21" s="57">
        <f t="shared" si="25"/>
        <v>0</v>
      </c>
      <c r="BK21" s="57">
        <f t="shared" si="26"/>
        <v>0</v>
      </c>
      <c r="BL21" s="60" t="str">
        <f t="shared" si="27"/>
        <v/>
      </c>
      <c r="BM21" s="60">
        <f t="shared" si="28"/>
        <v>0</v>
      </c>
      <c r="BN21" s="60">
        <f t="shared" si="29"/>
        <v>0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309">
        <v>12</v>
      </c>
      <c r="BU21" s="310">
        <v>16</v>
      </c>
    </row>
    <row r="22" spans="1:80" ht="14.45" customHeight="1" thickTop="1" thickBot="1" x14ac:dyDescent="0.25">
      <c r="A22" s="232" t="str">
        <f>'IMPORTAÇÃO GENOTIPER'!A18</f>
        <v>D21S11</v>
      </c>
      <c r="B22" s="307">
        <f>'IMPORTAÇÃO GENOTIPER'!S18</f>
        <v>0</v>
      </c>
      <c r="C22" s="307">
        <f>'IMPORTAÇÃO GENOTIPER'!AA18</f>
        <v>0</v>
      </c>
      <c r="D22" s="307">
        <f>'IMPORTAÇÃO GENOTIPER'!AI18</f>
        <v>0</v>
      </c>
      <c r="E22" s="307">
        <f>'IMPORTAÇÃO GENOTIPER'!AQ18</f>
        <v>0</v>
      </c>
      <c r="F22" s="307">
        <f>'IMPORTAÇÃO GENOTIPER'!AY18</f>
        <v>0</v>
      </c>
      <c r="G22" s="307">
        <f>'IMPORTAÇÃO GENOTIPER'!BG18</f>
        <v>0</v>
      </c>
      <c r="H22" s="308">
        <f t="shared" si="0"/>
        <v>0</v>
      </c>
      <c r="I22" s="308">
        <f t="shared" si="1"/>
        <v>0</v>
      </c>
      <c r="J22" s="308">
        <f t="shared" si="2"/>
        <v>0</v>
      </c>
      <c r="K22" s="308">
        <f t="shared" si="3"/>
        <v>0</v>
      </c>
      <c r="L22" s="308">
        <f t="shared" si="4"/>
        <v>0</v>
      </c>
      <c r="M22" s="308">
        <f t="shared" si="5"/>
        <v>0</v>
      </c>
      <c r="N22" s="94">
        <f t="shared" si="6"/>
        <v>0</v>
      </c>
      <c r="O22" s="94">
        <f t="shared" si="7"/>
        <v>0</v>
      </c>
      <c r="P22" s="94">
        <f t="shared" si="8"/>
        <v>0</v>
      </c>
      <c r="Q22" s="94">
        <f t="shared" si="9"/>
        <v>0</v>
      </c>
      <c r="R22" s="94">
        <f t="shared" si="10"/>
        <v>0</v>
      </c>
      <c r="S22" s="94">
        <f t="shared" si="11"/>
        <v>0</v>
      </c>
      <c r="T22" s="95">
        <f t="shared" si="12"/>
        <v>0</v>
      </c>
      <c r="U22" s="95">
        <f t="shared" si="13"/>
        <v>0</v>
      </c>
      <c r="V22" s="96">
        <f>(IF((OR((P22="&gt;22"),(Q22="&gt;22"))),2,(IF(((T22+U22)=(P22+Q22)),0,1))))</f>
        <v>0</v>
      </c>
      <c r="W22" s="97">
        <f t="shared" si="33"/>
        <v>0</v>
      </c>
      <c r="X22" s="120">
        <f t="shared" si="14"/>
        <v>0</v>
      </c>
      <c r="Y22" s="95">
        <f t="shared" si="38"/>
        <v>0</v>
      </c>
      <c r="Z22" s="98">
        <f t="shared" si="15"/>
        <v>0</v>
      </c>
      <c r="AA22" s="99">
        <f t="shared" si="16"/>
        <v>0</v>
      </c>
      <c r="AB22" s="100">
        <f>IF(X22=0,0,VLOOKUP(X22,FREQUENCIAS!$1:$1048576,(IF(($A22=FREQUENCIAS!$O$1),15,"ERRO")),FREQUENCIAS!$1:$1048576))</f>
        <v>0</v>
      </c>
      <c r="AC22" s="100">
        <f>IF(Y22=0,0,VLOOKUP(Y22,FREQUENCIAS!$1:$1048576,(IF(($A22=FREQUENCIAS!$O$1),15,"ERRO")),FREQUENCIAS!$1:$1048576))</f>
        <v>0</v>
      </c>
      <c r="AD22" s="100"/>
      <c r="AE22" s="321"/>
      <c r="AF22" s="100"/>
      <c r="AG22" s="101">
        <f t="shared" si="34"/>
        <v>0</v>
      </c>
      <c r="AH22" s="102">
        <f t="shared" si="17"/>
        <v>1</v>
      </c>
      <c r="AI22" s="103">
        <f t="shared" si="18"/>
        <v>0.5</v>
      </c>
      <c r="AJ22" s="104"/>
      <c r="AK22" s="105">
        <f t="shared" si="35"/>
        <v>0</v>
      </c>
      <c r="AL22" s="104"/>
      <c r="AM22" s="106" t="str">
        <f t="shared" si="19"/>
        <v>EXCLUI</v>
      </c>
      <c r="AN22" s="97" t="str">
        <f t="shared" si="20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1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1">
        <f t="shared" si="22"/>
        <v>1</v>
      </c>
      <c r="BD22" s="2">
        <f t="shared" si="23"/>
        <v>1</v>
      </c>
      <c r="BF22" s="53">
        <v>7</v>
      </c>
      <c r="BG22" s="53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7" t="str">
        <f t="shared" si="24"/>
        <v/>
      </c>
      <c r="BJ22" s="57">
        <f t="shared" si="25"/>
        <v>0</v>
      </c>
      <c r="BK22" s="57">
        <f t="shared" si="26"/>
        <v>0</v>
      </c>
      <c r="BL22" s="60" t="str">
        <f t="shared" si="27"/>
        <v/>
      </c>
      <c r="BM22" s="60">
        <f t="shared" si="28"/>
        <v>0</v>
      </c>
      <c r="BN22" s="60">
        <f t="shared" si="29"/>
        <v>0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309">
        <v>13</v>
      </c>
      <c r="BU22" s="310">
        <v>13</v>
      </c>
    </row>
    <row r="23" spans="1:80" ht="14.45" customHeight="1" thickTop="1" thickBot="1" x14ac:dyDescent="0.25">
      <c r="A23" s="232" t="str">
        <f>'IMPORTAÇÃO GENOTIPER'!A19</f>
        <v>D7S820</v>
      </c>
      <c r="B23" s="307">
        <f>'IMPORTAÇÃO GENOTIPER'!S19</f>
        <v>0</v>
      </c>
      <c r="C23" s="307">
        <f>'IMPORTAÇÃO GENOTIPER'!AA19</f>
        <v>0</v>
      </c>
      <c r="D23" s="307">
        <f>'IMPORTAÇÃO GENOTIPER'!AI19</f>
        <v>0</v>
      </c>
      <c r="E23" s="307">
        <f>'IMPORTAÇÃO GENOTIPER'!AQ19</f>
        <v>0</v>
      </c>
      <c r="F23" s="307">
        <f>'IMPORTAÇÃO GENOTIPER'!AY19</f>
        <v>0</v>
      </c>
      <c r="G23" s="307">
        <f>'IMPORTAÇÃO GENOTIPER'!BG19</f>
        <v>0</v>
      </c>
      <c r="H23" s="308">
        <f t="shared" si="0"/>
        <v>0</v>
      </c>
      <c r="I23" s="308">
        <f t="shared" si="1"/>
        <v>0</v>
      </c>
      <c r="J23" s="308">
        <f t="shared" si="2"/>
        <v>0</v>
      </c>
      <c r="K23" s="308">
        <f t="shared" si="3"/>
        <v>0</v>
      </c>
      <c r="L23" s="308">
        <f t="shared" si="4"/>
        <v>0</v>
      </c>
      <c r="M23" s="308">
        <f t="shared" si="5"/>
        <v>0</v>
      </c>
      <c r="N23" s="94">
        <f t="shared" si="6"/>
        <v>0</v>
      </c>
      <c r="O23" s="94">
        <f t="shared" si="7"/>
        <v>0</v>
      </c>
      <c r="P23" s="94">
        <f t="shared" si="8"/>
        <v>0</v>
      </c>
      <c r="Q23" s="94">
        <f t="shared" si="9"/>
        <v>0</v>
      </c>
      <c r="R23" s="94">
        <f t="shared" si="10"/>
        <v>0</v>
      </c>
      <c r="S23" s="94">
        <f t="shared" si="11"/>
        <v>0</v>
      </c>
      <c r="T23" s="95">
        <f t="shared" si="12"/>
        <v>0</v>
      </c>
      <c r="U23" s="95">
        <f t="shared" si="13"/>
        <v>0</v>
      </c>
      <c r="V23" s="96">
        <f>(IF((OR((P23="&gt;32"),(Q23="&gt;32"))),2,(IF(((T23+U23)=(P23+Q23)),0,1))))</f>
        <v>0</v>
      </c>
      <c r="W23" s="97">
        <f t="shared" si="33"/>
        <v>0</v>
      </c>
      <c r="X23" s="120">
        <f t="shared" si="14"/>
        <v>0</v>
      </c>
      <c r="Y23" s="95">
        <f t="shared" si="38"/>
        <v>0</v>
      </c>
      <c r="Z23" s="98">
        <f t="shared" si="15"/>
        <v>0</v>
      </c>
      <c r="AA23" s="99">
        <f t="shared" si="16"/>
        <v>0</v>
      </c>
      <c r="AB23" s="100">
        <f>IF(X23=0,0,VLOOKUP(X23,FREQUENCIAS!$1:$1048576,(IF(($A23=FREQUENCIAS!$P$1),16,"ERRO")),FREQUENCIAS!$1:$1048576))</f>
        <v>0</v>
      </c>
      <c r="AC23" s="100">
        <f>IF(Y23=0,0,VLOOKUP(Y23,FREQUENCIAS!$1:$1048576,(IF(($A23=FREQUENCIAS!$P$1),16,"ERRO")),FREQUENCIAS!$1:$1048576))</f>
        <v>0</v>
      </c>
      <c r="AD23" s="100"/>
      <c r="AE23" s="321"/>
      <c r="AF23" s="100"/>
      <c r="AG23" s="101">
        <f t="shared" si="34"/>
        <v>0</v>
      </c>
      <c r="AH23" s="102">
        <f t="shared" si="17"/>
        <v>1</v>
      </c>
      <c r="AI23" s="103">
        <f t="shared" si="18"/>
        <v>0.5</v>
      </c>
      <c r="AJ23" s="104" t="s">
        <v>173</v>
      </c>
      <c r="AK23" s="105">
        <f t="shared" si="35"/>
        <v>0</v>
      </c>
      <c r="AL23" s="104"/>
      <c r="AM23" s="106" t="str">
        <f t="shared" si="19"/>
        <v>EXCLUI</v>
      </c>
      <c r="AN23" s="97" t="str">
        <f t="shared" si="20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1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1">
        <f t="shared" si="22"/>
        <v>1</v>
      </c>
      <c r="BD23" s="2">
        <f t="shared" si="23"/>
        <v>1</v>
      </c>
      <c r="BF23" s="53">
        <v>17</v>
      </c>
      <c r="BG23" s="53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0</v>
      </c>
      <c r="BK23" s="25">
        <f t="shared" si="26"/>
        <v>0</v>
      </c>
      <c r="BL23" s="64" t="str">
        <f t="shared" si="27"/>
        <v/>
      </c>
      <c r="BM23" s="64">
        <f t="shared" si="28"/>
        <v>0</v>
      </c>
      <c r="BN23" s="64">
        <f t="shared" si="29"/>
        <v>0</v>
      </c>
      <c r="BO23" s="65" t="str">
        <f t="shared" si="30"/>
        <v/>
      </c>
      <c r="BP23" s="65">
        <f t="shared" si="31"/>
        <v>0</v>
      </c>
      <c r="BQ23" s="65">
        <f t="shared" si="32"/>
        <v>0</v>
      </c>
      <c r="BT23" s="309">
        <v>17</v>
      </c>
      <c r="BU23" s="310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 x14ac:dyDescent="0.25">
      <c r="A24" s="232" t="str">
        <f>'IMPORTAÇÃO GENOTIPER'!A20</f>
        <v>D5S818</v>
      </c>
      <c r="B24" s="307">
        <f>'IMPORTAÇÃO GENOTIPER'!S20</f>
        <v>0</v>
      </c>
      <c r="C24" s="307">
        <f>'IMPORTAÇÃO GENOTIPER'!AA20</f>
        <v>0</v>
      </c>
      <c r="D24" s="307">
        <f>'IMPORTAÇÃO GENOTIPER'!AI20</f>
        <v>0</v>
      </c>
      <c r="E24" s="307">
        <f>'IMPORTAÇÃO GENOTIPER'!AQ20</f>
        <v>0</v>
      </c>
      <c r="F24" s="307">
        <f>'IMPORTAÇÃO GENOTIPER'!AY20</f>
        <v>0</v>
      </c>
      <c r="G24" s="307">
        <f>'IMPORTAÇÃO GENOTIPER'!BG20</f>
        <v>0</v>
      </c>
      <c r="H24" s="308">
        <f t="shared" si="0"/>
        <v>0</v>
      </c>
      <c r="I24" s="308">
        <f t="shared" si="1"/>
        <v>0</v>
      </c>
      <c r="J24" s="308">
        <f t="shared" si="2"/>
        <v>0</v>
      </c>
      <c r="K24" s="308">
        <f t="shared" si="3"/>
        <v>0</v>
      </c>
      <c r="L24" s="308">
        <f t="shared" si="4"/>
        <v>0</v>
      </c>
      <c r="M24" s="308">
        <f t="shared" si="5"/>
        <v>0</v>
      </c>
      <c r="N24" s="94">
        <f t="shared" ref="N24:N30" si="40">IF((H24&gt;I24),I24,H24)</f>
        <v>0</v>
      </c>
      <c r="O24" s="94">
        <f t="shared" ref="O24:O30" si="41">IF((I24&gt;H24),I24,H24)</f>
        <v>0</v>
      </c>
      <c r="P24" s="94">
        <f t="shared" ref="P24:P30" si="42">IF((J24&gt;K24),K24,J24)</f>
        <v>0</v>
      </c>
      <c r="Q24" s="94">
        <f t="shared" ref="Q24:Q30" si="43">IF((K24&gt;J24),K24,J24)</f>
        <v>0</v>
      </c>
      <c r="R24" s="94">
        <f t="shared" ref="R24:R30" si="44">IF((L24&gt;M24),M24,L24)</f>
        <v>0</v>
      </c>
      <c r="S24" s="94">
        <f t="shared" ref="S24:S30" si="45">IF((M24&gt;L24),M24,L24)</f>
        <v>0</v>
      </c>
      <c r="T24" s="95">
        <f t="shared" ref="T24:T30" si="46">IF((P24=N24),P24,(IF((P24=O24),P24,0)))</f>
        <v>0</v>
      </c>
      <c r="U24" s="95">
        <f t="shared" ref="U24:U30" si="47">IF((Q24=N24),Q24,(IF((Q24=O24),Q24,0)))</f>
        <v>0</v>
      </c>
      <c r="V24" s="96">
        <f>(IF((OR((P24="&gt;18"),(Q24="&gt;18"))),2,(IF(((T24+U24)=(P24+Q24)),0,1))))</f>
        <v>0</v>
      </c>
      <c r="W24" s="97">
        <f>IF(OR(($T24=$U24),($U24=0)),$T24,(IF(AND(($T24=0),($U24&lt;&gt;0)),$U24,$AJ$7)))</f>
        <v>0</v>
      </c>
      <c r="X24" s="120">
        <f t="shared" si="14"/>
        <v>0</v>
      </c>
      <c r="Y24" s="95">
        <f>(IF((AND(($T24=0),($U24=0))),$E24,(IF(($W24&lt;&gt;$AJ$7),0,$Q24))))</f>
        <v>0</v>
      </c>
      <c r="Z24" s="98">
        <f t="shared" ref="Z24:Z30" si="48">(IF(OR((X24=R24),(X24=S24)),X24,0))</f>
        <v>0</v>
      </c>
      <c r="AA24" s="99">
        <f t="shared" si="16"/>
        <v>0</v>
      </c>
      <c r="AB24" s="100">
        <f>IF(X24=0,0,VLOOKUP(X24,FREQUENCIAS!$1:$1048576,(IF(($A24=FREQUENCIAS!$Q$1),17,"ERRO")),FREQUENCIAS!$1:$1048576))</f>
        <v>0</v>
      </c>
      <c r="AC24" s="100">
        <f>IF(Y24=0,0,VLOOKUP(Y24,FREQUENCIAS!$1:$1048576,(IF(($A24=FREQUENCIAS!$Q$1),17,"ERRO")),FREQUENCIAS!$1:$1048576))</f>
        <v>0</v>
      </c>
      <c r="AD24" s="100"/>
      <c r="AE24" s="321"/>
      <c r="AF24" s="100"/>
      <c r="AG24" s="101">
        <f t="shared" si="34"/>
        <v>0</v>
      </c>
      <c r="AH24" s="102">
        <f t="shared" si="17"/>
        <v>1</v>
      </c>
      <c r="AI24" s="103">
        <f t="shared" ref="AI24:AI30" si="49">(IF((AH24=0),0,(AH24/(AH24+1))))</f>
        <v>0.5</v>
      </c>
      <c r="AJ24" s="104"/>
      <c r="AK24" s="105">
        <f t="shared" si="35"/>
        <v>0</v>
      </c>
      <c r="AL24" s="104"/>
      <c r="AM24" s="106" t="str">
        <f t="shared" si="19"/>
        <v>EXCLUI</v>
      </c>
      <c r="AN24" s="97" t="str">
        <f t="shared" si="20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1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1">
        <f t="shared" si="22"/>
        <v>1</v>
      </c>
      <c r="BD24" s="2">
        <f t="shared" si="23"/>
        <v>1</v>
      </c>
      <c r="BE24" s="68"/>
      <c r="BF24" s="52">
        <v>8</v>
      </c>
      <c r="BG24" s="52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7" t="str">
        <f t="shared" si="24"/>
        <v/>
      </c>
      <c r="BJ24" s="57">
        <f t="shared" si="25"/>
        <v>0</v>
      </c>
      <c r="BK24" s="57">
        <f t="shared" si="26"/>
        <v>0</v>
      </c>
      <c r="BL24" s="60" t="str">
        <f t="shared" si="27"/>
        <v/>
      </c>
      <c r="BM24" s="60">
        <f t="shared" si="28"/>
        <v>0</v>
      </c>
      <c r="BN24" s="60">
        <f t="shared" si="29"/>
        <v>0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309">
        <v>9</v>
      </c>
      <c r="BU24" s="310" t="s">
        <v>103</v>
      </c>
    </row>
    <row r="25" spans="1:80" ht="14.45" customHeight="1" thickTop="1" thickBot="1" x14ac:dyDescent="0.25">
      <c r="A25" s="232" t="str">
        <f>'IMPORTAÇÃO GENOTIPER'!A21</f>
        <v>TPOX</v>
      </c>
      <c r="B25" s="307">
        <f>'IMPORTAÇÃO GENOTIPER'!S21</f>
        <v>0</v>
      </c>
      <c r="C25" s="307">
        <f>'IMPORTAÇÃO GENOTIPER'!AA21</f>
        <v>0</v>
      </c>
      <c r="D25" s="307">
        <f>'IMPORTAÇÃO GENOTIPER'!AI21</f>
        <v>0</v>
      </c>
      <c r="E25" s="307">
        <f>'IMPORTAÇÃO GENOTIPER'!AQ21</f>
        <v>0</v>
      </c>
      <c r="F25" s="307">
        <f>'IMPORTAÇÃO GENOTIPER'!AY21</f>
        <v>0</v>
      </c>
      <c r="G25" s="307">
        <f>'IMPORTAÇÃO GENOTIPER'!BG21</f>
        <v>0</v>
      </c>
      <c r="H25" s="308">
        <f t="shared" si="0"/>
        <v>0</v>
      </c>
      <c r="I25" s="308">
        <f t="shared" si="1"/>
        <v>0</v>
      </c>
      <c r="J25" s="308">
        <f t="shared" si="2"/>
        <v>0</v>
      </c>
      <c r="K25" s="308">
        <f t="shared" si="3"/>
        <v>0</v>
      </c>
      <c r="L25" s="308">
        <f t="shared" si="4"/>
        <v>0</v>
      </c>
      <c r="M25" s="308">
        <f t="shared" si="5"/>
        <v>0</v>
      </c>
      <c r="N25" s="94">
        <f t="shared" si="40"/>
        <v>0</v>
      </c>
      <c r="O25" s="94">
        <f t="shared" si="41"/>
        <v>0</v>
      </c>
      <c r="P25" s="94">
        <f t="shared" si="42"/>
        <v>0</v>
      </c>
      <c r="Q25" s="94">
        <f t="shared" si="43"/>
        <v>0</v>
      </c>
      <c r="R25" s="94">
        <f t="shared" si="44"/>
        <v>0</v>
      </c>
      <c r="S25" s="94">
        <f t="shared" si="45"/>
        <v>0</v>
      </c>
      <c r="T25" s="95">
        <f t="shared" si="46"/>
        <v>0</v>
      </c>
      <c r="U25" s="95">
        <f t="shared" si="47"/>
        <v>0</v>
      </c>
      <c r="V25" s="96">
        <f>(IF((OR((P25="&gt;36"),(Q25="&gt;36"))),2,(IF(((T25+U25)=(P25+Q25)),0,1))))</f>
        <v>0</v>
      </c>
      <c r="W25" s="97">
        <f t="shared" ref="W25:W42" si="50">IF(OR((T25=U25),(U25=0)),T25,(IF(AND((T25=0),(U25&lt;&gt;0)),U25,$AJ$7)))</f>
        <v>0</v>
      </c>
      <c r="X25" s="120">
        <f t="shared" si="14"/>
        <v>0</v>
      </c>
      <c r="Y25" s="95">
        <f>(IF((AND((T25=0),(U25=0))),E25,(IF((W25&lt;&gt;$AJ$7),0,Q25))))</f>
        <v>0</v>
      </c>
      <c r="Z25" s="98">
        <f t="shared" si="48"/>
        <v>0</v>
      </c>
      <c r="AA25" s="99">
        <f t="shared" si="16"/>
        <v>0</v>
      </c>
      <c r="AB25" s="100">
        <f>IF(X25=0,0,VLOOKUP(X25,FREQUENCIAS!$1:$1048576,(IF(($A25=FREQUENCIAS!$R$1),18,"ERRO")),FREQUENCIAS!$1:$1048576))</f>
        <v>0</v>
      </c>
      <c r="AC25" s="100">
        <f>IF(Y25=0,0,VLOOKUP(Y25,FREQUENCIAS!$1:$1048576,(IF(($A25=FREQUENCIAS!$R$1),18,"ERRO")),FREQUENCIAS!$1:$1048576))</f>
        <v>0</v>
      </c>
      <c r="AD25" s="100"/>
      <c r="AE25" s="321"/>
      <c r="AF25" s="100"/>
      <c r="AG25" s="101">
        <f t="shared" si="34"/>
        <v>0</v>
      </c>
      <c r="AH25" s="102">
        <f t="shared" si="17"/>
        <v>1</v>
      </c>
      <c r="AI25" s="103">
        <f t="shared" si="49"/>
        <v>0.5</v>
      </c>
      <c r="AJ25" s="104"/>
      <c r="AK25" s="105">
        <f t="shared" si="35"/>
        <v>0</v>
      </c>
      <c r="AL25" s="104"/>
      <c r="AM25" s="106" t="str">
        <f t="shared" si="19"/>
        <v>EXCLUI</v>
      </c>
      <c r="AN25" s="97" t="str">
        <f t="shared" si="20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1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1">
        <f t="shared" si="22"/>
        <v>1</v>
      </c>
      <c r="BD25" s="2">
        <f t="shared" si="23"/>
        <v>1</v>
      </c>
      <c r="BF25" s="53">
        <v>24</v>
      </c>
      <c r="BG25" s="53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7" t="str">
        <f t="shared" si="24"/>
        <v/>
      </c>
      <c r="BJ25" s="57">
        <f t="shared" si="25"/>
        <v>0</v>
      </c>
      <c r="BK25" s="57">
        <f t="shared" si="26"/>
        <v>0</v>
      </c>
      <c r="BL25" s="60" t="str">
        <f t="shared" si="27"/>
        <v/>
      </c>
      <c r="BM25" s="66">
        <f t="shared" si="28"/>
        <v>0</v>
      </c>
      <c r="BN25" s="60">
        <f t="shared" si="29"/>
        <v>0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309">
        <v>24</v>
      </c>
      <c r="BU25" s="310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 x14ac:dyDescent="0.25">
      <c r="A26" s="232" t="str">
        <f>'IMPORTAÇÃO GENOTIPER'!A22</f>
        <v>D8S1179</v>
      </c>
      <c r="B26" s="307">
        <f>'IMPORTAÇÃO GENOTIPER'!S22</f>
        <v>0</v>
      </c>
      <c r="C26" s="307">
        <f>'IMPORTAÇÃO GENOTIPER'!AA22</f>
        <v>0</v>
      </c>
      <c r="D26" s="307">
        <f>'IMPORTAÇÃO GENOTIPER'!AI22</f>
        <v>0</v>
      </c>
      <c r="E26" s="307">
        <f>'IMPORTAÇÃO GENOTIPER'!AQ22</f>
        <v>0</v>
      </c>
      <c r="F26" s="307">
        <f>'IMPORTAÇÃO GENOTIPER'!AY22</f>
        <v>0</v>
      </c>
      <c r="G26" s="307">
        <f>'IMPORTAÇÃO GENOTIPER'!BG22</f>
        <v>0</v>
      </c>
      <c r="H26" s="308">
        <f t="shared" si="0"/>
        <v>0</v>
      </c>
      <c r="I26" s="308">
        <f t="shared" si="1"/>
        <v>0</v>
      </c>
      <c r="J26" s="308">
        <f t="shared" si="2"/>
        <v>0</v>
      </c>
      <c r="K26" s="308">
        <f t="shared" si="3"/>
        <v>0</v>
      </c>
      <c r="L26" s="308">
        <f t="shared" si="4"/>
        <v>0</v>
      </c>
      <c r="M26" s="308">
        <f t="shared" si="5"/>
        <v>0</v>
      </c>
      <c r="N26" s="94">
        <f t="shared" si="40"/>
        <v>0</v>
      </c>
      <c r="O26" s="94">
        <f t="shared" si="41"/>
        <v>0</v>
      </c>
      <c r="P26" s="94">
        <f t="shared" si="42"/>
        <v>0</v>
      </c>
      <c r="Q26" s="94">
        <f t="shared" si="43"/>
        <v>0</v>
      </c>
      <c r="R26" s="94">
        <f t="shared" si="44"/>
        <v>0</v>
      </c>
      <c r="S26" s="94">
        <f t="shared" si="45"/>
        <v>0</v>
      </c>
      <c r="T26" s="95">
        <f t="shared" si="46"/>
        <v>0</v>
      </c>
      <c r="U26" s="95">
        <f t="shared" si="47"/>
        <v>0</v>
      </c>
      <c r="V26" s="96">
        <f>(IF((OR((P26="&gt;21"),(Q26="&gt;21"))),2,(IF(((T26+U26)=(P26+Q26)),0,1))))</f>
        <v>0</v>
      </c>
      <c r="W26" s="95">
        <f t="shared" si="50"/>
        <v>0</v>
      </c>
      <c r="X26" s="120">
        <f t="shared" si="14"/>
        <v>0</v>
      </c>
      <c r="Y26" s="95">
        <f xml:space="preserve"> (IF((AND((T26=0),(U26=0))),E26,(IF((W26&lt;&gt;$AJ$7),0,Q26))))</f>
        <v>0</v>
      </c>
      <c r="Z26" s="98">
        <f t="shared" si="48"/>
        <v>0</v>
      </c>
      <c r="AA26" s="99">
        <f t="shared" si="16"/>
        <v>0</v>
      </c>
      <c r="AB26" s="100">
        <f>IF(X26=0,0,VLOOKUP(X26,FREQUENCIAS!$1:$1048576,(IF(($A26=FREQUENCIAS!$S$1),19,"ERRO")),FREQUENCIAS!$1:$1048576))</f>
        <v>0</v>
      </c>
      <c r="AC26" s="100">
        <f>IF(Y26=0,0,VLOOKUP(Y26,FREQUENCIAS!$1:$1048576,(IF(($A26=FREQUENCIAS!$S$1),19,"ERRO")),FREQUENCIAS!$1:$1048576))</f>
        <v>0</v>
      </c>
      <c r="AD26" s="100"/>
      <c r="AE26" s="321"/>
      <c r="AF26" s="100"/>
      <c r="AG26" s="101">
        <f t="shared" si="34"/>
        <v>0</v>
      </c>
      <c r="AH26" s="102">
        <f t="shared" si="17"/>
        <v>1</v>
      </c>
      <c r="AI26" s="103">
        <f t="shared" si="49"/>
        <v>0.5</v>
      </c>
      <c r="AJ26" s="104" t="s">
        <v>140</v>
      </c>
      <c r="AK26" s="105">
        <f t="shared" si="35"/>
        <v>0</v>
      </c>
      <c r="AL26" s="104"/>
      <c r="AM26" s="106" t="str">
        <f t="shared" si="19"/>
        <v>EXCLUI</v>
      </c>
      <c r="AN26" s="97" t="str">
        <f t="shared" si="20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1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1">
        <f t="shared" si="22"/>
        <v>1</v>
      </c>
      <c r="BD26" s="2">
        <f t="shared" si="23"/>
        <v>1</v>
      </c>
      <c r="BF26" s="53">
        <v>6</v>
      </c>
      <c r="BG26" s="53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7" t="str">
        <f t="shared" si="24"/>
        <v/>
      </c>
      <c r="BJ26" s="57">
        <f t="shared" si="25"/>
        <v>0</v>
      </c>
      <c r="BK26" s="57">
        <f t="shared" si="26"/>
        <v>0</v>
      </c>
      <c r="BL26" s="60" t="str">
        <f t="shared" si="27"/>
        <v/>
      </c>
      <c r="BM26" s="60">
        <f t="shared" si="28"/>
        <v>0</v>
      </c>
      <c r="BN26" s="60">
        <f t="shared" si="29"/>
        <v>0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309">
        <v>9</v>
      </c>
      <c r="BU26" s="310">
        <v>12</v>
      </c>
    </row>
    <row r="27" spans="1:80" ht="14.45" customHeight="1" thickTop="1" thickBot="1" x14ac:dyDescent="0.25">
      <c r="A27" s="232" t="str">
        <f>'IMPORTAÇÃO GENOTIPER'!A23</f>
        <v>D12S391</v>
      </c>
      <c r="B27" s="307">
        <f>'IMPORTAÇÃO GENOTIPER'!S23</f>
        <v>0</v>
      </c>
      <c r="C27" s="307">
        <f>'IMPORTAÇÃO GENOTIPER'!AA23</f>
        <v>0</v>
      </c>
      <c r="D27" s="307">
        <f>'IMPORTAÇÃO GENOTIPER'!AI23</f>
        <v>0</v>
      </c>
      <c r="E27" s="307">
        <f>'IMPORTAÇÃO GENOTIPER'!AQ23</f>
        <v>0</v>
      </c>
      <c r="F27" s="307">
        <f>'IMPORTAÇÃO GENOTIPER'!AY23</f>
        <v>0</v>
      </c>
      <c r="G27" s="307">
        <f>'IMPORTAÇÃO GENOTIPER'!BG23</f>
        <v>0</v>
      </c>
      <c r="H27" s="308">
        <f t="shared" si="0"/>
        <v>0</v>
      </c>
      <c r="I27" s="308">
        <f t="shared" si="1"/>
        <v>0</v>
      </c>
      <c r="J27" s="308">
        <f t="shared" si="2"/>
        <v>0</v>
      </c>
      <c r="K27" s="308">
        <f t="shared" si="3"/>
        <v>0</v>
      </c>
      <c r="L27" s="308">
        <f t="shared" si="4"/>
        <v>0</v>
      </c>
      <c r="M27" s="308">
        <f t="shared" si="5"/>
        <v>0</v>
      </c>
      <c r="N27" s="94">
        <f t="shared" si="40"/>
        <v>0</v>
      </c>
      <c r="O27" s="94">
        <f t="shared" si="41"/>
        <v>0</v>
      </c>
      <c r="P27" s="94">
        <f t="shared" si="42"/>
        <v>0</v>
      </c>
      <c r="Q27" s="94">
        <f t="shared" si="43"/>
        <v>0</v>
      </c>
      <c r="R27" s="94">
        <f t="shared" si="44"/>
        <v>0</v>
      </c>
      <c r="S27" s="94">
        <f t="shared" si="45"/>
        <v>0</v>
      </c>
      <c r="T27" s="95">
        <f t="shared" si="46"/>
        <v>0</v>
      </c>
      <c r="U27" s="95">
        <f t="shared" si="47"/>
        <v>0</v>
      </c>
      <c r="V27" s="96">
        <f>(IF((OR((P27="&gt;21"),(Q27="&gt;21"))),2,(IF(((T27+U27)=(P27+Q27)),0,1))))</f>
        <v>0</v>
      </c>
      <c r="W27" s="97">
        <f t="shared" si="50"/>
        <v>0</v>
      </c>
      <c r="X27" s="120">
        <f t="shared" si="14"/>
        <v>0</v>
      </c>
      <c r="Y27" s="95">
        <f t="shared" ref="Y27:Y42" si="52">(IF((AND((T27=0),(U27=0))),E27,(IF((W27&lt;&gt;$AJ$7),0,Q27))))</f>
        <v>0</v>
      </c>
      <c r="Z27" s="98">
        <f t="shared" si="48"/>
        <v>0</v>
      </c>
      <c r="AA27" s="99">
        <f t="shared" si="16"/>
        <v>0</v>
      </c>
      <c r="AB27" s="100">
        <f>IF(X27=0,0,VLOOKUP(X27,FREQUENCIAS!$1:$1048576,(IF(($A27=FREQUENCIAS!$T$1),20,"ERRO")),FREQUENCIAS!$1:$1048576))</f>
        <v>0</v>
      </c>
      <c r="AC27" s="100">
        <f>IF(Y27=0,0,VLOOKUP(Y27,FREQUENCIAS!$1:$1048576,(IF(($A27=FREQUENCIAS!$T$1),20,"ERRO")),FREQUENCIAS!$1:$1048576))</f>
        <v>0</v>
      </c>
      <c r="AD27" s="100"/>
      <c r="AE27" s="321"/>
      <c r="AF27" s="100"/>
      <c r="AG27" s="101">
        <f t="shared" si="34"/>
        <v>0</v>
      </c>
      <c r="AH27" s="102">
        <f t="shared" si="17"/>
        <v>1</v>
      </c>
      <c r="AI27" s="103">
        <f t="shared" si="49"/>
        <v>0.5</v>
      </c>
      <c r="AJ27" s="104" t="s">
        <v>163</v>
      </c>
      <c r="AK27" s="105">
        <f t="shared" si="35"/>
        <v>0</v>
      </c>
      <c r="AL27" s="104"/>
      <c r="AM27" s="106" t="str">
        <f t="shared" si="19"/>
        <v>EXCLUI</v>
      </c>
      <c r="AN27" s="97" t="str">
        <f t="shared" si="20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1</v>
      </c>
      <c r="AY27" s="39">
        <f t="shared" si="36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0</v>
      </c>
      <c r="BC27" s="41">
        <f t="shared" si="22"/>
        <v>1</v>
      </c>
      <c r="BD27" s="2">
        <f t="shared" si="23"/>
        <v>1</v>
      </c>
      <c r="BF27" s="53">
        <v>12</v>
      </c>
      <c r="BG27" s="53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7" t="str">
        <f t="shared" si="24"/>
        <v/>
      </c>
      <c r="BJ27" s="57">
        <f t="shared" si="25"/>
        <v>0</v>
      </c>
      <c r="BK27" s="57">
        <f t="shared" si="26"/>
        <v>0</v>
      </c>
      <c r="BL27" s="60" t="str">
        <f t="shared" si="27"/>
        <v/>
      </c>
      <c r="BM27" s="60">
        <f t="shared" si="28"/>
        <v>0</v>
      </c>
      <c r="BN27" s="60">
        <f t="shared" si="29"/>
        <v>0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309">
        <v>12</v>
      </c>
      <c r="BU27" s="310">
        <v>15</v>
      </c>
    </row>
    <row r="28" spans="1:80" ht="14.45" customHeight="1" thickTop="1" thickBot="1" x14ac:dyDescent="0.25">
      <c r="A28" s="232" t="str">
        <f>'IMPORTAÇÃO GENOTIPER'!A24</f>
        <v>D19S433</v>
      </c>
      <c r="B28" s="307">
        <f>'IMPORTAÇÃO GENOTIPER'!S24</f>
        <v>0</v>
      </c>
      <c r="C28" s="307">
        <f>'IMPORTAÇÃO GENOTIPER'!AA24</f>
        <v>0</v>
      </c>
      <c r="D28" s="307">
        <f>'IMPORTAÇÃO GENOTIPER'!AI24</f>
        <v>0</v>
      </c>
      <c r="E28" s="307">
        <f>'IMPORTAÇÃO GENOTIPER'!AQ24</f>
        <v>0</v>
      </c>
      <c r="F28" s="307">
        <f>'IMPORTAÇÃO GENOTIPER'!AY24</f>
        <v>0</v>
      </c>
      <c r="G28" s="307">
        <f>'IMPORTAÇÃO GENOTIPER'!BG24</f>
        <v>0</v>
      </c>
      <c r="H28" s="308">
        <f t="shared" si="0"/>
        <v>0</v>
      </c>
      <c r="I28" s="308">
        <f t="shared" si="1"/>
        <v>0</v>
      </c>
      <c r="J28" s="308">
        <f t="shared" si="2"/>
        <v>0</v>
      </c>
      <c r="K28" s="308">
        <f t="shared" si="3"/>
        <v>0</v>
      </c>
      <c r="L28" s="308">
        <f t="shared" si="4"/>
        <v>0</v>
      </c>
      <c r="M28" s="308">
        <f t="shared" si="5"/>
        <v>0</v>
      </c>
      <c r="N28" s="94">
        <f t="shared" si="40"/>
        <v>0</v>
      </c>
      <c r="O28" s="94">
        <f t="shared" si="41"/>
        <v>0</v>
      </c>
      <c r="P28" s="94">
        <f t="shared" si="42"/>
        <v>0</v>
      </c>
      <c r="Q28" s="94">
        <f t="shared" si="43"/>
        <v>0</v>
      </c>
      <c r="R28" s="94">
        <f t="shared" si="44"/>
        <v>0</v>
      </c>
      <c r="S28" s="94">
        <f t="shared" si="45"/>
        <v>0</v>
      </c>
      <c r="T28" s="95">
        <f t="shared" si="46"/>
        <v>0</v>
      </c>
      <c r="U28" s="95">
        <f t="shared" si="47"/>
        <v>0</v>
      </c>
      <c r="V28" s="96">
        <f>(IF((OR((P28="&gt;20"),(Q28="&gt;20"))),2,(IF(((T28+U28)=(P28+Q28)),0,1))))</f>
        <v>0</v>
      </c>
      <c r="W28" s="97">
        <f t="shared" si="50"/>
        <v>0</v>
      </c>
      <c r="X28" s="120">
        <f t="shared" si="14"/>
        <v>0</v>
      </c>
      <c r="Y28" s="95">
        <f t="shared" si="52"/>
        <v>0</v>
      </c>
      <c r="Z28" s="98">
        <f t="shared" si="48"/>
        <v>0</v>
      </c>
      <c r="AA28" s="99">
        <f t="shared" si="16"/>
        <v>0</v>
      </c>
      <c r="AB28" s="100">
        <f>IF(X28=0,0,VLOOKUP(X28,FREQUENCIAS!$1:$1048576,(IF(($A28=FREQUENCIAS!$U$1),21,"ERRO")),FREQUENCIAS!$1:$1048576))</f>
        <v>0</v>
      </c>
      <c r="AC28" s="100">
        <f>IF(Y28=0,0,VLOOKUP(Y28,FREQUENCIAS!$1:$1048576,(IF(($A28=FREQUENCIAS!$U$1),21,"ERRO")),FREQUENCIAS!$1:$1048576))</f>
        <v>0</v>
      </c>
      <c r="AD28" s="100"/>
      <c r="AE28" s="321"/>
      <c r="AF28" s="100"/>
      <c r="AG28" s="101">
        <f t="shared" si="34"/>
        <v>0</v>
      </c>
      <c r="AH28" s="102">
        <f t="shared" si="17"/>
        <v>1</v>
      </c>
      <c r="AI28" s="103">
        <f t="shared" si="49"/>
        <v>0.5</v>
      </c>
      <c r="AJ28" s="104"/>
      <c r="AK28" s="105">
        <f t="shared" si="35"/>
        <v>0</v>
      </c>
      <c r="AL28" s="104"/>
      <c r="AM28" s="106" t="str">
        <f t="shared" si="19"/>
        <v>EXCLUI</v>
      </c>
      <c r="AN28" s="97" t="str">
        <f t="shared" si="20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1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1">
        <f t="shared" si="22"/>
        <v>1</v>
      </c>
      <c r="BD28" s="2">
        <f t="shared" si="23"/>
        <v>1</v>
      </c>
      <c r="BF28" s="53">
        <v>4</v>
      </c>
      <c r="BG28" s="53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7" t="str">
        <f t="shared" si="24"/>
        <v/>
      </c>
      <c r="BJ28" s="57">
        <f t="shared" si="25"/>
        <v>0</v>
      </c>
      <c r="BK28" s="57">
        <f t="shared" si="26"/>
        <v>0</v>
      </c>
      <c r="BL28" s="60" t="str">
        <f t="shared" si="27"/>
        <v/>
      </c>
      <c r="BM28" s="60">
        <f t="shared" si="28"/>
        <v>0</v>
      </c>
      <c r="BN28" s="60">
        <f t="shared" si="29"/>
        <v>0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309">
        <v>5</v>
      </c>
      <c r="BU28" s="310">
        <v>11</v>
      </c>
    </row>
    <row r="29" spans="1:80" ht="14.45" customHeight="1" thickTop="1" thickBot="1" x14ac:dyDescent="0.25">
      <c r="A29" s="232" t="str">
        <f>'IMPORTAÇÃO GENOTIPER'!A25</f>
        <v>FGA</v>
      </c>
      <c r="B29" s="307">
        <f>'IMPORTAÇÃO GENOTIPER'!S25</f>
        <v>0</v>
      </c>
      <c r="C29" s="307">
        <f>'IMPORTAÇÃO GENOTIPER'!AA25</f>
        <v>0</v>
      </c>
      <c r="D29" s="307">
        <f>'IMPORTAÇÃO GENOTIPER'!AI25</f>
        <v>0</v>
      </c>
      <c r="E29" s="307">
        <f>'IMPORTAÇÃO GENOTIPER'!AQ25</f>
        <v>0</v>
      </c>
      <c r="F29" s="307">
        <f>'IMPORTAÇÃO GENOTIPER'!AY25</f>
        <v>0</v>
      </c>
      <c r="G29" s="307">
        <f>'IMPORTAÇÃO GENOTIPER'!BG25</f>
        <v>0</v>
      </c>
      <c r="H29" s="308">
        <f t="shared" si="0"/>
        <v>0</v>
      </c>
      <c r="I29" s="308">
        <f t="shared" si="1"/>
        <v>0</v>
      </c>
      <c r="J29" s="308">
        <f t="shared" si="2"/>
        <v>0</v>
      </c>
      <c r="K29" s="308">
        <f t="shared" si="3"/>
        <v>0</v>
      </c>
      <c r="L29" s="308">
        <f t="shared" si="4"/>
        <v>0</v>
      </c>
      <c r="M29" s="308">
        <f t="shared" si="5"/>
        <v>0</v>
      </c>
      <c r="N29" s="94">
        <f t="shared" si="40"/>
        <v>0</v>
      </c>
      <c r="O29" s="94">
        <f t="shared" si="41"/>
        <v>0</v>
      </c>
      <c r="P29" s="94">
        <f t="shared" si="42"/>
        <v>0</v>
      </c>
      <c r="Q29" s="94">
        <f t="shared" si="43"/>
        <v>0</v>
      </c>
      <c r="R29" s="94">
        <f t="shared" si="44"/>
        <v>0</v>
      </c>
      <c r="S29" s="94">
        <f t="shared" si="45"/>
        <v>0</v>
      </c>
      <c r="T29" s="95">
        <f t="shared" si="46"/>
        <v>0</v>
      </c>
      <c r="U29" s="95">
        <f t="shared" si="47"/>
        <v>0</v>
      </c>
      <c r="V29" s="96">
        <f>(IF((OR((P29="&gt;23"),(Q29="&gt;23"))),2,(IF(((T29+U29)=(P29+Q29)),0,1))))</f>
        <v>0</v>
      </c>
      <c r="W29" s="97">
        <f t="shared" si="50"/>
        <v>0</v>
      </c>
      <c r="X29" s="120">
        <f t="shared" si="14"/>
        <v>0</v>
      </c>
      <c r="Y29" s="95">
        <f t="shared" si="52"/>
        <v>0</v>
      </c>
      <c r="Z29" s="98">
        <f t="shared" si="48"/>
        <v>0</v>
      </c>
      <c r="AA29" s="99">
        <f t="shared" si="16"/>
        <v>0</v>
      </c>
      <c r="AB29" s="100">
        <f>IF(X29=0,0,VLOOKUP(X29,FREQUENCIAS!$1:$1048576,(IF(($A29=FREQUENCIAS!$V$1),22,"ERRO")),FREQUENCIAS!$1:$1048576))</f>
        <v>0</v>
      </c>
      <c r="AC29" s="100">
        <f>IF(Y29=0,0,VLOOKUP(Y29,FREQUENCIAS!$1:$1048576,(IF(($A29=FREQUENCIAS!$V$1),22,"ERRO")),FREQUENCIAS!$1:$1048576))</f>
        <v>0</v>
      </c>
      <c r="AD29" s="100"/>
      <c r="AE29" s="322" t="s">
        <v>246</v>
      </c>
      <c r="AF29" s="100"/>
      <c r="AG29" s="101">
        <f t="shared" si="34"/>
        <v>0</v>
      </c>
      <c r="AH29" s="102">
        <f t="shared" si="17"/>
        <v>1</v>
      </c>
      <c r="AI29" s="103">
        <f t="shared" si="49"/>
        <v>0.5</v>
      </c>
      <c r="AJ29" s="104"/>
      <c r="AK29" s="105">
        <f t="shared" si="35"/>
        <v>0</v>
      </c>
      <c r="AL29" s="104"/>
      <c r="AM29" s="106" t="str">
        <f t="shared" si="19"/>
        <v>EXCLUI</v>
      </c>
      <c r="AN29" s="97" t="str">
        <f t="shared" si="20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1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1">
        <f t="shared" si="22"/>
        <v>1</v>
      </c>
      <c r="BD29" s="2">
        <f t="shared" si="23"/>
        <v>1</v>
      </c>
      <c r="BF29" s="53">
        <v>8</v>
      </c>
      <c r="BG29" s="53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7" t="str">
        <f t="shared" si="24"/>
        <v/>
      </c>
      <c r="BJ29" s="57">
        <f t="shared" si="25"/>
        <v>0</v>
      </c>
      <c r="BK29" s="57">
        <f t="shared" si="26"/>
        <v>0</v>
      </c>
      <c r="BL29" s="60" t="str">
        <f t="shared" si="27"/>
        <v/>
      </c>
      <c r="BM29" s="60">
        <f t="shared" si="28"/>
        <v>0</v>
      </c>
      <c r="BN29" s="60">
        <f t="shared" si="29"/>
        <v>0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309">
        <v>8</v>
      </c>
      <c r="BU29" s="310">
        <v>11</v>
      </c>
    </row>
    <row r="30" spans="1:80" ht="14.45" customHeight="1" thickTop="1" thickBot="1" x14ac:dyDescent="0.25">
      <c r="A30" s="232" t="str">
        <f>'IMPORTAÇÃO GENOTIPER'!A26</f>
        <v>D22S1045</v>
      </c>
      <c r="B30" s="307">
        <f>'IMPORTAÇÃO GENOTIPER'!S26</f>
        <v>0</v>
      </c>
      <c r="C30" s="307">
        <f>'IMPORTAÇÃO GENOTIPER'!AA26</f>
        <v>0</v>
      </c>
      <c r="D30" s="307">
        <f>'IMPORTAÇÃO GENOTIPER'!AI26</f>
        <v>0</v>
      </c>
      <c r="E30" s="307">
        <f>'IMPORTAÇÃO GENOTIPER'!AQ26</f>
        <v>0</v>
      </c>
      <c r="F30" s="307">
        <f>'IMPORTAÇÃO GENOTIPER'!AY26</f>
        <v>0</v>
      </c>
      <c r="G30" s="307">
        <f>'IMPORTAÇÃO GENOTIPER'!BG26</f>
        <v>0</v>
      </c>
      <c r="H30" s="308">
        <f t="shared" si="0"/>
        <v>0</v>
      </c>
      <c r="I30" s="308">
        <f t="shared" si="1"/>
        <v>0</v>
      </c>
      <c r="J30" s="308">
        <f t="shared" si="2"/>
        <v>0</v>
      </c>
      <c r="K30" s="308">
        <f t="shared" si="3"/>
        <v>0</v>
      </c>
      <c r="L30" s="308">
        <f t="shared" si="4"/>
        <v>0</v>
      </c>
      <c r="M30" s="308">
        <f t="shared" si="5"/>
        <v>0</v>
      </c>
      <c r="N30" s="94">
        <f t="shared" si="40"/>
        <v>0</v>
      </c>
      <c r="O30" s="94">
        <f t="shared" si="41"/>
        <v>0</v>
      </c>
      <c r="P30" s="94">
        <f t="shared" si="42"/>
        <v>0</v>
      </c>
      <c r="Q30" s="94">
        <f t="shared" si="43"/>
        <v>0</v>
      </c>
      <c r="R30" s="94">
        <f t="shared" si="44"/>
        <v>0</v>
      </c>
      <c r="S30" s="94">
        <f t="shared" si="45"/>
        <v>0</v>
      </c>
      <c r="T30" s="95">
        <f t="shared" si="46"/>
        <v>0</v>
      </c>
      <c r="U30" s="95">
        <f t="shared" si="47"/>
        <v>0</v>
      </c>
      <c r="V30" s="96">
        <f>(IF((OR((P30="&gt;22"),(Q30="&gt;22"))),2,(IF(((T30+U30)=(P30+Q30)),0,1))))</f>
        <v>0</v>
      </c>
      <c r="W30" s="97">
        <f t="shared" si="50"/>
        <v>0</v>
      </c>
      <c r="X30" s="120">
        <f t="shared" si="14"/>
        <v>0</v>
      </c>
      <c r="Y30" s="95">
        <f t="shared" si="52"/>
        <v>0</v>
      </c>
      <c r="Z30" s="98">
        <f t="shared" si="48"/>
        <v>0</v>
      </c>
      <c r="AA30" s="99">
        <f t="shared" si="16"/>
        <v>0</v>
      </c>
      <c r="AB30" s="100">
        <f>IF(X30=0,0,VLOOKUP(X30,FREQUENCIAS!$1:$1048576,(IF(($A30=FREQUENCIAS!$W$1),23,"ERRO")),FREQUENCIAS!$1:$1048576))</f>
        <v>0</v>
      </c>
      <c r="AC30" s="100">
        <f>IF(Y30=0,0,VLOOKUP(Y30,FREQUENCIAS!$1:$1048576,(IF(($A30=FREQUENCIAS!$W$1),23,"ERRO")),FREQUENCIAS!$1:$1048576))</f>
        <v>0</v>
      </c>
      <c r="AD30" s="100"/>
      <c r="AE30" s="100"/>
      <c r="AF30" s="100"/>
      <c r="AG30" s="101">
        <f t="shared" si="34"/>
        <v>0</v>
      </c>
      <c r="AH30" s="102">
        <f t="shared" si="17"/>
        <v>1</v>
      </c>
      <c r="AI30" s="103">
        <f t="shared" si="49"/>
        <v>0.5</v>
      </c>
      <c r="AJ30" s="104"/>
      <c r="AK30" s="105">
        <f t="shared" si="35"/>
        <v>0</v>
      </c>
      <c r="AL30" s="104"/>
      <c r="AM30" s="106" t="str">
        <f t="shared" si="19"/>
        <v>EXCLUI</v>
      </c>
      <c r="AN30" s="97" t="str">
        <f t="shared" si="20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1</v>
      </c>
      <c r="AY30" s="39">
        <f t="shared" si="36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0</v>
      </c>
      <c r="BC30" s="41">
        <f t="shared" si="22"/>
        <v>1</v>
      </c>
      <c r="BD30" s="2">
        <f t="shared" si="23"/>
        <v>1</v>
      </c>
      <c r="BF30" s="53">
        <v>5</v>
      </c>
      <c r="BG30" s="53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7" t="str">
        <f t="shared" si="24"/>
        <v/>
      </c>
      <c r="BJ30" s="57">
        <f t="shared" si="25"/>
        <v>0</v>
      </c>
      <c r="BK30" s="57">
        <f t="shared" si="26"/>
        <v>0</v>
      </c>
      <c r="BL30" s="60" t="str">
        <f t="shared" si="27"/>
        <v/>
      </c>
      <c r="BM30" s="60">
        <f t="shared" si="28"/>
        <v>0</v>
      </c>
      <c r="BN30" s="60">
        <f t="shared" si="29"/>
        <v>0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309">
        <v>9</v>
      </c>
      <c r="BU30" s="310">
        <v>10</v>
      </c>
    </row>
    <row r="31" spans="1:80" ht="14.45" hidden="1" customHeight="1" thickTop="1" thickBot="1" x14ac:dyDescent="0.25">
      <c r="A31" s="232" t="str">
        <f>'IMPORTAÇÃO GENOTIPER'!A27</f>
        <v>SE33</v>
      </c>
      <c r="B31" s="307">
        <f>'IMPORTAÇÃO GENOTIPER'!S27</f>
        <v>0</v>
      </c>
      <c r="C31" s="307">
        <f>'IMPORTAÇÃO GENOTIPER'!AA27</f>
        <v>0</v>
      </c>
      <c r="D31" s="307">
        <f>'IMPORTAÇÃO GENOTIPER'!AI27</f>
        <v>17</v>
      </c>
      <c r="E31" s="307">
        <f>'IMPORTAÇÃO GENOTIPER'!AQ27</f>
        <v>25</v>
      </c>
      <c r="F31" s="307">
        <f>'IMPORTAÇÃO GENOTIPER'!AY27</f>
        <v>18</v>
      </c>
      <c r="G31" s="307">
        <f>'IMPORTAÇÃO GENOTIPER'!BG27</f>
        <v>25</v>
      </c>
      <c r="H31" s="308">
        <f t="shared" si="0"/>
        <v>0</v>
      </c>
      <c r="I31" s="308">
        <f t="shared" si="1"/>
        <v>0</v>
      </c>
      <c r="J31" s="308">
        <f t="shared" si="2"/>
        <v>17</v>
      </c>
      <c r="K31" s="308">
        <f t="shared" si="3"/>
        <v>25</v>
      </c>
      <c r="L31" s="308">
        <f t="shared" si="4"/>
        <v>18</v>
      </c>
      <c r="M31" s="308">
        <f t="shared" si="5"/>
        <v>25</v>
      </c>
      <c r="N31" s="94">
        <f t="shared" ref="N31:N38" si="54">IF((H31&gt;I31),I31,H31)</f>
        <v>0</v>
      </c>
      <c r="O31" s="94">
        <f t="shared" ref="O31:O38" si="55">IF((I31&gt;H31),I31,H31)</f>
        <v>0</v>
      </c>
      <c r="P31" s="94">
        <f t="shared" ref="P31:P38" si="56">IF((J31&gt;K31),K31,J31)</f>
        <v>17</v>
      </c>
      <c r="Q31" s="94">
        <f t="shared" ref="Q31:Q38" si="57">IF((K31&gt;J31),K31,J31)</f>
        <v>25</v>
      </c>
      <c r="R31" s="94">
        <f t="shared" ref="R31:R38" si="58">IF((L31&gt;M31),M31,L31)</f>
        <v>18</v>
      </c>
      <c r="S31" s="94">
        <f t="shared" ref="S31:S38" si="59">IF((M31&gt;L31),M31,L31)</f>
        <v>25</v>
      </c>
      <c r="T31" s="95">
        <f t="shared" ref="T31:T38" si="60">IF((P31=N31),P31,(IF((P31=O31),P31,0)))</f>
        <v>0</v>
      </c>
      <c r="U31" s="95">
        <f t="shared" ref="U31:U38" si="61">IF((Q31=N31),Q31,(IF((Q31=O31),Q31,0)))</f>
        <v>0</v>
      </c>
      <c r="V31" s="96">
        <f t="shared" ref="V31:V38" si="62">(IF((OR((P31="&gt;22"),(Q31="&gt;22"))),2,(IF(((T31+U31)=(P31+Q31)),0,1))))</f>
        <v>1</v>
      </c>
      <c r="W31" s="97">
        <f t="shared" si="50"/>
        <v>0</v>
      </c>
      <c r="X31" s="120">
        <f t="shared" si="14"/>
        <v>17</v>
      </c>
      <c r="Y31" s="95">
        <f t="shared" si="52"/>
        <v>25</v>
      </c>
      <c r="Z31" s="98">
        <f t="shared" ref="Z31:Z38" si="63">(IF(OR((X31=R31),(X31=S31)),X31,0))</f>
        <v>0</v>
      </c>
      <c r="AA31" s="99">
        <f t="shared" si="16"/>
        <v>25</v>
      </c>
      <c r="AB31" s="100">
        <f>IF(X31=0,0,VLOOKUP(X31,FREQUENCIAS!$1:$1048576,(IF(($A31=FREQUENCIAS!$X$1),24,"ERRO")),FREQUENCIAS!$1:$1048576))</f>
        <v>6.2E-2</v>
      </c>
      <c r="AC31" s="100">
        <f>IF(Y31=0,0,VLOOKUP(Y31,FREQUENCIAS!$1:$1048576,(IF(($A31=FREQUENCIAS!$X$1),24,"ERRO")),FREQUENCIAS!$1:$1048576))</f>
        <v>0</v>
      </c>
      <c r="AD31" s="100"/>
      <c r="AE31" s="100"/>
      <c r="AF31" s="100"/>
      <c r="AG31" s="101">
        <f t="shared" si="34"/>
        <v>6.2E-2</v>
      </c>
      <c r="AH31" s="102">
        <f t="shared" si="17"/>
        <v>8.064516129032258</v>
      </c>
      <c r="AI31" s="103">
        <f t="shared" ref="AI31:AI38" si="64">(IF((AH31=0),0,(AH31/(AH31+1))))</f>
        <v>0.88967971530249113</v>
      </c>
      <c r="AJ31" s="104"/>
      <c r="AK31" s="105">
        <f t="shared" ref="AK31:AK38" si="65">IF(AG31=0,0,(1-AG31)^2)</f>
        <v>0.87984399999999985</v>
      </c>
      <c r="AL31" s="104"/>
      <c r="AM31" s="106" t="str">
        <f t="shared" si="19"/>
        <v>1 / 2F</v>
      </c>
      <c r="AN31" s="97" t="str">
        <f t="shared" si="20"/>
        <v>EM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0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1">
        <f t="shared" si="22"/>
        <v>8.064516129032258</v>
      </c>
      <c r="BD31" s="2">
        <f t="shared" ref="BD31:BD38" si="66">IF((W31=0),1,0)</f>
        <v>1</v>
      </c>
      <c r="BF31" s="53">
        <v>5</v>
      </c>
      <c r="BG31" s="53">
        <v>15</v>
      </c>
      <c r="BH31" s="1" t="str">
        <f t="shared" si="53"/>
        <v>ALELO ERRADO</v>
      </c>
      <c r="BI31" s="57" t="str">
        <f t="shared" si="24"/>
        <v/>
      </c>
      <c r="BJ31" s="57">
        <f t="shared" si="25"/>
        <v>0</v>
      </c>
      <c r="BK31" s="57">
        <f t="shared" si="26"/>
        <v>0</v>
      </c>
      <c r="BL31" s="60" t="str">
        <f t="shared" si="27"/>
        <v/>
      </c>
      <c r="BM31" s="60">
        <f t="shared" si="28"/>
        <v>0</v>
      </c>
      <c r="BN31" s="60">
        <f t="shared" si="29"/>
        <v>0</v>
      </c>
      <c r="BO31" s="37" t="str">
        <f t="shared" si="30"/>
        <v/>
      </c>
      <c r="BP31" s="37">
        <f t="shared" si="31"/>
        <v>25</v>
      </c>
      <c r="BQ31" s="37">
        <f t="shared" si="32"/>
        <v>25</v>
      </c>
      <c r="BT31" s="309">
        <v>9</v>
      </c>
      <c r="BU31" s="310">
        <v>10</v>
      </c>
    </row>
    <row r="32" spans="1:80" ht="14.45" hidden="1" customHeight="1" thickTop="1" thickBot="1" x14ac:dyDescent="0.25">
      <c r="A32" s="232">
        <f>'IMPORTAÇÃO GENOTIPER'!A28</f>
        <v>1</v>
      </c>
      <c r="B32" s="307">
        <f>'IMPORTAÇÃO GENOTIPER'!S28</f>
        <v>0</v>
      </c>
      <c r="C32" s="307">
        <f>'IMPORTAÇÃO GENOTIPER'!AA28</f>
        <v>0</v>
      </c>
      <c r="D32" s="307">
        <f>'IMPORTAÇÃO GENOTIPER'!AI28</f>
        <v>12</v>
      </c>
      <c r="E32" s="307">
        <f>'IMPORTAÇÃO GENOTIPER'!AQ28</f>
        <v>12</v>
      </c>
      <c r="F32" s="307">
        <f>'IMPORTAÇÃO GENOTIPER'!AY28</f>
        <v>12</v>
      </c>
      <c r="G32" s="307">
        <f>'IMPORTAÇÃO GENOTIPER'!BG28</f>
        <v>13</v>
      </c>
      <c r="H32" s="308">
        <f t="shared" si="0"/>
        <v>0</v>
      </c>
      <c r="I32" s="308">
        <f t="shared" si="1"/>
        <v>0</v>
      </c>
      <c r="J32" s="308">
        <f t="shared" si="2"/>
        <v>12</v>
      </c>
      <c r="K32" s="308">
        <f t="shared" si="3"/>
        <v>12</v>
      </c>
      <c r="L32" s="308">
        <f t="shared" si="4"/>
        <v>12</v>
      </c>
      <c r="M32" s="308">
        <f t="shared" si="5"/>
        <v>13</v>
      </c>
      <c r="N32" s="94">
        <f t="shared" si="54"/>
        <v>0</v>
      </c>
      <c r="O32" s="94">
        <f t="shared" si="55"/>
        <v>0</v>
      </c>
      <c r="P32" s="94">
        <f t="shared" si="56"/>
        <v>12</v>
      </c>
      <c r="Q32" s="94">
        <f t="shared" si="57"/>
        <v>12</v>
      </c>
      <c r="R32" s="94">
        <f t="shared" si="58"/>
        <v>12</v>
      </c>
      <c r="S32" s="94">
        <f t="shared" si="59"/>
        <v>13</v>
      </c>
      <c r="T32" s="95">
        <f t="shared" si="60"/>
        <v>0</v>
      </c>
      <c r="U32" s="95">
        <f t="shared" si="61"/>
        <v>0</v>
      </c>
      <c r="V32" s="96">
        <f t="shared" si="62"/>
        <v>1</v>
      </c>
      <c r="W32" s="97">
        <f t="shared" si="50"/>
        <v>0</v>
      </c>
      <c r="X32" s="120">
        <f t="shared" si="14"/>
        <v>12</v>
      </c>
      <c r="Y32" s="95">
        <f t="shared" si="52"/>
        <v>12</v>
      </c>
      <c r="Z32" s="98">
        <f t="shared" si="63"/>
        <v>12</v>
      </c>
      <c r="AA32" s="99">
        <f t="shared" si="16"/>
        <v>12</v>
      </c>
      <c r="AB32" s="100">
        <f>IF(X32=0,0,VLOOKUP(X32,FREQUENCIAS!$1:$1048576,(IF(($A32=FREQUENCIAS!$Y$1),24,"ERRO")),FREQUENCIAS!$1:$1048576))</f>
        <v>5.0000000000000001E-3</v>
      </c>
      <c r="AC32" s="100">
        <f>IF(Y32=0,0,VLOOKUP(Y32,FREQUENCIAS!$1:$1048576,(IF(($A32=FREQUENCIAS!$Y$1),24,"ERRO")),FREQUENCIAS!$1:$1048576))</f>
        <v>5.0000000000000001E-3</v>
      </c>
      <c r="AD32" s="100"/>
      <c r="AE32" s="100"/>
      <c r="AF32" s="100"/>
      <c r="AG32" s="101">
        <f t="shared" ref="AG32:AG42" si="67">(IF((A32="ERRO-FT"),"11",(IF((AND(($Z32=0),($AA32=0),(AX$44="S"))),0,(IF((AB32+AC32+AD32+AE32+AF32)&lt;=$AI$7,$AI$7,(AB32+AC32+AD32+AE32+AF32)))))))</f>
        <v>0.05</v>
      </c>
      <c r="AH32" s="102">
        <f t="shared" si="17"/>
        <v>10</v>
      </c>
      <c r="AI32" s="103">
        <f t="shared" si="64"/>
        <v>0.90909090909090906</v>
      </c>
      <c r="AJ32" s="104"/>
      <c r="AK32" s="105">
        <f t="shared" si="65"/>
        <v>0.90249999999999997</v>
      </c>
      <c r="AL32" s="104"/>
      <c r="AM32" s="106" t="str">
        <f t="shared" si="19"/>
        <v>1 / 2F</v>
      </c>
      <c r="AN32" s="97" t="str">
        <f t="shared" si="20"/>
        <v>EM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0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1">
        <f t="shared" si="22"/>
        <v>10</v>
      </c>
      <c r="BD32" s="2">
        <f t="shared" si="66"/>
        <v>1</v>
      </c>
      <c r="BF32" s="53">
        <v>5</v>
      </c>
      <c r="BG32" s="53">
        <v>15</v>
      </c>
      <c r="BH32" s="1" t="str">
        <f t="shared" si="53"/>
        <v>ALELO ERRADO</v>
      </c>
      <c r="BI32" s="57" t="str">
        <f t="shared" si="24"/>
        <v/>
      </c>
      <c r="BJ32" s="57">
        <f t="shared" si="25"/>
        <v>0</v>
      </c>
      <c r="BK32" s="57">
        <f t="shared" si="26"/>
        <v>0</v>
      </c>
      <c r="BL32" s="60" t="str">
        <f t="shared" si="27"/>
        <v/>
      </c>
      <c r="BM32" s="60">
        <f t="shared" si="28"/>
        <v>12</v>
      </c>
      <c r="BN32" s="60">
        <f t="shared" si="29"/>
        <v>12</v>
      </c>
      <c r="BO32" s="37" t="str">
        <f t="shared" si="30"/>
        <v/>
      </c>
      <c r="BP32" s="37">
        <f t="shared" si="31"/>
        <v>12</v>
      </c>
      <c r="BQ32" s="37">
        <f t="shared" si="32"/>
        <v>12</v>
      </c>
      <c r="BT32" s="309">
        <v>9</v>
      </c>
      <c r="BU32" s="310">
        <v>10</v>
      </c>
    </row>
    <row r="33" spans="1:82" ht="14.45" hidden="1" customHeight="1" thickTop="1" thickBot="1" x14ac:dyDescent="0.25">
      <c r="A33" s="232">
        <f>'IMPORTAÇÃO GENOTIPER'!A29</f>
        <v>2</v>
      </c>
      <c r="B33" s="307">
        <f>'IMPORTAÇÃO GENOTIPER'!S29</f>
        <v>0</v>
      </c>
      <c r="C33" s="307">
        <f>'IMPORTAÇÃO GENOTIPER'!AA29</f>
        <v>0</v>
      </c>
      <c r="D33" s="307">
        <f>'IMPORTAÇÃO GENOTIPER'!AI29</f>
        <v>22</v>
      </c>
      <c r="E33" s="307">
        <f>'IMPORTAÇÃO GENOTIPER'!AQ29</f>
        <v>22</v>
      </c>
      <c r="F33" s="307">
        <f>'IMPORTAÇÃO GENOTIPER'!AY29</f>
        <v>22</v>
      </c>
      <c r="G33" s="307">
        <f>'IMPORTAÇÃO GENOTIPER'!BG29</f>
        <v>23</v>
      </c>
      <c r="H33" s="308">
        <f t="shared" si="0"/>
        <v>0</v>
      </c>
      <c r="I33" s="308">
        <f t="shared" si="1"/>
        <v>0</v>
      </c>
      <c r="J33" s="308">
        <f t="shared" si="2"/>
        <v>22</v>
      </c>
      <c r="K33" s="308">
        <f t="shared" si="3"/>
        <v>22</v>
      </c>
      <c r="L33" s="308">
        <f t="shared" si="4"/>
        <v>22</v>
      </c>
      <c r="M33" s="308">
        <f t="shared" si="5"/>
        <v>23</v>
      </c>
      <c r="N33" s="94">
        <f t="shared" si="54"/>
        <v>0</v>
      </c>
      <c r="O33" s="94">
        <f t="shared" si="55"/>
        <v>0</v>
      </c>
      <c r="P33" s="94">
        <f t="shared" si="56"/>
        <v>22</v>
      </c>
      <c r="Q33" s="94">
        <f t="shared" si="57"/>
        <v>22</v>
      </c>
      <c r="R33" s="94">
        <f t="shared" si="58"/>
        <v>22</v>
      </c>
      <c r="S33" s="94">
        <f t="shared" si="59"/>
        <v>23</v>
      </c>
      <c r="T33" s="95">
        <f t="shared" si="60"/>
        <v>0</v>
      </c>
      <c r="U33" s="95">
        <f t="shared" si="61"/>
        <v>0</v>
      </c>
      <c r="V33" s="96">
        <f t="shared" si="62"/>
        <v>1</v>
      </c>
      <c r="W33" s="97">
        <f t="shared" si="50"/>
        <v>0</v>
      </c>
      <c r="X33" s="120">
        <f t="shared" si="14"/>
        <v>22</v>
      </c>
      <c r="Y33" s="95">
        <f t="shared" si="52"/>
        <v>22</v>
      </c>
      <c r="Z33" s="98">
        <f t="shared" si="63"/>
        <v>22</v>
      </c>
      <c r="AA33" s="99">
        <f t="shared" si="16"/>
        <v>22</v>
      </c>
      <c r="AB33" s="100">
        <f>IF(X33=0,0,VLOOKUP(X33,FREQUENCIAS!$1:$1048576,(IF(($A33=FREQUENCIAS!$Z$1),25,"ERRO")),FREQUENCIAS!$1:$1048576))</f>
        <v>0</v>
      </c>
      <c r="AC33" s="100">
        <f>IF(Y33=0,0,VLOOKUP(Y33,FREQUENCIAS!$1:$1048576,(IF(($A33=FREQUENCIAS!$Z$1),25,"ERRO")),FREQUENCIAS!$1:$1048576))</f>
        <v>0</v>
      </c>
      <c r="AD33" s="100"/>
      <c r="AE33" s="100"/>
      <c r="AF33" s="100"/>
      <c r="AG33" s="101">
        <f t="shared" si="67"/>
        <v>0.05</v>
      </c>
      <c r="AH33" s="102">
        <f t="shared" si="17"/>
        <v>10</v>
      </c>
      <c r="AI33" s="103">
        <f t="shared" si="64"/>
        <v>0.90909090909090906</v>
      </c>
      <c r="AJ33" s="104"/>
      <c r="AK33" s="105">
        <f t="shared" si="65"/>
        <v>0.90249999999999997</v>
      </c>
      <c r="AL33" s="104"/>
      <c r="AM33" s="106" t="str">
        <f t="shared" si="19"/>
        <v>1 / 2F</v>
      </c>
      <c r="AN33" s="97" t="str">
        <f t="shared" si="20"/>
        <v>EM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0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1">
        <f t="shared" si="22"/>
        <v>10</v>
      </c>
      <c r="BD33" s="2">
        <f t="shared" si="66"/>
        <v>1</v>
      </c>
      <c r="BF33" s="53">
        <v>5</v>
      </c>
      <c r="BG33" s="53">
        <v>15</v>
      </c>
      <c r="BH33" s="1" t="str">
        <f t="shared" si="53"/>
        <v>ALELO ERRADO</v>
      </c>
      <c r="BI33" s="57" t="str">
        <f t="shared" si="24"/>
        <v/>
      </c>
      <c r="BJ33" s="57">
        <f t="shared" si="25"/>
        <v>0</v>
      </c>
      <c r="BK33" s="57">
        <f t="shared" si="26"/>
        <v>0</v>
      </c>
      <c r="BL33" s="60" t="str">
        <f t="shared" si="27"/>
        <v/>
      </c>
      <c r="BM33" s="60">
        <f t="shared" si="28"/>
        <v>22</v>
      </c>
      <c r="BN33" s="60">
        <f t="shared" si="29"/>
        <v>22</v>
      </c>
      <c r="BO33" s="37" t="str">
        <f t="shared" si="30"/>
        <v/>
      </c>
      <c r="BP33" s="37">
        <f t="shared" si="31"/>
        <v>22</v>
      </c>
      <c r="BQ33" s="37">
        <f t="shared" si="32"/>
        <v>22</v>
      </c>
      <c r="BT33" s="309">
        <v>9</v>
      </c>
      <c r="BU33" s="310">
        <v>10</v>
      </c>
    </row>
    <row r="34" spans="1:82" ht="14.45" hidden="1" customHeight="1" thickTop="1" thickBot="1" x14ac:dyDescent="0.25">
      <c r="A34" s="232">
        <f>'IMPORTAÇÃO GENOTIPER'!A30</f>
        <v>3</v>
      </c>
      <c r="B34" s="307">
        <f>'IMPORTAÇÃO GENOTIPER'!S30</f>
        <v>0</v>
      </c>
      <c r="C34" s="307">
        <f>'IMPORTAÇÃO GENOTIPER'!AA30</f>
        <v>0</v>
      </c>
      <c r="D34" s="307">
        <f>'IMPORTAÇÃO GENOTIPER'!AI30</f>
        <v>15</v>
      </c>
      <c r="E34" s="307">
        <f>'IMPORTAÇÃO GENOTIPER'!AQ30</f>
        <v>16</v>
      </c>
      <c r="F34" s="307">
        <f>'IMPORTAÇÃO GENOTIPER'!AY30</f>
        <v>14</v>
      </c>
      <c r="G34" s="307">
        <f>'IMPORTAÇÃO GENOTIPER'!BG30</f>
        <v>15</v>
      </c>
      <c r="H34" s="308">
        <f t="shared" si="0"/>
        <v>0</v>
      </c>
      <c r="I34" s="308">
        <f t="shared" si="1"/>
        <v>0</v>
      </c>
      <c r="J34" s="308">
        <f t="shared" si="2"/>
        <v>15</v>
      </c>
      <c r="K34" s="308">
        <f t="shared" si="3"/>
        <v>16</v>
      </c>
      <c r="L34" s="308">
        <f t="shared" si="4"/>
        <v>14</v>
      </c>
      <c r="M34" s="308">
        <f t="shared" si="5"/>
        <v>15</v>
      </c>
      <c r="N34" s="94">
        <f t="shared" si="54"/>
        <v>0</v>
      </c>
      <c r="O34" s="94">
        <f t="shared" si="55"/>
        <v>0</v>
      </c>
      <c r="P34" s="94">
        <f t="shared" si="56"/>
        <v>15</v>
      </c>
      <c r="Q34" s="94">
        <f t="shared" si="57"/>
        <v>16</v>
      </c>
      <c r="R34" s="94">
        <f t="shared" si="58"/>
        <v>14</v>
      </c>
      <c r="S34" s="94">
        <f t="shared" si="59"/>
        <v>15</v>
      </c>
      <c r="T34" s="95">
        <f t="shared" si="60"/>
        <v>0</v>
      </c>
      <c r="U34" s="95">
        <f t="shared" si="61"/>
        <v>0</v>
      </c>
      <c r="V34" s="96">
        <f t="shared" si="62"/>
        <v>1</v>
      </c>
      <c r="W34" s="97">
        <f t="shared" si="50"/>
        <v>0</v>
      </c>
      <c r="X34" s="120">
        <f t="shared" si="14"/>
        <v>15</v>
      </c>
      <c r="Y34" s="95">
        <f t="shared" si="52"/>
        <v>16</v>
      </c>
      <c r="Z34" s="98">
        <f t="shared" si="63"/>
        <v>15</v>
      </c>
      <c r="AA34" s="99">
        <f t="shared" si="16"/>
        <v>0</v>
      </c>
      <c r="AB34" s="100">
        <f>IF(X34=0,0,VLOOKUP(X34,FREQUENCIAS!$1:$1048576,(IF(($A34=FREQUENCIAS!$AA$1),27,"ERRO")),FREQUENCIAS!$1:$1048576))</f>
        <v>0</v>
      </c>
      <c r="AC34" s="100">
        <f>IF(Y34=0,0,VLOOKUP(Y34,FREQUENCIAS!$1:$1048576,(IF(($A34=FREQUENCIAS!$AA$1),27,"ERRO")),FREQUENCIAS!$1:$1048576))</f>
        <v>0</v>
      </c>
      <c r="AD34" s="100"/>
      <c r="AE34" s="100"/>
      <c r="AF34" s="100"/>
      <c r="AG34" s="101">
        <f t="shared" si="67"/>
        <v>0.05</v>
      </c>
      <c r="AH34" s="102">
        <f t="shared" si="17"/>
        <v>10</v>
      </c>
      <c r="AI34" s="103">
        <f t="shared" si="64"/>
        <v>0.90909090909090906</v>
      </c>
      <c r="AJ34" s="104"/>
      <c r="AK34" s="105">
        <f t="shared" si="65"/>
        <v>0.90249999999999997</v>
      </c>
      <c r="AL34" s="104"/>
      <c r="AM34" s="106" t="str">
        <f t="shared" si="19"/>
        <v>1 / 2F</v>
      </c>
      <c r="AN34" s="97" t="str">
        <f t="shared" si="20"/>
        <v>EM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0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1">
        <f t="shared" si="22"/>
        <v>10</v>
      </c>
      <c r="BD34" s="2">
        <f t="shared" si="66"/>
        <v>1</v>
      </c>
      <c r="BF34" s="53">
        <v>5</v>
      </c>
      <c r="BG34" s="53">
        <v>15</v>
      </c>
      <c r="BH34" s="1" t="str">
        <f t="shared" si="53"/>
        <v>ALELO ERRADO</v>
      </c>
      <c r="BI34" s="57" t="str">
        <f t="shared" si="24"/>
        <v/>
      </c>
      <c r="BJ34" s="57">
        <f t="shared" si="25"/>
        <v>0</v>
      </c>
      <c r="BK34" s="57">
        <f t="shared" si="26"/>
        <v>0</v>
      </c>
      <c r="BL34" s="60" t="str">
        <f t="shared" si="27"/>
        <v/>
      </c>
      <c r="BM34" s="60">
        <f t="shared" si="28"/>
        <v>15</v>
      </c>
      <c r="BN34" s="60">
        <f t="shared" si="29"/>
        <v>15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309">
        <v>9</v>
      </c>
      <c r="BU34" s="310">
        <v>10</v>
      </c>
    </row>
    <row r="35" spans="1:82" ht="14.45" hidden="1" customHeight="1" thickTop="1" thickBot="1" x14ac:dyDescent="0.25">
      <c r="A35" s="232">
        <f>'IMPORTAÇÃO GENOTIPER'!A31</f>
        <v>4</v>
      </c>
      <c r="B35" s="307">
        <f>'IMPORTAÇÃO GENOTIPER'!S31</f>
        <v>0</v>
      </c>
      <c r="C35" s="307">
        <f>'IMPORTAÇÃO GENOTIPER'!AA31</f>
        <v>0</v>
      </c>
      <c r="D35" s="307">
        <f>'IMPORTAÇÃO GENOTIPER'!AI31</f>
        <v>0</v>
      </c>
      <c r="E35" s="307">
        <f>'IMPORTAÇÃO GENOTIPER'!AQ31</f>
        <v>0</v>
      </c>
      <c r="F35" s="307">
        <f>'IMPORTAÇÃO GENOTIPER'!AY31</f>
        <v>0</v>
      </c>
      <c r="G35" s="307">
        <f>'IMPORTAÇÃO GENOTIPER'!BG31</f>
        <v>0</v>
      </c>
      <c r="H35" s="308">
        <f t="shared" si="0"/>
        <v>0</v>
      </c>
      <c r="I35" s="308">
        <f t="shared" si="1"/>
        <v>0</v>
      </c>
      <c r="J35" s="308">
        <f t="shared" si="2"/>
        <v>0</v>
      </c>
      <c r="K35" s="308">
        <f t="shared" si="3"/>
        <v>0</v>
      </c>
      <c r="L35" s="308">
        <f t="shared" si="4"/>
        <v>0</v>
      </c>
      <c r="M35" s="308">
        <f t="shared" si="5"/>
        <v>0</v>
      </c>
      <c r="N35" s="94">
        <f t="shared" si="54"/>
        <v>0</v>
      </c>
      <c r="O35" s="94">
        <f t="shared" si="55"/>
        <v>0</v>
      </c>
      <c r="P35" s="94">
        <f t="shared" si="56"/>
        <v>0</v>
      </c>
      <c r="Q35" s="94">
        <f t="shared" si="57"/>
        <v>0</v>
      </c>
      <c r="R35" s="94">
        <f t="shared" si="58"/>
        <v>0</v>
      </c>
      <c r="S35" s="94">
        <f t="shared" si="59"/>
        <v>0</v>
      </c>
      <c r="T35" s="95">
        <f t="shared" si="60"/>
        <v>0</v>
      </c>
      <c r="U35" s="95">
        <f t="shared" si="61"/>
        <v>0</v>
      </c>
      <c r="V35" s="96">
        <f t="shared" si="62"/>
        <v>0</v>
      </c>
      <c r="W35" s="97">
        <f t="shared" si="50"/>
        <v>0</v>
      </c>
      <c r="X35" s="120">
        <f t="shared" si="14"/>
        <v>0</v>
      </c>
      <c r="Y35" s="95">
        <f t="shared" si="52"/>
        <v>0</v>
      </c>
      <c r="Z35" s="98">
        <f t="shared" si="63"/>
        <v>0</v>
      </c>
      <c r="AA35" s="99">
        <f t="shared" si="16"/>
        <v>0</v>
      </c>
      <c r="AB35" s="100">
        <f>IF(X35=0,0,VLOOKUP(X35,FREQUENCIAS!$1:$1048576,(IF(($A35=FREQUENCIAS!$AB$1),28,"ERRO")),FREQUENCIAS!$1:$1048576))</f>
        <v>0</v>
      </c>
      <c r="AC35" s="100">
        <f>IF(Y35=0,0,VLOOKUP(Y35,FREQUENCIAS!$1:$1048576,(IF(($A35=FREQUENCIAS!$AB$1),28,"ERRO")),FREQUENCIAS!$1:$1048576))</f>
        <v>0</v>
      </c>
      <c r="AD35" s="100"/>
      <c r="AE35" s="100"/>
      <c r="AF35" s="100"/>
      <c r="AG35" s="101">
        <f t="shared" si="67"/>
        <v>0</v>
      </c>
      <c r="AH35" s="102">
        <f t="shared" si="17"/>
        <v>1</v>
      </c>
      <c r="AI35" s="103">
        <f t="shared" si="64"/>
        <v>0.5</v>
      </c>
      <c r="AJ35" s="104"/>
      <c r="AK35" s="105">
        <f t="shared" si="65"/>
        <v>0</v>
      </c>
      <c r="AL35" s="104"/>
      <c r="AM35" s="106" t="str">
        <f t="shared" si="19"/>
        <v>EXCLUI</v>
      </c>
      <c r="AN35" s="97" t="str">
        <f t="shared" si="20"/>
        <v>EM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1">
        <f t="shared" si="22"/>
        <v>1</v>
      </c>
      <c r="BD35" s="2">
        <f t="shared" si="66"/>
        <v>1</v>
      </c>
      <c r="BF35" s="53">
        <v>5</v>
      </c>
      <c r="BG35" s="53">
        <v>15</v>
      </c>
      <c r="BH35" s="1" t="str">
        <f t="shared" si="53"/>
        <v>ALELO ERRADO</v>
      </c>
      <c r="BI35" s="57" t="str">
        <f t="shared" si="24"/>
        <v/>
      </c>
      <c r="BJ35" s="57">
        <f t="shared" si="25"/>
        <v>0</v>
      </c>
      <c r="BK35" s="57">
        <f t="shared" si="26"/>
        <v>0</v>
      </c>
      <c r="BL35" s="60" t="str">
        <f t="shared" si="27"/>
        <v/>
      </c>
      <c r="BM35" s="60">
        <f t="shared" si="28"/>
        <v>0</v>
      </c>
      <c r="BN35" s="60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309">
        <v>9</v>
      </c>
      <c r="BU35" s="310">
        <v>10</v>
      </c>
    </row>
    <row r="36" spans="1:82" ht="14.45" hidden="1" customHeight="1" thickTop="1" thickBot="1" x14ac:dyDescent="0.25">
      <c r="A36" s="232">
        <f>'IMPORTAÇÃO GENOTIPER'!A32</f>
        <v>5</v>
      </c>
      <c r="B36" s="307">
        <f>'IMPORTAÇÃO GENOTIPER'!S32</f>
        <v>0</v>
      </c>
      <c r="C36" s="307">
        <f>'IMPORTAÇÃO GENOTIPER'!AA32</f>
        <v>0</v>
      </c>
      <c r="D36" s="307">
        <f>'IMPORTAÇÃO GENOTIPER'!AI32</f>
        <v>0</v>
      </c>
      <c r="E36" s="307">
        <f>'IMPORTAÇÃO GENOTIPER'!AQ32</f>
        <v>0</v>
      </c>
      <c r="F36" s="307">
        <f>'IMPORTAÇÃO GENOTIPER'!AY32</f>
        <v>0</v>
      </c>
      <c r="G36" s="307">
        <f>'IMPORTAÇÃO GENOTIPER'!BG32</f>
        <v>0</v>
      </c>
      <c r="H36" s="308">
        <f t="shared" si="0"/>
        <v>0</v>
      </c>
      <c r="I36" s="308">
        <f t="shared" si="1"/>
        <v>0</v>
      </c>
      <c r="J36" s="308">
        <f t="shared" si="2"/>
        <v>0</v>
      </c>
      <c r="K36" s="308">
        <f t="shared" si="3"/>
        <v>0</v>
      </c>
      <c r="L36" s="308">
        <f t="shared" si="4"/>
        <v>0</v>
      </c>
      <c r="M36" s="308">
        <f t="shared" si="5"/>
        <v>0</v>
      </c>
      <c r="N36" s="94">
        <f t="shared" si="54"/>
        <v>0</v>
      </c>
      <c r="O36" s="94">
        <f t="shared" si="55"/>
        <v>0</v>
      </c>
      <c r="P36" s="94">
        <f t="shared" si="56"/>
        <v>0</v>
      </c>
      <c r="Q36" s="94">
        <f t="shared" si="57"/>
        <v>0</v>
      </c>
      <c r="R36" s="94">
        <f t="shared" si="58"/>
        <v>0</v>
      </c>
      <c r="S36" s="94">
        <f t="shared" si="59"/>
        <v>0</v>
      </c>
      <c r="T36" s="95">
        <f t="shared" si="60"/>
        <v>0</v>
      </c>
      <c r="U36" s="95">
        <f t="shared" si="61"/>
        <v>0</v>
      </c>
      <c r="V36" s="96">
        <f t="shared" si="62"/>
        <v>0</v>
      </c>
      <c r="W36" s="97">
        <f t="shared" si="50"/>
        <v>0</v>
      </c>
      <c r="X36" s="120">
        <f t="shared" si="14"/>
        <v>0</v>
      </c>
      <c r="Y36" s="95">
        <f t="shared" si="52"/>
        <v>0</v>
      </c>
      <c r="Z36" s="98">
        <f t="shared" si="63"/>
        <v>0</v>
      </c>
      <c r="AA36" s="99">
        <f t="shared" si="16"/>
        <v>0</v>
      </c>
      <c r="AB36" s="100">
        <f>IF(X36=0,0,VLOOKUP(X36,FREQUENCIAS!$1:$1048576,(IF(($A36=FREQUENCIAS!$AC$1),29,"ERRO")),FREQUENCIAS!$1:$1048576))</f>
        <v>0</v>
      </c>
      <c r="AC36" s="100">
        <f>IF(Y36=0,0,VLOOKUP(Y36,FREQUENCIAS!$1:$1048576,(IF(($A36=FREQUENCIAS!$AC$1),29,"ERRO")),FREQUENCIAS!$1:$1048576))</f>
        <v>0</v>
      </c>
      <c r="AD36" s="100"/>
      <c r="AE36" s="100"/>
      <c r="AF36" s="100"/>
      <c r="AG36" s="101">
        <f t="shared" si="67"/>
        <v>0</v>
      </c>
      <c r="AH36" s="102">
        <f t="shared" si="17"/>
        <v>1</v>
      </c>
      <c r="AI36" s="103">
        <f t="shared" si="64"/>
        <v>0.5</v>
      </c>
      <c r="AJ36" s="104"/>
      <c r="AK36" s="105">
        <f t="shared" si="65"/>
        <v>0</v>
      </c>
      <c r="AL36" s="104"/>
      <c r="AM36" s="106" t="str">
        <f t="shared" si="19"/>
        <v>EXCLUI</v>
      </c>
      <c r="AN36" s="97" t="str">
        <f t="shared" si="20"/>
        <v>EM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1">
        <f t="shared" si="22"/>
        <v>1</v>
      </c>
      <c r="BD36" s="2">
        <f t="shared" si="66"/>
        <v>1</v>
      </c>
      <c r="BF36" s="53">
        <v>5</v>
      </c>
      <c r="BG36" s="53">
        <v>15</v>
      </c>
      <c r="BH36" s="1" t="str">
        <f t="shared" si="53"/>
        <v>ALELO ERRADO</v>
      </c>
      <c r="BI36" s="57" t="str">
        <f t="shared" si="24"/>
        <v/>
      </c>
      <c r="BJ36" s="57">
        <f t="shared" si="25"/>
        <v>0</v>
      </c>
      <c r="BK36" s="57">
        <f t="shared" si="26"/>
        <v>0</v>
      </c>
      <c r="BL36" s="60" t="str">
        <f t="shared" si="27"/>
        <v/>
      </c>
      <c r="BM36" s="60">
        <f t="shared" si="28"/>
        <v>0</v>
      </c>
      <c r="BN36" s="60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309">
        <v>9</v>
      </c>
      <c r="BU36" s="310">
        <v>10</v>
      </c>
    </row>
    <row r="37" spans="1:82" ht="14.45" hidden="1" customHeight="1" thickTop="1" thickBot="1" x14ac:dyDescent="0.25">
      <c r="A37" s="232">
        <f>'IMPORTAÇÃO GENOTIPER'!A33</f>
        <v>6</v>
      </c>
      <c r="B37" s="307">
        <f>'IMPORTAÇÃO GENOTIPER'!S33</f>
        <v>0</v>
      </c>
      <c r="C37" s="307">
        <f>'IMPORTAÇÃO GENOTIPER'!AA33</f>
        <v>0</v>
      </c>
      <c r="D37" s="307">
        <f>'IMPORTAÇÃO GENOTIPER'!AI33</f>
        <v>0</v>
      </c>
      <c r="E37" s="307">
        <f>'IMPORTAÇÃO GENOTIPER'!AQ33</f>
        <v>0</v>
      </c>
      <c r="F37" s="307">
        <f>'IMPORTAÇÃO GENOTIPER'!AY33</f>
        <v>0</v>
      </c>
      <c r="G37" s="307">
        <f>'IMPORTAÇÃO GENOTIPER'!BG33</f>
        <v>0</v>
      </c>
      <c r="H37" s="308">
        <f t="shared" si="0"/>
        <v>0</v>
      </c>
      <c r="I37" s="308">
        <f t="shared" si="1"/>
        <v>0</v>
      </c>
      <c r="J37" s="308">
        <f t="shared" si="2"/>
        <v>0</v>
      </c>
      <c r="K37" s="308">
        <f t="shared" si="3"/>
        <v>0</v>
      </c>
      <c r="L37" s="308">
        <f t="shared" si="4"/>
        <v>0</v>
      </c>
      <c r="M37" s="308">
        <f t="shared" si="5"/>
        <v>0</v>
      </c>
      <c r="N37" s="94">
        <f t="shared" si="54"/>
        <v>0</v>
      </c>
      <c r="O37" s="94">
        <f t="shared" si="55"/>
        <v>0</v>
      </c>
      <c r="P37" s="94">
        <f t="shared" si="56"/>
        <v>0</v>
      </c>
      <c r="Q37" s="94">
        <f t="shared" si="57"/>
        <v>0</v>
      </c>
      <c r="R37" s="94">
        <f t="shared" si="58"/>
        <v>0</v>
      </c>
      <c r="S37" s="94">
        <f t="shared" si="59"/>
        <v>0</v>
      </c>
      <c r="T37" s="95">
        <f t="shared" si="60"/>
        <v>0</v>
      </c>
      <c r="U37" s="95">
        <f t="shared" si="61"/>
        <v>0</v>
      </c>
      <c r="V37" s="96">
        <f t="shared" si="62"/>
        <v>0</v>
      </c>
      <c r="W37" s="97">
        <f t="shared" si="50"/>
        <v>0</v>
      </c>
      <c r="X37" s="120">
        <f t="shared" si="14"/>
        <v>0</v>
      </c>
      <c r="Y37" s="95">
        <f t="shared" si="52"/>
        <v>0</v>
      </c>
      <c r="Z37" s="98">
        <f t="shared" si="63"/>
        <v>0</v>
      </c>
      <c r="AA37" s="99">
        <f t="shared" si="16"/>
        <v>0</v>
      </c>
      <c r="AB37" s="100">
        <f>IF(X37=0,0,VLOOKUP(X37,FREQUENCIAS!$1:$1048576,(IF(($A37=FREQUENCIAS!$AD$1),30,"ERRO")),FREQUENCIAS!$1:$1048576))</f>
        <v>0</v>
      </c>
      <c r="AC37" s="100">
        <f>IF(Y37=0,0,VLOOKUP(Y37,FREQUENCIAS!$1:$1048576,(IF(($A37=FREQUENCIAS!$AD$1),30,"ERRO")),FREQUENCIAS!$1:$1048576))</f>
        <v>0</v>
      </c>
      <c r="AD37" s="100"/>
      <c r="AE37" s="100"/>
      <c r="AF37" s="100"/>
      <c r="AG37" s="101">
        <f t="shared" si="67"/>
        <v>0</v>
      </c>
      <c r="AH37" s="102">
        <f t="shared" si="17"/>
        <v>1</v>
      </c>
      <c r="AI37" s="103">
        <f t="shared" si="64"/>
        <v>0.5</v>
      </c>
      <c r="AJ37" s="104"/>
      <c r="AK37" s="105">
        <f t="shared" si="65"/>
        <v>0</v>
      </c>
      <c r="AL37" s="104"/>
      <c r="AM37" s="106" t="str">
        <f t="shared" si="19"/>
        <v>EXCLUI</v>
      </c>
      <c r="AN37" s="97" t="str">
        <f t="shared" si="20"/>
        <v>EM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1">
        <f t="shared" si="22"/>
        <v>1</v>
      </c>
      <c r="BD37" s="2">
        <f t="shared" si="66"/>
        <v>1</v>
      </c>
      <c r="BF37" s="53">
        <v>5</v>
      </c>
      <c r="BG37" s="53">
        <v>15</v>
      </c>
      <c r="BH37" s="1" t="str">
        <f t="shared" si="53"/>
        <v>ALELO ERRADO</v>
      </c>
      <c r="BI37" s="57" t="str">
        <f t="shared" si="24"/>
        <v/>
      </c>
      <c r="BJ37" s="57">
        <f t="shared" si="25"/>
        <v>0</v>
      </c>
      <c r="BK37" s="57">
        <f t="shared" si="26"/>
        <v>0</v>
      </c>
      <c r="BL37" s="60" t="str">
        <f t="shared" si="27"/>
        <v/>
      </c>
      <c r="BM37" s="60">
        <f t="shared" si="28"/>
        <v>0</v>
      </c>
      <c r="BN37" s="60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309">
        <v>9</v>
      </c>
      <c r="BU37" s="310">
        <v>10</v>
      </c>
    </row>
    <row r="38" spans="1:82" ht="14.45" hidden="1" customHeight="1" thickTop="1" thickBot="1" x14ac:dyDescent="0.25">
      <c r="A38" s="232">
        <f>'IMPORTAÇÃO GENOTIPER'!A34</f>
        <v>7</v>
      </c>
      <c r="B38" s="307">
        <f>'IMPORTAÇÃO GENOTIPER'!S34</f>
        <v>0</v>
      </c>
      <c r="C38" s="307">
        <f>'IMPORTAÇÃO GENOTIPER'!AA34</f>
        <v>0</v>
      </c>
      <c r="D38" s="307">
        <f>'IMPORTAÇÃO GENOTIPER'!AI34</f>
        <v>0</v>
      </c>
      <c r="E38" s="307">
        <f>'IMPORTAÇÃO GENOTIPER'!AQ34</f>
        <v>0</v>
      </c>
      <c r="F38" s="307">
        <f>'IMPORTAÇÃO GENOTIPER'!AY34</f>
        <v>0</v>
      </c>
      <c r="G38" s="307">
        <f>'IMPORTAÇÃO GENOTIPER'!BG34</f>
        <v>0</v>
      </c>
      <c r="H38" s="308">
        <f t="shared" si="0"/>
        <v>0</v>
      </c>
      <c r="I38" s="308">
        <f t="shared" si="1"/>
        <v>0</v>
      </c>
      <c r="J38" s="308">
        <f t="shared" si="2"/>
        <v>0</v>
      </c>
      <c r="K38" s="308">
        <f t="shared" si="3"/>
        <v>0</v>
      </c>
      <c r="L38" s="308">
        <f t="shared" si="4"/>
        <v>0</v>
      </c>
      <c r="M38" s="308">
        <f t="shared" si="5"/>
        <v>0</v>
      </c>
      <c r="N38" s="94">
        <f t="shared" si="54"/>
        <v>0</v>
      </c>
      <c r="O38" s="94">
        <f t="shared" si="55"/>
        <v>0</v>
      </c>
      <c r="P38" s="94">
        <f t="shared" si="56"/>
        <v>0</v>
      </c>
      <c r="Q38" s="94">
        <f t="shared" si="57"/>
        <v>0</v>
      </c>
      <c r="R38" s="94">
        <f t="shared" si="58"/>
        <v>0</v>
      </c>
      <c r="S38" s="94">
        <f t="shared" si="59"/>
        <v>0</v>
      </c>
      <c r="T38" s="95">
        <f t="shared" si="60"/>
        <v>0</v>
      </c>
      <c r="U38" s="95">
        <f t="shared" si="61"/>
        <v>0</v>
      </c>
      <c r="V38" s="96">
        <f t="shared" si="62"/>
        <v>0</v>
      </c>
      <c r="W38" s="97">
        <f t="shared" si="50"/>
        <v>0</v>
      </c>
      <c r="X38" s="120">
        <f t="shared" si="14"/>
        <v>0</v>
      </c>
      <c r="Y38" s="95">
        <f t="shared" si="52"/>
        <v>0</v>
      </c>
      <c r="Z38" s="98">
        <f t="shared" si="63"/>
        <v>0</v>
      </c>
      <c r="AA38" s="99">
        <f t="shared" si="16"/>
        <v>0</v>
      </c>
      <c r="AB38" s="100">
        <f>IF(X38=0,0,VLOOKUP(X38,FREQUENCIAS!$1:$1048576,(IF(($A38=FREQUENCIAS!$AE$1),31,"ERRO")),FREQUENCIAS!$1:$1048576))</f>
        <v>0</v>
      </c>
      <c r="AC38" s="100">
        <f>IF(Y38=0,0,VLOOKUP(Y38,FREQUENCIAS!$1:$1048576,(IF(($A38=FREQUENCIAS!$AE$1),31,"ERRO")),FREQUENCIAS!$1:$1048576))</f>
        <v>0</v>
      </c>
      <c r="AD38" s="100"/>
      <c r="AE38" s="100"/>
      <c r="AF38" s="100"/>
      <c r="AG38" s="101">
        <f t="shared" si="67"/>
        <v>0</v>
      </c>
      <c r="AH38" s="102">
        <f t="shared" si="17"/>
        <v>1</v>
      </c>
      <c r="AI38" s="103">
        <f t="shared" si="64"/>
        <v>0.5</v>
      </c>
      <c r="AJ38" s="104"/>
      <c r="AK38" s="105">
        <f t="shared" si="65"/>
        <v>0</v>
      </c>
      <c r="AL38" s="104"/>
      <c r="AM38" s="106" t="str">
        <f t="shared" si="19"/>
        <v>EXCLUI</v>
      </c>
      <c r="AN38" s="97" t="str">
        <f t="shared" si="20"/>
        <v>EM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1">
        <f t="shared" si="22"/>
        <v>1</v>
      </c>
      <c r="BD38" s="2">
        <f t="shared" si="66"/>
        <v>1</v>
      </c>
      <c r="BF38" s="53">
        <v>5</v>
      </c>
      <c r="BG38" s="53">
        <v>15</v>
      </c>
      <c r="BH38" s="1" t="str">
        <f t="shared" si="53"/>
        <v>ALELO ERRADO</v>
      </c>
      <c r="BI38" s="57" t="str">
        <f t="shared" si="24"/>
        <v/>
      </c>
      <c r="BJ38" s="57">
        <f t="shared" si="25"/>
        <v>0</v>
      </c>
      <c r="BK38" s="57">
        <f t="shared" si="26"/>
        <v>0</v>
      </c>
      <c r="BL38" s="60" t="str">
        <f t="shared" si="27"/>
        <v/>
      </c>
      <c r="BM38" s="60">
        <f t="shared" si="28"/>
        <v>0</v>
      </c>
      <c r="BN38" s="60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309">
        <v>9</v>
      </c>
      <c r="BU38" s="310">
        <v>10</v>
      </c>
    </row>
    <row r="39" spans="1:82" ht="14.45" hidden="1" customHeight="1" thickTop="1" thickBot="1" x14ac:dyDescent="0.25">
      <c r="A39" s="232">
        <f>'IMPORTAÇÃO GENOTIPER'!A35</f>
        <v>8</v>
      </c>
      <c r="B39" s="307">
        <f>'IMPORTAÇÃO GENOTIPER'!S35</f>
        <v>0</v>
      </c>
      <c r="C39" s="307">
        <f>'IMPORTAÇÃO GENOTIPER'!AA35</f>
        <v>0</v>
      </c>
      <c r="D39" s="307">
        <f>'IMPORTAÇÃO GENOTIPER'!AI35</f>
        <v>0</v>
      </c>
      <c r="E39" s="307">
        <f>'IMPORTAÇÃO GENOTIPER'!AQ35</f>
        <v>0</v>
      </c>
      <c r="F39" s="307">
        <f>'IMPORTAÇÃO GENOTIPER'!AY35</f>
        <v>0</v>
      </c>
      <c r="G39" s="307">
        <f>'IMPORTAÇÃO GENOTIPER'!BG35</f>
        <v>0</v>
      </c>
      <c r="H39" s="308">
        <f t="shared" si="0"/>
        <v>0</v>
      </c>
      <c r="I39" s="308">
        <f t="shared" si="1"/>
        <v>0</v>
      </c>
      <c r="J39" s="308">
        <f t="shared" si="2"/>
        <v>0</v>
      </c>
      <c r="K39" s="308">
        <f t="shared" si="3"/>
        <v>0</v>
      </c>
      <c r="L39" s="308">
        <f t="shared" si="4"/>
        <v>0</v>
      </c>
      <c r="M39" s="308">
        <f t="shared" si="5"/>
        <v>0</v>
      </c>
      <c r="N39" s="94">
        <f>IF((H39&gt;I39),I39,H39)</f>
        <v>0</v>
      </c>
      <c r="O39" s="94">
        <f>IF((I39&gt;H39),I39,H39)</f>
        <v>0</v>
      </c>
      <c r="P39" s="94">
        <f>IF((J39&gt;K39),K39,J39)</f>
        <v>0</v>
      </c>
      <c r="Q39" s="94">
        <f>IF((K39&gt;J39),K39,J39)</f>
        <v>0</v>
      </c>
      <c r="R39" s="94">
        <f>IF((L39&gt;M39),M39,L39)</f>
        <v>0</v>
      </c>
      <c r="S39" s="94">
        <f>IF((M39&gt;L39),M39,L39)</f>
        <v>0</v>
      </c>
      <c r="T39" s="95">
        <f>IF((P39=N39),P39,(IF((P39=O39),P39,0)))</f>
        <v>0</v>
      </c>
      <c r="U39" s="95">
        <f>IF((Q39=N39),Q39,(IF((Q39=O39),Q39,0)))</f>
        <v>0</v>
      </c>
      <c r="V39" s="96">
        <f>(IF((OR((P39="&gt;22"),(Q39="&gt;22"))),2,(IF(((T39+U39)=(P39+Q39)),0,1))))</f>
        <v>0</v>
      </c>
      <c r="W39" s="97">
        <f t="shared" si="50"/>
        <v>0</v>
      </c>
      <c r="X39" s="120">
        <f t="shared" si="14"/>
        <v>0</v>
      </c>
      <c r="Y39" s="95">
        <f t="shared" si="52"/>
        <v>0</v>
      </c>
      <c r="Z39" s="98">
        <f>(IF(OR((X39=R39),(X39=S39)),X39,0))</f>
        <v>0</v>
      </c>
      <c r="AA39" s="99">
        <f>(IF(AND((V39=0),(Z39=0),(OR((S39=T39),(S39=U39)))),Y39,(IF((Y39&lt;&gt;0),(IF(OR((Y39=R39),(Y39=S39)),Y39,0)),0))))</f>
        <v>0</v>
      </c>
      <c r="AB39" s="100">
        <f>IF(X39=0,0,VLOOKUP(X39,FREQUENCIAS!$1:$1048576,(IF(($A39=FREQUENCIAS!$AF$1),32,"ERRO")),FREQUENCIAS!$1:$1048576))</f>
        <v>0</v>
      </c>
      <c r="AC39" s="100">
        <f>IF(Y39=0,0,VLOOKUP(Y39,FREQUENCIAS!$1:$1048576,(IF(($A39=FREQUENCIAS!$AF$1),32,"ERRO")),FREQUENCIAS!$1:$1048576))</f>
        <v>0</v>
      </c>
      <c r="AD39" s="100"/>
      <c r="AE39" s="100"/>
      <c r="AF39" s="100"/>
      <c r="AG39" s="101">
        <f t="shared" si="67"/>
        <v>0</v>
      </c>
      <c r="AH39" s="102">
        <f t="shared" si="17"/>
        <v>1</v>
      </c>
      <c r="AI39" s="103">
        <f>(IF((AH39=0),0,(AH39/(AH39+1))))</f>
        <v>0.5</v>
      </c>
      <c r="AJ39" s="104"/>
      <c r="AK39" s="105">
        <f>IF(AG39=0,0,(1-AG39)^2)</f>
        <v>0</v>
      </c>
      <c r="AL39" s="104"/>
      <c r="AM39" s="106" t="str">
        <f t="shared" si="19"/>
        <v>EXCLUI</v>
      </c>
      <c r="AN39" s="97" t="str">
        <f t="shared" si="20"/>
        <v>EM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1">
        <f t="shared" si="22"/>
        <v>1</v>
      </c>
      <c r="BD39" s="2">
        <f>IF((W39=0),1,0)</f>
        <v>1</v>
      </c>
      <c r="BF39" s="53">
        <v>5</v>
      </c>
      <c r="BG39" s="53">
        <v>15</v>
      </c>
      <c r="BH39" s="1" t="str">
        <f t="shared" si="53"/>
        <v>ALELO ERRADO</v>
      </c>
      <c r="BI39" s="57" t="str">
        <f t="shared" si="24"/>
        <v/>
      </c>
      <c r="BJ39" s="57">
        <f t="shared" si="25"/>
        <v>0</v>
      </c>
      <c r="BK39" s="57">
        <f t="shared" si="26"/>
        <v>0</v>
      </c>
      <c r="BL39" s="60" t="str">
        <f t="shared" si="27"/>
        <v/>
      </c>
      <c r="BM39" s="60">
        <f t="shared" si="28"/>
        <v>0</v>
      </c>
      <c r="BN39" s="60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309">
        <v>9</v>
      </c>
      <c r="BU39" s="310">
        <v>10</v>
      </c>
    </row>
    <row r="40" spans="1:82" ht="14.45" hidden="1" customHeight="1" thickTop="1" thickBot="1" x14ac:dyDescent="0.25">
      <c r="A40" s="232">
        <f>'IMPORTAÇÃO GENOTIPER'!A36</f>
        <v>9</v>
      </c>
      <c r="B40" s="307">
        <f>'IMPORTAÇÃO GENOTIPER'!S36</f>
        <v>0</v>
      </c>
      <c r="C40" s="307">
        <f>'IMPORTAÇÃO GENOTIPER'!AA36</f>
        <v>0</v>
      </c>
      <c r="D40" s="307">
        <f>'IMPORTAÇÃO GENOTIPER'!AI36</f>
        <v>0</v>
      </c>
      <c r="E40" s="307">
        <f>'IMPORTAÇÃO GENOTIPER'!AQ36</f>
        <v>0</v>
      </c>
      <c r="F40" s="307">
        <f>'IMPORTAÇÃO GENOTIPER'!AY36</f>
        <v>0</v>
      </c>
      <c r="G40" s="307">
        <f>'IMPORTAÇÃO GENOTIPER'!BG36</f>
        <v>0</v>
      </c>
      <c r="H40" s="308">
        <f t="shared" si="0"/>
        <v>0</v>
      </c>
      <c r="I40" s="308">
        <f t="shared" si="1"/>
        <v>0</v>
      </c>
      <c r="J40" s="308">
        <f t="shared" si="2"/>
        <v>0</v>
      </c>
      <c r="K40" s="308">
        <f t="shared" si="3"/>
        <v>0</v>
      </c>
      <c r="L40" s="308">
        <f t="shared" si="4"/>
        <v>0</v>
      </c>
      <c r="M40" s="308">
        <f t="shared" si="5"/>
        <v>0</v>
      </c>
      <c r="N40" s="94">
        <f>IF((H40&gt;I40),I40,H40)</f>
        <v>0</v>
      </c>
      <c r="O40" s="94">
        <f>IF((I40&gt;H40),I40,H40)</f>
        <v>0</v>
      </c>
      <c r="P40" s="94">
        <f>IF((J40&gt;K40),K40,J40)</f>
        <v>0</v>
      </c>
      <c r="Q40" s="94">
        <f>IF((K40&gt;J40),K40,J40)</f>
        <v>0</v>
      </c>
      <c r="R40" s="94">
        <f>IF((L40&gt;M40),M40,L40)</f>
        <v>0</v>
      </c>
      <c r="S40" s="94">
        <f>IF((M40&gt;L40),M40,L40)</f>
        <v>0</v>
      </c>
      <c r="T40" s="95">
        <f>IF((P40=N40),P40,(IF((P40=O40),P40,0)))</f>
        <v>0</v>
      </c>
      <c r="U40" s="95">
        <f>IF((Q40=N40),Q40,(IF((Q40=O40),Q40,0)))</f>
        <v>0</v>
      </c>
      <c r="V40" s="96">
        <f>(IF((OR((P40="&gt;22"),(Q40="&gt;22"))),2,(IF(((T40+U40)=(P40+Q40)),0,1))))</f>
        <v>0</v>
      </c>
      <c r="W40" s="97">
        <f t="shared" si="50"/>
        <v>0</v>
      </c>
      <c r="X40" s="120">
        <f t="shared" si="14"/>
        <v>0</v>
      </c>
      <c r="Y40" s="95">
        <f t="shared" si="52"/>
        <v>0</v>
      </c>
      <c r="Z40" s="98">
        <f>(IF(OR((X40=R40),(X40=S40)),X40,0))</f>
        <v>0</v>
      </c>
      <c r="AA40" s="99">
        <f>(IF(AND((V40=0),(Z40=0),(OR((S40=T40),(S40=U40)))),Y40,(IF((Y40&lt;&gt;0),(IF(OR((Y40=R40),(Y40=S40)),Y40,0)),0))))</f>
        <v>0</v>
      </c>
      <c r="AB40" s="100">
        <f>IF(X40=0,0,VLOOKUP(X40,FREQUENCIAS!$1:$1048576,(IF(($A40=FREQUENCIAS!$AG$1),33,"ERRO")),FREQUENCIAS!$1:$1048576))</f>
        <v>0</v>
      </c>
      <c r="AC40" s="100">
        <f>IF(Y40=0,0,VLOOKUP(Y40,FREQUENCIAS!$1:$1048576,(IF(($A40=FREQUENCIAS!$AG$1),33,"ERRO")),FREQUENCIAS!$1:$1048576))</f>
        <v>0</v>
      </c>
      <c r="AD40" s="100"/>
      <c r="AE40" s="100"/>
      <c r="AF40" s="100"/>
      <c r="AG40" s="101">
        <f t="shared" si="67"/>
        <v>0</v>
      </c>
      <c r="AH40" s="102">
        <f t="shared" si="17"/>
        <v>1</v>
      </c>
      <c r="AI40" s="103">
        <f>(IF((AH40=0),0,(AH40/(AH40+1))))</f>
        <v>0.5</v>
      </c>
      <c r="AJ40" s="104"/>
      <c r="AK40" s="105">
        <f>IF(AG40=0,0,(1-AG40)^2)</f>
        <v>0</v>
      </c>
      <c r="AL40" s="104"/>
      <c r="AM40" s="106" t="str">
        <f t="shared" si="19"/>
        <v>EXCLUI</v>
      </c>
      <c r="AN40" s="97" t="str">
        <f t="shared" si="20"/>
        <v>EM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1">
        <f t="shared" si="22"/>
        <v>1</v>
      </c>
      <c r="BD40" s="2">
        <f>IF((W40=0),1,0)</f>
        <v>1</v>
      </c>
      <c r="BF40" s="53">
        <v>5</v>
      </c>
      <c r="BG40" s="53">
        <v>15</v>
      </c>
      <c r="BH40" s="1" t="str">
        <f t="shared" si="53"/>
        <v>ALELO ERRADO</v>
      </c>
      <c r="BI40" s="57" t="str">
        <f t="shared" si="24"/>
        <v/>
      </c>
      <c r="BJ40" s="57">
        <f t="shared" si="25"/>
        <v>0</v>
      </c>
      <c r="BK40" s="57">
        <f t="shared" si="26"/>
        <v>0</v>
      </c>
      <c r="BL40" s="60" t="str">
        <f t="shared" si="27"/>
        <v/>
      </c>
      <c r="BM40" s="60">
        <f t="shared" si="28"/>
        <v>0</v>
      </c>
      <c r="BN40" s="60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309">
        <v>9</v>
      </c>
      <c r="BU40" s="310">
        <v>10</v>
      </c>
    </row>
    <row r="41" spans="1:82" ht="14.45" hidden="1" customHeight="1" thickTop="1" thickBot="1" x14ac:dyDescent="0.25">
      <c r="A41" s="232">
        <f>'IMPORTAÇÃO GENOTIPER'!A37</f>
        <v>10</v>
      </c>
      <c r="B41" s="307">
        <f>'IMPORTAÇÃO GENOTIPER'!S37</f>
        <v>0</v>
      </c>
      <c r="C41" s="307">
        <f>'IMPORTAÇÃO GENOTIPER'!AA37</f>
        <v>0</v>
      </c>
      <c r="D41" s="307">
        <f>'IMPORTAÇÃO GENOTIPER'!AI37</f>
        <v>0</v>
      </c>
      <c r="E41" s="307">
        <f>'IMPORTAÇÃO GENOTIPER'!AQ37</f>
        <v>0</v>
      </c>
      <c r="F41" s="307">
        <f>'IMPORTAÇÃO GENOTIPER'!AY37</f>
        <v>0</v>
      </c>
      <c r="G41" s="307">
        <f>'IMPORTAÇÃO GENOTIPER'!BG37</f>
        <v>0</v>
      </c>
      <c r="H41" s="308">
        <f t="shared" si="0"/>
        <v>0</v>
      </c>
      <c r="I41" s="308">
        <f t="shared" si="1"/>
        <v>0</v>
      </c>
      <c r="J41" s="308">
        <f t="shared" si="2"/>
        <v>0</v>
      </c>
      <c r="K41" s="308">
        <f t="shared" si="3"/>
        <v>0</v>
      </c>
      <c r="L41" s="308">
        <f t="shared" si="4"/>
        <v>0</v>
      </c>
      <c r="M41" s="308">
        <f t="shared" si="5"/>
        <v>0</v>
      </c>
      <c r="N41" s="94">
        <f>IF((H41&gt;I41),I41,H41)</f>
        <v>0</v>
      </c>
      <c r="O41" s="94">
        <f>IF((I41&gt;H41),I41,H41)</f>
        <v>0</v>
      </c>
      <c r="P41" s="94">
        <f>IF((J41&gt;K41),K41,J41)</f>
        <v>0</v>
      </c>
      <c r="Q41" s="94">
        <f>IF((K41&gt;J41),K41,J41)</f>
        <v>0</v>
      </c>
      <c r="R41" s="94">
        <f>IF((L41&gt;M41),M41,L41)</f>
        <v>0</v>
      </c>
      <c r="S41" s="94">
        <f>IF((M41&gt;L41),M41,L41)</f>
        <v>0</v>
      </c>
      <c r="T41" s="95">
        <f>IF((P41=N41),P41,(IF((P41=O41),P41,0)))</f>
        <v>0</v>
      </c>
      <c r="U41" s="95">
        <f>IF((Q41=N41),Q41,(IF((Q41=O41),Q41,0)))</f>
        <v>0</v>
      </c>
      <c r="V41" s="96">
        <f>(IF((OR((P41="&gt;22"),(Q41="&gt;22"))),2,(IF(((T41+U41)=(P41+Q41)),0,1))))</f>
        <v>0</v>
      </c>
      <c r="W41" s="97">
        <f t="shared" si="50"/>
        <v>0</v>
      </c>
      <c r="X41" s="120">
        <f t="shared" si="14"/>
        <v>0</v>
      </c>
      <c r="Y41" s="95">
        <f t="shared" si="52"/>
        <v>0</v>
      </c>
      <c r="Z41" s="98">
        <f>(IF(OR((X41=R41),(X41=S41)),X41,0))</f>
        <v>0</v>
      </c>
      <c r="AA41" s="99">
        <f>(IF(AND((V41=0),(Z41=0),(OR((S41=T41),(S41=U41)))),Y41,(IF((Y41&lt;&gt;0),(IF(OR((Y41=R41),(Y41=S41)),Y41,0)),0))))</f>
        <v>0</v>
      </c>
      <c r="AB41" s="100">
        <f>IF(X41=0,0,VLOOKUP(X41,FREQUENCIAS!$1:$1048576,(IF(($A41=FREQUENCIAS!$AH$1),34,"ERRO")),FREQUENCIAS!$1:$1048576))</f>
        <v>0</v>
      </c>
      <c r="AC41" s="100">
        <f>IF(Y41=0,0,VLOOKUP(Y41,FREQUENCIAS!$1:$1048576,(IF(($A41=FREQUENCIAS!$AH$1),34,"ERRO")),FREQUENCIAS!$1:$1048576))</f>
        <v>0</v>
      </c>
      <c r="AD41" s="100"/>
      <c r="AE41" s="100"/>
      <c r="AF41" s="100"/>
      <c r="AG41" s="101">
        <f t="shared" si="67"/>
        <v>0</v>
      </c>
      <c r="AH41" s="102">
        <f t="shared" si="17"/>
        <v>1</v>
      </c>
      <c r="AI41" s="103">
        <f>(IF((AH41=0),0,(AH41/(AH41+1))))</f>
        <v>0.5</v>
      </c>
      <c r="AJ41" s="104"/>
      <c r="AK41" s="105">
        <f>IF(AG41=0,0,(1-AG41)^2)</f>
        <v>0</v>
      </c>
      <c r="AL41" s="104"/>
      <c r="AM41" s="106" t="str">
        <f t="shared" si="19"/>
        <v>EXCLUI</v>
      </c>
      <c r="AN41" s="97" t="str">
        <f t="shared" si="20"/>
        <v>EM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1">
        <f t="shared" si="22"/>
        <v>1</v>
      </c>
      <c r="BD41" s="2">
        <f>IF((W41=0),1,0)</f>
        <v>1</v>
      </c>
      <c r="BF41" s="53">
        <v>5</v>
      </c>
      <c r="BG41" s="53">
        <v>15</v>
      </c>
      <c r="BH41" s="1" t="str">
        <f t="shared" si="53"/>
        <v>ALELO ERRADO</v>
      </c>
      <c r="BI41" s="57" t="str">
        <f t="shared" si="24"/>
        <v/>
      </c>
      <c r="BJ41" s="57">
        <f t="shared" si="25"/>
        <v>0</v>
      </c>
      <c r="BK41" s="57">
        <f t="shared" si="26"/>
        <v>0</v>
      </c>
      <c r="BL41" s="60" t="str">
        <f t="shared" si="27"/>
        <v/>
      </c>
      <c r="BM41" s="60">
        <f t="shared" si="28"/>
        <v>0</v>
      </c>
      <c r="BN41" s="60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309">
        <v>9</v>
      </c>
      <c r="BU41" s="310">
        <v>10</v>
      </c>
    </row>
    <row r="42" spans="1:82" ht="14.45" hidden="1" customHeight="1" thickTop="1" thickBot="1" x14ac:dyDescent="0.25">
      <c r="A42" s="232">
        <f>'IMPORTAÇÃO GENOTIPER'!A38</f>
        <v>11</v>
      </c>
      <c r="B42" s="307">
        <f>'IMPORTAÇÃO GENOTIPER'!S38</f>
        <v>0</v>
      </c>
      <c r="C42" s="307">
        <f>'IMPORTAÇÃO GENOTIPER'!AA38</f>
        <v>0</v>
      </c>
      <c r="D42" s="307">
        <f>'IMPORTAÇÃO GENOTIPER'!AI38</f>
        <v>0</v>
      </c>
      <c r="E42" s="307">
        <f>'IMPORTAÇÃO GENOTIPER'!AQ38</f>
        <v>0</v>
      </c>
      <c r="F42" s="307">
        <f>'IMPORTAÇÃO GENOTIPER'!AY38</f>
        <v>0</v>
      </c>
      <c r="G42" s="307">
        <f>'IMPORTAÇÃO GENOTIPER'!BG38</f>
        <v>0</v>
      </c>
      <c r="H42" s="308">
        <f t="shared" si="0"/>
        <v>0</v>
      </c>
      <c r="I42" s="308">
        <f t="shared" si="1"/>
        <v>0</v>
      </c>
      <c r="J42" s="308">
        <f t="shared" si="2"/>
        <v>0</v>
      </c>
      <c r="K42" s="308">
        <f t="shared" si="3"/>
        <v>0</v>
      </c>
      <c r="L42" s="308">
        <f t="shared" si="4"/>
        <v>0</v>
      </c>
      <c r="M42" s="308">
        <f t="shared" si="5"/>
        <v>0</v>
      </c>
      <c r="N42" s="94">
        <f>IF((H42&gt;I42),I42,H42)</f>
        <v>0</v>
      </c>
      <c r="O42" s="94">
        <f>IF((I42&gt;H42),I42,H42)</f>
        <v>0</v>
      </c>
      <c r="P42" s="94">
        <f>IF((J42&gt;K42),K42,J42)</f>
        <v>0</v>
      </c>
      <c r="Q42" s="94">
        <f>IF((K42&gt;J42),K42,J42)</f>
        <v>0</v>
      </c>
      <c r="R42" s="94">
        <f>IF((L42&gt;M42),M42,L42)</f>
        <v>0</v>
      </c>
      <c r="S42" s="94">
        <f>IF((M42&gt;L42),M42,L42)</f>
        <v>0</v>
      </c>
      <c r="T42" s="95">
        <f>IF((P42=N42),P42,(IF((P42=O42),P42,0)))</f>
        <v>0</v>
      </c>
      <c r="U42" s="95">
        <f>IF((Q42=N42),Q42,(IF((Q42=O42),Q42,0)))</f>
        <v>0</v>
      </c>
      <c r="V42" s="96">
        <f>(IF((OR((P42="&gt;22"),(Q42="&gt;22"))),2,(IF(((T42+U42)=(P42+Q42)),0,1))))</f>
        <v>0</v>
      </c>
      <c r="W42" s="97">
        <f t="shared" si="50"/>
        <v>0</v>
      </c>
      <c r="X42" s="120">
        <f t="shared" si="14"/>
        <v>0</v>
      </c>
      <c r="Y42" s="95">
        <f t="shared" si="52"/>
        <v>0</v>
      </c>
      <c r="Z42" s="98">
        <f>(IF(OR((X42=R42),(X42=S42)),X42,0))</f>
        <v>0</v>
      </c>
      <c r="AA42" s="99">
        <f>(IF(AND((V42=0),(Z42=0),(OR((S42=T42),(S42=U42)))),Y42,(IF((Y42&lt;&gt;0),(IF(OR((Y42=R42),(Y42=S42)),Y42,0)),0))))</f>
        <v>0</v>
      </c>
      <c r="AB42" s="100">
        <f>IF(X42=0,0,VLOOKUP(X42,FREQUENCIAS!$1:$1048576,(IF(($A42=FREQUENCIAS!$AI$1),35,"ERRO")),FREQUENCIAS!$1:$1048576))</f>
        <v>0</v>
      </c>
      <c r="AC42" s="100">
        <f>IF(Y42=0,0,VLOOKUP(Y42,FREQUENCIAS!$1:$1048576,(IF(($A42=FREQUENCIAS!$AI$1),35,"ERRO")),FREQUENCIAS!$1:$1048576))</f>
        <v>0</v>
      </c>
      <c r="AD42" s="100"/>
      <c r="AE42" s="100"/>
      <c r="AF42" s="100"/>
      <c r="AG42" s="101">
        <f t="shared" si="67"/>
        <v>0</v>
      </c>
      <c r="AH42" s="102">
        <f t="shared" si="17"/>
        <v>1</v>
      </c>
      <c r="AI42" s="103">
        <f>(IF((AH42=0),0,(AH42/(AH42+1))))</f>
        <v>0.5</v>
      </c>
      <c r="AJ42" s="104"/>
      <c r="AK42" s="105">
        <f>IF(AG42=0,0,(1-AG42)^2)</f>
        <v>0</v>
      </c>
      <c r="AL42" s="104"/>
      <c r="AM42" s="106" t="str">
        <f t="shared" si="19"/>
        <v>EXCLUI</v>
      </c>
      <c r="AN42" s="97" t="str">
        <f t="shared" si="20"/>
        <v>EM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1">
        <f t="shared" si="22"/>
        <v>1</v>
      </c>
      <c r="BD42" s="2">
        <f>IF((W42=0),1,0)</f>
        <v>1</v>
      </c>
      <c r="BF42" s="53">
        <v>5</v>
      </c>
      <c r="BG42" s="53">
        <v>15</v>
      </c>
      <c r="BH42" s="1" t="str">
        <f t="shared" si="53"/>
        <v>ALELO ERRADO</v>
      </c>
      <c r="BI42" s="57" t="str">
        <f t="shared" si="24"/>
        <v/>
      </c>
      <c r="BJ42" s="57">
        <f t="shared" si="25"/>
        <v>0</v>
      </c>
      <c r="BK42" s="57">
        <f t="shared" si="26"/>
        <v>0</v>
      </c>
      <c r="BL42" s="60" t="str">
        <f t="shared" si="27"/>
        <v/>
      </c>
      <c r="BM42" s="60">
        <f t="shared" si="28"/>
        <v>0</v>
      </c>
      <c r="BN42" s="60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309">
        <v>9</v>
      </c>
      <c r="BU42" s="310">
        <v>10</v>
      </c>
    </row>
    <row r="43" spans="1:82" ht="14.45" customHeight="1" thickTop="1" x14ac:dyDescent="0.25">
      <c r="A43" s="36"/>
      <c r="B43" s="16"/>
      <c r="C43" s="16"/>
      <c r="D43" s="16"/>
      <c r="E43" s="26"/>
      <c r="F43" s="26"/>
      <c r="G43" s="219" t="s">
        <v>82</v>
      </c>
      <c r="H43" s="220"/>
      <c r="I43" s="220"/>
      <c r="J43" s="220"/>
      <c r="K43" s="220"/>
      <c r="L43" s="220"/>
      <c r="M43" s="220"/>
      <c r="N43" s="221"/>
      <c r="O43" s="221"/>
      <c r="P43" s="221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813">
        <f>(IF((AND(($AX$48="N"),($AX$50="O"),($AX$47&lt;=2))),($BC$47),(IF(AND(((PRODUCT(AH9:AH42))&lt;&gt;0),($AX$47&lt;=2)),PRODUCT(AH9:AH42),"NIHIL"))))</f>
        <v>8064.5161290322576</v>
      </c>
      <c r="AH43" s="813"/>
      <c r="AI43" s="813"/>
      <c r="AJ43" s="22"/>
      <c r="AK43" s="814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1.1136771506250024E-4</v>
      </c>
      <c r="AL43" s="814"/>
      <c r="AM43" s="222"/>
      <c r="AN43" s="17"/>
      <c r="AX43" s="55">
        <f>SUM(AX9:AX30)</f>
        <v>22</v>
      </c>
      <c r="BC43" s="41">
        <f>(IF((AND(($AX$44="N"),($AX$46="O"))),(BC9*BC10*BC11*BC12*BC13*BC14*BC15*BC16*BC17*BC18*BC19*BC20*BC21*BC22*BC23),0))</f>
        <v>0</v>
      </c>
      <c r="BD43" s="35">
        <f>SUM(BD9:BD23)</f>
        <v>15</v>
      </c>
      <c r="CD43" s="430"/>
    </row>
    <row r="44" spans="1:82" ht="14.45" customHeight="1" x14ac:dyDescent="0.25">
      <c r="A44" s="18"/>
      <c r="B44" s="6"/>
      <c r="C44" s="6"/>
      <c r="D44" s="6"/>
      <c r="E44" s="27"/>
      <c r="F44" s="27"/>
      <c r="G44" s="223" t="s">
        <v>83</v>
      </c>
      <c r="H44" s="9"/>
      <c r="I44" s="9"/>
      <c r="J44" s="9"/>
      <c r="K44" s="9"/>
      <c r="L44" s="9"/>
      <c r="M44" s="9"/>
      <c r="N44" s="224"/>
      <c r="O44" s="224"/>
      <c r="P44" s="224"/>
      <c r="Q44" s="224"/>
      <c r="R44" s="224"/>
      <c r="S44" s="224"/>
      <c r="T44" s="224"/>
      <c r="U44" s="224"/>
      <c r="V44" s="224"/>
      <c r="W44" s="224"/>
      <c r="X44" s="224"/>
      <c r="Y44" s="224"/>
      <c r="Z44" s="224"/>
      <c r="AA44" s="224"/>
      <c r="AB44" s="224"/>
      <c r="AC44" s="224"/>
      <c r="AD44" s="224"/>
      <c r="AE44" s="224"/>
      <c r="AF44" s="224"/>
      <c r="AG44" s="815">
        <f>(IF((AND(($AX$48="N"),($AX$50="O"),($AX$47&lt;=2))),(ROUNDDOWN(($AG43/($AG43+1)),11)),(IF(((PRODUCT(AH9:AH42))&lt;&gt;0),(ROUNDDOWN(($AG43/($AG43+1)),11)),"NIHIL"))))</f>
        <v>0.99987601537000004</v>
      </c>
      <c r="AH44" s="815"/>
      <c r="AI44" s="815"/>
      <c r="AJ44" s="815"/>
      <c r="AK44" s="815"/>
      <c r="AL44" s="815"/>
      <c r="AM44" s="815"/>
      <c r="AN44" s="76"/>
      <c r="AR44" s="1" t="s">
        <v>102</v>
      </c>
      <c r="AX44" s="315" t="s">
        <v>241</v>
      </c>
      <c r="AY44" s="50" t="s">
        <v>124</v>
      </c>
      <c r="CD44" s="431">
        <f>AG44</f>
        <v>0.99987601537000004</v>
      </c>
    </row>
    <row r="45" spans="1:82" ht="14.45" customHeight="1" x14ac:dyDescent="0.25">
      <c r="A45" s="18"/>
      <c r="B45" s="6"/>
      <c r="C45" s="6"/>
      <c r="D45" s="6"/>
      <c r="E45" s="27"/>
      <c r="F45" s="27"/>
      <c r="G45" s="223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224"/>
      <c r="O45" s="224"/>
      <c r="P45" s="224"/>
      <c r="Q45" s="224"/>
      <c r="R45" s="224"/>
      <c r="S45" s="224"/>
      <c r="T45" s="224"/>
      <c r="U45" s="224"/>
      <c r="V45" s="224"/>
      <c r="W45" s="224"/>
      <c r="X45" s="224"/>
      <c r="Y45" s="224"/>
      <c r="Z45" s="224"/>
      <c r="AA45" s="224"/>
      <c r="AB45" s="224"/>
      <c r="AC45" s="224"/>
      <c r="AD45" s="224"/>
      <c r="AE45" s="224"/>
      <c r="AF45" s="224"/>
      <c r="AG45" s="816">
        <f>(IF((AND(((OR(($AX$47=1),($AX$47=2)))),($AX$48="N"),($AX$50="O"))),"CÁLCULO COM OMISSÃO DE LOCUS",(IF(((PRODUCT(AH9:AH42))&lt;&gt;0),(ROUNDDOWN((1-$AK43),11)),"EXCLUSÃO"))))</f>
        <v>0.99988863228000002</v>
      </c>
      <c r="AH45" s="816"/>
      <c r="AI45" s="816"/>
      <c r="AJ45" s="816"/>
      <c r="AK45" s="816"/>
      <c r="AL45" s="816"/>
      <c r="AM45" s="816"/>
      <c r="AN45" s="75"/>
      <c r="AR45" s="1" t="s">
        <v>104</v>
      </c>
      <c r="AX45" s="316" t="s">
        <v>102</v>
      </c>
      <c r="AY45" s="50" t="s">
        <v>125</v>
      </c>
    </row>
    <row r="46" spans="1:82" ht="14.45" customHeight="1" thickBot="1" x14ac:dyDescent="0.3">
      <c r="A46" s="18"/>
      <c r="B46" s="6"/>
      <c r="C46" s="6"/>
      <c r="D46" s="6"/>
      <c r="E46" s="27"/>
      <c r="F46" s="27"/>
      <c r="G46" s="223" t="s">
        <v>84</v>
      </c>
      <c r="H46" s="9"/>
      <c r="I46" s="9"/>
      <c r="J46" s="9"/>
      <c r="K46" s="9"/>
      <c r="L46" s="9"/>
      <c r="M46" s="9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24"/>
      <c r="AD46" s="224"/>
      <c r="AE46" s="224"/>
      <c r="AF46" s="224"/>
      <c r="AG46" s="225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PATERNIDADE MUITO PROVÁVEL</v>
      </c>
      <c r="AH46" s="225"/>
      <c r="AI46" s="226"/>
      <c r="AJ46" s="22"/>
      <c r="AK46" s="22"/>
      <c r="AL46" s="22"/>
      <c r="AM46" s="42"/>
      <c r="AN46" s="12"/>
      <c r="AX46" s="316"/>
      <c r="AY46" s="50" t="s">
        <v>96</v>
      </c>
    </row>
    <row r="47" spans="1:82" ht="13.5" customHeight="1" thickTop="1" x14ac:dyDescent="0.2">
      <c r="A47" s="797" t="s">
        <v>223</v>
      </c>
      <c r="B47" s="798"/>
      <c r="C47" s="798"/>
      <c r="D47" s="798"/>
      <c r="E47" s="798"/>
      <c r="F47" s="798"/>
      <c r="G47" s="798"/>
      <c r="H47" s="798"/>
      <c r="I47" s="798"/>
      <c r="J47" s="798"/>
      <c r="K47" s="798"/>
      <c r="L47" s="798"/>
      <c r="M47" s="798"/>
      <c r="N47" s="798"/>
      <c r="O47" s="798"/>
      <c r="P47" s="798"/>
      <c r="Q47" s="798"/>
      <c r="R47" s="798"/>
      <c r="S47" s="798"/>
      <c r="T47" s="798"/>
      <c r="U47" s="798"/>
      <c r="V47" s="798"/>
      <c r="W47" s="798"/>
      <c r="X47" s="798"/>
      <c r="Y47" s="798"/>
      <c r="Z47" s="798"/>
      <c r="AA47" s="798"/>
      <c r="AB47" s="798"/>
      <c r="AC47" s="798"/>
      <c r="AD47" s="798"/>
      <c r="AE47" s="798"/>
      <c r="AF47" s="798"/>
      <c r="AG47" s="798"/>
      <c r="AH47" s="798"/>
      <c r="AI47" s="798"/>
      <c r="AJ47" s="798"/>
      <c r="AK47" s="798"/>
      <c r="AL47" s="798"/>
      <c r="AM47" s="798"/>
      <c r="AN47" s="799"/>
    </row>
    <row r="48" spans="1:82" ht="12" customHeight="1" x14ac:dyDescent="0.2">
      <c r="A48" s="800"/>
      <c r="B48" s="801"/>
      <c r="C48" s="801"/>
      <c r="D48" s="801"/>
      <c r="E48" s="801"/>
      <c r="F48" s="801"/>
      <c r="G48" s="801"/>
      <c r="H48" s="801"/>
      <c r="I48" s="801"/>
      <c r="J48" s="801"/>
      <c r="K48" s="801"/>
      <c r="L48" s="801"/>
      <c r="M48" s="801"/>
      <c r="N48" s="801"/>
      <c r="O48" s="801"/>
      <c r="P48" s="801"/>
      <c r="Q48" s="801"/>
      <c r="R48" s="801"/>
      <c r="S48" s="801"/>
      <c r="T48" s="801"/>
      <c r="U48" s="801"/>
      <c r="V48" s="801"/>
      <c r="W48" s="801"/>
      <c r="X48" s="801"/>
      <c r="Y48" s="801"/>
      <c r="Z48" s="801"/>
      <c r="AA48" s="801"/>
      <c r="AB48" s="801"/>
      <c r="AC48" s="801"/>
      <c r="AD48" s="801"/>
      <c r="AE48" s="801"/>
      <c r="AF48" s="801"/>
      <c r="AG48" s="801"/>
      <c r="AH48" s="801"/>
      <c r="AI48" s="801"/>
      <c r="AJ48" s="801"/>
      <c r="AK48" s="801"/>
      <c r="AL48" s="801"/>
      <c r="AM48" s="801"/>
      <c r="AN48" s="802"/>
    </row>
    <row r="49" spans="1:74" ht="12" customHeight="1" x14ac:dyDescent="0.2">
      <c r="A49" s="800"/>
      <c r="B49" s="801"/>
      <c r="C49" s="801"/>
      <c r="D49" s="801"/>
      <c r="E49" s="801"/>
      <c r="F49" s="801"/>
      <c r="G49" s="801"/>
      <c r="H49" s="801"/>
      <c r="I49" s="801"/>
      <c r="J49" s="801"/>
      <c r="K49" s="801"/>
      <c r="L49" s="801"/>
      <c r="M49" s="801"/>
      <c r="N49" s="801"/>
      <c r="O49" s="801"/>
      <c r="P49" s="801"/>
      <c r="Q49" s="801"/>
      <c r="R49" s="801"/>
      <c r="S49" s="801"/>
      <c r="T49" s="801"/>
      <c r="U49" s="801"/>
      <c r="V49" s="801"/>
      <c r="W49" s="801"/>
      <c r="X49" s="801"/>
      <c r="Y49" s="801"/>
      <c r="Z49" s="801"/>
      <c r="AA49" s="801"/>
      <c r="AB49" s="801"/>
      <c r="AC49" s="801"/>
      <c r="AD49" s="801"/>
      <c r="AE49" s="801"/>
      <c r="AF49" s="801"/>
      <c r="AG49" s="801"/>
      <c r="AH49" s="801"/>
      <c r="AI49" s="801"/>
      <c r="AJ49" s="801"/>
      <c r="AK49" s="801"/>
      <c r="AL49" s="801"/>
      <c r="AM49" s="801"/>
      <c r="AN49" s="802"/>
    </row>
    <row r="50" spans="1:74" ht="12" customHeight="1" thickBot="1" x14ac:dyDescent="0.25">
      <c r="A50" s="803"/>
      <c r="B50" s="804"/>
      <c r="C50" s="804"/>
      <c r="D50" s="804"/>
      <c r="E50" s="804"/>
      <c r="F50" s="804"/>
      <c r="G50" s="804"/>
      <c r="H50" s="804"/>
      <c r="I50" s="804"/>
      <c r="J50" s="804"/>
      <c r="K50" s="804"/>
      <c r="L50" s="804"/>
      <c r="M50" s="804"/>
      <c r="N50" s="804"/>
      <c r="O50" s="804"/>
      <c r="P50" s="804"/>
      <c r="Q50" s="804"/>
      <c r="R50" s="804"/>
      <c r="S50" s="804"/>
      <c r="T50" s="804"/>
      <c r="U50" s="804"/>
      <c r="V50" s="804"/>
      <c r="W50" s="804"/>
      <c r="X50" s="804"/>
      <c r="Y50" s="804"/>
      <c r="Z50" s="804"/>
      <c r="AA50" s="804"/>
      <c r="AB50" s="804"/>
      <c r="AC50" s="804"/>
      <c r="AD50" s="804"/>
      <c r="AE50" s="804"/>
      <c r="AF50" s="804"/>
      <c r="AG50" s="804"/>
      <c r="AH50" s="804"/>
      <c r="AI50" s="804"/>
      <c r="AJ50" s="804"/>
      <c r="AK50" s="804"/>
      <c r="AL50" s="804"/>
      <c r="AM50" s="804"/>
      <c r="AN50" s="805"/>
    </row>
    <row r="51" spans="1:74" ht="13.5" hidden="1" customHeight="1" thickBot="1" x14ac:dyDescent="0.25">
      <c r="A51" s="218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4"/>
      <c r="AK51" s="44"/>
      <c r="AL51" s="44"/>
      <c r="AM51" s="10"/>
      <c r="AN51" s="12"/>
    </row>
    <row r="52" spans="1:74" ht="19.5" customHeight="1" thickTop="1" x14ac:dyDescent="0.25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3" t="s">
        <v>127</v>
      </c>
      <c r="AH52" s="317" t="s">
        <v>139</v>
      </c>
      <c r="AI52" s="72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/>
      </c>
      <c r="AJ52" s="69"/>
      <c r="AK52" s="69"/>
      <c r="AL52" s="69"/>
      <c r="AM52" s="69"/>
      <c r="AN52" s="71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70"/>
    </row>
    <row r="53" spans="1:74" ht="15.75" customHeight="1" x14ac:dyDescent="0.25">
      <c r="A53" s="79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6"/>
      <c r="AH53" s="47"/>
      <c r="AI53" s="6"/>
      <c r="AJ53" s="43"/>
      <c r="AK53" s="43"/>
      <c r="AL53" s="43"/>
      <c r="AM53" s="6"/>
      <c r="AN53" s="7"/>
      <c r="AY53" s="48"/>
    </row>
    <row r="54" spans="1:74" ht="3" customHeight="1" x14ac:dyDescent="0.2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49"/>
      <c r="AH54" s="49"/>
      <c r="AI54" s="6"/>
      <c r="AJ54" s="43"/>
      <c r="AK54" s="43"/>
      <c r="AL54" s="43"/>
      <c r="AM54" s="6"/>
      <c r="AN54" s="7"/>
      <c r="AY54" s="48"/>
    </row>
    <row r="55" spans="1:74" ht="13.5" hidden="1" customHeight="1" x14ac:dyDescent="0.25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5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7"/>
      <c r="AI55" s="6"/>
      <c r="AJ55" s="43"/>
      <c r="AK55" s="43"/>
      <c r="AL55" s="43"/>
      <c r="AM55" s="6"/>
      <c r="AN55" s="7"/>
      <c r="AY55" s="48"/>
    </row>
    <row r="56" spans="1:74" ht="17.25" customHeight="1" x14ac:dyDescent="0.2">
      <c r="A56" s="83"/>
      <c r="B56" s="86"/>
      <c r="C56" s="86"/>
      <c r="D56" s="247"/>
      <c r="E56" s="85"/>
      <c r="F56" s="248"/>
      <c r="G56" s="248" t="s">
        <v>202</v>
      </c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  <c r="Z56" s="305"/>
      <c r="AA56" s="305"/>
      <c r="AB56" s="305"/>
      <c r="AC56" s="305"/>
      <c r="AD56" s="305"/>
      <c r="AE56" s="305"/>
      <c r="AF56" s="305"/>
      <c r="AG56" s="782">
        <f ca="1">TODAY()</f>
        <v>44843</v>
      </c>
      <c r="AH56" s="782"/>
      <c r="AI56" s="782"/>
      <c r="AJ56" s="782"/>
      <c r="AK56" s="782"/>
      <c r="AL56" s="782"/>
      <c r="AM56" s="782"/>
      <c r="AN56" s="783"/>
    </row>
    <row r="57" spans="1:74" ht="7.5" customHeight="1" x14ac:dyDescent="0.2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43"/>
      <c r="AK57" s="43"/>
      <c r="AL57" s="43"/>
      <c r="AM57" s="6"/>
      <c r="AN57" s="7"/>
    </row>
    <row r="58" spans="1:74" ht="15" customHeight="1" x14ac:dyDescent="0.2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J58" s="43"/>
      <c r="AK58" s="43"/>
      <c r="AL58" s="43"/>
      <c r="AM58" s="6"/>
      <c r="AN58" s="7"/>
    </row>
    <row r="59" spans="1:74" ht="17.25" customHeight="1" x14ac:dyDescent="0.2">
      <c r="A59" s="90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>ATENÇÃO: Verificar ocorrência de repetição alélica entre 2 pessoas genotipadas</v>
      </c>
      <c r="B59" s="91"/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2"/>
    </row>
    <row r="60" spans="1:74" ht="3.75" hidden="1" customHeight="1" x14ac:dyDescent="0.2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43"/>
      <c r="AK60" s="43"/>
      <c r="AL60" s="43"/>
      <c r="AM60" s="6"/>
      <c r="AN60" s="7"/>
    </row>
    <row r="61" spans="1:74" ht="11.1" customHeight="1" x14ac:dyDescent="0.2">
      <c r="A61" s="779" t="s">
        <v>249</v>
      </c>
      <c r="B61" s="780"/>
      <c r="C61" s="780"/>
      <c r="D61" s="780"/>
      <c r="E61" s="780"/>
      <c r="F61" s="780"/>
      <c r="G61" s="780"/>
      <c r="H61" s="780"/>
      <c r="I61" s="780"/>
      <c r="J61" s="780"/>
      <c r="K61" s="780"/>
      <c r="L61" s="780"/>
      <c r="M61" s="780"/>
      <c r="N61" s="780"/>
      <c r="O61" s="780"/>
      <c r="P61" s="780"/>
      <c r="Q61" s="780"/>
      <c r="R61" s="780"/>
      <c r="S61" s="780"/>
      <c r="T61" s="780"/>
      <c r="U61" s="780"/>
      <c r="V61" s="780"/>
      <c r="W61" s="780"/>
      <c r="X61" s="780"/>
      <c r="Y61" s="780"/>
      <c r="Z61" s="780"/>
      <c r="AA61" s="780"/>
      <c r="AB61" s="780"/>
      <c r="AC61" s="780"/>
      <c r="AD61" s="780"/>
      <c r="AE61" s="780"/>
      <c r="AF61" s="780"/>
      <c r="AG61" s="780"/>
      <c r="AH61" s="780"/>
      <c r="AI61" s="780"/>
      <c r="AJ61" s="780"/>
      <c r="AK61" s="780"/>
      <c r="AL61" s="780"/>
      <c r="AM61" s="780"/>
      <c r="AN61" s="781"/>
    </row>
    <row r="62" spans="1:74" ht="11.1" customHeight="1" x14ac:dyDescent="0.2">
      <c r="A62" s="776" t="s">
        <v>242</v>
      </c>
      <c r="B62" s="777"/>
      <c r="C62" s="777"/>
      <c r="D62" s="777"/>
      <c r="E62" s="777"/>
      <c r="F62" s="777"/>
      <c r="G62" s="777"/>
      <c r="H62" s="777"/>
      <c r="I62" s="777"/>
      <c r="J62" s="777"/>
      <c r="K62" s="777"/>
      <c r="L62" s="777"/>
      <c r="M62" s="777"/>
      <c r="N62" s="777"/>
      <c r="O62" s="777"/>
      <c r="P62" s="777"/>
      <c r="Q62" s="777"/>
      <c r="R62" s="777"/>
      <c r="S62" s="777"/>
      <c r="T62" s="777"/>
      <c r="U62" s="777"/>
      <c r="V62" s="777"/>
      <c r="W62" s="777"/>
      <c r="X62" s="777"/>
      <c r="Y62" s="777"/>
      <c r="Z62" s="777"/>
      <c r="AA62" s="777"/>
      <c r="AB62" s="777"/>
      <c r="AC62" s="777"/>
      <c r="AD62" s="777"/>
      <c r="AE62" s="777"/>
      <c r="AF62" s="777"/>
      <c r="AG62" s="777"/>
      <c r="AH62" s="777"/>
      <c r="AI62" s="777"/>
      <c r="AJ62" s="777"/>
      <c r="AK62" s="777"/>
      <c r="AL62" s="777"/>
      <c r="AM62" s="777"/>
      <c r="AN62" s="778"/>
    </row>
    <row r="63" spans="1:74" ht="11.1" customHeight="1" thickBot="1" x14ac:dyDescent="0.25">
      <c r="A63" s="773" t="s">
        <v>243</v>
      </c>
      <c r="B63" s="774"/>
      <c r="C63" s="774"/>
      <c r="D63" s="774"/>
      <c r="E63" s="774"/>
      <c r="F63" s="774"/>
      <c r="G63" s="774"/>
      <c r="H63" s="774"/>
      <c r="I63" s="774"/>
      <c r="J63" s="774"/>
      <c r="K63" s="774"/>
      <c r="L63" s="774"/>
      <c r="M63" s="774"/>
      <c r="N63" s="774"/>
      <c r="O63" s="774"/>
      <c r="P63" s="774"/>
      <c r="Q63" s="774"/>
      <c r="R63" s="774"/>
      <c r="S63" s="774"/>
      <c r="T63" s="774"/>
      <c r="U63" s="774"/>
      <c r="V63" s="774"/>
      <c r="W63" s="774"/>
      <c r="X63" s="774"/>
      <c r="Y63" s="774"/>
      <c r="Z63" s="774"/>
      <c r="AA63" s="774"/>
      <c r="AB63" s="774"/>
      <c r="AC63" s="774"/>
      <c r="AD63" s="774"/>
      <c r="AE63" s="774"/>
      <c r="AF63" s="774"/>
      <c r="AG63" s="774"/>
      <c r="AH63" s="774"/>
      <c r="AI63" s="774"/>
      <c r="AJ63" s="774"/>
      <c r="AK63" s="774"/>
      <c r="AL63" s="774"/>
      <c r="AM63" s="774"/>
      <c r="AN63" s="775"/>
    </row>
    <row r="64" spans="1:74" ht="9" hidden="1" customHeight="1" thickBot="1" x14ac:dyDescent="0.25">
      <c r="A64" s="770"/>
      <c r="B64" s="771"/>
      <c r="C64" s="771"/>
      <c r="D64" s="771"/>
      <c r="E64" s="771"/>
      <c r="F64" s="771"/>
      <c r="G64" s="771"/>
      <c r="H64" s="771"/>
      <c r="I64" s="771"/>
      <c r="J64" s="771"/>
      <c r="K64" s="771"/>
      <c r="L64" s="771"/>
      <c r="M64" s="771"/>
      <c r="N64" s="771"/>
      <c r="O64" s="771"/>
      <c r="P64" s="771"/>
      <c r="Q64" s="771"/>
      <c r="R64" s="771"/>
      <c r="S64" s="771"/>
      <c r="T64" s="771"/>
      <c r="U64" s="771"/>
      <c r="V64" s="771"/>
      <c r="W64" s="771"/>
      <c r="X64" s="771"/>
      <c r="Y64" s="771"/>
      <c r="Z64" s="771"/>
      <c r="AA64" s="771"/>
      <c r="AB64" s="771"/>
      <c r="AC64" s="771"/>
      <c r="AD64" s="771"/>
      <c r="AE64" s="771"/>
      <c r="AF64" s="771"/>
      <c r="AG64" s="771"/>
      <c r="AH64" s="771"/>
      <c r="AI64" s="771"/>
      <c r="AJ64" s="771"/>
      <c r="AK64" s="771"/>
      <c r="AL64" s="771"/>
      <c r="AM64" s="771"/>
      <c r="AN64" s="772"/>
    </row>
    <row r="65" spans="1:59" s="107" customFormat="1" ht="18.75" customHeight="1" thickTop="1" x14ac:dyDescent="0.5">
      <c r="A65" s="110" t="s">
        <v>195</v>
      </c>
      <c r="B65" s="110" t="s">
        <v>197</v>
      </c>
      <c r="C65" s="110" t="s">
        <v>198</v>
      </c>
      <c r="D65" s="110" t="s">
        <v>199</v>
      </c>
      <c r="E65" s="110" t="s">
        <v>200</v>
      </c>
      <c r="F65" s="110" t="s">
        <v>201</v>
      </c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M65" s="109"/>
      <c r="AN65" s="318" t="s">
        <v>195</v>
      </c>
      <c r="BF65" s="108"/>
      <c r="BG65" s="108"/>
    </row>
    <row r="66" spans="1:59" s="87" customFormat="1" ht="7.5" customHeight="1" x14ac:dyDescent="0.2">
      <c r="A66" s="87" t="str">
        <f>'IMPORTAÇÃO GENOTIPER'!$S$1</f>
        <v>Helder - MS</v>
      </c>
      <c r="B66" s="87" t="s">
        <v>194</v>
      </c>
      <c r="AN66" s="249" t="s">
        <v>196</v>
      </c>
      <c r="BF66" s="88"/>
      <c r="BG66" s="88"/>
    </row>
    <row r="67" spans="1:59" s="87" customFormat="1" hidden="1" x14ac:dyDescent="0.2">
      <c r="B67" s="87" t="s">
        <v>186</v>
      </c>
      <c r="BF67" s="88"/>
      <c r="BG67" s="88"/>
    </row>
    <row r="68" spans="1:59" s="87" customFormat="1" hidden="1" x14ac:dyDescent="0.2">
      <c r="B68" s="87" t="s">
        <v>188</v>
      </c>
      <c r="BF68" s="88"/>
      <c r="BG68" s="88"/>
    </row>
    <row r="69" spans="1:59" s="87" customFormat="1" hidden="1" x14ac:dyDescent="0.2">
      <c r="B69" s="87" t="s">
        <v>189</v>
      </c>
      <c r="BF69" s="88"/>
      <c r="BG69" s="88"/>
    </row>
    <row r="70" spans="1:59" s="87" customFormat="1" hidden="1" x14ac:dyDescent="0.2">
      <c r="B70" s="87" t="s">
        <v>190</v>
      </c>
      <c r="BF70" s="88"/>
      <c r="BG70" s="88"/>
    </row>
    <row r="71" spans="1:59" s="87" customFormat="1" hidden="1" x14ac:dyDescent="0.2">
      <c r="B71" s="87" t="s">
        <v>191</v>
      </c>
      <c r="BF71" s="88"/>
      <c r="BG71" s="88"/>
    </row>
    <row r="72" spans="1:59" s="87" customFormat="1" hidden="1" x14ac:dyDescent="0.2">
      <c r="B72" s="87" t="s">
        <v>192</v>
      </c>
      <c r="BF72" s="88"/>
      <c r="BG72" s="88"/>
    </row>
    <row r="73" spans="1:59" s="87" customFormat="1" hidden="1" x14ac:dyDescent="0.2">
      <c r="B73" s="87" t="s">
        <v>193</v>
      </c>
      <c r="BF73" s="88"/>
      <c r="BG73" s="88"/>
    </row>
    <row r="74" spans="1:59" hidden="1" x14ac:dyDescent="0.2"/>
    <row r="75" spans="1:59" hidden="1" x14ac:dyDescent="0.2">
      <c r="AM75" s="20"/>
    </row>
    <row r="76" spans="1:59" hidden="1" x14ac:dyDescent="0.2"/>
    <row r="77" spans="1:59" hidden="1" x14ac:dyDescent="0.2"/>
    <row r="78" spans="1:59" hidden="1" x14ac:dyDescent="0.2"/>
    <row r="79" spans="1:59" hidden="1" x14ac:dyDescent="0.2"/>
    <row r="80" spans="1:59" hidden="1" x14ac:dyDescent="0.2"/>
    <row r="81" hidden="1" x14ac:dyDescent="0.2"/>
  </sheetData>
  <dataConsolidate/>
  <mergeCells count="30"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64:AN64"/>
    <mergeCell ref="A63:AN63"/>
    <mergeCell ref="A62:AN62"/>
    <mergeCell ref="A61:AN61"/>
    <mergeCell ref="AG56:AN56"/>
  </mergeCells>
  <phoneticPr fontId="31" type="noConversion"/>
  <conditionalFormatting sqref="H9:M42">
    <cfRule type="cellIs" dxfId="236" priority="60" stopIfTrue="1" operator="equal">
      <formula>$Z9</formula>
    </cfRule>
    <cfRule type="cellIs" dxfId="235" priority="61" stopIfTrue="1" operator="equal">
      <formula>$AA9</formula>
    </cfRule>
  </conditionalFormatting>
  <conditionalFormatting sqref="AG55">
    <cfRule type="cellIs" dxfId="234" priority="62" stopIfTrue="1" operator="greaterThanOrEqual">
      <formula>1</formula>
    </cfRule>
    <cfRule type="cellIs" dxfId="233" priority="63" stopIfTrue="1" operator="lessThanOrEqual">
      <formula>2</formula>
    </cfRule>
  </conditionalFormatting>
  <conditionalFormatting sqref="AM9:AM42">
    <cfRule type="cellIs" dxfId="232" priority="64" stopIfTrue="1" operator="equal">
      <formula>"EXCLUI"</formula>
    </cfRule>
    <cfRule type="cellIs" dxfId="231" priority="65" stopIfTrue="1" operator="equal">
      <formula>"MUTAÇÃO"</formula>
    </cfRule>
  </conditionalFormatting>
  <conditionalFormatting sqref="BI9:BQ42">
    <cfRule type="cellIs" dxfId="230" priority="66" stopIfTrue="1" operator="equal">
      <formula>$BF9-1</formula>
    </cfRule>
  </conditionalFormatting>
  <conditionalFormatting sqref="BT9:BU42">
    <cfRule type="cellIs" dxfId="229" priority="67" stopIfTrue="1" operator="equal">
      <formula>$BN9</formula>
    </cfRule>
    <cfRule type="cellIs" dxfId="228" priority="68" stopIfTrue="1" operator="equal">
      <formula>$BQ9</formula>
    </cfRule>
  </conditionalFormatting>
  <conditionalFormatting sqref="A9:A42">
    <cfRule type="cellIs" dxfId="227" priority="69" stopIfTrue="1" operator="equal">
      <formula>"ERRO-FT"</formula>
    </cfRule>
  </conditionalFormatting>
  <conditionalFormatting sqref="AH8">
    <cfRule type="cellIs" dxfId="226" priority="70" stopIfTrue="1" operator="equal">
      <formula>"AL.SUP."</formula>
    </cfRule>
  </conditionalFormatting>
  <conditionalFormatting sqref="AG8">
    <cfRule type="cellIs" dxfId="225" priority="71" stopIfTrue="1" operator="equal">
      <formula>"AL.INF."</formula>
    </cfRule>
  </conditionalFormatting>
  <conditionalFormatting sqref="AG9:AG42">
    <cfRule type="expression" dxfId="224" priority="72" stopIfTrue="1">
      <formula>(A9="ERRO-FT")</formula>
    </cfRule>
  </conditionalFormatting>
  <conditionalFormatting sqref="AG43:AI43">
    <cfRule type="cellIs" dxfId="223" priority="76" stopIfTrue="1" operator="equal">
      <formula>"VERIFICAR ALELOS"</formula>
    </cfRule>
  </conditionalFormatting>
  <conditionalFormatting sqref="AG44:AM44">
    <cfRule type="cellIs" dxfId="222" priority="77" stopIfTrue="1" operator="equal">
      <formula>"OCORRÊNCIA DE 'OUT LADDER'"</formula>
    </cfRule>
  </conditionalFormatting>
  <conditionalFormatting sqref="AG45:AN45">
    <cfRule type="cellIs" dxfId="221" priority="78" stopIfTrue="1" operator="equal">
      <formula>"CÁLCULO COM OMISSÃO DE LOCUS"</formula>
    </cfRule>
    <cfRule type="cellIs" dxfId="220" priority="79" stopIfTrue="1" operator="equal">
      <formula>"ANALISAR DIGITAÇÃO"</formula>
    </cfRule>
  </conditionalFormatting>
  <conditionalFormatting sqref="AG58:AH58">
    <cfRule type="expression" dxfId="219" priority="80" stopIfTrue="1">
      <formula>($AH$58="SIM")</formula>
    </cfRule>
    <cfRule type="expression" dxfId="218" priority="81" stopIfTrue="1">
      <formula>($AH$58&lt;&gt;"SIM")</formula>
    </cfRule>
  </conditionalFormatting>
  <conditionalFormatting sqref="AN9:AN42">
    <cfRule type="cellIs" dxfId="217" priority="82" stopIfTrue="1" operator="equal">
      <formula>"EM"</formula>
    </cfRule>
    <cfRule type="cellIs" dxfId="216" priority="83" stopIfTrue="1" operator="equal">
      <formula>"MT"</formula>
    </cfRule>
  </conditionalFormatting>
  <conditionalFormatting sqref="AH31:AH42">
    <cfRule type="cellIs" dxfId="215" priority="13" stopIfTrue="1" operator="equal">
      <formula>0</formula>
    </cfRule>
    <cfRule type="expression" dxfId="214" priority="15" stopIfTrue="1">
      <formula>(A31="ERRO-FT")</formula>
    </cfRule>
  </conditionalFormatting>
  <conditionalFormatting sqref="AH9:AH30">
    <cfRule type="cellIs" dxfId="213" priority="1" stopIfTrue="1" operator="equal">
      <formula>0</formula>
    </cfRule>
    <cfRule type="cellIs" dxfId="212" priority="2" stopIfTrue="1" operator="equal">
      <formula>$AY9</formula>
    </cfRule>
    <cfRule type="expression" dxfId="211" priority="3" stopIfTrue="1">
      <formula>(A9="ERRO-FT")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B9" sqref="B9:E30"/>
    </sheetView>
  </sheetViews>
  <sheetFormatPr defaultRowHeight="12.75" x14ac:dyDescent="0.2"/>
  <cols>
    <col min="1" max="1" width="11.7109375" style="140" customWidth="1"/>
    <col min="2" max="6" width="5.7109375" style="140" customWidth="1"/>
    <col min="7" max="7" width="5.42578125" style="140" customWidth="1"/>
    <col min="8" max="8" width="4.42578125" style="140" hidden="1" customWidth="1"/>
    <col min="9" max="9" width="4.85546875" style="140" hidden="1" customWidth="1"/>
    <col min="10" max="10" width="6" style="140" hidden="1" customWidth="1"/>
    <col min="11" max="12" width="4.42578125" style="140" hidden="1" customWidth="1"/>
    <col min="13" max="13" width="0.140625" style="140" hidden="1" customWidth="1"/>
    <col min="14" max="14" width="9.85546875" style="140" hidden="1" customWidth="1"/>
    <col min="15" max="15" width="10.42578125" style="140" hidden="1" customWidth="1"/>
    <col min="16" max="16" width="9.140625" style="140" hidden="1" customWidth="1"/>
    <col min="17" max="17" width="12.85546875" style="140" hidden="1" customWidth="1"/>
    <col min="18" max="18" width="11.42578125" style="140" hidden="1" customWidth="1"/>
    <col min="19" max="19" width="10" style="140" hidden="1" customWidth="1"/>
    <col min="20" max="20" width="12" style="140" hidden="1" customWidth="1"/>
    <col min="21" max="21" width="13.42578125" style="140" hidden="1" customWidth="1"/>
    <col min="22" max="22" width="12.42578125" style="140" hidden="1" customWidth="1"/>
    <col min="23" max="23" width="13" style="140" hidden="1" customWidth="1"/>
    <col min="24" max="24" width="13.85546875" style="140" hidden="1" customWidth="1"/>
    <col min="25" max="25" width="14.28515625" style="140" hidden="1" customWidth="1"/>
    <col min="26" max="26" width="0.140625" style="140" customWidth="1"/>
    <col min="27" max="27" width="7.42578125" style="140" customWidth="1"/>
    <col min="28" max="28" width="7.7109375" style="140" customWidth="1"/>
    <col min="29" max="29" width="7.42578125" style="140" customWidth="1"/>
    <col min="30" max="30" width="20.140625" style="140" hidden="1" customWidth="1"/>
    <col min="31" max="31" width="18.28515625" style="140" hidden="1" customWidth="1"/>
    <col min="32" max="32" width="0.140625" style="140" customWidth="1"/>
    <col min="33" max="33" width="14.85546875" style="140" customWidth="1"/>
    <col min="34" max="34" width="0.140625" style="140" customWidth="1"/>
    <col min="35" max="35" width="9.28515625" style="140" customWidth="1"/>
    <col min="36" max="256" width="9.140625" style="140"/>
    <col min="257" max="257" width="11.7109375" style="140" customWidth="1"/>
    <col min="258" max="262" width="5.7109375" style="140" customWidth="1"/>
    <col min="263" max="263" width="5.42578125" style="140" customWidth="1"/>
    <col min="264" max="282" width="0" style="140" hidden="1" customWidth="1"/>
    <col min="283" max="283" width="7.42578125" style="140" customWidth="1"/>
    <col min="284" max="284" width="7.7109375" style="140" customWidth="1"/>
    <col min="285" max="285" width="7.42578125" style="140" customWidth="1"/>
    <col min="286" max="288" width="0" style="140" hidden="1" customWidth="1"/>
    <col min="289" max="289" width="14.85546875" style="140" customWidth="1"/>
    <col min="290" max="291" width="0" style="140" hidden="1" customWidth="1"/>
    <col min="292" max="512" width="9.140625" style="140"/>
    <col min="513" max="513" width="11.7109375" style="140" customWidth="1"/>
    <col min="514" max="518" width="5.7109375" style="140" customWidth="1"/>
    <col min="519" max="519" width="5.42578125" style="140" customWidth="1"/>
    <col min="520" max="538" width="0" style="140" hidden="1" customWidth="1"/>
    <col min="539" max="539" width="7.42578125" style="140" customWidth="1"/>
    <col min="540" max="540" width="7.7109375" style="140" customWidth="1"/>
    <col min="541" max="541" width="7.42578125" style="140" customWidth="1"/>
    <col min="542" max="544" width="0" style="140" hidden="1" customWidth="1"/>
    <col min="545" max="545" width="14.85546875" style="140" customWidth="1"/>
    <col min="546" max="547" width="0" style="140" hidden="1" customWidth="1"/>
    <col min="548" max="768" width="9.140625" style="140"/>
    <col min="769" max="769" width="11.7109375" style="140" customWidth="1"/>
    <col min="770" max="774" width="5.7109375" style="140" customWidth="1"/>
    <col min="775" max="775" width="5.42578125" style="140" customWidth="1"/>
    <col min="776" max="794" width="0" style="140" hidden="1" customWidth="1"/>
    <col min="795" max="795" width="7.42578125" style="140" customWidth="1"/>
    <col min="796" max="796" width="7.7109375" style="140" customWidth="1"/>
    <col min="797" max="797" width="7.42578125" style="140" customWidth="1"/>
    <col min="798" max="800" width="0" style="140" hidden="1" customWidth="1"/>
    <col min="801" max="801" width="14.85546875" style="140" customWidth="1"/>
    <col min="802" max="803" width="0" style="140" hidden="1" customWidth="1"/>
    <col min="804" max="1024" width="9.140625" style="140"/>
    <col min="1025" max="1025" width="11.7109375" style="140" customWidth="1"/>
    <col min="1026" max="1030" width="5.7109375" style="140" customWidth="1"/>
    <col min="1031" max="1031" width="5.42578125" style="140" customWidth="1"/>
    <col min="1032" max="1050" width="0" style="140" hidden="1" customWidth="1"/>
    <col min="1051" max="1051" width="7.42578125" style="140" customWidth="1"/>
    <col min="1052" max="1052" width="7.7109375" style="140" customWidth="1"/>
    <col min="1053" max="1053" width="7.42578125" style="140" customWidth="1"/>
    <col min="1054" max="1056" width="0" style="140" hidden="1" customWidth="1"/>
    <col min="1057" max="1057" width="14.85546875" style="140" customWidth="1"/>
    <col min="1058" max="1059" width="0" style="140" hidden="1" customWidth="1"/>
    <col min="1060" max="1280" width="9.140625" style="140"/>
    <col min="1281" max="1281" width="11.7109375" style="140" customWidth="1"/>
    <col min="1282" max="1286" width="5.7109375" style="140" customWidth="1"/>
    <col min="1287" max="1287" width="5.42578125" style="140" customWidth="1"/>
    <col min="1288" max="1306" width="0" style="140" hidden="1" customWidth="1"/>
    <col min="1307" max="1307" width="7.42578125" style="140" customWidth="1"/>
    <col min="1308" max="1308" width="7.7109375" style="140" customWidth="1"/>
    <col min="1309" max="1309" width="7.42578125" style="140" customWidth="1"/>
    <col min="1310" max="1312" width="0" style="140" hidden="1" customWidth="1"/>
    <col min="1313" max="1313" width="14.85546875" style="140" customWidth="1"/>
    <col min="1314" max="1315" width="0" style="140" hidden="1" customWidth="1"/>
    <col min="1316" max="1536" width="9.140625" style="140"/>
    <col min="1537" max="1537" width="11.7109375" style="140" customWidth="1"/>
    <col min="1538" max="1542" width="5.7109375" style="140" customWidth="1"/>
    <col min="1543" max="1543" width="5.42578125" style="140" customWidth="1"/>
    <col min="1544" max="1562" width="0" style="140" hidden="1" customWidth="1"/>
    <col min="1563" max="1563" width="7.42578125" style="140" customWidth="1"/>
    <col min="1564" max="1564" width="7.7109375" style="140" customWidth="1"/>
    <col min="1565" max="1565" width="7.42578125" style="140" customWidth="1"/>
    <col min="1566" max="1568" width="0" style="140" hidden="1" customWidth="1"/>
    <col min="1569" max="1569" width="14.85546875" style="140" customWidth="1"/>
    <col min="1570" max="1571" width="0" style="140" hidden="1" customWidth="1"/>
    <col min="1572" max="1792" width="9.140625" style="140"/>
    <col min="1793" max="1793" width="11.7109375" style="140" customWidth="1"/>
    <col min="1794" max="1798" width="5.7109375" style="140" customWidth="1"/>
    <col min="1799" max="1799" width="5.42578125" style="140" customWidth="1"/>
    <col min="1800" max="1818" width="0" style="140" hidden="1" customWidth="1"/>
    <col min="1819" max="1819" width="7.42578125" style="140" customWidth="1"/>
    <col min="1820" max="1820" width="7.7109375" style="140" customWidth="1"/>
    <col min="1821" max="1821" width="7.42578125" style="140" customWidth="1"/>
    <col min="1822" max="1824" width="0" style="140" hidden="1" customWidth="1"/>
    <col min="1825" max="1825" width="14.85546875" style="140" customWidth="1"/>
    <col min="1826" max="1827" width="0" style="140" hidden="1" customWidth="1"/>
    <col min="1828" max="2048" width="9.140625" style="140"/>
    <col min="2049" max="2049" width="11.7109375" style="140" customWidth="1"/>
    <col min="2050" max="2054" width="5.7109375" style="140" customWidth="1"/>
    <col min="2055" max="2055" width="5.42578125" style="140" customWidth="1"/>
    <col min="2056" max="2074" width="0" style="140" hidden="1" customWidth="1"/>
    <col min="2075" max="2075" width="7.42578125" style="140" customWidth="1"/>
    <col min="2076" max="2076" width="7.7109375" style="140" customWidth="1"/>
    <col min="2077" max="2077" width="7.42578125" style="140" customWidth="1"/>
    <col min="2078" max="2080" width="0" style="140" hidden="1" customWidth="1"/>
    <col min="2081" max="2081" width="14.85546875" style="140" customWidth="1"/>
    <col min="2082" max="2083" width="0" style="140" hidden="1" customWidth="1"/>
    <col min="2084" max="2304" width="9.140625" style="140"/>
    <col min="2305" max="2305" width="11.7109375" style="140" customWidth="1"/>
    <col min="2306" max="2310" width="5.7109375" style="140" customWidth="1"/>
    <col min="2311" max="2311" width="5.42578125" style="140" customWidth="1"/>
    <col min="2312" max="2330" width="0" style="140" hidden="1" customWidth="1"/>
    <col min="2331" max="2331" width="7.42578125" style="140" customWidth="1"/>
    <col min="2332" max="2332" width="7.7109375" style="140" customWidth="1"/>
    <col min="2333" max="2333" width="7.42578125" style="140" customWidth="1"/>
    <col min="2334" max="2336" width="0" style="140" hidden="1" customWidth="1"/>
    <col min="2337" max="2337" width="14.85546875" style="140" customWidth="1"/>
    <col min="2338" max="2339" width="0" style="140" hidden="1" customWidth="1"/>
    <col min="2340" max="2560" width="9.140625" style="140"/>
    <col min="2561" max="2561" width="11.7109375" style="140" customWidth="1"/>
    <col min="2562" max="2566" width="5.7109375" style="140" customWidth="1"/>
    <col min="2567" max="2567" width="5.42578125" style="140" customWidth="1"/>
    <col min="2568" max="2586" width="0" style="140" hidden="1" customWidth="1"/>
    <col min="2587" max="2587" width="7.42578125" style="140" customWidth="1"/>
    <col min="2588" max="2588" width="7.7109375" style="140" customWidth="1"/>
    <col min="2589" max="2589" width="7.42578125" style="140" customWidth="1"/>
    <col min="2590" max="2592" width="0" style="140" hidden="1" customWidth="1"/>
    <col min="2593" max="2593" width="14.85546875" style="140" customWidth="1"/>
    <col min="2594" max="2595" width="0" style="140" hidden="1" customWidth="1"/>
    <col min="2596" max="2816" width="9.140625" style="140"/>
    <col min="2817" max="2817" width="11.7109375" style="140" customWidth="1"/>
    <col min="2818" max="2822" width="5.7109375" style="140" customWidth="1"/>
    <col min="2823" max="2823" width="5.42578125" style="140" customWidth="1"/>
    <col min="2824" max="2842" width="0" style="140" hidden="1" customWidth="1"/>
    <col min="2843" max="2843" width="7.42578125" style="140" customWidth="1"/>
    <col min="2844" max="2844" width="7.7109375" style="140" customWidth="1"/>
    <col min="2845" max="2845" width="7.42578125" style="140" customWidth="1"/>
    <col min="2846" max="2848" width="0" style="140" hidden="1" customWidth="1"/>
    <col min="2849" max="2849" width="14.85546875" style="140" customWidth="1"/>
    <col min="2850" max="2851" width="0" style="140" hidden="1" customWidth="1"/>
    <col min="2852" max="3072" width="9.140625" style="140"/>
    <col min="3073" max="3073" width="11.7109375" style="140" customWidth="1"/>
    <col min="3074" max="3078" width="5.7109375" style="140" customWidth="1"/>
    <col min="3079" max="3079" width="5.42578125" style="140" customWidth="1"/>
    <col min="3080" max="3098" width="0" style="140" hidden="1" customWidth="1"/>
    <col min="3099" max="3099" width="7.42578125" style="140" customWidth="1"/>
    <col min="3100" max="3100" width="7.7109375" style="140" customWidth="1"/>
    <col min="3101" max="3101" width="7.42578125" style="140" customWidth="1"/>
    <col min="3102" max="3104" width="0" style="140" hidden="1" customWidth="1"/>
    <col min="3105" max="3105" width="14.85546875" style="140" customWidth="1"/>
    <col min="3106" max="3107" width="0" style="140" hidden="1" customWidth="1"/>
    <col min="3108" max="3328" width="9.140625" style="140"/>
    <col min="3329" max="3329" width="11.7109375" style="140" customWidth="1"/>
    <col min="3330" max="3334" width="5.7109375" style="140" customWidth="1"/>
    <col min="3335" max="3335" width="5.42578125" style="140" customWidth="1"/>
    <col min="3336" max="3354" width="0" style="140" hidden="1" customWidth="1"/>
    <col min="3355" max="3355" width="7.42578125" style="140" customWidth="1"/>
    <col min="3356" max="3356" width="7.7109375" style="140" customWidth="1"/>
    <col min="3357" max="3357" width="7.42578125" style="140" customWidth="1"/>
    <col min="3358" max="3360" width="0" style="140" hidden="1" customWidth="1"/>
    <col min="3361" max="3361" width="14.85546875" style="140" customWidth="1"/>
    <col min="3362" max="3363" width="0" style="140" hidden="1" customWidth="1"/>
    <col min="3364" max="3584" width="9.140625" style="140"/>
    <col min="3585" max="3585" width="11.7109375" style="140" customWidth="1"/>
    <col min="3586" max="3590" width="5.7109375" style="140" customWidth="1"/>
    <col min="3591" max="3591" width="5.42578125" style="140" customWidth="1"/>
    <col min="3592" max="3610" width="0" style="140" hidden="1" customWidth="1"/>
    <col min="3611" max="3611" width="7.42578125" style="140" customWidth="1"/>
    <col min="3612" max="3612" width="7.7109375" style="140" customWidth="1"/>
    <col min="3613" max="3613" width="7.42578125" style="140" customWidth="1"/>
    <col min="3614" max="3616" width="0" style="140" hidden="1" customWidth="1"/>
    <col min="3617" max="3617" width="14.85546875" style="140" customWidth="1"/>
    <col min="3618" max="3619" width="0" style="140" hidden="1" customWidth="1"/>
    <col min="3620" max="3840" width="9.140625" style="140"/>
    <col min="3841" max="3841" width="11.7109375" style="140" customWidth="1"/>
    <col min="3842" max="3846" width="5.7109375" style="140" customWidth="1"/>
    <col min="3847" max="3847" width="5.42578125" style="140" customWidth="1"/>
    <col min="3848" max="3866" width="0" style="140" hidden="1" customWidth="1"/>
    <col min="3867" max="3867" width="7.42578125" style="140" customWidth="1"/>
    <col min="3868" max="3868" width="7.7109375" style="140" customWidth="1"/>
    <col min="3869" max="3869" width="7.42578125" style="140" customWidth="1"/>
    <col min="3870" max="3872" width="0" style="140" hidden="1" customWidth="1"/>
    <col min="3873" max="3873" width="14.85546875" style="140" customWidth="1"/>
    <col min="3874" max="3875" width="0" style="140" hidden="1" customWidth="1"/>
    <col min="3876" max="4096" width="9.140625" style="140"/>
    <col min="4097" max="4097" width="11.7109375" style="140" customWidth="1"/>
    <col min="4098" max="4102" width="5.7109375" style="140" customWidth="1"/>
    <col min="4103" max="4103" width="5.42578125" style="140" customWidth="1"/>
    <col min="4104" max="4122" width="0" style="140" hidden="1" customWidth="1"/>
    <col min="4123" max="4123" width="7.42578125" style="140" customWidth="1"/>
    <col min="4124" max="4124" width="7.7109375" style="140" customWidth="1"/>
    <col min="4125" max="4125" width="7.42578125" style="140" customWidth="1"/>
    <col min="4126" max="4128" width="0" style="140" hidden="1" customWidth="1"/>
    <col min="4129" max="4129" width="14.85546875" style="140" customWidth="1"/>
    <col min="4130" max="4131" width="0" style="140" hidden="1" customWidth="1"/>
    <col min="4132" max="4352" width="9.140625" style="140"/>
    <col min="4353" max="4353" width="11.7109375" style="140" customWidth="1"/>
    <col min="4354" max="4358" width="5.7109375" style="140" customWidth="1"/>
    <col min="4359" max="4359" width="5.42578125" style="140" customWidth="1"/>
    <col min="4360" max="4378" width="0" style="140" hidden="1" customWidth="1"/>
    <col min="4379" max="4379" width="7.42578125" style="140" customWidth="1"/>
    <col min="4380" max="4380" width="7.7109375" style="140" customWidth="1"/>
    <col min="4381" max="4381" width="7.42578125" style="140" customWidth="1"/>
    <col min="4382" max="4384" width="0" style="140" hidden="1" customWidth="1"/>
    <col min="4385" max="4385" width="14.85546875" style="140" customWidth="1"/>
    <col min="4386" max="4387" width="0" style="140" hidden="1" customWidth="1"/>
    <col min="4388" max="4608" width="9.140625" style="140"/>
    <col min="4609" max="4609" width="11.7109375" style="140" customWidth="1"/>
    <col min="4610" max="4614" width="5.7109375" style="140" customWidth="1"/>
    <col min="4615" max="4615" width="5.42578125" style="140" customWidth="1"/>
    <col min="4616" max="4634" width="0" style="140" hidden="1" customWidth="1"/>
    <col min="4635" max="4635" width="7.42578125" style="140" customWidth="1"/>
    <col min="4636" max="4636" width="7.7109375" style="140" customWidth="1"/>
    <col min="4637" max="4637" width="7.42578125" style="140" customWidth="1"/>
    <col min="4638" max="4640" width="0" style="140" hidden="1" customWidth="1"/>
    <col min="4641" max="4641" width="14.85546875" style="140" customWidth="1"/>
    <col min="4642" max="4643" width="0" style="140" hidden="1" customWidth="1"/>
    <col min="4644" max="4864" width="9.140625" style="140"/>
    <col min="4865" max="4865" width="11.7109375" style="140" customWidth="1"/>
    <col min="4866" max="4870" width="5.7109375" style="140" customWidth="1"/>
    <col min="4871" max="4871" width="5.42578125" style="140" customWidth="1"/>
    <col min="4872" max="4890" width="0" style="140" hidden="1" customWidth="1"/>
    <col min="4891" max="4891" width="7.42578125" style="140" customWidth="1"/>
    <col min="4892" max="4892" width="7.7109375" style="140" customWidth="1"/>
    <col min="4893" max="4893" width="7.42578125" style="140" customWidth="1"/>
    <col min="4894" max="4896" width="0" style="140" hidden="1" customWidth="1"/>
    <col min="4897" max="4897" width="14.85546875" style="140" customWidth="1"/>
    <col min="4898" max="4899" width="0" style="140" hidden="1" customWidth="1"/>
    <col min="4900" max="5120" width="9.140625" style="140"/>
    <col min="5121" max="5121" width="11.7109375" style="140" customWidth="1"/>
    <col min="5122" max="5126" width="5.7109375" style="140" customWidth="1"/>
    <col min="5127" max="5127" width="5.42578125" style="140" customWidth="1"/>
    <col min="5128" max="5146" width="0" style="140" hidden="1" customWidth="1"/>
    <col min="5147" max="5147" width="7.42578125" style="140" customWidth="1"/>
    <col min="5148" max="5148" width="7.7109375" style="140" customWidth="1"/>
    <col min="5149" max="5149" width="7.42578125" style="140" customWidth="1"/>
    <col min="5150" max="5152" width="0" style="140" hidden="1" customWidth="1"/>
    <col min="5153" max="5153" width="14.85546875" style="140" customWidth="1"/>
    <col min="5154" max="5155" width="0" style="140" hidden="1" customWidth="1"/>
    <col min="5156" max="5376" width="9.140625" style="140"/>
    <col min="5377" max="5377" width="11.7109375" style="140" customWidth="1"/>
    <col min="5378" max="5382" width="5.7109375" style="140" customWidth="1"/>
    <col min="5383" max="5383" width="5.42578125" style="140" customWidth="1"/>
    <col min="5384" max="5402" width="0" style="140" hidden="1" customWidth="1"/>
    <col min="5403" max="5403" width="7.42578125" style="140" customWidth="1"/>
    <col min="5404" max="5404" width="7.7109375" style="140" customWidth="1"/>
    <col min="5405" max="5405" width="7.42578125" style="140" customWidth="1"/>
    <col min="5406" max="5408" width="0" style="140" hidden="1" customWidth="1"/>
    <col min="5409" max="5409" width="14.85546875" style="140" customWidth="1"/>
    <col min="5410" max="5411" width="0" style="140" hidden="1" customWidth="1"/>
    <col min="5412" max="5632" width="9.140625" style="140"/>
    <col min="5633" max="5633" width="11.7109375" style="140" customWidth="1"/>
    <col min="5634" max="5638" width="5.7109375" style="140" customWidth="1"/>
    <col min="5639" max="5639" width="5.42578125" style="140" customWidth="1"/>
    <col min="5640" max="5658" width="0" style="140" hidden="1" customWidth="1"/>
    <col min="5659" max="5659" width="7.42578125" style="140" customWidth="1"/>
    <col min="5660" max="5660" width="7.7109375" style="140" customWidth="1"/>
    <col min="5661" max="5661" width="7.42578125" style="140" customWidth="1"/>
    <col min="5662" max="5664" width="0" style="140" hidden="1" customWidth="1"/>
    <col min="5665" max="5665" width="14.85546875" style="140" customWidth="1"/>
    <col min="5666" max="5667" width="0" style="140" hidden="1" customWidth="1"/>
    <col min="5668" max="5888" width="9.140625" style="140"/>
    <col min="5889" max="5889" width="11.7109375" style="140" customWidth="1"/>
    <col min="5890" max="5894" width="5.7109375" style="140" customWidth="1"/>
    <col min="5895" max="5895" width="5.42578125" style="140" customWidth="1"/>
    <col min="5896" max="5914" width="0" style="140" hidden="1" customWidth="1"/>
    <col min="5915" max="5915" width="7.42578125" style="140" customWidth="1"/>
    <col min="5916" max="5916" width="7.7109375" style="140" customWidth="1"/>
    <col min="5917" max="5917" width="7.42578125" style="140" customWidth="1"/>
    <col min="5918" max="5920" width="0" style="140" hidden="1" customWidth="1"/>
    <col min="5921" max="5921" width="14.85546875" style="140" customWidth="1"/>
    <col min="5922" max="5923" width="0" style="140" hidden="1" customWidth="1"/>
    <col min="5924" max="6144" width="9.140625" style="140"/>
    <col min="6145" max="6145" width="11.7109375" style="140" customWidth="1"/>
    <col min="6146" max="6150" width="5.7109375" style="140" customWidth="1"/>
    <col min="6151" max="6151" width="5.42578125" style="140" customWidth="1"/>
    <col min="6152" max="6170" width="0" style="140" hidden="1" customWidth="1"/>
    <col min="6171" max="6171" width="7.42578125" style="140" customWidth="1"/>
    <col min="6172" max="6172" width="7.7109375" style="140" customWidth="1"/>
    <col min="6173" max="6173" width="7.42578125" style="140" customWidth="1"/>
    <col min="6174" max="6176" width="0" style="140" hidden="1" customWidth="1"/>
    <col min="6177" max="6177" width="14.85546875" style="140" customWidth="1"/>
    <col min="6178" max="6179" width="0" style="140" hidden="1" customWidth="1"/>
    <col min="6180" max="6400" width="9.140625" style="140"/>
    <col min="6401" max="6401" width="11.7109375" style="140" customWidth="1"/>
    <col min="6402" max="6406" width="5.7109375" style="140" customWidth="1"/>
    <col min="6407" max="6407" width="5.42578125" style="140" customWidth="1"/>
    <col min="6408" max="6426" width="0" style="140" hidden="1" customWidth="1"/>
    <col min="6427" max="6427" width="7.42578125" style="140" customWidth="1"/>
    <col min="6428" max="6428" width="7.7109375" style="140" customWidth="1"/>
    <col min="6429" max="6429" width="7.42578125" style="140" customWidth="1"/>
    <col min="6430" max="6432" width="0" style="140" hidden="1" customWidth="1"/>
    <col min="6433" max="6433" width="14.85546875" style="140" customWidth="1"/>
    <col min="6434" max="6435" width="0" style="140" hidden="1" customWidth="1"/>
    <col min="6436" max="6656" width="9.140625" style="140"/>
    <col min="6657" max="6657" width="11.7109375" style="140" customWidth="1"/>
    <col min="6658" max="6662" width="5.7109375" style="140" customWidth="1"/>
    <col min="6663" max="6663" width="5.42578125" style="140" customWidth="1"/>
    <col min="6664" max="6682" width="0" style="140" hidden="1" customWidth="1"/>
    <col min="6683" max="6683" width="7.42578125" style="140" customWidth="1"/>
    <col min="6684" max="6684" width="7.7109375" style="140" customWidth="1"/>
    <col min="6685" max="6685" width="7.42578125" style="140" customWidth="1"/>
    <col min="6686" max="6688" width="0" style="140" hidden="1" customWidth="1"/>
    <col min="6689" max="6689" width="14.85546875" style="140" customWidth="1"/>
    <col min="6690" max="6691" width="0" style="140" hidden="1" customWidth="1"/>
    <col min="6692" max="6912" width="9.140625" style="140"/>
    <col min="6913" max="6913" width="11.7109375" style="140" customWidth="1"/>
    <col min="6914" max="6918" width="5.7109375" style="140" customWidth="1"/>
    <col min="6919" max="6919" width="5.42578125" style="140" customWidth="1"/>
    <col min="6920" max="6938" width="0" style="140" hidden="1" customWidth="1"/>
    <col min="6939" max="6939" width="7.42578125" style="140" customWidth="1"/>
    <col min="6940" max="6940" width="7.7109375" style="140" customWidth="1"/>
    <col min="6941" max="6941" width="7.42578125" style="140" customWidth="1"/>
    <col min="6942" max="6944" width="0" style="140" hidden="1" customWidth="1"/>
    <col min="6945" max="6945" width="14.85546875" style="140" customWidth="1"/>
    <col min="6946" max="6947" width="0" style="140" hidden="1" customWidth="1"/>
    <col min="6948" max="7168" width="9.140625" style="140"/>
    <col min="7169" max="7169" width="11.7109375" style="140" customWidth="1"/>
    <col min="7170" max="7174" width="5.7109375" style="140" customWidth="1"/>
    <col min="7175" max="7175" width="5.42578125" style="140" customWidth="1"/>
    <col min="7176" max="7194" width="0" style="140" hidden="1" customWidth="1"/>
    <col min="7195" max="7195" width="7.42578125" style="140" customWidth="1"/>
    <col min="7196" max="7196" width="7.7109375" style="140" customWidth="1"/>
    <col min="7197" max="7197" width="7.42578125" style="140" customWidth="1"/>
    <col min="7198" max="7200" width="0" style="140" hidden="1" customWidth="1"/>
    <col min="7201" max="7201" width="14.85546875" style="140" customWidth="1"/>
    <col min="7202" max="7203" width="0" style="140" hidden="1" customWidth="1"/>
    <col min="7204" max="7424" width="9.140625" style="140"/>
    <col min="7425" max="7425" width="11.7109375" style="140" customWidth="1"/>
    <col min="7426" max="7430" width="5.7109375" style="140" customWidth="1"/>
    <col min="7431" max="7431" width="5.42578125" style="140" customWidth="1"/>
    <col min="7432" max="7450" width="0" style="140" hidden="1" customWidth="1"/>
    <col min="7451" max="7451" width="7.42578125" style="140" customWidth="1"/>
    <col min="7452" max="7452" width="7.7109375" style="140" customWidth="1"/>
    <col min="7453" max="7453" width="7.42578125" style="140" customWidth="1"/>
    <col min="7454" max="7456" width="0" style="140" hidden="1" customWidth="1"/>
    <col min="7457" max="7457" width="14.85546875" style="140" customWidth="1"/>
    <col min="7458" max="7459" width="0" style="140" hidden="1" customWidth="1"/>
    <col min="7460" max="7680" width="9.140625" style="140"/>
    <col min="7681" max="7681" width="11.7109375" style="140" customWidth="1"/>
    <col min="7682" max="7686" width="5.7109375" style="140" customWidth="1"/>
    <col min="7687" max="7687" width="5.42578125" style="140" customWidth="1"/>
    <col min="7688" max="7706" width="0" style="140" hidden="1" customWidth="1"/>
    <col min="7707" max="7707" width="7.42578125" style="140" customWidth="1"/>
    <col min="7708" max="7708" width="7.7109375" style="140" customWidth="1"/>
    <col min="7709" max="7709" width="7.42578125" style="140" customWidth="1"/>
    <col min="7710" max="7712" width="0" style="140" hidden="1" customWidth="1"/>
    <col min="7713" max="7713" width="14.85546875" style="140" customWidth="1"/>
    <col min="7714" max="7715" width="0" style="140" hidden="1" customWidth="1"/>
    <col min="7716" max="7936" width="9.140625" style="140"/>
    <col min="7937" max="7937" width="11.7109375" style="140" customWidth="1"/>
    <col min="7938" max="7942" width="5.7109375" style="140" customWidth="1"/>
    <col min="7943" max="7943" width="5.42578125" style="140" customWidth="1"/>
    <col min="7944" max="7962" width="0" style="140" hidden="1" customWidth="1"/>
    <col min="7963" max="7963" width="7.42578125" style="140" customWidth="1"/>
    <col min="7964" max="7964" width="7.7109375" style="140" customWidth="1"/>
    <col min="7965" max="7965" width="7.42578125" style="140" customWidth="1"/>
    <col min="7966" max="7968" width="0" style="140" hidden="1" customWidth="1"/>
    <col min="7969" max="7969" width="14.85546875" style="140" customWidth="1"/>
    <col min="7970" max="7971" width="0" style="140" hidden="1" customWidth="1"/>
    <col min="7972" max="8192" width="9.140625" style="140"/>
    <col min="8193" max="8193" width="11.7109375" style="140" customWidth="1"/>
    <col min="8194" max="8198" width="5.7109375" style="140" customWidth="1"/>
    <col min="8199" max="8199" width="5.42578125" style="140" customWidth="1"/>
    <col min="8200" max="8218" width="0" style="140" hidden="1" customWidth="1"/>
    <col min="8219" max="8219" width="7.42578125" style="140" customWidth="1"/>
    <col min="8220" max="8220" width="7.7109375" style="140" customWidth="1"/>
    <col min="8221" max="8221" width="7.42578125" style="140" customWidth="1"/>
    <col min="8222" max="8224" width="0" style="140" hidden="1" customWidth="1"/>
    <col min="8225" max="8225" width="14.85546875" style="140" customWidth="1"/>
    <col min="8226" max="8227" width="0" style="140" hidden="1" customWidth="1"/>
    <col min="8228" max="8448" width="9.140625" style="140"/>
    <col min="8449" max="8449" width="11.7109375" style="140" customWidth="1"/>
    <col min="8450" max="8454" width="5.7109375" style="140" customWidth="1"/>
    <col min="8455" max="8455" width="5.42578125" style="140" customWidth="1"/>
    <col min="8456" max="8474" width="0" style="140" hidden="1" customWidth="1"/>
    <col min="8475" max="8475" width="7.42578125" style="140" customWidth="1"/>
    <col min="8476" max="8476" width="7.7109375" style="140" customWidth="1"/>
    <col min="8477" max="8477" width="7.42578125" style="140" customWidth="1"/>
    <col min="8478" max="8480" width="0" style="140" hidden="1" customWidth="1"/>
    <col min="8481" max="8481" width="14.85546875" style="140" customWidth="1"/>
    <col min="8482" max="8483" width="0" style="140" hidden="1" customWidth="1"/>
    <col min="8484" max="8704" width="9.140625" style="140"/>
    <col min="8705" max="8705" width="11.7109375" style="140" customWidth="1"/>
    <col min="8706" max="8710" width="5.7109375" style="140" customWidth="1"/>
    <col min="8711" max="8711" width="5.42578125" style="140" customWidth="1"/>
    <col min="8712" max="8730" width="0" style="140" hidden="1" customWidth="1"/>
    <col min="8731" max="8731" width="7.42578125" style="140" customWidth="1"/>
    <col min="8732" max="8732" width="7.7109375" style="140" customWidth="1"/>
    <col min="8733" max="8733" width="7.42578125" style="140" customWidth="1"/>
    <col min="8734" max="8736" width="0" style="140" hidden="1" customWidth="1"/>
    <col min="8737" max="8737" width="14.85546875" style="140" customWidth="1"/>
    <col min="8738" max="8739" width="0" style="140" hidden="1" customWidth="1"/>
    <col min="8740" max="8960" width="9.140625" style="140"/>
    <col min="8961" max="8961" width="11.7109375" style="140" customWidth="1"/>
    <col min="8962" max="8966" width="5.7109375" style="140" customWidth="1"/>
    <col min="8967" max="8967" width="5.42578125" style="140" customWidth="1"/>
    <col min="8968" max="8986" width="0" style="140" hidden="1" customWidth="1"/>
    <col min="8987" max="8987" width="7.42578125" style="140" customWidth="1"/>
    <col min="8988" max="8988" width="7.7109375" style="140" customWidth="1"/>
    <col min="8989" max="8989" width="7.42578125" style="140" customWidth="1"/>
    <col min="8990" max="8992" width="0" style="140" hidden="1" customWidth="1"/>
    <col min="8993" max="8993" width="14.85546875" style="140" customWidth="1"/>
    <col min="8994" max="8995" width="0" style="140" hidden="1" customWidth="1"/>
    <col min="8996" max="9216" width="9.140625" style="140"/>
    <col min="9217" max="9217" width="11.7109375" style="140" customWidth="1"/>
    <col min="9218" max="9222" width="5.7109375" style="140" customWidth="1"/>
    <col min="9223" max="9223" width="5.42578125" style="140" customWidth="1"/>
    <col min="9224" max="9242" width="0" style="140" hidden="1" customWidth="1"/>
    <col min="9243" max="9243" width="7.42578125" style="140" customWidth="1"/>
    <col min="9244" max="9244" width="7.7109375" style="140" customWidth="1"/>
    <col min="9245" max="9245" width="7.42578125" style="140" customWidth="1"/>
    <col min="9246" max="9248" width="0" style="140" hidden="1" customWidth="1"/>
    <col min="9249" max="9249" width="14.85546875" style="140" customWidth="1"/>
    <col min="9250" max="9251" width="0" style="140" hidden="1" customWidth="1"/>
    <col min="9252" max="9472" width="9.140625" style="140"/>
    <col min="9473" max="9473" width="11.7109375" style="140" customWidth="1"/>
    <col min="9474" max="9478" width="5.7109375" style="140" customWidth="1"/>
    <col min="9479" max="9479" width="5.42578125" style="140" customWidth="1"/>
    <col min="9480" max="9498" width="0" style="140" hidden="1" customWidth="1"/>
    <col min="9499" max="9499" width="7.42578125" style="140" customWidth="1"/>
    <col min="9500" max="9500" width="7.7109375" style="140" customWidth="1"/>
    <col min="9501" max="9501" width="7.42578125" style="140" customWidth="1"/>
    <col min="9502" max="9504" width="0" style="140" hidden="1" customWidth="1"/>
    <col min="9505" max="9505" width="14.85546875" style="140" customWidth="1"/>
    <col min="9506" max="9507" width="0" style="140" hidden="1" customWidth="1"/>
    <col min="9508" max="9728" width="9.140625" style="140"/>
    <col min="9729" max="9729" width="11.7109375" style="140" customWidth="1"/>
    <col min="9730" max="9734" width="5.7109375" style="140" customWidth="1"/>
    <col min="9735" max="9735" width="5.42578125" style="140" customWidth="1"/>
    <col min="9736" max="9754" width="0" style="140" hidden="1" customWidth="1"/>
    <col min="9755" max="9755" width="7.42578125" style="140" customWidth="1"/>
    <col min="9756" max="9756" width="7.7109375" style="140" customWidth="1"/>
    <col min="9757" max="9757" width="7.42578125" style="140" customWidth="1"/>
    <col min="9758" max="9760" width="0" style="140" hidden="1" customWidth="1"/>
    <col min="9761" max="9761" width="14.85546875" style="140" customWidth="1"/>
    <col min="9762" max="9763" width="0" style="140" hidden="1" customWidth="1"/>
    <col min="9764" max="9984" width="9.140625" style="140"/>
    <col min="9985" max="9985" width="11.7109375" style="140" customWidth="1"/>
    <col min="9986" max="9990" width="5.7109375" style="140" customWidth="1"/>
    <col min="9991" max="9991" width="5.42578125" style="140" customWidth="1"/>
    <col min="9992" max="10010" width="0" style="140" hidden="1" customWidth="1"/>
    <col min="10011" max="10011" width="7.42578125" style="140" customWidth="1"/>
    <col min="10012" max="10012" width="7.7109375" style="140" customWidth="1"/>
    <col min="10013" max="10013" width="7.42578125" style="140" customWidth="1"/>
    <col min="10014" max="10016" width="0" style="140" hidden="1" customWidth="1"/>
    <col min="10017" max="10017" width="14.85546875" style="140" customWidth="1"/>
    <col min="10018" max="10019" width="0" style="140" hidden="1" customWidth="1"/>
    <col min="10020" max="10240" width="9.140625" style="140"/>
    <col min="10241" max="10241" width="11.7109375" style="140" customWidth="1"/>
    <col min="10242" max="10246" width="5.7109375" style="140" customWidth="1"/>
    <col min="10247" max="10247" width="5.42578125" style="140" customWidth="1"/>
    <col min="10248" max="10266" width="0" style="140" hidden="1" customWidth="1"/>
    <col min="10267" max="10267" width="7.42578125" style="140" customWidth="1"/>
    <col min="10268" max="10268" width="7.7109375" style="140" customWidth="1"/>
    <col min="10269" max="10269" width="7.42578125" style="140" customWidth="1"/>
    <col min="10270" max="10272" width="0" style="140" hidden="1" customWidth="1"/>
    <col min="10273" max="10273" width="14.85546875" style="140" customWidth="1"/>
    <col min="10274" max="10275" width="0" style="140" hidden="1" customWidth="1"/>
    <col min="10276" max="10496" width="9.140625" style="140"/>
    <col min="10497" max="10497" width="11.7109375" style="140" customWidth="1"/>
    <col min="10498" max="10502" width="5.7109375" style="140" customWidth="1"/>
    <col min="10503" max="10503" width="5.42578125" style="140" customWidth="1"/>
    <col min="10504" max="10522" width="0" style="140" hidden="1" customWidth="1"/>
    <col min="10523" max="10523" width="7.42578125" style="140" customWidth="1"/>
    <col min="10524" max="10524" width="7.7109375" style="140" customWidth="1"/>
    <col min="10525" max="10525" width="7.42578125" style="140" customWidth="1"/>
    <col min="10526" max="10528" width="0" style="140" hidden="1" customWidth="1"/>
    <col min="10529" max="10529" width="14.85546875" style="140" customWidth="1"/>
    <col min="10530" max="10531" width="0" style="140" hidden="1" customWidth="1"/>
    <col min="10532" max="10752" width="9.140625" style="140"/>
    <col min="10753" max="10753" width="11.7109375" style="140" customWidth="1"/>
    <col min="10754" max="10758" width="5.7109375" style="140" customWidth="1"/>
    <col min="10759" max="10759" width="5.42578125" style="140" customWidth="1"/>
    <col min="10760" max="10778" width="0" style="140" hidden="1" customWidth="1"/>
    <col min="10779" max="10779" width="7.42578125" style="140" customWidth="1"/>
    <col min="10780" max="10780" width="7.7109375" style="140" customWidth="1"/>
    <col min="10781" max="10781" width="7.42578125" style="140" customWidth="1"/>
    <col min="10782" max="10784" width="0" style="140" hidden="1" customWidth="1"/>
    <col min="10785" max="10785" width="14.85546875" style="140" customWidth="1"/>
    <col min="10786" max="10787" width="0" style="140" hidden="1" customWidth="1"/>
    <col min="10788" max="11008" width="9.140625" style="140"/>
    <col min="11009" max="11009" width="11.7109375" style="140" customWidth="1"/>
    <col min="11010" max="11014" width="5.7109375" style="140" customWidth="1"/>
    <col min="11015" max="11015" width="5.42578125" style="140" customWidth="1"/>
    <col min="11016" max="11034" width="0" style="140" hidden="1" customWidth="1"/>
    <col min="11035" max="11035" width="7.42578125" style="140" customWidth="1"/>
    <col min="11036" max="11036" width="7.7109375" style="140" customWidth="1"/>
    <col min="11037" max="11037" width="7.42578125" style="140" customWidth="1"/>
    <col min="11038" max="11040" width="0" style="140" hidden="1" customWidth="1"/>
    <col min="11041" max="11041" width="14.85546875" style="140" customWidth="1"/>
    <col min="11042" max="11043" width="0" style="140" hidden="1" customWidth="1"/>
    <col min="11044" max="11264" width="9.140625" style="140"/>
    <col min="11265" max="11265" width="11.7109375" style="140" customWidth="1"/>
    <col min="11266" max="11270" width="5.7109375" style="140" customWidth="1"/>
    <col min="11271" max="11271" width="5.42578125" style="140" customWidth="1"/>
    <col min="11272" max="11290" width="0" style="140" hidden="1" customWidth="1"/>
    <col min="11291" max="11291" width="7.42578125" style="140" customWidth="1"/>
    <col min="11292" max="11292" width="7.7109375" style="140" customWidth="1"/>
    <col min="11293" max="11293" width="7.42578125" style="140" customWidth="1"/>
    <col min="11294" max="11296" width="0" style="140" hidden="1" customWidth="1"/>
    <col min="11297" max="11297" width="14.85546875" style="140" customWidth="1"/>
    <col min="11298" max="11299" width="0" style="140" hidden="1" customWidth="1"/>
    <col min="11300" max="11520" width="9.140625" style="140"/>
    <col min="11521" max="11521" width="11.7109375" style="140" customWidth="1"/>
    <col min="11522" max="11526" width="5.7109375" style="140" customWidth="1"/>
    <col min="11527" max="11527" width="5.42578125" style="140" customWidth="1"/>
    <col min="11528" max="11546" width="0" style="140" hidden="1" customWidth="1"/>
    <col min="11547" max="11547" width="7.42578125" style="140" customWidth="1"/>
    <col min="11548" max="11548" width="7.7109375" style="140" customWidth="1"/>
    <col min="11549" max="11549" width="7.42578125" style="140" customWidth="1"/>
    <col min="11550" max="11552" width="0" style="140" hidden="1" customWidth="1"/>
    <col min="11553" max="11553" width="14.85546875" style="140" customWidth="1"/>
    <col min="11554" max="11555" width="0" style="140" hidden="1" customWidth="1"/>
    <col min="11556" max="11776" width="9.140625" style="140"/>
    <col min="11777" max="11777" width="11.7109375" style="140" customWidth="1"/>
    <col min="11778" max="11782" width="5.7109375" style="140" customWidth="1"/>
    <col min="11783" max="11783" width="5.42578125" style="140" customWidth="1"/>
    <col min="11784" max="11802" width="0" style="140" hidden="1" customWidth="1"/>
    <col min="11803" max="11803" width="7.42578125" style="140" customWidth="1"/>
    <col min="11804" max="11804" width="7.7109375" style="140" customWidth="1"/>
    <col min="11805" max="11805" width="7.42578125" style="140" customWidth="1"/>
    <col min="11806" max="11808" width="0" style="140" hidden="1" customWidth="1"/>
    <col min="11809" max="11809" width="14.85546875" style="140" customWidth="1"/>
    <col min="11810" max="11811" width="0" style="140" hidden="1" customWidth="1"/>
    <col min="11812" max="12032" width="9.140625" style="140"/>
    <col min="12033" max="12033" width="11.7109375" style="140" customWidth="1"/>
    <col min="12034" max="12038" width="5.7109375" style="140" customWidth="1"/>
    <col min="12039" max="12039" width="5.42578125" style="140" customWidth="1"/>
    <col min="12040" max="12058" width="0" style="140" hidden="1" customWidth="1"/>
    <col min="12059" max="12059" width="7.42578125" style="140" customWidth="1"/>
    <col min="12060" max="12060" width="7.7109375" style="140" customWidth="1"/>
    <col min="12061" max="12061" width="7.42578125" style="140" customWidth="1"/>
    <col min="12062" max="12064" width="0" style="140" hidden="1" customWidth="1"/>
    <col min="12065" max="12065" width="14.85546875" style="140" customWidth="1"/>
    <col min="12066" max="12067" width="0" style="140" hidden="1" customWidth="1"/>
    <col min="12068" max="12288" width="9.140625" style="140"/>
    <col min="12289" max="12289" width="11.7109375" style="140" customWidth="1"/>
    <col min="12290" max="12294" width="5.7109375" style="140" customWidth="1"/>
    <col min="12295" max="12295" width="5.42578125" style="140" customWidth="1"/>
    <col min="12296" max="12314" width="0" style="140" hidden="1" customWidth="1"/>
    <col min="12315" max="12315" width="7.42578125" style="140" customWidth="1"/>
    <col min="12316" max="12316" width="7.7109375" style="140" customWidth="1"/>
    <col min="12317" max="12317" width="7.42578125" style="140" customWidth="1"/>
    <col min="12318" max="12320" width="0" style="140" hidden="1" customWidth="1"/>
    <col min="12321" max="12321" width="14.85546875" style="140" customWidth="1"/>
    <col min="12322" max="12323" width="0" style="140" hidden="1" customWidth="1"/>
    <col min="12324" max="12544" width="9.140625" style="140"/>
    <col min="12545" max="12545" width="11.7109375" style="140" customWidth="1"/>
    <col min="12546" max="12550" width="5.7109375" style="140" customWidth="1"/>
    <col min="12551" max="12551" width="5.42578125" style="140" customWidth="1"/>
    <col min="12552" max="12570" width="0" style="140" hidden="1" customWidth="1"/>
    <col min="12571" max="12571" width="7.42578125" style="140" customWidth="1"/>
    <col min="12572" max="12572" width="7.7109375" style="140" customWidth="1"/>
    <col min="12573" max="12573" width="7.42578125" style="140" customWidth="1"/>
    <col min="12574" max="12576" width="0" style="140" hidden="1" customWidth="1"/>
    <col min="12577" max="12577" width="14.85546875" style="140" customWidth="1"/>
    <col min="12578" max="12579" width="0" style="140" hidden="1" customWidth="1"/>
    <col min="12580" max="12800" width="9.140625" style="140"/>
    <col min="12801" max="12801" width="11.7109375" style="140" customWidth="1"/>
    <col min="12802" max="12806" width="5.7109375" style="140" customWidth="1"/>
    <col min="12807" max="12807" width="5.42578125" style="140" customWidth="1"/>
    <col min="12808" max="12826" width="0" style="140" hidden="1" customWidth="1"/>
    <col min="12827" max="12827" width="7.42578125" style="140" customWidth="1"/>
    <col min="12828" max="12828" width="7.7109375" style="140" customWidth="1"/>
    <col min="12829" max="12829" width="7.42578125" style="140" customWidth="1"/>
    <col min="12830" max="12832" width="0" style="140" hidden="1" customWidth="1"/>
    <col min="12833" max="12833" width="14.85546875" style="140" customWidth="1"/>
    <col min="12834" max="12835" width="0" style="140" hidden="1" customWidth="1"/>
    <col min="12836" max="13056" width="9.140625" style="140"/>
    <col min="13057" max="13057" width="11.7109375" style="140" customWidth="1"/>
    <col min="13058" max="13062" width="5.7109375" style="140" customWidth="1"/>
    <col min="13063" max="13063" width="5.42578125" style="140" customWidth="1"/>
    <col min="13064" max="13082" width="0" style="140" hidden="1" customWidth="1"/>
    <col min="13083" max="13083" width="7.42578125" style="140" customWidth="1"/>
    <col min="13084" max="13084" width="7.7109375" style="140" customWidth="1"/>
    <col min="13085" max="13085" width="7.42578125" style="140" customWidth="1"/>
    <col min="13086" max="13088" width="0" style="140" hidden="1" customWidth="1"/>
    <col min="13089" max="13089" width="14.85546875" style="140" customWidth="1"/>
    <col min="13090" max="13091" width="0" style="140" hidden="1" customWidth="1"/>
    <col min="13092" max="13312" width="9.140625" style="140"/>
    <col min="13313" max="13313" width="11.7109375" style="140" customWidth="1"/>
    <col min="13314" max="13318" width="5.7109375" style="140" customWidth="1"/>
    <col min="13319" max="13319" width="5.42578125" style="140" customWidth="1"/>
    <col min="13320" max="13338" width="0" style="140" hidden="1" customWidth="1"/>
    <col min="13339" max="13339" width="7.42578125" style="140" customWidth="1"/>
    <col min="13340" max="13340" width="7.7109375" style="140" customWidth="1"/>
    <col min="13341" max="13341" width="7.42578125" style="140" customWidth="1"/>
    <col min="13342" max="13344" width="0" style="140" hidden="1" customWidth="1"/>
    <col min="13345" max="13345" width="14.85546875" style="140" customWidth="1"/>
    <col min="13346" max="13347" width="0" style="140" hidden="1" customWidth="1"/>
    <col min="13348" max="13568" width="9.140625" style="140"/>
    <col min="13569" max="13569" width="11.7109375" style="140" customWidth="1"/>
    <col min="13570" max="13574" width="5.7109375" style="140" customWidth="1"/>
    <col min="13575" max="13575" width="5.42578125" style="140" customWidth="1"/>
    <col min="13576" max="13594" width="0" style="140" hidden="1" customWidth="1"/>
    <col min="13595" max="13595" width="7.42578125" style="140" customWidth="1"/>
    <col min="13596" max="13596" width="7.7109375" style="140" customWidth="1"/>
    <col min="13597" max="13597" width="7.42578125" style="140" customWidth="1"/>
    <col min="13598" max="13600" width="0" style="140" hidden="1" customWidth="1"/>
    <col min="13601" max="13601" width="14.85546875" style="140" customWidth="1"/>
    <col min="13602" max="13603" width="0" style="140" hidden="1" customWidth="1"/>
    <col min="13604" max="13824" width="9.140625" style="140"/>
    <col min="13825" max="13825" width="11.7109375" style="140" customWidth="1"/>
    <col min="13826" max="13830" width="5.7109375" style="140" customWidth="1"/>
    <col min="13831" max="13831" width="5.42578125" style="140" customWidth="1"/>
    <col min="13832" max="13850" width="0" style="140" hidden="1" customWidth="1"/>
    <col min="13851" max="13851" width="7.42578125" style="140" customWidth="1"/>
    <col min="13852" max="13852" width="7.7109375" style="140" customWidth="1"/>
    <col min="13853" max="13853" width="7.42578125" style="140" customWidth="1"/>
    <col min="13854" max="13856" width="0" style="140" hidden="1" customWidth="1"/>
    <col min="13857" max="13857" width="14.85546875" style="140" customWidth="1"/>
    <col min="13858" max="13859" width="0" style="140" hidden="1" customWidth="1"/>
    <col min="13860" max="14080" width="9.140625" style="140"/>
    <col min="14081" max="14081" width="11.7109375" style="140" customWidth="1"/>
    <col min="14082" max="14086" width="5.7109375" style="140" customWidth="1"/>
    <col min="14087" max="14087" width="5.42578125" style="140" customWidth="1"/>
    <col min="14088" max="14106" width="0" style="140" hidden="1" customWidth="1"/>
    <col min="14107" max="14107" width="7.42578125" style="140" customWidth="1"/>
    <col min="14108" max="14108" width="7.7109375" style="140" customWidth="1"/>
    <col min="14109" max="14109" width="7.42578125" style="140" customWidth="1"/>
    <col min="14110" max="14112" width="0" style="140" hidden="1" customWidth="1"/>
    <col min="14113" max="14113" width="14.85546875" style="140" customWidth="1"/>
    <col min="14114" max="14115" width="0" style="140" hidden="1" customWidth="1"/>
    <col min="14116" max="14336" width="9.140625" style="140"/>
    <col min="14337" max="14337" width="11.7109375" style="140" customWidth="1"/>
    <col min="14338" max="14342" width="5.7109375" style="140" customWidth="1"/>
    <col min="14343" max="14343" width="5.42578125" style="140" customWidth="1"/>
    <col min="14344" max="14362" width="0" style="140" hidden="1" customWidth="1"/>
    <col min="14363" max="14363" width="7.42578125" style="140" customWidth="1"/>
    <col min="14364" max="14364" width="7.7109375" style="140" customWidth="1"/>
    <col min="14365" max="14365" width="7.42578125" style="140" customWidth="1"/>
    <col min="14366" max="14368" width="0" style="140" hidden="1" customWidth="1"/>
    <col min="14369" max="14369" width="14.85546875" style="140" customWidth="1"/>
    <col min="14370" max="14371" width="0" style="140" hidden="1" customWidth="1"/>
    <col min="14372" max="14592" width="9.140625" style="140"/>
    <col min="14593" max="14593" width="11.7109375" style="140" customWidth="1"/>
    <col min="14594" max="14598" width="5.7109375" style="140" customWidth="1"/>
    <col min="14599" max="14599" width="5.42578125" style="140" customWidth="1"/>
    <col min="14600" max="14618" width="0" style="140" hidden="1" customWidth="1"/>
    <col min="14619" max="14619" width="7.42578125" style="140" customWidth="1"/>
    <col min="14620" max="14620" width="7.7109375" style="140" customWidth="1"/>
    <col min="14621" max="14621" width="7.42578125" style="140" customWidth="1"/>
    <col min="14622" max="14624" width="0" style="140" hidden="1" customWidth="1"/>
    <col min="14625" max="14625" width="14.85546875" style="140" customWidth="1"/>
    <col min="14626" max="14627" width="0" style="140" hidden="1" customWidth="1"/>
    <col min="14628" max="14848" width="9.140625" style="140"/>
    <col min="14849" max="14849" width="11.7109375" style="140" customWidth="1"/>
    <col min="14850" max="14854" width="5.7109375" style="140" customWidth="1"/>
    <col min="14855" max="14855" width="5.42578125" style="140" customWidth="1"/>
    <col min="14856" max="14874" width="0" style="140" hidden="1" customWidth="1"/>
    <col min="14875" max="14875" width="7.42578125" style="140" customWidth="1"/>
    <col min="14876" max="14876" width="7.7109375" style="140" customWidth="1"/>
    <col min="14877" max="14877" width="7.42578125" style="140" customWidth="1"/>
    <col min="14878" max="14880" width="0" style="140" hidden="1" customWidth="1"/>
    <col min="14881" max="14881" width="14.85546875" style="140" customWidth="1"/>
    <col min="14882" max="14883" width="0" style="140" hidden="1" customWidth="1"/>
    <col min="14884" max="15104" width="9.140625" style="140"/>
    <col min="15105" max="15105" width="11.7109375" style="140" customWidth="1"/>
    <col min="15106" max="15110" width="5.7109375" style="140" customWidth="1"/>
    <col min="15111" max="15111" width="5.42578125" style="140" customWidth="1"/>
    <col min="15112" max="15130" width="0" style="140" hidden="1" customWidth="1"/>
    <col min="15131" max="15131" width="7.42578125" style="140" customWidth="1"/>
    <col min="15132" max="15132" width="7.7109375" style="140" customWidth="1"/>
    <col min="15133" max="15133" width="7.42578125" style="140" customWidth="1"/>
    <col min="15134" max="15136" width="0" style="140" hidden="1" customWidth="1"/>
    <col min="15137" max="15137" width="14.85546875" style="140" customWidth="1"/>
    <col min="15138" max="15139" width="0" style="140" hidden="1" customWidth="1"/>
    <col min="15140" max="15360" width="9.140625" style="140"/>
    <col min="15361" max="15361" width="11.7109375" style="140" customWidth="1"/>
    <col min="15362" max="15366" width="5.7109375" style="140" customWidth="1"/>
    <col min="15367" max="15367" width="5.42578125" style="140" customWidth="1"/>
    <col min="15368" max="15386" width="0" style="140" hidden="1" customWidth="1"/>
    <col min="15387" max="15387" width="7.42578125" style="140" customWidth="1"/>
    <col min="15388" max="15388" width="7.7109375" style="140" customWidth="1"/>
    <col min="15389" max="15389" width="7.42578125" style="140" customWidth="1"/>
    <col min="15390" max="15392" width="0" style="140" hidden="1" customWidth="1"/>
    <col min="15393" max="15393" width="14.85546875" style="140" customWidth="1"/>
    <col min="15394" max="15395" width="0" style="140" hidden="1" customWidth="1"/>
    <col min="15396" max="15616" width="9.140625" style="140"/>
    <col min="15617" max="15617" width="11.7109375" style="140" customWidth="1"/>
    <col min="15618" max="15622" width="5.7109375" style="140" customWidth="1"/>
    <col min="15623" max="15623" width="5.42578125" style="140" customWidth="1"/>
    <col min="15624" max="15642" width="0" style="140" hidden="1" customWidth="1"/>
    <col min="15643" max="15643" width="7.42578125" style="140" customWidth="1"/>
    <col min="15644" max="15644" width="7.7109375" style="140" customWidth="1"/>
    <col min="15645" max="15645" width="7.42578125" style="140" customWidth="1"/>
    <col min="15646" max="15648" width="0" style="140" hidden="1" customWidth="1"/>
    <col min="15649" max="15649" width="14.85546875" style="140" customWidth="1"/>
    <col min="15650" max="15651" width="0" style="140" hidden="1" customWidth="1"/>
    <col min="15652" max="15872" width="9.140625" style="140"/>
    <col min="15873" max="15873" width="11.7109375" style="140" customWidth="1"/>
    <col min="15874" max="15878" width="5.7109375" style="140" customWidth="1"/>
    <col min="15879" max="15879" width="5.42578125" style="140" customWidth="1"/>
    <col min="15880" max="15898" width="0" style="140" hidden="1" customWidth="1"/>
    <col min="15899" max="15899" width="7.42578125" style="140" customWidth="1"/>
    <col min="15900" max="15900" width="7.7109375" style="140" customWidth="1"/>
    <col min="15901" max="15901" width="7.42578125" style="140" customWidth="1"/>
    <col min="15902" max="15904" width="0" style="140" hidden="1" customWidth="1"/>
    <col min="15905" max="15905" width="14.85546875" style="140" customWidth="1"/>
    <col min="15906" max="15907" width="0" style="140" hidden="1" customWidth="1"/>
    <col min="15908" max="16128" width="9.140625" style="140"/>
    <col min="16129" max="16129" width="11.7109375" style="140" customWidth="1"/>
    <col min="16130" max="16134" width="5.7109375" style="140" customWidth="1"/>
    <col min="16135" max="16135" width="5.42578125" style="140" customWidth="1"/>
    <col min="16136" max="16154" width="0" style="140" hidden="1" customWidth="1"/>
    <col min="16155" max="16155" width="7.42578125" style="140" customWidth="1"/>
    <col min="16156" max="16156" width="7.7109375" style="140" customWidth="1"/>
    <col min="16157" max="16157" width="7.42578125" style="140" customWidth="1"/>
    <col min="16158" max="16160" width="0" style="140" hidden="1" customWidth="1"/>
    <col min="16161" max="16161" width="14.85546875" style="140" customWidth="1"/>
    <col min="16162" max="16163" width="0" style="140" hidden="1" customWidth="1"/>
    <col min="16164" max="16384" width="9.140625" style="140"/>
  </cols>
  <sheetData>
    <row r="1" spans="1:35" ht="19.5" thickTop="1" thickBot="1" x14ac:dyDescent="0.3">
      <c r="A1" s="822" t="s">
        <v>53</v>
      </c>
      <c r="B1" s="823"/>
      <c r="C1" s="823"/>
      <c r="D1" s="823"/>
      <c r="E1" s="823"/>
      <c r="F1" s="823"/>
      <c r="G1" s="823"/>
      <c r="H1" s="823"/>
      <c r="I1" s="823"/>
      <c r="J1" s="823"/>
      <c r="K1" s="823"/>
      <c r="L1" s="823"/>
      <c r="M1" s="823"/>
      <c r="N1" s="823"/>
      <c r="O1" s="823"/>
      <c r="P1" s="823"/>
      <c r="Q1" s="823"/>
      <c r="R1" s="823"/>
      <c r="S1" s="823"/>
      <c r="T1" s="823"/>
      <c r="U1" s="823"/>
      <c r="V1" s="823"/>
      <c r="W1" s="823"/>
      <c r="X1" s="823"/>
      <c r="Y1" s="823"/>
      <c r="Z1" s="823"/>
      <c r="AA1" s="823"/>
      <c r="AB1" s="823"/>
      <c r="AC1" s="823"/>
      <c r="AD1" s="823"/>
      <c r="AE1" s="823"/>
      <c r="AF1" s="823"/>
      <c r="AG1" s="824"/>
      <c r="AH1" s="140" t="s">
        <v>44</v>
      </c>
    </row>
    <row r="2" spans="1:35" ht="10.5" customHeight="1" thickTop="1" x14ac:dyDescent="0.2">
      <c r="A2" s="141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3"/>
      <c r="AC2" s="143"/>
      <c r="AD2" s="142"/>
      <c r="AE2" s="142"/>
      <c r="AF2" s="142"/>
      <c r="AG2" s="144" t="s">
        <v>57</v>
      </c>
      <c r="AH2" s="140" t="s">
        <v>45</v>
      </c>
    </row>
    <row r="3" spans="1:35" ht="25.5" customHeight="1" x14ac:dyDescent="0.25">
      <c r="A3" s="145" t="s">
        <v>177</v>
      </c>
      <c r="B3" s="146">
        <f>'PD0101'!B3</f>
        <v>0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6"/>
      <c r="AB3" s="148" t="s">
        <v>60</v>
      </c>
      <c r="AC3" s="147"/>
      <c r="AG3" s="149"/>
      <c r="AH3" s="140" t="s">
        <v>72</v>
      </c>
    </row>
    <row r="4" spans="1:35" ht="15.75" x14ac:dyDescent="0.25">
      <c r="A4" s="145" t="s">
        <v>161</v>
      </c>
      <c r="B4" s="146">
        <f>'PD0101'!B4</f>
        <v>0</v>
      </c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8" t="s">
        <v>61</v>
      </c>
      <c r="AC4" s="146"/>
      <c r="AG4" s="149"/>
    </row>
    <row r="5" spans="1:35" ht="15.75" x14ac:dyDescent="0.25">
      <c r="A5" s="145" t="s">
        <v>162</v>
      </c>
      <c r="B5" s="146">
        <f>'PD0101'!B5</f>
        <v>0</v>
      </c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50"/>
      <c r="T5" s="150"/>
      <c r="U5" s="151"/>
      <c r="V5" s="151"/>
      <c r="W5" s="151"/>
      <c r="X5" s="151"/>
      <c r="Y5" s="147"/>
      <c r="Z5" s="147"/>
      <c r="AA5" s="147"/>
      <c r="AB5" s="148" t="s">
        <v>94</v>
      </c>
      <c r="AC5" s="146"/>
      <c r="AG5" s="149"/>
    </row>
    <row r="6" spans="1:35" ht="15.75" x14ac:dyDescent="0.25">
      <c r="A6" s="145" t="s">
        <v>178</v>
      </c>
      <c r="B6" s="146">
        <f>'PD0101'!B6</f>
        <v>0</v>
      </c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52"/>
      <c r="AC6" s="153"/>
      <c r="AD6" s="140" t="s">
        <v>149</v>
      </c>
      <c r="AG6" s="149"/>
    </row>
    <row r="7" spans="1:35" ht="24" customHeight="1" thickBot="1" x14ac:dyDescent="0.3">
      <c r="A7" s="154" t="s">
        <v>43</v>
      </c>
      <c r="B7" s="155"/>
      <c r="C7" s="156"/>
      <c r="D7" s="156"/>
      <c r="E7" s="156"/>
      <c r="F7" s="156"/>
      <c r="G7" s="156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8" t="s">
        <v>58</v>
      </c>
      <c r="AC7" s="159">
        <f>'PD0101'!$AI$7</f>
        <v>0.05</v>
      </c>
      <c r="AD7" s="140" t="s">
        <v>150</v>
      </c>
      <c r="AG7" s="160"/>
    </row>
    <row r="8" spans="1:35" ht="17.25" thickTop="1" thickBot="1" x14ac:dyDescent="0.3">
      <c r="A8" s="161" t="s">
        <v>50</v>
      </c>
      <c r="B8" s="825" t="s">
        <v>130</v>
      </c>
      <c r="C8" s="825"/>
      <c r="D8" s="825" t="s">
        <v>131</v>
      </c>
      <c r="E8" s="825"/>
      <c r="F8" s="825" t="s">
        <v>133</v>
      </c>
      <c r="G8" s="825"/>
      <c r="H8" s="826" t="s">
        <v>165</v>
      </c>
      <c r="I8" s="827"/>
      <c r="J8" s="826" t="s">
        <v>166</v>
      </c>
      <c r="K8" s="827"/>
      <c r="L8" s="826" t="s">
        <v>167</v>
      </c>
      <c r="M8" s="827"/>
      <c r="N8" s="250" t="s">
        <v>135</v>
      </c>
      <c r="O8" s="250" t="s">
        <v>136</v>
      </c>
      <c r="P8" s="250" t="s">
        <v>137</v>
      </c>
      <c r="Q8" s="162" t="s">
        <v>134</v>
      </c>
      <c r="R8" s="828" t="s">
        <v>138</v>
      </c>
      <c r="S8" s="829"/>
      <c r="T8" s="828" t="s">
        <v>141</v>
      </c>
      <c r="U8" s="829"/>
      <c r="V8" s="163" t="s">
        <v>145</v>
      </c>
      <c r="W8" s="163" t="s">
        <v>147</v>
      </c>
      <c r="X8" s="163" t="s">
        <v>146</v>
      </c>
      <c r="Y8" s="163" t="s">
        <v>148</v>
      </c>
      <c r="Z8" s="163" t="s">
        <v>160</v>
      </c>
      <c r="AA8" s="250" t="s">
        <v>117</v>
      </c>
      <c r="AB8" s="250" t="s">
        <v>118</v>
      </c>
      <c r="AC8" s="164" t="s">
        <v>119</v>
      </c>
      <c r="AD8" s="140" t="s">
        <v>139</v>
      </c>
      <c r="AG8" s="164" t="s">
        <v>121</v>
      </c>
    </row>
    <row r="9" spans="1:35" ht="17.25" thickTop="1" thickBot="1" x14ac:dyDescent="0.3">
      <c r="A9" s="170" t="s">
        <v>151</v>
      </c>
      <c r="B9" s="206">
        <f>'PD0101'!B9</f>
        <v>0</v>
      </c>
      <c r="C9" s="207">
        <f>'PD0101'!C9</f>
        <v>0</v>
      </c>
      <c r="D9" s="206">
        <f>'PD0101'!D9</f>
        <v>0</v>
      </c>
      <c r="E9" s="207">
        <f>'PD0101'!E9</f>
        <v>0</v>
      </c>
      <c r="F9" s="206">
        <f>'PD0101'!F9</f>
        <v>0</v>
      </c>
      <c r="G9" s="207">
        <f>'PD0101'!G9</f>
        <v>0</v>
      </c>
      <c r="H9" s="171">
        <f t="shared" ref="H9:H30" si="0">IF((B9&gt;C9),C9,B9)</f>
        <v>0</v>
      </c>
      <c r="I9" s="171">
        <f t="shared" ref="I9:I30" si="1">IF((C9&gt;B9),C9,B9)</f>
        <v>0</v>
      </c>
      <c r="J9" s="171">
        <f t="shared" ref="J9:J30" si="2">IF((D9&gt;E9),E9,D9)</f>
        <v>0</v>
      </c>
      <c r="K9" s="171">
        <f t="shared" ref="K9:K30" si="3">IF((E9&gt;D9),E9,D9)</f>
        <v>0</v>
      </c>
      <c r="L9" s="171">
        <f t="shared" ref="L9:L30" si="4">IF((F9&gt;G9),G9,F9)</f>
        <v>0</v>
      </c>
      <c r="M9" s="171">
        <f t="shared" ref="M9:M30" si="5">IF((G9&gt;F9),G9,F9)</f>
        <v>0</v>
      </c>
      <c r="N9" s="172">
        <f t="shared" ref="N9:N30" si="6">IF((J9=H9),J9,(IF((J9=I9),J9,0)))</f>
        <v>0</v>
      </c>
      <c r="O9" s="172">
        <f t="shared" ref="O9:O30" si="7">IF((K9=H9),K9,(IF((K9=I9),K9,0)))</f>
        <v>0</v>
      </c>
      <c r="P9" s="172">
        <f t="shared" ref="P9:P30" si="8">(IF(((N9+O9)=(J9+K9)),0,1))</f>
        <v>0</v>
      </c>
      <c r="Q9" s="173">
        <f t="shared" ref="Q9:Q30" si="9">IF(OR((N9=O9),(O9=0)),N9,(IF(AND((N9=0),(O9&lt;&gt;0)),O9,$AD$7)))</f>
        <v>0</v>
      </c>
      <c r="R9" s="174">
        <f t="shared" ref="R9:R30" si="10">(IF((Q9&lt;&gt;$AD$7),(J9+K9-Q9),D9))</f>
        <v>0</v>
      </c>
      <c r="S9" s="174">
        <f t="shared" ref="S9:S30" si="11">(IF((Q9&lt;&gt;$AD$7),0,K9))</f>
        <v>0</v>
      </c>
      <c r="T9" s="175">
        <f t="shared" ref="T9:T30" si="12">(IF(OR((R9=L9),(R9=M9)),R9,0))</f>
        <v>0</v>
      </c>
      <c r="U9" s="176">
        <f t="shared" ref="U9:U30" si="13">(IF(AND((P9=0),(OR((M9=N9),(M9=O9)))),S9,(IF((S9&lt;&gt;0),(IF(OR((S9=L9),(S9=M9)),S9,0)),0))))</f>
        <v>0</v>
      </c>
      <c r="V9" s="177">
        <f>IF(R9=0,0,VLOOKUP(R9,FREQUENCIAS!$1:$1048576,(IF(($A9=FREQUENCIAS!$B$1),2,"ERRO")),FREQUENCIAS!$1:$1048576))</f>
        <v>0</v>
      </c>
      <c r="W9" s="177">
        <f>IF(S9=0,0,VLOOKUP(S9,FREQUENCIAS!$1:$1048576,(IF(($A9=FREQUENCIAS!$B$1),2,"ERRO")),FREQUENCIAS!$1:$1048576))</f>
        <v>0</v>
      </c>
      <c r="X9" s="177"/>
      <c r="Y9" s="177"/>
      <c r="Z9" s="177"/>
      <c r="AA9" s="208">
        <f>((IF((AND(($H9=$J9),($I9=$K9))),2,( IF((OR(($H9=$J9),($I9=$K9),($H9=$K9),($I9=$J9))),1,0)))))</f>
        <v>2</v>
      </c>
      <c r="AB9" s="208">
        <f t="shared" ref="AB9:AB30" si="14">((IF((AND(($H9=$L9),($I9=$M9))),2,( IF((OR(($H9=$L9),($I9=$M9),($H9=$M9),($I9=$L9))),1,0)))))</f>
        <v>2</v>
      </c>
      <c r="AC9" s="208">
        <f t="shared" ref="AC9:AC30" si="15">((IF((AND(($J9=$L9),($K9=$M9))),2,( IF((OR(($J9=$L9),($K9=$M9),($J9=$M9),($K9=$L9))),1,0)))))</f>
        <v>2</v>
      </c>
      <c r="AD9" s="168"/>
      <c r="AE9" s="169">
        <f t="shared" ref="AE9:AE30" si="16">(1-AA9)^2</f>
        <v>1</v>
      </c>
      <c r="AF9" s="168"/>
      <c r="AG9" s="167" t="str">
        <f t="shared" ref="AG9:AG30" si="17">IF((AND((AA9&gt;=1),(AC9&gt;=1))),"INCLUSÃO","VERIFICAR")</f>
        <v>INCLUSÃO</v>
      </c>
    </row>
    <row r="10" spans="1:35" ht="17.25" thickTop="1" thickBot="1" x14ac:dyDescent="0.3">
      <c r="A10" s="170" t="s">
        <v>214</v>
      </c>
      <c r="B10" s="206">
        <f>'PD0101'!B10</f>
        <v>0</v>
      </c>
      <c r="C10" s="207">
        <f>'PD0101'!C10</f>
        <v>0</v>
      </c>
      <c r="D10" s="206">
        <f>'PD0101'!D10</f>
        <v>0</v>
      </c>
      <c r="E10" s="207">
        <f>'PD0101'!E10</f>
        <v>0</v>
      </c>
      <c r="F10" s="206">
        <f>'PD0101'!F10</f>
        <v>0</v>
      </c>
      <c r="G10" s="207">
        <f>'PD0101'!G10</f>
        <v>0</v>
      </c>
      <c r="H10" s="171">
        <f t="shared" si="0"/>
        <v>0</v>
      </c>
      <c r="I10" s="171">
        <f t="shared" si="1"/>
        <v>0</v>
      </c>
      <c r="J10" s="171">
        <f t="shared" si="2"/>
        <v>0</v>
      </c>
      <c r="K10" s="171">
        <f t="shared" si="3"/>
        <v>0</v>
      </c>
      <c r="L10" s="171">
        <f t="shared" si="4"/>
        <v>0</v>
      </c>
      <c r="M10" s="171">
        <f t="shared" si="5"/>
        <v>0</v>
      </c>
      <c r="N10" s="172">
        <f t="shared" si="6"/>
        <v>0</v>
      </c>
      <c r="O10" s="172">
        <f t="shared" si="7"/>
        <v>0</v>
      </c>
      <c r="P10" s="172">
        <f t="shared" si="8"/>
        <v>0</v>
      </c>
      <c r="Q10" s="173">
        <f t="shared" si="9"/>
        <v>0</v>
      </c>
      <c r="R10" s="174">
        <f t="shared" si="10"/>
        <v>0</v>
      </c>
      <c r="S10" s="174">
        <f t="shared" si="11"/>
        <v>0</v>
      </c>
      <c r="T10" s="175">
        <f t="shared" si="12"/>
        <v>0</v>
      </c>
      <c r="U10" s="176">
        <f t="shared" si="13"/>
        <v>0</v>
      </c>
      <c r="V10" s="177">
        <f>IF(R10=0,0,VLOOKUP(R10,FREQUENCIAS!$1:$1048576,(IF(($A10=FREQUENCIAS!$C$1),3,"ERRO")),FREQUENCIAS!$1:$1048576))</f>
        <v>0</v>
      </c>
      <c r="W10" s="177">
        <f>IF(S10=0,0,VLOOKUP(S10,FREQUENCIAS!$1:$1048576,(IF(($A10=FREQUENCIAS!$C$1),3,"ERRO")),FREQUENCIAS!$1:$1048576))</f>
        <v>0</v>
      </c>
      <c r="X10" s="177"/>
      <c r="Y10" s="177"/>
      <c r="Z10" s="177"/>
      <c r="AA10" s="208">
        <f>((IF((AND(($H10=$J10),($I10=$K10))),2,( IF((OR(($H10=$J10),($I10=$K10),($H10=$K10),($I10=$J10))),1,0)))))</f>
        <v>2</v>
      </c>
      <c r="AB10" s="208">
        <f t="shared" si="14"/>
        <v>2</v>
      </c>
      <c r="AC10" s="208">
        <f t="shared" si="15"/>
        <v>2</v>
      </c>
      <c r="AD10" s="168"/>
      <c r="AE10" s="169">
        <f t="shared" si="16"/>
        <v>1</v>
      </c>
      <c r="AF10" s="168"/>
      <c r="AG10" s="167" t="str">
        <f t="shared" si="17"/>
        <v>INCLUSÃO</v>
      </c>
    </row>
    <row r="11" spans="1:35" ht="17.25" thickTop="1" thickBot="1" x14ac:dyDescent="0.3">
      <c r="A11" s="170" t="s">
        <v>215</v>
      </c>
      <c r="B11" s="206">
        <f>'PD0101'!B11</f>
        <v>0</v>
      </c>
      <c r="C11" s="207">
        <f>'PD0101'!C11</f>
        <v>0</v>
      </c>
      <c r="D11" s="206">
        <f>'PD0101'!D11</f>
        <v>0</v>
      </c>
      <c r="E11" s="207">
        <f>'PD0101'!E11</f>
        <v>0</v>
      </c>
      <c r="F11" s="206">
        <f>'PD0101'!F11</f>
        <v>0</v>
      </c>
      <c r="G11" s="207">
        <f>'PD0101'!G11</f>
        <v>0</v>
      </c>
      <c r="H11" s="171">
        <f t="shared" si="0"/>
        <v>0</v>
      </c>
      <c r="I11" s="171">
        <f t="shared" si="1"/>
        <v>0</v>
      </c>
      <c r="J11" s="171">
        <f t="shared" si="2"/>
        <v>0</v>
      </c>
      <c r="K11" s="171">
        <f t="shared" si="3"/>
        <v>0</v>
      </c>
      <c r="L11" s="171">
        <f t="shared" si="4"/>
        <v>0</v>
      </c>
      <c r="M11" s="171">
        <f t="shared" si="5"/>
        <v>0</v>
      </c>
      <c r="N11" s="172">
        <f t="shared" si="6"/>
        <v>0</v>
      </c>
      <c r="O11" s="172">
        <f t="shared" si="7"/>
        <v>0</v>
      </c>
      <c r="P11" s="172">
        <f t="shared" si="8"/>
        <v>0</v>
      </c>
      <c r="Q11" s="173">
        <f t="shared" si="9"/>
        <v>0</v>
      </c>
      <c r="R11" s="174">
        <f t="shared" si="10"/>
        <v>0</v>
      </c>
      <c r="S11" s="174">
        <f t="shared" si="11"/>
        <v>0</v>
      </c>
      <c r="T11" s="175">
        <f t="shared" si="12"/>
        <v>0</v>
      </c>
      <c r="U11" s="176">
        <f t="shared" si="13"/>
        <v>0</v>
      </c>
      <c r="V11" s="177">
        <f>IF(R11=0,0,VLOOKUP(R11,FREQUENCIAS!$1:$1048576,(IF(($A11=FREQUENCIAS!$D$1),4,"ERRO")),FREQUENCIAS!$1:$1048576))</f>
        <v>0</v>
      </c>
      <c r="W11" s="177">
        <f>IF(S11=0,0,VLOOKUP(S11,FREQUENCIAS!$1:$1048576,(IF(($A11=FREQUENCIAS!$D$1),4,"ERRO")),FREQUENCIAS!$1:$1048576))</f>
        <v>0</v>
      </c>
      <c r="X11" s="177"/>
      <c r="Y11" s="177"/>
      <c r="Z11" s="177"/>
      <c r="AA11" s="208">
        <f t="shared" ref="AA11:AA30" si="18">((IF((AND(($H11=$J11),($I11=$K11))),2,( IF((OR(($H11=$J11),($I11=$K11),($H11=$K11),($I11=$J11))),1,0)))))</f>
        <v>2</v>
      </c>
      <c r="AB11" s="208">
        <f t="shared" si="14"/>
        <v>2</v>
      </c>
      <c r="AC11" s="208">
        <f t="shared" si="15"/>
        <v>2</v>
      </c>
      <c r="AD11" s="168"/>
      <c r="AE11" s="169">
        <f t="shared" si="16"/>
        <v>1</v>
      </c>
      <c r="AF11" s="168"/>
      <c r="AG11" s="167" t="str">
        <f t="shared" si="17"/>
        <v>INCLUSÃO</v>
      </c>
    </row>
    <row r="12" spans="1:35" ht="17.25" thickTop="1" thickBot="1" x14ac:dyDescent="0.3">
      <c r="A12" s="170" t="s">
        <v>216</v>
      </c>
      <c r="B12" s="206">
        <f>'PD0101'!B12</f>
        <v>0</v>
      </c>
      <c r="C12" s="207">
        <f>'PD0101'!C12</f>
        <v>0</v>
      </c>
      <c r="D12" s="206">
        <f>'PD0101'!D12</f>
        <v>0</v>
      </c>
      <c r="E12" s="207">
        <f>'PD0101'!E12</f>
        <v>0</v>
      </c>
      <c r="F12" s="206">
        <f>'PD0101'!F12</f>
        <v>0</v>
      </c>
      <c r="G12" s="207">
        <f>'PD0101'!G12</f>
        <v>0</v>
      </c>
      <c r="H12" s="171">
        <f t="shared" si="0"/>
        <v>0</v>
      </c>
      <c r="I12" s="171">
        <f t="shared" si="1"/>
        <v>0</v>
      </c>
      <c r="J12" s="171">
        <f t="shared" si="2"/>
        <v>0</v>
      </c>
      <c r="K12" s="171">
        <f t="shared" si="3"/>
        <v>0</v>
      </c>
      <c r="L12" s="171">
        <f t="shared" si="4"/>
        <v>0</v>
      </c>
      <c r="M12" s="171">
        <f t="shared" si="5"/>
        <v>0</v>
      </c>
      <c r="N12" s="172">
        <f t="shared" si="6"/>
        <v>0</v>
      </c>
      <c r="O12" s="172">
        <f t="shared" si="7"/>
        <v>0</v>
      </c>
      <c r="P12" s="172">
        <f t="shared" si="8"/>
        <v>0</v>
      </c>
      <c r="Q12" s="172">
        <f t="shared" si="9"/>
        <v>0</v>
      </c>
      <c r="R12" s="174">
        <f t="shared" si="10"/>
        <v>0</v>
      </c>
      <c r="S12" s="174">
        <f t="shared" si="11"/>
        <v>0</v>
      </c>
      <c r="T12" s="175">
        <f t="shared" si="12"/>
        <v>0</v>
      </c>
      <c r="U12" s="176">
        <f t="shared" si="13"/>
        <v>0</v>
      </c>
      <c r="V12" s="177">
        <f>IF(R12=0,0,VLOOKUP(R12,FREQUENCIAS!$1:$1048576,(IF(($A12=FREQUENCIAS!$E$1),5,"ERRO")),FREQUENCIAS!$1:$1048576))</f>
        <v>0</v>
      </c>
      <c r="W12" s="177">
        <f>IF(S12=0,0,VLOOKUP(S12,FREQUENCIAS!$1:$1048576,(IF(($A12=FREQUENCIAS!$E$1),5,"ERRO")),FREQUENCIAS!$1:$1048576))</f>
        <v>0</v>
      </c>
      <c r="X12" s="177"/>
      <c r="Y12" s="177"/>
      <c r="Z12" s="177"/>
      <c r="AA12" s="208">
        <f t="shared" si="18"/>
        <v>2</v>
      </c>
      <c r="AB12" s="208">
        <f t="shared" si="14"/>
        <v>2</v>
      </c>
      <c r="AC12" s="208">
        <f t="shared" si="15"/>
        <v>2</v>
      </c>
      <c r="AD12" s="168" t="s">
        <v>140</v>
      </c>
      <c r="AE12" s="169">
        <f t="shared" si="16"/>
        <v>1</v>
      </c>
      <c r="AF12" s="168"/>
      <c r="AG12" s="167" t="str">
        <f t="shared" si="17"/>
        <v>INCLUSÃO</v>
      </c>
    </row>
    <row r="13" spans="1:35" ht="17.25" thickTop="1" thickBot="1" x14ac:dyDescent="0.3">
      <c r="A13" s="170" t="s">
        <v>157</v>
      </c>
      <c r="B13" s="206">
        <f>'PD0101'!B13</f>
        <v>0</v>
      </c>
      <c r="C13" s="207">
        <f>'PD0101'!C13</f>
        <v>0</v>
      </c>
      <c r="D13" s="206">
        <f>'PD0101'!D13</f>
        <v>0</v>
      </c>
      <c r="E13" s="207">
        <f>'PD0101'!E13</f>
        <v>0</v>
      </c>
      <c r="F13" s="206">
        <f>'PD0101'!F13</f>
        <v>0</v>
      </c>
      <c r="G13" s="207">
        <f>'PD0101'!G13</f>
        <v>0</v>
      </c>
      <c r="H13" s="171">
        <f t="shared" si="0"/>
        <v>0</v>
      </c>
      <c r="I13" s="171">
        <f t="shared" si="1"/>
        <v>0</v>
      </c>
      <c r="J13" s="171">
        <f t="shared" si="2"/>
        <v>0</v>
      </c>
      <c r="K13" s="171">
        <f t="shared" si="3"/>
        <v>0</v>
      </c>
      <c r="L13" s="171">
        <f t="shared" si="4"/>
        <v>0</v>
      </c>
      <c r="M13" s="171">
        <f t="shared" si="5"/>
        <v>0</v>
      </c>
      <c r="N13" s="172">
        <f t="shared" si="6"/>
        <v>0</v>
      </c>
      <c r="O13" s="172">
        <f t="shared" si="7"/>
        <v>0</v>
      </c>
      <c r="P13" s="172">
        <f t="shared" si="8"/>
        <v>0</v>
      </c>
      <c r="Q13" s="173">
        <f t="shared" si="9"/>
        <v>0</v>
      </c>
      <c r="R13" s="174">
        <f t="shared" si="10"/>
        <v>0</v>
      </c>
      <c r="S13" s="174">
        <f t="shared" si="11"/>
        <v>0</v>
      </c>
      <c r="T13" s="175">
        <f t="shared" si="12"/>
        <v>0</v>
      </c>
      <c r="U13" s="176">
        <f t="shared" si="13"/>
        <v>0</v>
      </c>
      <c r="V13" s="177">
        <f>IF(R13=0,0,VLOOKUP(R13,FREQUENCIAS!$1:$1048576,(IF(($A13=FREQUENCIAS!$F$1),6,"ERRO")),FREQUENCIAS!$1:$1048576))</f>
        <v>0</v>
      </c>
      <c r="W13" s="177">
        <f>IF(S13=0,0,VLOOKUP(S13,FREQUENCIAS!$1:$1048576,(IF(($A13=FREQUENCIAS!$F$1),6,"ERRO")),FREQUENCIAS!$1:$1048576))</f>
        <v>0</v>
      </c>
      <c r="X13" s="177"/>
      <c r="Y13" s="177"/>
      <c r="Z13" s="177"/>
      <c r="AA13" s="208">
        <f t="shared" si="18"/>
        <v>2</v>
      </c>
      <c r="AB13" s="208">
        <f t="shared" si="14"/>
        <v>2</v>
      </c>
      <c r="AC13" s="208">
        <f t="shared" si="15"/>
        <v>2</v>
      </c>
      <c r="AD13" s="168" t="s">
        <v>116</v>
      </c>
      <c r="AE13" s="169">
        <f t="shared" si="16"/>
        <v>1</v>
      </c>
      <c r="AF13" s="168"/>
      <c r="AG13" s="167" t="str">
        <f t="shared" si="17"/>
        <v>INCLUSÃO</v>
      </c>
      <c r="AI13" s="140" t="s">
        <v>174</v>
      </c>
    </row>
    <row r="14" spans="1:35" ht="17.25" thickTop="1" thickBot="1" x14ac:dyDescent="0.3">
      <c r="A14" s="178" t="s">
        <v>219</v>
      </c>
      <c r="B14" s="165">
        <f>'PD0101'!B14</f>
        <v>0</v>
      </c>
      <c r="C14" s="166">
        <f>'PD0101'!C14</f>
        <v>0</v>
      </c>
      <c r="D14" s="165">
        <f>'PD0101'!D14</f>
        <v>0</v>
      </c>
      <c r="E14" s="166">
        <f>'PD0101'!E14</f>
        <v>0</v>
      </c>
      <c r="F14" s="165">
        <f>'PD0101'!F14</f>
        <v>0</v>
      </c>
      <c r="G14" s="166">
        <f>'PD0101'!G14</f>
        <v>0</v>
      </c>
      <c r="H14" s="171">
        <f t="shared" si="0"/>
        <v>0</v>
      </c>
      <c r="I14" s="171">
        <f t="shared" si="1"/>
        <v>0</v>
      </c>
      <c r="J14" s="171">
        <f t="shared" si="2"/>
        <v>0</v>
      </c>
      <c r="K14" s="171">
        <f t="shared" si="3"/>
        <v>0</v>
      </c>
      <c r="L14" s="171">
        <f t="shared" si="4"/>
        <v>0</v>
      </c>
      <c r="M14" s="171">
        <f t="shared" si="5"/>
        <v>0</v>
      </c>
      <c r="N14" s="172">
        <f t="shared" si="6"/>
        <v>0</v>
      </c>
      <c r="O14" s="172">
        <f t="shared" si="7"/>
        <v>0</v>
      </c>
      <c r="P14" s="172">
        <f t="shared" si="8"/>
        <v>0</v>
      </c>
      <c r="Q14" s="173">
        <f t="shared" si="9"/>
        <v>0</v>
      </c>
      <c r="R14" s="174">
        <f t="shared" si="10"/>
        <v>0</v>
      </c>
      <c r="S14" s="174">
        <f t="shared" si="11"/>
        <v>0</v>
      </c>
      <c r="T14" s="175">
        <f t="shared" si="12"/>
        <v>0</v>
      </c>
      <c r="U14" s="176">
        <f t="shared" si="13"/>
        <v>0</v>
      </c>
      <c r="V14" s="177">
        <f>IF(R14=0,0,VLOOKUP(R14,FREQUENCIAS!$1:$1048576,(IF(($A14=FREQUENCIAS!$G$1),7,"ERRO")),FREQUENCIAS!$1:$1048576))</f>
        <v>0</v>
      </c>
      <c r="W14" s="177">
        <f>IF(S14=0,0,VLOOKUP(S14,FREQUENCIAS!$1:$1048576,(IF(($A14=FREQUENCIAS!$G$1),7,"ERRO")),FREQUENCIAS!$1:$1048576))</f>
        <v>0</v>
      </c>
      <c r="X14" s="177"/>
      <c r="Y14" s="177"/>
      <c r="Z14" s="177"/>
      <c r="AA14" s="208">
        <f t="shared" si="18"/>
        <v>2</v>
      </c>
      <c r="AB14" s="208">
        <f t="shared" si="14"/>
        <v>2</v>
      </c>
      <c r="AC14" s="208">
        <f t="shared" si="15"/>
        <v>2</v>
      </c>
      <c r="AD14" s="168"/>
      <c r="AE14" s="169">
        <f t="shared" si="16"/>
        <v>1</v>
      </c>
      <c r="AF14" s="168"/>
      <c r="AG14" s="167" t="str">
        <f t="shared" si="17"/>
        <v>INCLUSÃO</v>
      </c>
    </row>
    <row r="15" spans="1:35" ht="17.25" thickTop="1" thickBot="1" x14ac:dyDescent="0.3">
      <c r="A15" s="170" t="s">
        <v>159</v>
      </c>
      <c r="B15" s="206">
        <f>'PD0101'!B15</f>
        <v>0</v>
      </c>
      <c r="C15" s="207">
        <f>'PD0101'!C15</f>
        <v>0</v>
      </c>
      <c r="D15" s="206">
        <f>'PD0101'!D15</f>
        <v>0</v>
      </c>
      <c r="E15" s="207">
        <f>'PD0101'!E15</f>
        <v>0</v>
      </c>
      <c r="F15" s="206">
        <f>'PD0101'!F15</f>
        <v>0</v>
      </c>
      <c r="G15" s="207">
        <f>'PD0101'!G15</f>
        <v>0</v>
      </c>
      <c r="H15" s="171">
        <f t="shared" si="0"/>
        <v>0</v>
      </c>
      <c r="I15" s="171">
        <f t="shared" si="1"/>
        <v>0</v>
      </c>
      <c r="J15" s="171">
        <f t="shared" si="2"/>
        <v>0</v>
      </c>
      <c r="K15" s="171">
        <f t="shared" si="3"/>
        <v>0</v>
      </c>
      <c r="L15" s="171">
        <f t="shared" si="4"/>
        <v>0</v>
      </c>
      <c r="M15" s="171">
        <f t="shared" si="5"/>
        <v>0</v>
      </c>
      <c r="N15" s="172">
        <f t="shared" si="6"/>
        <v>0</v>
      </c>
      <c r="O15" s="172">
        <f t="shared" si="7"/>
        <v>0</v>
      </c>
      <c r="P15" s="172">
        <f t="shared" si="8"/>
        <v>0</v>
      </c>
      <c r="Q15" s="173">
        <f t="shared" si="9"/>
        <v>0</v>
      </c>
      <c r="R15" s="174">
        <f t="shared" si="10"/>
        <v>0</v>
      </c>
      <c r="S15" s="174">
        <f t="shared" si="11"/>
        <v>0</v>
      </c>
      <c r="T15" s="175">
        <f t="shared" si="12"/>
        <v>0</v>
      </c>
      <c r="U15" s="176">
        <f t="shared" si="13"/>
        <v>0</v>
      </c>
      <c r="V15" s="177">
        <f>IF(R15=0,0,VLOOKUP(R15,FREQUENCIAS!$1:$1048576,(IF(($A15=FREQUENCIAS!$H$1),8,"ERRO")),FREQUENCIAS!$1:$1048576))</f>
        <v>0</v>
      </c>
      <c r="W15" s="177">
        <f>IF(S15=0,0,VLOOKUP(S15,FREQUENCIAS!$1:$1048576,(IF(($A15=FREQUENCIAS!$H$1),8,"ERRO")),FREQUENCIAS!$1:$1048576))</f>
        <v>0</v>
      </c>
      <c r="X15" s="177"/>
      <c r="Y15" s="177"/>
      <c r="Z15" s="177"/>
      <c r="AA15" s="208">
        <f t="shared" si="18"/>
        <v>2</v>
      </c>
      <c r="AB15" s="208">
        <f t="shared" si="14"/>
        <v>2</v>
      </c>
      <c r="AC15" s="208">
        <f t="shared" si="15"/>
        <v>2</v>
      </c>
      <c r="AD15" s="168"/>
      <c r="AE15" s="169">
        <f t="shared" si="16"/>
        <v>1</v>
      </c>
      <c r="AF15" s="168"/>
      <c r="AG15" s="167" t="str">
        <f t="shared" si="17"/>
        <v>INCLUSÃO</v>
      </c>
    </row>
    <row r="16" spans="1:35" ht="17.25" thickTop="1" thickBot="1" x14ac:dyDescent="0.3">
      <c r="A16" s="170" t="s">
        <v>155</v>
      </c>
      <c r="B16" s="206">
        <f>'PD0101'!B16</f>
        <v>0</v>
      </c>
      <c r="C16" s="207">
        <f>'PD0101'!C16</f>
        <v>0</v>
      </c>
      <c r="D16" s="206">
        <f>'PD0101'!D16</f>
        <v>0</v>
      </c>
      <c r="E16" s="207">
        <f>'PD0101'!E16</f>
        <v>0</v>
      </c>
      <c r="F16" s="206">
        <f>'PD0101'!F16</f>
        <v>0</v>
      </c>
      <c r="G16" s="207">
        <f>'PD0101'!G16</f>
        <v>0</v>
      </c>
      <c r="H16" s="171">
        <f t="shared" si="0"/>
        <v>0</v>
      </c>
      <c r="I16" s="171">
        <f t="shared" si="1"/>
        <v>0</v>
      </c>
      <c r="J16" s="171">
        <f t="shared" si="2"/>
        <v>0</v>
      </c>
      <c r="K16" s="171">
        <f t="shared" si="3"/>
        <v>0</v>
      </c>
      <c r="L16" s="171">
        <f t="shared" si="4"/>
        <v>0</v>
      </c>
      <c r="M16" s="171">
        <f t="shared" si="5"/>
        <v>0</v>
      </c>
      <c r="N16" s="172">
        <f t="shared" si="6"/>
        <v>0</v>
      </c>
      <c r="O16" s="172">
        <f t="shared" si="7"/>
        <v>0</v>
      </c>
      <c r="P16" s="172">
        <f t="shared" si="8"/>
        <v>0</v>
      </c>
      <c r="Q16" s="173">
        <f t="shared" si="9"/>
        <v>0</v>
      </c>
      <c r="R16" s="174">
        <f t="shared" si="10"/>
        <v>0</v>
      </c>
      <c r="S16" s="174">
        <f t="shared" si="11"/>
        <v>0</v>
      </c>
      <c r="T16" s="175">
        <f t="shared" si="12"/>
        <v>0</v>
      </c>
      <c r="U16" s="176">
        <f t="shared" si="13"/>
        <v>0</v>
      </c>
      <c r="V16" s="177">
        <f>IF(R16=0,0,VLOOKUP(R16,FREQUENCIAS!$1:$1048576,(IF(($A16=FREQUENCIAS!$I$1),9,"ERRO")),FREQUENCIAS!$1:$1048576))</f>
        <v>0</v>
      </c>
      <c r="W16" s="177">
        <f>IF(S16=0,0,VLOOKUP(S16,FREQUENCIAS!$1:$1048576,(IF(($A16=FREQUENCIAS!$I$1),9,"ERRO")),FREQUENCIAS!$1:$1048576))</f>
        <v>0</v>
      </c>
      <c r="X16" s="177"/>
      <c r="Y16" s="177"/>
      <c r="Z16" s="177"/>
      <c r="AA16" s="208">
        <f t="shared" si="18"/>
        <v>2</v>
      </c>
      <c r="AB16" s="208">
        <f t="shared" si="14"/>
        <v>2</v>
      </c>
      <c r="AC16" s="208">
        <f t="shared" si="15"/>
        <v>2</v>
      </c>
      <c r="AD16" s="168"/>
      <c r="AE16" s="169">
        <f t="shared" si="16"/>
        <v>1</v>
      </c>
      <c r="AF16" s="168"/>
      <c r="AG16" s="167" t="str">
        <f t="shared" si="17"/>
        <v>INCLUSÃO</v>
      </c>
    </row>
    <row r="17" spans="1:35" ht="17.25" thickTop="1" thickBot="1" x14ac:dyDescent="0.3">
      <c r="A17" s="170" t="s">
        <v>51</v>
      </c>
      <c r="B17" s="206">
        <f>'PD0101'!B17</f>
        <v>0</v>
      </c>
      <c r="C17" s="207">
        <f>'PD0101'!C17</f>
        <v>0</v>
      </c>
      <c r="D17" s="206">
        <f>'PD0101'!D17</f>
        <v>0</v>
      </c>
      <c r="E17" s="207">
        <f>'PD0101'!E17</f>
        <v>0</v>
      </c>
      <c r="F17" s="206">
        <f>'PD0101'!F17</f>
        <v>0</v>
      </c>
      <c r="G17" s="207">
        <f>'PD0101'!G17</f>
        <v>0</v>
      </c>
      <c r="H17" s="171">
        <f t="shared" si="0"/>
        <v>0</v>
      </c>
      <c r="I17" s="171">
        <f t="shared" si="1"/>
        <v>0</v>
      </c>
      <c r="J17" s="171">
        <f t="shared" si="2"/>
        <v>0</v>
      </c>
      <c r="K17" s="171">
        <f t="shared" si="3"/>
        <v>0</v>
      </c>
      <c r="L17" s="171">
        <f t="shared" si="4"/>
        <v>0</v>
      </c>
      <c r="M17" s="171">
        <f t="shared" si="5"/>
        <v>0</v>
      </c>
      <c r="N17" s="172">
        <f t="shared" si="6"/>
        <v>0</v>
      </c>
      <c r="O17" s="172">
        <f t="shared" si="7"/>
        <v>0</v>
      </c>
      <c r="P17" s="172">
        <f t="shared" si="8"/>
        <v>0</v>
      </c>
      <c r="Q17" s="173">
        <f t="shared" si="9"/>
        <v>0</v>
      </c>
      <c r="R17" s="174">
        <f t="shared" si="10"/>
        <v>0</v>
      </c>
      <c r="S17" s="174">
        <f t="shared" si="11"/>
        <v>0</v>
      </c>
      <c r="T17" s="175">
        <f t="shared" si="12"/>
        <v>0</v>
      </c>
      <c r="U17" s="176">
        <f t="shared" si="13"/>
        <v>0</v>
      </c>
      <c r="V17" s="177">
        <f>IF(R17=0,0,VLOOKUP(R17,FREQUENCIAS!$1:$1048576,(IF(($A17=FREQUENCIAS!$J$1),10,"ERRO")),FREQUENCIAS!$1:$1048576))</f>
        <v>0</v>
      </c>
      <c r="W17" s="177">
        <f>IF(S17=0,0,VLOOKUP(S17,FREQUENCIAS!$1:$1048576,(IF(($A17=FREQUENCIAS!$J$1),10,"ERRO")),FREQUENCIAS!$1:$1048576))</f>
        <v>0</v>
      </c>
      <c r="X17" s="177"/>
      <c r="Y17" s="177"/>
      <c r="Z17" s="177"/>
      <c r="AA17" s="208">
        <f t="shared" si="18"/>
        <v>2</v>
      </c>
      <c r="AB17" s="208">
        <f t="shared" si="14"/>
        <v>2</v>
      </c>
      <c r="AC17" s="208">
        <f t="shared" si="15"/>
        <v>2</v>
      </c>
      <c r="AD17" s="168" t="s">
        <v>173</v>
      </c>
      <c r="AE17" s="169">
        <f t="shared" si="16"/>
        <v>1</v>
      </c>
      <c r="AF17" s="168"/>
      <c r="AG17" s="167" t="str">
        <f t="shared" si="17"/>
        <v>INCLUSÃO</v>
      </c>
    </row>
    <row r="18" spans="1:35" ht="17.25" thickTop="1" thickBot="1" x14ac:dyDescent="0.3">
      <c r="A18" s="170" t="s">
        <v>132</v>
      </c>
      <c r="B18" s="206">
        <f>'PD0101'!B18</f>
        <v>0</v>
      </c>
      <c r="C18" s="207">
        <f>'PD0101'!C18</f>
        <v>0</v>
      </c>
      <c r="D18" s="206">
        <f>'PD0101'!D18</f>
        <v>0</v>
      </c>
      <c r="E18" s="207">
        <f>'PD0101'!E18</f>
        <v>0</v>
      </c>
      <c r="F18" s="206">
        <f>'PD0101'!F18</f>
        <v>0</v>
      </c>
      <c r="G18" s="207">
        <f>'PD0101'!G18</f>
        <v>0</v>
      </c>
      <c r="H18" s="171">
        <f t="shared" si="0"/>
        <v>0</v>
      </c>
      <c r="I18" s="171">
        <f t="shared" si="1"/>
        <v>0</v>
      </c>
      <c r="J18" s="171">
        <f t="shared" si="2"/>
        <v>0</v>
      </c>
      <c r="K18" s="171">
        <f t="shared" si="3"/>
        <v>0</v>
      </c>
      <c r="L18" s="171">
        <f t="shared" si="4"/>
        <v>0</v>
      </c>
      <c r="M18" s="171">
        <f t="shared" si="5"/>
        <v>0</v>
      </c>
      <c r="N18" s="172">
        <f t="shared" si="6"/>
        <v>0</v>
      </c>
      <c r="O18" s="172">
        <f t="shared" si="7"/>
        <v>0</v>
      </c>
      <c r="P18" s="172">
        <f t="shared" si="8"/>
        <v>0</v>
      </c>
      <c r="Q18" s="173">
        <f t="shared" si="9"/>
        <v>0</v>
      </c>
      <c r="R18" s="174">
        <f t="shared" si="10"/>
        <v>0</v>
      </c>
      <c r="S18" s="174">
        <f t="shared" si="11"/>
        <v>0</v>
      </c>
      <c r="T18" s="175">
        <f t="shared" si="12"/>
        <v>0</v>
      </c>
      <c r="U18" s="176">
        <f t="shared" si="13"/>
        <v>0</v>
      </c>
      <c r="V18" s="177">
        <f>IF(R18=0,0,VLOOKUP(R18,FREQUENCIAS!$1:$1048576,(IF(($A18=FREQUENCIAS!$K$1),11,"ERRO")),FREQUENCIAS!$1:$1048576))</f>
        <v>0</v>
      </c>
      <c r="W18" s="177">
        <f>IF(S18=0,0,VLOOKUP(S18,FREQUENCIAS!$1:$1048576,(IF(($A18=FREQUENCIAS!$K$1),11,"ERRO")),FREQUENCIAS!$1:$1048576))</f>
        <v>0</v>
      </c>
      <c r="X18" s="177"/>
      <c r="Y18" s="177"/>
      <c r="Z18" s="177"/>
      <c r="AA18" s="208">
        <f t="shared" si="18"/>
        <v>2</v>
      </c>
      <c r="AB18" s="208">
        <f t="shared" si="14"/>
        <v>2</v>
      </c>
      <c r="AC18" s="208">
        <f t="shared" si="15"/>
        <v>2</v>
      </c>
      <c r="AD18" s="168"/>
      <c r="AE18" s="169">
        <f t="shared" si="16"/>
        <v>1</v>
      </c>
      <c r="AF18" s="168"/>
      <c r="AG18" s="167" t="str">
        <f t="shared" si="17"/>
        <v>INCLUSÃO</v>
      </c>
    </row>
    <row r="19" spans="1:35" ht="17.25" thickTop="1" thickBot="1" x14ac:dyDescent="0.3">
      <c r="A19" s="170" t="s">
        <v>220</v>
      </c>
      <c r="B19" s="206">
        <f>'PD0101'!B19</f>
        <v>0</v>
      </c>
      <c r="C19" s="207">
        <f>'PD0101'!C19</f>
        <v>0</v>
      </c>
      <c r="D19" s="206">
        <f>'PD0101'!D19</f>
        <v>0</v>
      </c>
      <c r="E19" s="207">
        <f>'PD0101'!E19</f>
        <v>0</v>
      </c>
      <c r="F19" s="206">
        <f>'PD0101'!F19</f>
        <v>0</v>
      </c>
      <c r="G19" s="207">
        <f>'PD0101'!G19</f>
        <v>0</v>
      </c>
      <c r="H19" s="171">
        <f t="shared" si="0"/>
        <v>0</v>
      </c>
      <c r="I19" s="171">
        <f t="shared" si="1"/>
        <v>0</v>
      </c>
      <c r="J19" s="171">
        <f t="shared" si="2"/>
        <v>0</v>
      </c>
      <c r="K19" s="171">
        <f t="shared" si="3"/>
        <v>0</v>
      </c>
      <c r="L19" s="171">
        <f t="shared" si="4"/>
        <v>0</v>
      </c>
      <c r="M19" s="171">
        <f t="shared" si="5"/>
        <v>0</v>
      </c>
      <c r="N19" s="172">
        <f t="shared" si="6"/>
        <v>0</v>
      </c>
      <c r="O19" s="172">
        <f t="shared" si="7"/>
        <v>0</v>
      </c>
      <c r="P19" s="172">
        <f t="shared" si="8"/>
        <v>0</v>
      </c>
      <c r="Q19" s="173">
        <f t="shared" si="9"/>
        <v>0</v>
      </c>
      <c r="R19" s="174">
        <f t="shared" si="10"/>
        <v>0</v>
      </c>
      <c r="S19" s="174">
        <f t="shared" si="11"/>
        <v>0</v>
      </c>
      <c r="T19" s="175">
        <f t="shared" si="12"/>
        <v>0</v>
      </c>
      <c r="U19" s="176">
        <f t="shared" si="13"/>
        <v>0</v>
      </c>
      <c r="V19" s="177">
        <f>IF(R19=0,0,VLOOKUP(R19,FREQUENCIAS!$1:$1048576,(IF(($A19=FREQUENCIAS!$L$1),12,"ERRO")),FREQUENCIAS!$1:$1048576))</f>
        <v>0</v>
      </c>
      <c r="W19" s="177">
        <f>IF(S19=0,0,VLOOKUP(S19,FREQUENCIAS!$1:$1048576,(IF(($A19=FREQUENCIAS!$L$1),12,"ERRO")),FREQUENCIAS!$1:$1048576))</f>
        <v>0</v>
      </c>
      <c r="X19" s="177"/>
      <c r="Y19" s="177"/>
      <c r="Z19" s="177"/>
      <c r="AA19" s="208">
        <f t="shared" si="18"/>
        <v>2</v>
      </c>
      <c r="AB19" s="208">
        <f t="shared" si="14"/>
        <v>2</v>
      </c>
      <c r="AC19" s="208">
        <f t="shared" si="15"/>
        <v>2</v>
      </c>
      <c r="AD19" s="168" t="s">
        <v>59</v>
      </c>
      <c r="AE19" s="169">
        <f t="shared" si="16"/>
        <v>1</v>
      </c>
      <c r="AF19" s="168"/>
      <c r="AG19" s="167" t="str">
        <f t="shared" si="17"/>
        <v>INCLUSÃO</v>
      </c>
      <c r="AI19" s="140" t="s">
        <v>175</v>
      </c>
    </row>
    <row r="20" spans="1:35" ht="17.25" thickTop="1" thickBot="1" x14ac:dyDescent="0.3">
      <c r="A20" s="170" t="s">
        <v>144</v>
      </c>
      <c r="B20" s="206">
        <f>'PD0101'!B20</f>
        <v>0</v>
      </c>
      <c r="C20" s="207">
        <f>'PD0101'!C20</f>
        <v>0</v>
      </c>
      <c r="D20" s="206">
        <f>'PD0101'!D20</f>
        <v>0</v>
      </c>
      <c r="E20" s="207">
        <f>'PD0101'!E20</f>
        <v>0</v>
      </c>
      <c r="F20" s="206">
        <f>'PD0101'!F20</f>
        <v>0</v>
      </c>
      <c r="G20" s="207">
        <f>'PD0101'!G20</f>
        <v>0</v>
      </c>
      <c r="H20" s="171">
        <f t="shared" si="0"/>
        <v>0</v>
      </c>
      <c r="I20" s="171">
        <f t="shared" si="1"/>
        <v>0</v>
      </c>
      <c r="J20" s="171">
        <f t="shared" si="2"/>
        <v>0</v>
      </c>
      <c r="K20" s="171">
        <f t="shared" si="3"/>
        <v>0</v>
      </c>
      <c r="L20" s="171">
        <f t="shared" si="4"/>
        <v>0</v>
      </c>
      <c r="M20" s="171">
        <f t="shared" si="5"/>
        <v>0</v>
      </c>
      <c r="N20" s="172">
        <f t="shared" si="6"/>
        <v>0</v>
      </c>
      <c r="O20" s="172">
        <f t="shared" si="7"/>
        <v>0</v>
      </c>
      <c r="P20" s="172">
        <f t="shared" si="8"/>
        <v>0</v>
      </c>
      <c r="Q20" s="173">
        <f t="shared" si="9"/>
        <v>0</v>
      </c>
      <c r="R20" s="174">
        <f t="shared" si="10"/>
        <v>0</v>
      </c>
      <c r="S20" s="174">
        <f t="shared" si="11"/>
        <v>0</v>
      </c>
      <c r="T20" s="175">
        <f t="shared" si="12"/>
        <v>0</v>
      </c>
      <c r="U20" s="176">
        <f t="shared" si="13"/>
        <v>0</v>
      </c>
      <c r="V20" s="177">
        <f>IF(R20=0,0,VLOOKUP(R20,FREQUENCIAS!$1:$1048576,(IF(($A20=FREQUENCIAS!$M$1),13,"ERRO")),FREQUENCIAS!$1:$1048576))</f>
        <v>0</v>
      </c>
      <c r="W20" s="177">
        <f>IF(S20=0,0,VLOOKUP(S20,FREQUENCIAS!$1:$1048576,(IF(($A20=FREQUENCIAS!$M$1),13,"ERRO")),FREQUENCIAS!$1:$1048576))</f>
        <v>0</v>
      </c>
      <c r="X20" s="177"/>
      <c r="Y20" s="177"/>
      <c r="Z20" s="177"/>
      <c r="AA20" s="208">
        <f t="shared" si="18"/>
        <v>2</v>
      </c>
      <c r="AB20" s="208">
        <f t="shared" si="14"/>
        <v>2</v>
      </c>
      <c r="AC20" s="208">
        <f t="shared" si="15"/>
        <v>2</v>
      </c>
      <c r="AD20" s="168"/>
      <c r="AE20" s="169">
        <f t="shared" si="16"/>
        <v>1</v>
      </c>
      <c r="AF20" s="168"/>
      <c r="AG20" s="167" t="str">
        <f t="shared" si="17"/>
        <v>INCLUSÃO</v>
      </c>
    </row>
    <row r="21" spans="1:35" ht="17.25" thickTop="1" thickBot="1" x14ac:dyDescent="0.3">
      <c r="A21" s="170" t="s">
        <v>179</v>
      </c>
      <c r="B21" s="206">
        <f>'PD0101'!B21</f>
        <v>0</v>
      </c>
      <c r="C21" s="207">
        <f>'PD0101'!C21</f>
        <v>0</v>
      </c>
      <c r="D21" s="206">
        <f>'PD0101'!D21</f>
        <v>0</v>
      </c>
      <c r="E21" s="207">
        <f>'PD0101'!E21</f>
        <v>0</v>
      </c>
      <c r="F21" s="206">
        <f>'PD0101'!F21</f>
        <v>0</v>
      </c>
      <c r="G21" s="207">
        <f>'PD0101'!G21</f>
        <v>0</v>
      </c>
      <c r="H21" s="171">
        <f t="shared" si="0"/>
        <v>0</v>
      </c>
      <c r="I21" s="171">
        <f t="shared" si="1"/>
        <v>0</v>
      </c>
      <c r="J21" s="171">
        <f t="shared" si="2"/>
        <v>0</v>
      </c>
      <c r="K21" s="171">
        <f t="shared" si="3"/>
        <v>0</v>
      </c>
      <c r="L21" s="171">
        <f t="shared" si="4"/>
        <v>0</v>
      </c>
      <c r="M21" s="171">
        <f t="shared" si="5"/>
        <v>0</v>
      </c>
      <c r="N21" s="172">
        <f t="shared" si="6"/>
        <v>0</v>
      </c>
      <c r="O21" s="172">
        <f t="shared" si="7"/>
        <v>0</v>
      </c>
      <c r="P21" s="172">
        <f t="shared" si="8"/>
        <v>0</v>
      </c>
      <c r="Q21" s="173">
        <f t="shared" si="9"/>
        <v>0</v>
      </c>
      <c r="R21" s="174">
        <f t="shared" si="10"/>
        <v>0</v>
      </c>
      <c r="S21" s="174">
        <f t="shared" si="11"/>
        <v>0</v>
      </c>
      <c r="T21" s="175">
        <f t="shared" si="12"/>
        <v>0</v>
      </c>
      <c r="U21" s="176">
        <f t="shared" si="13"/>
        <v>0</v>
      </c>
      <c r="V21" s="177">
        <f>IF(R21=0,0,VLOOKUP(R21,FREQUENCIAS!$1:$1048576,(IF(($A21=FREQUENCIAS!$N$1),14,"ERRO")),FREQUENCIAS!$1:$1048576))</f>
        <v>0</v>
      </c>
      <c r="W21" s="177">
        <f>IF(S21=0,0,VLOOKUP(S21,FREQUENCIAS!$1:$1048576,(IF(($A21=FREQUENCIAS!$N$1),14,"ERRO")),FREQUENCIAS!$1:$1048576))</f>
        <v>0</v>
      </c>
      <c r="X21" s="177"/>
      <c r="Y21" s="177"/>
      <c r="Z21" s="177"/>
      <c r="AA21" s="208">
        <f t="shared" si="18"/>
        <v>2</v>
      </c>
      <c r="AB21" s="208">
        <f t="shared" si="14"/>
        <v>2</v>
      </c>
      <c r="AC21" s="208">
        <f t="shared" si="15"/>
        <v>2</v>
      </c>
      <c r="AD21" s="168"/>
      <c r="AE21" s="169">
        <f t="shared" si="16"/>
        <v>1</v>
      </c>
      <c r="AF21" s="168"/>
      <c r="AG21" s="167" t="str">
        <f t="shared" si="17"/>
        <v>INCLUSÃO</v>
      </c>
    </row>
    <row r="22" spans="1:35" ht="17.25" thickTop="1" thickBot="1" x14ac:dyDescent="0.3">
      <c r="A22" s="170" t="s">
        <v>154</v>
      </c>
      <c r="B22" s="206">
        <f>'PD0101'!B22</f>
        <v>0</v>
      </c>
      <c r="C22" s="207">
        <f>'PD0101'!C22</f>
        <v>0</v>
      </c>
      <c r="D22" s="206">
        <f>'PD0101'!D22</f>
        <v>0</v>
      </c>
      <c r="E22" s="207">
        <f>'PD0101'!E22</f>
        <v>0</v>
      </c>
      <c r="F22" s="206">
        <f>'PD0101'!F22</f>
        <v>0</v>
      </c>
      <c r="G22" s="207">
        <f>'PD0101'!G22</f>
        <v>0</v>
      </c>
      <c r="H22" s="171">
        <f t="shared" si="0"/>
        <v>0</v>
      </c>
      <c r="I22" s="171">
        <f t="shared" si="1"/>
        <v>0</v>
      </c>
      <c r="J22" s="171">
        <f t="shared" si="2"/>
        <v>0</v>
      </c>
      <c r="K22" s="171">
        <f t="shared" si="3"/>
        <v>0</v>
      </c>
      <c r="L22" s="171">
        <f t="shared" si="4"/>
        <v>0</v>
      </c>
      <c r="M22" s="171">
        <f t="shared" si="5"/>
        <v>0</v>
      </c>
      <c r="N22" s="172">
        <f t="shared" si="6"/>
        <v>0</v>
      </c>
      <c r="O22" s="172">
        <f t="shared" si="7"/>
        <v>0</v>
      </c>
      <c r="P22" s="172">
        <f t="shared" si="8"/>
        <v>0</v>
      </c>
      <c r="Q22" s="173">
        <f t="shared" si="9"/>
        <v>0</v>
      </c>
      <c r="R22" s="174">
        <f t="shared" si="10"/>
        <v>0</v>
      </c>
      <c r="S22" s="174">
        <f t="shared" si="11"/>
        <v>0</v>
      </c>
      <c r="T22" s="175">
        <f t="shared" si="12"/>
        <v>0</v>
      </c>
      <c r="U22" s="176">
        <f t="shared" si="13"/>
        <v>0</v>
      </c>
      <c r="V22" s="177">
        <f>IF(R22=0,0,VLOOKUP(R22,FREQUENCIAS!$1:$1048576,(IF(($A22=FREQUENCIAS!$O$1),15,"ERRO")),FREQUENCIAS!$1:$1048576))</f>
        <v>0</v>
      </c>
      <c r="W22" s="177">
        <f>IF(S22=0,0,VLOOKUP(S22,FREQUENCIAS!$1:$1048576,(IF(($A22=FREQUENCIAS!$O$1),15,"ERRO")),FREQUENCIAS!$1:$1048576))</f>
        <v>0</v>
      </c>
      <c r="X22" s="177"/>
      <c r="Y22" s="177"/>
      <c r="Z22" s="177"/>
      <c r="AA22" s="208">
        <f t="shared" si="18"/>
        <v>2</v>
      </c>
      <c r="AB22" s="208">
        <f t="shared" si="14"/>
        <v>2</v>
      </c>
      <c r="AC22" s="208">
        <f t="shared" si="15"/>
        <v>2</v>
      </c>
      <c r="AD22" s="168"/>
      <c r="AE22" s="169">
        <f t="shared" si="16"/>
        <v>1</v>
      </c>
      <c r="AF22" s="168"/>
      <c r="AG22" s="167" t="str">
        <f t="shared" si="17"/>
        <v>INCLUSÃO</v>
      </c>
    </row>
    <row r="23" spans="1:35" ht="17.25" thickTop="1" thickBot="1" x14ac:dyDescent="0.3">
      <c r="A23" s="170" t="s">
        <v>158</v>
      </c>
      <c r="B23" s="206">
        <f>'PD0101'!B23</f>
        <v>0</v>
      </c>
      <c r="C23" s="207">
        <f>'PD0101'!C23</f>
        <v>0</v>
      </c>
      <c r="D23" s="206">
        <f>'PD0101'!D23</f>
        <v>0</v>
      </c>
      <c r="E23" s="207">
        <f>'PD0101'!E23</f>
        <v>0</v>
      </c>
      <c r="F23" s="206">
        <f>'PD0101'!F23</f>
        <v>0</v>
      </c>
      <c r="G23" s="207">
        <f>'PD0101'!G23</f>
        <v>0</v>
      </c>
      <c r="H23" s="171">
        <f t="shared" si="0"/>
        <v>0</v>
      </c>
      <c r="I23" s="171">
        <f t="shared" si="1"/>
        <v>0</v>
      </c>
      <c r="J23" s="171">
        <f t="shared" si="2"/>
        <v>0</v>
      </c>
      <c r="K23" s="171">
        <f t="shared" si="3"/>
        <v>0</v>
      </c>
      <c r="L23" s="171">
        <f t="shared" si="4"/>
        <v>0</v>
      </c>
      <c r="M23" s="171">
        <f t="shared" si="5"/>
        <v>0</v>
      </c>
      <c r="N23" s="172">
        <f t="shared" si="6"/>
        <v>0</v>
      </c>
      <c r="O23" s="172">
        <f t="shared" si="7"/>
        <v>0</v>
      </c>
      <c r="P23" s="172">
        <f t="shared" si="8"/>
        <v>0</v>
      </c>
      <c r="Q23" s="173">
        <f t="shared" si="9"/>
        <v>0</v>
      </c>
      <c r="R23" s="174">
        <f t="shared" si="10"/>
        <v>0</v>
      </c>
      <c r="S23" s="174">
        <f t="shared" si="11"/>
        <v>0</v>
      </c>
      <c r="T23" s="175">
        <f t="shared" si="12"/>
        <v>0</v>
      </c>
      <c r="U23" s="176">
        <f t="shared" si="13"/>
        <v>0</v>
      </c>
      <c r="V23" s="177">
        <f>IF(R23=0,0,VLOOKUP(R23,FREQUENCIAS!$1:$1048576,(IF(($A23=FREQUENCIAS!$P$1),16,"ERRO")),FREQUENCIAS!$1:$1048576))</f>
        <v>0</v>
      </c>
      <c r="W23" s="177">
        <f>IF(S23=0,0,VLOOKUP(S23,FREQUENCIAS!$1:$1048576,(IF(($A23=FREQUENCIAS!$P$1),16,"ERRO")),FREQUENCIAS!$1:$1048576))</f>
        <v>0</v>
      </c>
      <c r="X23" s="177"/>
      <c r="Y23" s="177"/>
      <c r="Z23" s="177"/>
      <c r="AA23" s="208">
        <f t="shared" si="18"/>
        <v>2</v>
      </c>
      <c r="AB23" s="208">
        <f t="shared" si="14"/>
        <v>2</v>
      </c>
      <c r="AC23" s="208">
        <f t="shared" si="15"/>
        <v>2</v>
      </c>
      <c r="AD23" s="168" t="s">
        <v>173</v>
      </c>
      <c r="AE23" s="169">
        <f t="shared" si="16"/>
        <v>1</v>
      </c>
      <c r="AF23" s="168"/>
      <c r="AG23" s="167" t="str">
        <f t="shared" si="17"/>
        <v>INCLUSÃO</v>
      </c>
    </row>
    <row r="24" spans="1:35" ht="17.25" thickTop="1" thickBot="1" x14ac:dyDescent="0.3">
      <c r="A24" s="170" t="s">
        <v>156</v>
      </c>
      <c r="B24" s="206">
        <f>'PD0101'!B24</f>
        <v>0</v>
      </c>
      <c r="C24" s="207">
        <f>'PD0101'!C24</f>
        <v>0</v>
      </c>
      <c r="D24" s="206">
        <f>'PD0101'!D24</f>
        <v>0</v>
      </c>
      <c r="E24" s="207">
        <f>'PD0101'!E24</f>
        <v>0</v>
      </c>
      <c r="F24" s="206">
        <f>'PD0101'!F24</f>
        <v>0</v>
      </c>
      <c r="G24" s="207">
        <f>'PD0101'!G24</f>
        <v>0</v>
      </c>
      <c r="H24" s="171">
        <f t="shared" si="0"/>
        <v>0</v>
      </c>
      <c r="I24" s="171">
        <f t="shared" si="1"/>
        <v>0</v>
      </c>
      <c r="J24" s="171">
        <f t="shared" si="2"/>
        <v>0</v>
      </c>
      <c r="K24" s="171">
        <f t="shared" si="3"/>
        <v>0</v>
      </c>
      <c r="L24" s="171">
        <f t="shared" si="4"/>
        <v>0</v>
      </c>
      <c r="M24" s="171">
        <f t="shared" si="5"/>
        <v>0</v>
      </c>
      <c r="N24" s="172">
        <f t="shared" si="6"/>
        <v>0</v>
      </c>
      <c r="O24" s="172">
        <f t="shared" si="7"/>
        <v>0</v>
      </c>
      <c r="P24" s="172">
        <f t="shared" si="8"/>
        <v>0</v>
      </c>
      <c r="Q24" s="173">
        <f t="shared" si="9"/>
        <v>0</v>
      </c>
      <c r="R24" s="174">
        <f t="shared" si="10"/>
        <v>0</v>
      </c>
      <c r="S24" s="174">
        <f t="shared" si="11"/>
        <v>0</v>
      </c>
      <c r="T24" s="175">
        <f t="shared" si="12"/>
        <v>0</v>
      </c>
      <c r="U24" s="176">
        <f t="shared" si="13"/>
        <v>0</v>
      </c>
      <c r="V24" s="177">
        <f>IF(R24=0,0,VLOOKUP(R24,FREQUENCIAS!$1:$1048576,(IF(($A24=FREQUENCIAS!$Q$1),17,"ERRO")),FREQUENCIAS!$1:$1048576))</f>
        <v>0</v>
      </c>
      <c r="W24" s="177">
        <f>IF(S24=0,0,VLOOKUP(S24,FREQUENCIAS!$1:$1048576,(IF(($A24=FREQUENCIAS!$Q$1),17,"ERRO")),FREQUENCIAS!$1:$1048576))</f>
        <v>0</v>
      </c>
      <c r="X24" s="177"/>
      <c r="Y24" s="177"/>
      <c r="Z24" s="177"/>
      <c r="AA24" s="208">
        <f t="shared" si="18"/>
        <v>2</v>
      </c>
      <c r="AB24" s="208">
        <f t="shared" si="14"/>
        <v>2</v>
      </c>
      <c r="AC24" s="208">
        <f t="shared" si="15"/>
        <v>2</v>
      </c>
      <c r="AD24" s="168" t="s">
        <v>173</v>
      </c>
      <c r="AE24" s="169">
        <f t="shared" si="16"/>
        <v>1</v>
      </c>
      <c r="AF24" s="168"/>
      <c r="AG24" s="167" t="str">
        <f t="shared" si="17"/>
        <v>INCLUSÃO</v>
      </c>
    </row>
    <row r="25" spans="1:35" ht="17.25" thickTop="1" thickBot="1" x14ac:dyDescent="0.3">
      <c r="A25" s="170" t="s">
        <v>142</v>
      </c>
      <c r="B25" s="206">
        <f>'PD0101'!B25</f>
        <v>0</v>
      </c>
      <c r="C25" s="207">
        <f>'PD0101'!C25</f>
        <v>0</v>
      </c>
      <c r="D25" s="206">
        <f>'PD0101'!D25</f>
        <v>0</v>
      </c>
      <c r="E25" s="207">
        <f>'PD0101'!E25</f>
        <v>0</v>
      </c>
      <c r="F25" s="206">
        <f>'PD0101'!F25</f>
        <v>0</v>
      </c>
      <c r="G25" s="207">
        <f>'PD0101'!G25</f>
        <v>0</v>
      </c>
      <c r="H25" s="171">
        <f t="shared" si="0"/>
        <v>0</v>
      </c>
      <c r="I25" s="171">
        <f t="shared" si="1"/>
        <v>0</v>
      </c>
      <c r="J25" s="171">
        <f t="shared" si="2"/>
        <v>0</v>
      </c>
      <c r="K25" s="171">
        <f t="shared" si="3"/>
        <v>0</v>
      </c>
      <c r="L25" s="171">
        <f t="shared" si="4"/>
        <v>0</v>
      </c>
      <c r="M25" s="171">
        <f t="shared" si="5"/>
        <v>0</v>
      </c>
      <c r="N25" s="172">
        <f t="shared" si="6"/>
        <v>0</v>
      </c>
      <c r="O25" s="172">
        <f t="shared" si="7"/>
        <v>0</v>
      </c>
      <c r="P25" s="172">
        <f t="shared" si="8"/>
        <v>0</v>
      </c>
      <c r="Q25" s="173">
        <f t="shared" si="9"/>
        <v>0</v>
      </c>
      <c r="R25" s="174">
        <f t="shared" si="10"/>
        <v>0</v>
      </c>
      <c r="S25" s="174">
        <f t="shared" si="11"/>
        <v>0</v>
      </c>
      <c r="T25" s="175">
        <f t="shared" si="12"/>
        <v>0</v>
      </c>
      <c r="U25" s="176">
        <f t="shared" si="13"/>
        <v>0</v>
      </c>
      <c r="V25" s="177">
        <f>IF(R25=0,0,VLOOKUP(R25,FREQUENCIAS!$1:$1048576,(IF(($A25=FREQUENCIAS!$R$1),18,"ERRO")),FREQUENCIAS!$1:$1048576))</f>
        <v>0</v>
      </c>
      <c r="W25" s="177">
        <f>IF(S25=0,0,VLOOKUP(S25,FREQUENCIAS!$1:$1048576,(IF(($A25=FREQUENCIAS!$R$1),18,"ERRO")),FREQUENCIAS!$1:$1048576))</f>
        <v>0</v>
      </c>
      <c r="X25" s="177"/>
      <c r="Y25" s="177"/>
      <c r="Z25" s="177"/>
      <c r="AA25" s="208">
        <f t="shared" si="18"/>
        <v>2</v>
      </c>
      <c r="AB25" s="208">
        <f t="shared" si="14"/>
        <v>2</v>
      </c>
      <c r="AC25" s="208">
        <f t="shared" si="15"/>
        <v>2</v>
      </c>
      <c r="AD25" s="168" t="s">
        <v>173</v>
      </c>
      <c r="AE25" s="169">
        <f t="shared" si="16"/>
        <v>1</v>
      </c>
      <c r="AF25" s="168"/>
      <c r="AG25" s="167" t="str">
        <f t="shared" si="17"/>
        <v>INCLUSÃO</v>
      </c>
    </row>
    <row r="26" spans="1:35" ht="17.25" thickTop="1" thickBot="1" x14ac:dyDescent="0.3">
      <c r="A26" s="170" t="s">
        <v>153</v>
      </c>
      <c r="B26" s="206">
        <f>'PD0101'!B26</f>
        <v>0</v>
      </c>
      <c r="C26" s="207">
        <f>'PD0101'!C26</f>
        <v>0</v>
      </c>
      <c r="D26" s="206">
        <f>'PD0101'!D26</f>
        <v>0</v>
      </c>
      <c r="E26" s="207">
        <f>'PD0101'!E26</f>
        <v>0</v>
      </c>
      <c r="F26" s="206">
        <f>'PD0101'!F26</f>
        <v>0</v>
      </c>
      <c r="G26" s="207">
        <f>'PD0101'!G26</f>
        <v>0</v>
      </c>
      <c r="H26" s="171">
        <f t="shared" si="0"/>
        <v>0</v>
      </c>
      <c r="I26" s="171">
        <f t="shared" si="1"/>
        <v>0</v>
      </c>
      <c r="J26" s="171">
        <f t="shared" si="2"/>
        <v>0</v>
      </c>
      <c r="K26" s="171">
        <f t="shared" si="3"/>
        <v>0</v>
      </c>
      <c r="L26" s="171">
        <f t="shared" si="4"/>
        <v>0</v>
      </c>
      <c r="M26" s="171">
        <f t="shared" si="5"/>
        <v>0</v>
      </c>
      <c r="N26" s="172">
        <f t="shared" si="6"/>
        <v>0</v>
      </c>
      <c r="O26" s="172">
        <f t="shared" si="7"/>
        <v>0</v>
      </c>
      <c r="P26" s="172">
        <f t="shared" si="8"/>
        <v>0</v>
      </c>
      <c r="Q26" s="173">
        <f t="shared" si="9"/>
        <v>0</v>
      </c>
      <c r="R26" s="174">
        <f t="shared" si="10"/>
        <v>0</v>
      </c>
      <c r="S26" s="174">
        <f t="shared" si="11"/>
        <v>0</v>
      </c>
      <c r="T26" s="175">
        <f t="shared" si="12"/>
        <v>0</v>
      </c>
      <c r="U26" s="176">
        <f t="shared" si="13"/>
        <v>0</v>
      </c>
      <c r="V26" s="177">
        <f>IF(R26=0,0,VLOOKUP(R26,FREQUENCIAS!$1:$1048576,(IF(($A26=FREQUENCIAS!$S$1),19,"ERRO")),FREQUENCIAS!$1:$1048576))</f>
        <v>0</v>
      </c>
      <c r="W26" s="177">
        <f>IF(S26=0,0,VLOOKUP(S26,FREQUENCIAS!$1:$1048576,(IF(($A26=FREQUENCIAS!$S$1),19,"ERRO")),FREQUENCIAS!$1:$1048576))</f>
        <v>0</v>
      </c>
      <c r="X26" s="177"/>
      <c r="Y26" s="177"/>
      <c r="Z26" s="177"/>
      <c r="AA26" s="208">
        <f t="shared" si="18"/>
        <v>2</v>
      </c>
      <c r="AB26" s="208">
        <f t="shared" si="14"/>
        <v>2</v>
      </c>
      <c r="AC26" s="208">
        <f t="shared" si="15"/>
        <v>2</v>
      </c>
      <c r="AD26" s="168" t="s">
        <v>173</v>
      </c>
      <c r="AE26" s="169">
        <f t="shared" si="16"/>
        <v>1</v>
      </c>
      <c r="AF26" s="168"/>
      <c r="AG26" s="167" t="str">
        <f t="shared" si="17"/>
        <v>INCLUSÃO</v>
      </c>
    </row>
    <row r="27" spans="1:35" ht="17.25" thickTop="1" thickBot="1" x14ac:dyDescent="0.3">
      <c r="A27" s="170" t="s">
        <v>217</v>
      </c>
      <c r="B27" s="206">
        <f>'PD0101'!B27</f>
        <v>0</v>
      </c>
      <c r="C27" s="207">
        <f>'PD0101'!C27</f>
        <v>0</v>
      </c>
      <c r="D27" s="206">
        <f>'PD0101'!D27</f>
        <v>0</v>
      </c>
      <c r="E27" s="207">
        <f>'PD0101'!E27</f>
        <v>0</v>
      </c>
      <c r="F27" s="206">
        <f>'PD0101'!F27</f>
        <v>0</v>
      </c>
      <c r="G27" s="207">
        <f>'PD0101'!G27</f>
        <v>0</v>
      </c>
      <c r="H27" s="171">
        <f t="shared" si="0"/>
        <v>0</v>
      </c>
      <c r="I27" s="171">
        <f t="shared" si="1"/>
        <v>0</v>
      </c>
      <c r="J27" s="171">
        <f t="shared" si="2"/>
        <v>0</v>
      </c>
      <c r="K27" s="171">
        <f t="shared" si="3"/>
        <v>0</v>
      </c>
      <c r="L27" s="171">
        <f t="shared" si="4"/>
        <v>0</v>
      </c>
      <c r="M27" s="171">
        <f t="shared" si="5"/>
        <v>0</v>
      </c>
      <c r="N27" s="172">
        <f t="shared" si="6"/>
        <v>0</v>
      </c>
      <c r="O27" s="172">
        <f t="shared" si="7"/>
        <v>0</v>
      </c>
      <c r="P27" s="172">
        <f t="shared" si="8"/>
        <v>0</v>
      </c>
      <c r="Q27" s="173">
        <f t="shared" si="9"/>
        <v>0</v>
      </c>
      <c r="R27" s="174">
        <f t="shared" si="10"/>
        <v>0</v>
      </c>
      <c r="S27" s="174">
        <f t="shared" si="11"/>
        <v>0</v>
      </c>
      <c r="T27" s="175">
        <f t="shared" si="12"/>
        <v>0</v>
      </c>
      <c r="U27" s="176">
        <f t="shared" si="13"/>
        <v>0</v>
      </c>
      <c r="V27" s="177">
        <f>IF(R27=0,0,VLOOKUP(R27,FREQUENCIAS!$1:$1048576,(IF(($A27=FREQUENCIAS!$T$1),20,"ERRO")),FREQUENCIAS!$1:$1048576))</f>
        <v>0</v>
      </c>
      <c r="W27" s="177">
        <f>IF(S27=0,0,VLOOKUP(S27,FREQUENCIAS!$1:$1048576,(IF(($A27=FREQUENCIAS!$T$1),20,"ERRO")),FREQUENCIAS!$1:$1048576))</f>
        <v>0</v>
      </c>
      <c r="X27" s="177"/>
      <c r="Y27" s="177"/>
      <c r="Z27" s="177"/>
      <c r="AA27" s="208">
        <f t="shared" si="18"/>
        <v>2</v>
      </c>
      <c r="AB27" s="208">
        <f t="shared" si="14"/>
        <v>2</v>
      </c>
      <c r="AC27" s="208">
        <f t="shared" si="15"/>
        <v>2</v>
      </c>
      <c r="AD27" s="168" t="s">
        <v>173</v>
      </c>
      <c r="AE27" s="169">
        <f t="shared" si="16"/>
        <v>1</v>
      </c>
      <c r="AF27" s="168"/>
      <c r="AG27" s="167" t="str">
        <f t="shared" si="17"/>
        <v>INCLUSÃO</v>
      </c>
    </row>
    <row r="28" spans="1:35" ht="17.25" thickTop="1" thickBot="1" x14ac:dyDescent="0.3">
      <c r="A28" s="170" t="s">
        <v>52</v>
      </c>
      <c r="B28" s="206">
        <f>'PD0101'!B28</f>
        <v>0</v>
      </c>
      <c r="C28" s="207">
        <f>'PD0101'!C28</f>
        <v>0</v>
      </c>
      <c r="D28" s="206">
        <f>'PD0101'!D28</f>
        <v>0</v>
      </c>
      <c r="E28" s="207">
        <f>'PD0101'!E28</f>
        <v>0</v>
      </c>
      <c r="F28" s="206">
        <f>'PD0101'!F28</f>
        <v>0</v>
      </c>
      <c r="G28" s="207">
        <f>'PD0101'!G28</f>
        <v>0</v>
      </c>
      <c r="H28" s="171">
        <f t="shared" si="0"/>
        <v>0</v>
      </c>
      <c r="I28" s="171">
        <f t="shared" si="1"/>
        <v>0</v>
      </c>
      <c r="J28" s="171">
        <f t="shared" si="2"/>
        <v>0</v>
      </c>
      <c r="K28" s="171">
        <f t="shared" si="3"/>
        <v>0</v>
      </c>
      <c r="L28" s="171">
        <f t="shared" si="4"/>
        <v>0</v>
      </c>
      <c r="M28" s="171">
        <f t="shared" si="5"/>
        <v>0</v>
      </c>
      <c r="N28" s="172">
        <f t="shared" si="6"/>
        <v>0</v>
      </c>
      <c r="O28" s="172">
        <f t="shared" si="7"/>
        <v>0</v>
      </c>
      <c r="P28" s="172">
        <f t="shared" si="8"/>
        <v>0</v>
      </c>
      <c r="Q28" s="173">
        <f t="shared" si="9"/>
        <v>0</v>
      </c>
      <c r="R28" s="174">
        <f t="shared" si="10"/>
        <v>0</v>
      </c>
      <c r="S28" s="174">
        <f t="shared" si="11"/>
        <v>0</v>
      </c>
      <c r="T28" s="175">
        <f t="shared" si="12"/>
        <v>0</v>
      </c>
      <c r="U28" s="176">
        <f t="shared" si="13"/>
        <v>0</v>
      </c>
      <c r="V28" s="177">
        <f>IF(R28=0,0,VLOOKUP(R28,FREQUENCIAS!$1:$1048576,(IF(($A28=FREQUENCIAS!$U$1),21,"ERRO")),FREQUENCIAS!$1:$1048576))</f>
        <v>0</v>
      </c>
      <c r="W28" s="177">
        <f>IF(S28=0,0,VLOOKUP(S28,FREQUENCIAS!$1:$1048576,(IF(($A28=FREQUENCIAS!$U$1),21,"ERRO")),FREQUENCIAS!$1:$1048576))</f>
        <v>0</v>
      </c>
      <c r="X28" s="177"/>
      <c r="Y28" s="177"/>
      <c r="Z28" s="177"/>
      <c r="AA28" s="208">
        <f t="shared" si="18"/>
        <v>2</v>
      </c>
      <c r="AB28" s="208">
        <f t="shared" si="14"/>
        <v>2</v>
      </c>
      <c r="AC28" s="208">
        <f t="shared" si="15"/>
        <v>2</v>
      </c>
      <c r="AD28" s="168" t="s">
        <v>173</v>
      </c>
      <c r="AE28" s="169">
        <f t="shared" si="16"/>
        <v>1</v>
      </c>
      <c r="AF28" s="168"/>
      <c r="AG28" s="167" t="str">
        <f t="shared" si="17"/>
        <v>INCLUSÃO</v>
      </c>
    </row>
    <row r="29" spans="1:35" ht="17.25" thickTop="1" thickBot="1" x14ac:dyDescent="0.3">
      <c r="A29" s="170" t="s">
        <v>152</v>
      </c>
      <c r="B29" s="206">
        <f>'PD0101'!B29</f>
        <v>0</v>
      </c>
      <c r="C29" s="207">
        <f>'PD0101'!C29</f>
        <v>0</v>
      </c>
      <c r="D29" s="206">
        <f>'PD0101'!D29</f>
        <v>0</v>
      </c>
      <c r="E29" s="207">
        <f>'PD0101'!E29</f>
        <v>0</v>
      </c>
      <c r="F29" s="206">
        <f>'PD0101'!F29</f>
        <v>0</v>
      </c>
      <c r="G29" s="207">
        <f>'PD0101'!G29</f>
        <v>0</v>
      </c>
      <c r="H29" s="171">
        <f t="shared" si="0"/>
        <v>0</v>
      </c>
      <c r="I29" s="171">
        <f t="shared" si="1"/>
        <v>0</v>
      </c>
      <c r="J29" s="171">
        <f t="shared" si="2"/>
        <v>0</v>
      </c>
      <c r="K29" s="171">
        <f t="shared" si="3"/>
        <v>0</v>
      </c>
      <c r="L29" s="171">
        <f t="shared" si="4"/>
        <v>0</v>
      </c>
      <c r="M29" s="171">
        <f t="shared" si="5"/>
        <v>0</v>
      </c>
      <c r="N29" s="172">
        <f t="shared" si="6"/>
        <v>0</v>
      </c>
      <c r="O29" s="172">
        <f t="shared" si="7"/>
        <v>0</v>
      </c>
      <c r="P29" s="172">
        <f t="shared" si="8"/>
        <v>0</v>
      </c>
      <c r="Q29" s="173">
        <f t="shared" si="9"/>
        <v>0</v>
      </c>
      <c r="R29" s="174">
        <f t="shared" si="10"/>
        <v>0</v>
      </c>
      <c r="S29" s="174">
        <f t="shared" si="11"/>
        <v>0</v>
      </c>
      <c r="T29" s="175">
        <f t="shared" si="12"/>
        <v>0</v>
      </c>
      <c r="U29" s="176">
        <f t="shared" si="13"/>
        <v>0</v>
      </c>
      <c r="V29" s="177">
        <f>IF(R29=0,0,VLOOKUP(R29,FREQUENCIAS!$1:$1048576,(IF(($A29=FREQUENCIAS!$V$1),22,"ERRO")),FREQUENCIAS!$1:$1048576))</f>
        <v>0</v>
      </c>
      <c r="W29" s="177">
        <f>IF(S29=0,0,VLOOKUP(S29,FREQUENCIAS!$1:$1048576,(IF(($A29=FREQUENCIAS!$V$1),22,"ERRO")),FREQUENCIAS!$1:$1048576))</f>
        <v>0</v>
      </c>
      <c r="X29" s="177"/>
      <c r="Y29" s="177"/>
      <c r="Z29" s="177"/>
      <c r="AA29" s="208">
        <f t="shared" si="18"/>
        <v>2</v>
      </c>
      <c r="AB29" s="208">
        <f t="shared" si="14"/>
        <v>2</v>
      </c>
      <c r="AC29" s="208">
        <f t="shared" si="15"/>
        <v>2</v>
      </c>
      <c r="AD29" s="168" t="s">
        <v>173</v>
      </c>
      <c r="AE29" s="169">
        <f t="shared" si="16"/>
        <v>1</v>
      </c>
      <c r="AF29" s="168"/>
      <c r="AG29" s="167" t="str">
        <f t="shared" si="17"/>
        <v>INCLUSÃO</v>
      </c>
    </row>
    <row r="30" spans="1:35" ht="17.25" thickTop="1" thickBot="1" x14ac:dyDescent="0.3">
      <c r="A30" s="170" t="s">
        <v>218</v>
      </c>
      <c r="B30" s="206">
        <f>'PD0101'!B30</f>
        <v>0</v>
      </c>
      <c r="C30" s="207">
        <f>'PD0101'!C30</f>
        <v>0</v>
      </c>
      <c r="D30" s="206">
        <f>'PD0101'!D30</f>
        <v>0</v>
      </c>
      <c r="E30" s="207">
        <f>'PD0101'!E30</f>
        <v>0</v>
      </c>
      <c r="F30" s="206">
        <f>'PD0101'!F30</f>
        <v>0</v>
      </c>
      <c r="G30" s="207">
        <f>'PD0101'!G30</f>
        <v>0</v>
      </c>
      <c r="H30" s="171">
        <f t="shared" si="0"/>
        <v>0</v>
      </c>
      <c r="I30" s="171">
        <f t="shared" si="1"/>
        <v>0</v>
      </c>
      <c r="J30" s="171">
        <f t="shared" si="2"/>
        <v>0</v>
      </c>
      <c r="K30" s="171">
        <f t="shared" si="3"/>
        <v>0</v>
      </c>
      <c r="L30" s="171">
        <f t="shared" si="4"/>
        <v>0</v>
      </c>
      <c r="M30" s="171">
        <f t="shared" si="5"/>
        <v>0</v>
      </c>
      <c r="N30" s="172">
        <f t="shared" si="6"/>
        <v>0</v>
      </c>
      <c r="O30" s="172">
        <f t="shared" si="7"/>
        <v>0</v>
      </c>
      <c r="P30" s="172">
        <f t="shared" si="8"/>
        <v>0</v>
      </c>
      <c r="Q30" s="173">
        <f t="shared" si="9"/>
        <v>0</v>
      </c>
      <c r="R30" s="174">
        <f t="shared" si="10"/>
        <v>0</v>
      </c>
      <c r="S30" s="174">
        <f t="shared" si="11"/>
        <v>0</v>
      </c>
      <c r="T30" s="175">
        <f t="shared" si="12"/>
        <v>0</v>
      </c>
      <c r="U30" s="176">
        <f t="shared" si="13"/>
        <v>0</v>
      </c>
      <c r="V30" s="177">
        <f>IF(R30=0,0,VLOOKUP(R30,FREQUENCIAS!$1:$1048576,(IF(($A30=FREQUENCIAS!$W$1),23,"ERRO")),FREQUENCIAS!$1:$1048576))</f>
        <v>0</v>
      </c>
      <c r="W30" s="177">
        <f>IF(S30=0,0,VLOOKUP(S30,FREQUENCIAS!$1:$1048576,(IF(($A30=FREQUENCIAS!$W$1),23,"ERRO")),FREQUENCIAS!$1:$1048576))</f>
        <v>0</v>
      </c>
      <c r="X30" s="177"/>
      <c r="Y30" s="177"/>
      <c r="Z30" s="177"/>
      <c r="AA30" s="208">
        <f t="shared" si="18"/>
        <v>2</v>
      </c>
      <c r="AB30" s="208">
        <f t="shared" si="14"/>
        <v>2</v>
      </c>
      <c r="AC30" s="208">
        <f t="shared" si="15"/>
        <v>2</v>
      </c>
      <c r="AD30" s="168" t="s">
        <v>173</v>
      </c>
      <c r="AE30" s="169">
        <f t="shared" si="16"/>
        <v>1</v>
      </c>
      <c r="AF30" s="168"/>
      <c r="AG30" s="167" t="str">
        <f t="shared" si="17"/>
        <v>INCLUSÃO</v>
      </c>
    </row>
    <row r="31" spans="1:35" ht="16.5" thickTop="1" x14ac:dyDescent="0.25">
      <c r="A31" s="179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1" t="s">
        <v>168</v>
      </c>
      <c r="AB31" s="818">
        <f>(IF(((PRODUCT(AC9:AC30))&lt;&gt;0),PRODUCT(AB9:AB30),$AD$23))</f>
        <v>4194304</v>
      </c>
      <c r="AC31" s="818"/>
      <c r="AE31" s="819">
        <f>(IF(((PRODUCT(AC9:AC30))&lt;&gt;0),((1-AE9)*(1-AE10)*(1-AE11)*(1-AE12)*(1-AE13)*(1-AE14)*(1-AE15)*(1-AE16)*(1-AE17)*(1-AE18)*(1-AE19)*(1-AE20)*(1-AE21)*(1-AE22)*(1-AE23)*(1-AE24)*(1-AE25)*(1-AE26)*(1-AE27)*(1-AE28)*(1-AE29)*(1-AE30)),$AD$23))</f>
        <v>0</v>
      </c>
      <c r="AF31" s="819"/>
      <c r="AG31" s="182"/>
    </row>
    <row r="32" spans="1:35" ht="16.5" thickBot="1" x14ac:dyDescent="0.3">
      <c r="A32" s="183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84" t="s">
        <v>172</v>
      </c>
      <c r="AB32" s="830">
        <f>(IF(((PRODUCT(AC9:AC30))&lt;&gt;0),(ROUNDDOWN((AB31/(AB31+1)),11)),$AD$23))</f>
        <v>0.99999976158000004</v>
      </c>
      <c r="AC32" s="830"/>
      <c r="AD32" s="830"/>
      <c r="AE32" s="830"/>
      <c r="AF32" s="830"/>
      <c r="AG32" s="831"/>
    </row>
    <row r="33" spans="1:34" ht="19.5" thickTop="1" thickBot="1" x14ac:dyDescent="0.3">
      <c r="A33" s="185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7" t="s">
        <v>115</v>
      </c>
      <c r="AB33" s="820">
        <f>(IF(((PRODUCT(AC9:AC30))&lt;&gt;0),(ROUNDDOWN((1-$AE31),11)),$AD$13))</f>
        <v>1</v>
      </c>
      <c r="AC33" s="820"/>
      <c r="AD33" s="820"/>
      <c r="AE33" s="820"/>
      <c r="AF33" s="820"/>
      <c r="AG33" s="821"/>
    </row>
    <row r="34" spans="1:34" ht="19.5" customHeight="1" thickTop="1" thickBot="1" x14ac:dyDescent="0.3">
      <c r="A34" s="185"/>
      <c r="B34" s="186"/>
      <c r="C34" s="186"/>
      <c r="D34" s="186"/>
      <c r="E34" s="186"/>
      <c r="F34" s="186"/>
      <c r="G34" s="209" t="s">
        <v>46</v>
      </c>
      <c r="H34" s="186"/>
      <c r="I34" s="186"/>
      <c r="J34" s="186"/>
      <c r="K34" s="186"/>
      <c r="L34" s="186"/>
      <c r="M34" s="187" t="s">
        <v>120</v>
      </c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210">
        <f>SUM(AA9:AA30)</f>
        <v>44</v>
      </c>
      <c r="AB34" s="210">
        <f>SUM(AB9:AB30)</f>
        <v>44</v>
      </c>
      <c r="AC34" s="210">
        <f>SUM(AC9:AC30)</f>
        <v>44</v>
      </c>
      <c r="AD34" s="251"/>
      <c r="AE34" s="251"/>
      <c r="AF34" s="251"/>
      <c r="AG34" s="211" t="str">
        <f>IF((AND((AA34&lt;=40),(AB34&lt;=40),(AC34&lt;=40))),"OK","VERIFICAR")</f>
        <v>VERIFICAR</v>
      </c>
      <c r="AH34" s="212">
        <f>SUM(AH9:AH23)</f>
        <v>0</v>
      </c>
    </row>
    <row r="35" spans="1:34" ht="13.5" thickTop="1" x14ac:dyDescent="0.2">
      <c r="A35" s="188"/>
      <c r="B35" s="189"/>
      <c r="C35" s="189"/>
      <c r="D35" s="189"/>
      <c r="E35" s="189"/>
      <c r="F35" s="189"/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  <c r="AA35" s="189"/>
      <c r="AB35" s="189"/>
      <c r="AC35" s="189"/>
      <c r="AD35" s="189"/>
      <c r="AE35" s="189"/>
      <c r="AF35" s="189"/>
      <c r="AG35" s="213"/>
    </row>
    <row r="36" spans="1:34" ht="15.75" x14ac:dyDescent="0.25">
      <c r="A36" s="190"/>
      <c r="B36" s="191" t="s">
        <v>73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  <c r="X36" s="192"/>
      <c r="Y36" s="192"/>
      <c r="Z36" s="192"/>
      <c r="AA36" s="192"/>
      <c r="AB36" s="192"/>
      <c r="AC36" s="192"/>
      <c r="AD36" s="192"/>
      <c r="AE36" s="192"/>
      <c r="AF36" s="192"/>
      <c r="AG36" s="193"/>
    </row>
    <row r="37" spans="1:34" ht="12.75" customHeight="1" x14ac:dyDescent="0.2">
      <c r="A37" s="190"/>
      <c r="B37" s="192"/>
      <c r="C37" s="192" t="s">
        <v>74</v>
      </c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3"/>
    </row>
    <row r="38" spans="1:34" ht="12.75" customHeight="1" x14ac:dyDescent="0.2">
      <c r="A38" s="194"/>
      <c r="B38" s="195" t="s">
        <v>75</v>
      </c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7"/>
    </row>
    <row r="39" spans="1:34" x14ac:dyDescent="0.2">
      <c r="A39" s="190"/>
      <c r="B39" s="198" t="s">
        <v>76</v>
      </c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F39" s="192"/>
      <c r="AG39" s="193"/>
    </row>
    <row r="40" spans="1:34" x14ac:dyDescent="0.2">
      <c r="A40" s="190"/>
      <c r="B40" s="198" t="s">
        <v>77</v>
      </c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3"/>
    </row>
    <row r="41" spans="1:34" x14ac:dyDescent="0.2">
      <c r="A41" s="190"/>
      <c r="B41" s="198"/>
      <c r="C41" s="192" t="s">
        <v>169</v>
      </c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3"/>
    </row>
    <row r="42" spans="1:34" ht="12.75" customHeight="1" x14ac:dyDescent="0.2">
      <c r="A42" s="190"/>
      <c r="B42" s="192"/>
      <c r="C42" s="192" t="s">
        <v>170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192"/>
      <c r="X42" s="192"/>
      <c r="Y42" s="192"/>
      <c r="Z42" s="192"/>
      <c r="AA42" s="192"/>
      <c r="AB42" s="192"/>
      <c r="AC42" s="192"/>
      <c r="AD42" s="192"/>
      <c r="AE42" s="192"/>
      <c r="AF42" s="192"/>
      <c r="AG42" s="193"/>
    </row>
    <row r="43" spans="1:34" x14ac:dyDescent="0.2">
      <c r="A43" s="190"/>
      <c r="B43" s="192" t="s">
        <v>171</v>
      </c>
      <c r="C43" s="192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3"/>
    </row>
    <row r="44" spans="1:34" ht="13.5" customHeight="1" x14ac:dyDescent="0.25">
      <c r="A44" s="199"/>
      <c r="B44" s="200"/>
      <c r="C44" s="192" t="s">
        <v>79</v>
      </c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1"/>
    </row>
    <row r="45" spans="1:34" ht="12.75" customHeight="1" x14ac:dyDescent="0.2">
      <c r="A45" s="194"/>
      <c r="B45" s="192" t="s">
        <v>80</v>
      </c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  <c r="Y45" s="196"/>
      <c r="Z45" s="196"/>
      <c r="AA45" s="196"/>
      <c r="AB45" s="196"/>
      <c r="AC45" s="196"/>
      <c r="AD45" s="196"/>
      <c r="AE45" s="196"/>
      <c r="AF45" s="196"/>
      <c r="AG45" s="197"/>
    </row>
    <row r="46" spans="1:34" ht="12.75" customHeight="1" thickBot="1" x14ac:dyDescent="0.25">
      <c r="A46" s="202"/>
      <c r="B46" s="203"/>
      <c r="C46" s="204" t="s">
        <v>62</v>
      </c>
      <c r="D46" s="203"/>
      <c r="E46" s="203"/>
      <c r="F46" s="203"/>
      <c r="G46" s="203"/>
      <c r="H46" s="203"/>
      <c r="I46" s="203"/>
      <c r="J46" s="203"/>
      <c r="K46" s="203"/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5"/>
    </row>
    <row r="47" spans="1:34" ht="13.5" thickTop="1" x14ac:dyDescent="0.2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B9" sqref="B9:E30"/>
    </sheetView>
  </sheetViews>
  <sheetFormatPr defaultColWidth="9.140625" defaultRowHeight="12.75" x14ac:dyDescent="0.2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 x14ac:dyDescent="0.25">
      <c r="A1" s="807" t="s">
        <v>203</v>
      </c>
      <c r="B1" s="808"/>
      <c r="C1" s="808"/>
      <c r="D1" s="808"/>
      <c r="E1" s="808"/>
      <c r="F1" s="808"/>
      <c r="G1" s="808"/>
      <c r="H1" s="808"/>
      <c r="I1" s="808"/>
      <c r="J1" s="808"/>
      <c r="K1" s="808"/>
      <c r="L1" s="808"/>
      <c r="M1" s="808"/>
      <c r="N1" s="808"/>
      <c r="O1" s="808"/>
      <c r="P1" s="808"/>
      <c r="Q1" s="808"/>
      <c r="R1" s="808"/>
      <c r="S1" s="808"/>
      <c r="T1" s="808"/>
      <c r="U1" s="808"/>
      <c r="V1" s="808"/>
      <c r="W1" s="808"/>
      <c r="X1" s="808"/>
      <c r="Y1" s="808"/>
      <c r="Z1" s="808"/>
      <c r="AA1" s="808"/>
      <c r="AB1" s="808"/>
      <c r="AC1" s="808"/>
      <c r="AD1" s="808"/>
      <c r="AE1" s="808"/>
      <c r="AF1" s="808"/>
      <c r="AG1" s="808"/>
      <c r="AH1" s="808"/>
      <c r="AI1" s="808"/>
      <c r="AJ1" s="808"/>
      <c r="AK1" s="808"/>
      <c r="AL1" s="808"/>
      <c r="AM1" s="808"/>
      <c r="AN1" s="809"/>
      <c r="AO1" s="20"/>
      <c r="AP1" s="21"/>
    </row>
    <row r="2" spans="1:80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 x14ac:dyDescent="0.25">
      <c r="A3" s="252" t="s">
        <v>81</v>
      </c>
      <c r="B3" s="859"/>
      <c r="C3" s="859"/>
      <c r="D3" s="859"/>
      <c r="E3" s="859"/>
      <c r="F3" s="859"/>
      <c r="G3" s="859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53" t="s">
        <v>0</v>
      </c>
      <c r="AI3" s="6"/>
      <c r="AM3" s="254" t="s">
        <v>224</v>
      </c>
      <c r="AN3" s="255"/>
    </row>
    <row r="4" spans="1:80" ht="15.75" x14ac:dyDescent="0.25">
      <c r="A4" s="252" t="s">
        <v>161</v>
      </c>
      <c r="B4" s="25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57" t="str">
        <f>(IF(('IMPORTAÇÃO GENOTIPER'!AA4="X"),"XX",(IF(('IMPORTAÇÃO GENOTIPER'!AA4&lt;&gt;"X"),"ERRO"))))</f>
        <v>ERRO</v>
      </c>
      <c r="AM4" s="258" t="str">
        <f>IF(('SUPERVISÃO 1'!$AB$34="EVIDÊNCIA DE TROCA"),"VERIFICAR","OK")</f>
        <v>OK</v>
      </c>
      <c r="AN4" s="259"/>
    </row>
    <row r="5" spans="1:80" ht="16.5" thickBot="1" x14ac:dyDescent="0.3">
      <c r="A5" s="252" t="s">
        <v>92</v>
      </c>
      <c r="B5" s="25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60"/>
      <c r="Y5" s="260"/>
      <c r="Z5" s="260"/>
      <c r="AA5" s="260"/>
      <c r="AB5" s="260"/>
      <c r="AC5" s="260"/>
      <c r="AD5" s="260"/>
      <c r="AE5" s="6"/>
      <c r="AF5" s="6"/>
      <c r="AG5" s="6"/>
      <c r="AH5" s="6"/>
      <c r="AI5" s="261" t="str">
        <f>(IF(('IMPORTAÇÃO GENOTIPER'!AQ4="Y"),"XY",(IF(('IMPORTAÇÃO GENOTIPER'!AQ4="X"),"XX","ERRO"))))</f>
        <v>ERRO</v>
      </c>
      <c r="AM5" s="258" t="str">
        <f>IF(('SUPERVISÃO 2'!$AB$34="EVIDÊNCIA DE TROCA"),"VERIFICAR","OK")</f>
        <v>OK</v>
      </c>
      <c r="AN5" s="259"/>
    </row>
    <row r="6" spans="1:80" ht="17.25" thickTop="1" thickBot="1" x14ac:dyDescent="0.3">
      <c r="A6" s="252" t="s">
        <v>93</v>
      </c>
      <c r="B6" s="25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62" t="str">
        <f>(IF(('IMPORTAÇÃO GENOTIPER'!BG4="Y"),"XY",(IF(('IMPORTAÇÃO GENOTIPER'!BG4&lt;&gt;"Y"),"ERRO"))))</f>
        <v>ERRO</v>
      </c>
      <c r="AJ6" s="1" t="s">
        <v>149</v>
      </c>
      <c r="AM6" s="258" t="str">
        <f>IF(('SUPERVISÃO 3'!$AB$34="TROCA POSSÍVEL"),"VERIFICAR","OK")</f>
        <v>OK</v>
      </c>
      <c r="AN6" s="259"/>
      <c r="AO6" s="22"/>
      <c r="AZ6" s="811" t="s">
        <v>88</v>
      </c>
      <c r="BA6" s="812"/>
      <c r="BB6" s="31">
        <v>1E-3</v>
      </c>
      <c r="BH6" s="67"/>
      <c r="BI6" s="56"/>
      <c r="BJ6" s="56"/>
      <c r="BK6" s="56"/>
      <c r="BL6" s="56"/>
    </row>
    <row r="7" spans="1:80" ht="24" customHeight="1" thickTop="1" thickBot="1" x14ac:dyDescent="0.35">
      <c r="A7" s="263" t="str">
        <f>IF(($BD$31=1)," DETECTADA 1 MUTAÇÃO MATERNA",IF(($BD$31=2)," DETECTADAS 2 MUTAÇÕES MATERNAS",IF(($BD$31&gt;=3)," DETECTADA EXCLUSÃO DE MÃE"," MATERNIDADE CONFIRMADA")))</f>
        <v xml:space="preserve"> DETECTADA EXCLUSÃO DE MÃE</v>
      </c>
      <c r="B7" s="264"/>
      <c r="C7" s="10"/>
      <c r="D7" s="10"/>
      <c r="E7" s="10"/>
      <c r="F7" s="265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14" t="str">
        <f>IF(('SUPERVISÃO 4'!$AG$34="VERIFICAR"),"VERIFICAR","OK")</f>
        <v>VERIFICAR</v>
      </c>
      <c r="AN7" s="74"/>
      <c r="AO7" s="1" t="s">
        <v>78</v>
      </c>
      <c r="AQ7" s="854" t="s">
        <v>226</v>
      </c>
      <c r="AR7" s="854"/>
      <c r="AS7" s="854"/>
      <c r="AT7" s="854"/>
      <c r="AU7" s="854"/>
      <c r="AV7" s="854"/>
      <c r="AZ7" s="811" t="s">
        <v>87</v>
      </c>
      <c r="BA7" s="812"/>
      <c r="BB7" s="855"/>
      <c r="BI7" s="811" t="s">
        <v>108</v>
      </c>
      <c r="BJ7" s="812"/>
      <c r="BK7" s="855"/>
      <c r="BL7" s="856" t="s">
        <v>109</v>
      </c>
      <c r="BM7" s="857"/>
      <c r="BN7" s="858"/>
      <c r="BO7" s="847" t="s">
        <v>111</v>
      </c>
      <c r="BP7" s="848"/>
      <c r="BQ7" s="849"/>
    </row>
    <row r="8" spans="1:80" ht="16.5" thickTop="1" thickBot="1" x14ac:dyDescent="0.3">
      <c r="A8" s="266" t="s">
        <v>50</v>
      </c>
      <c r="B8" s="850" t="s">
        <v>54</v>
      </c>
      <c r="C8" s="851"/>
      <c r="D8" s="850" t="s">
        <v>131</v>
      </c>
      <c r="E8" s="851"/>
      <c r="F8" s="850" t="s">
        <v>56</v>
      </c>
      <c r="G8" s="851"/>
      <c r="H8" s="850" t="s">
        <v>97</v>
      </c>
      <c r="I8" s="851"/>
      <c r="J8" s="850" t="s">
        <v>98</v>
      </c>
      <c r="K8" s="851"/>
      <c r="L8" s="850" t="s">
        <v>99</v>
      </c>
      <c r="M8" s="851"/>
      <c r="N8" s="850" t="s">
        <v>165</v>
      </c>
      <c r="O8" s="851"/>
      <c r="P8" s="850" t="s">
        <v>166</v>
      </c>
      <c r="Q8" s="851"/>
      <c r="R8" s="850" t="s">
        <v>167</v>
      </c>
      <c r="S8" s="851"/>
      <c r="T8" s="267" t="s">
        <v>135</v>
      </c>
      <c r="U8" s="267" t="s">
        <v>136</v>
      </c>
      <c r="V8" s="267" t="s">
        <v>137</v>
      </c>
      <c r="W8" s="268" t="s">
        <v>134</v>
      </c>
      <c r="X8" s="852" t="s">
        <v>138</v>
      </c>
      <c r="Y8" s="853"/>
      <c r="Z8" s="852" t="s">
        <v>141</v>
      </c>
      <c r="AA8" s="853"/>
      <c r="AB8" s="267" t="s">
        <v>145</v>
      </c>
      <c r="AC8" s="267" t="s">
        <v>147</v>
      </c>
      <c r="AD8" s="267" t="s">
        <v>146</v>
      </c>
      <c r="AE8" s="267" t="s">
        <v>148</v>
      </c>
      <c r="AF8" s="267" t="s">
        <v>160</v>
      </c>
      <c r="AG8" s="2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70" t="s">
        <v>143</v>
      </c>
      <c r="AJ8" s="271" t="s">
        <v>139</v>
      </c>
      <c r="AK8" s="271"/>
      <c r="AL8" s="271"/>
      <c r="AM8" s="270" t="s">
        <v>176</v>
      </c>
      <c r="AN8" s="270" t="s">
        <v>129</v>
      </c>
      <c r="AQ8" s="854"/>
      <c r="AR8" s="854"/>
      <c r="AS8" s="854"/>
      <c r="AT8" s="854"/>
      <c r="AU8" s="854"/>
      <c r="AV8" s="854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51" t="s">
        <v>100</v>
      </c>
      <c r="BG8" s="51" t="s">
        <v>101</v>
      </c>
      <c r="BI8" s="13" t="s">
        <v>105</v>
      </c>
      <c r="BJ8" s="54" t="s">
        <v>106</v>
      </c>
      <c r="BK8" s="54" t="s">
        <v>107</v>
      </c>
      <c r="BL8" s="58" t="s">
        <v>105</v>
      </c>
      <c r="BM8" s="59" t="s">
        <v>112</v>
      </c>
      <c r="BN8" s="59" t="s">
        <v>110</v>
      </c>
      <c r="BO8" s="61" t="s">
        <v>105</v>
      </c>
      <c r="BP8" s="62" t="s">
        <v>113</v>
      </c>
      <c r="BQ8" s="63" t="s">
        <v>114</v>
      </c>
    </row>
    <row r="9" spans="1:80" ht="16.5" thickTop="1" thickBot="1" x14ac:dyDescent="0.3">
      <c r="A9" s="272" t="s">
        <v>151</v>
      </c>
      <c r="B9" s="273">
        <f>'PD0101'!F9</f>
        <v>0</v>
      </c>
      <c r="C9" s="273">
        <f>'PD0101'!G9</f>
        <v>0</v>
      </c>
      <c r="D9" s="273">
        <f>'PD0101'!D9</f>
        <v>0</v>
      </c>
      <c r="E9" s="273">
        <f>'PD0101'!E9</f>
        <v>0</v>
      </c>
      <c r="F9" s="273">
        <f>'PD0101'!B9</f>
        <v>0</v>
      </c>
      <c r="G9" s="273">
        <f>'PD0101'!C9</f>
        <v>0</v>
      </c>
      <c r="H9" s="93">
        <f t="shared" ref="H9:M24" si="0">(IF(CODE(B9)=(60),($BF9-1),(IF(CODE(B9)=(62),($BG9+1),B9))))</f>
        <v>0</v>
      </c>
      <c r="I9" s="93">
        <f t="shared" si="0"/>
        <v>0</v>
      </c>
      <c r="J9" s="93">
        <f t="shared" si="0"/>
        <v>0</v>
      </c>
      <c r="K9" s="93">
        <f t="shared" si="0"/>
        <v>0</v>
      </c>
      <c r="L9" s="93">
        <f t="shared" si="0"/>
        <v>0</v>
      </c>
      <c r="M9" s="93">
        <f t="shared" si="0"/>
        <v>0</v>
      </c>
      <c r="N9" s="94">
        <f t="shared" ref="N9:N30" si="1">IF((H9&gt;I9),I9,H9)</f>
        <v>0</v>
      </c>
      <c r="O9" s="94">
        <f t="shared" ref="O9:O30" si="2">IF((I9&gt;H9),I9,H9)</f>
        <v>0</v>
      </c>
      <c r="P9" s="94">
        <f t="shared" ref="P9:P30" si="3">IF((J9&gt;K9),K9,J9)</f>
        <v>0</v>
      </c>
      <c r="Q9" s="94">
        <f t="shared" ref="Q9:Q30" si="4">IF((K9&gt;J9),K9,J9)</f>
        <v>0</v>
      </c>
      <c r="R9" s="94">
        <f t="shared" ref="R9:R30" si="5">IF((L9&gt;M9),M9,L9)</f>
        <v>0</v>
      </c>
      <c r="S9" s="94">
        <f t="shared" ref="S9:S30" si="6">IF((M9&gt;L9),M9,L9)</f>
        <v>0</v>
      </c>
      <c r="T9" s="95">
        <f t="shared" ref="T9:T30" si="7">IF((P9=N9),P9,(IF((P9=O9),P9,0)))</f>
        <v>0</v>
      </c>
      <c r="U9" s="95">
        <f t="shared" ref="U9:U30" si="8">IF((Q9=N9),Q9,(IF((Q9=O9),Q9,0)))</f>
        <v>0</v>
      </c>
      <c r="V9" s="96">
        <f>(IF((OR((P9="&gt;18"),(Q9="&gt;18"))),2,(IF(((T9+U9)=(P9+Q9)),0,1))))</f>
        <v>0</v>
      </c>
      <c r="W9" s="97">
        <f>IF(OR(($T9=$U9),($U9=0)),$T9,(IF(AND(($T9=0),($U9&lt;&gt;0)),$U9,$AJ$7)))</f>
        <v>0</v>
      </c>
      <c r="X9" s="120">
        <f>(ROUND( (IF((AND((T9=0),(U9=0))),D9,(IF((V9=2),S9,(IF((W9&lt;&gt;$AJ$7),(P9+Q9-W9),P9)))))),1))</f>
        <v>0</v>
      </c>
      <c r="Y9" s="95">
        <f>(IF((AND(($T9=0),($U9=0))),$E9,(IF(($W9&lt;&gt;$AJ$7),0,$Q9))))</f>
        <v>0</v>
      </c>
      <c r="Z9" s="98">
        <f t="shared" ref="Z9:Z30" si="9">(IF(OR((X9=R9),(X9=S9)),X9,0))</f>
        <v>0</v>
      </c>
      <c r="AA9" s="99">
        <f t="shared" ref="AA9:AA30" si="10">(IF(AND((V9=0),(Z9=0),(OR((S9=T9),(S9=U9)))),Y9,(IF((Y9&lt;&gt;0),(IF(OR((Y9=R9),(Y9=S9)),Y9,0)),0))))</f>
        <v>0</v>
      </c>
      <c r="AB9" s="100">
        <f>IF(X9=0,0,VLOOKUP(X9,FREQUENCIAS!$1:$1048576,(IF(($A9=FREQUENCIAS!$B$1),2,"ERRO")),FREQUENCIAS!$1:$1048576))</f>
        <v>0</v>
      </c>
      <c r="AC9" s="100">
        <f>IF(Y9=0,0,VLOOKUP(Y9,FREQUENCIAS!$1:$1048576,(IF(($A9=FREQUENCIAS!$B$1),2,"ERRO")),FREQUENCIAS!$1:$1048576))</f>
        <v>0</v>
      </c>
      <c r="AD9" s="100"/>
      <c r="AE9" s="100"/>
      <c r="AF9" s="100"/>
      <c r="AG9" s="101">
        <f>(IF((A9="ERRO-FT"),"8",((IF((AND(($Z9=0),($AA9=0),($AX$32="N"))),0,(IF((AND(($Z9=0),($AA9=0),(AX$32="S"))),1,(IF((AB9+AC9+AD9+AE9+AF9)&lt;=$AI$7,$AI$7,(AB9+AC9+AD9+AE9+AF9))))))))))</f>
        <v>0</v>
      </c>
      <c r="AH9" s="102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3">
        <f t="shared" ref="AI9:AI30" si="11">(IF((AH9=0),0,(AH9/(AH9+1))))</f>
        <v>0</v>
      </c>
      <c r="AJ9" s="104"/>
      <c r="AK9" s="105">
        <f t="shared" ref="AK9:AK30" si="12">(1-AG9)^2</f>
        <v>1</v>
      </c>
      <c r="AL9" s="104"/>
      <c r="AM9" s="106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7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1">
        <f t="shared" ref="BC9:BC30" si="16">(IF((AND(($AX$32="N"),($AX$34="O"),($AX9=1))),1,$AH9))</f>
        <v>0</v>
      </c>
      <c r="BD9" s="2">
        <f>IF((W9=0),1,0)</f>
        <v>1</v>
      </c>
      <c r="BE9" s="68"/>
      <c r="BF9" s="52">
        <v>8</v>
      </c>
      <c r="BG9" s="52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7" t="str">
        <f t="shared" ref="BI9:BI30" si="17">IF(($W9=($BF9-1)),"&lt;",IF(($W9=($BG9+1)),"&gt;",""))</f>
        <v/>
      </c>
      <c r="BJ9" s="57">
        <f t="shared" ref="BJ9:BJ30" si="18">IF(($W9=($BF9-1)),$BF9,IF(($W9=($BG9-1)),$BG9,$W9))</f>
        <v>0</v>
      </c>
      <c r="BK9" s="57">
        <f t="shared" ref="BK9:BK30" si="19">(IF((OR(($W9=($BF9-1)),($W9=($BG9+1)))),(CONCATENATE((BI9),(BJ9))),$W9))</f>
        <v>0</v>
      </c>
      <c r="BL9" s="60" t="str">
        <f t="shared" ref="BL9:BL30" si="20">IF(($Z9=($BF9-1)),"&lt;",IF(($Z9=($BG9+1)),"&gt;",""))</f>
        <v/>
      </c>
      <c r="BM9" s="60">
        <f t="shared" ref="BM9:BM30" si="21">IF(($Z9=($BF9-1)),$BF9,IF(($Z9=($BG9+1)),$BG9,$Z9))</f>
        <v>0</v>
      </c>
      <c r="BN9" s="60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 x14ac:dyDescent="0.3">
      <c r="A10" s="272" t="s">
        <v>214</v>
      </c>
      <c r="B10" s="273">
        <f>'PD0101'!F10</f>
        <v>0</v>
      </c>
      <c r="C10" s="273">
        <f>'PD0101'!G10</f>
        <v>0</v>
      </c>
      <c r="D10" s="273">
        <f>'PD0101'!D10</f>
        <v>0</v>
      </c>
      <c r="E10" s="273">
        <f>'PD0101'!E10</f>
        <v>0</v>
      </c>
      <c r="F10" s="273">
        <f>'PD0101'!B10</f>
        <v>0</v>
      </c>
      <c r="G10" s="273">
        <f>'PD0101'!C10</f>
        <v>0</v>
      </c>
      <c r="H10" s="93">
        <f t="shared" si="0"/>
        <v>0</v>
      </c>
      <c r="I10" s="93">
        <f t="shared" si="0"/>
        <v>0</v>
      </c>
      <c r="J10" s="93">
        <f t="shared" si="0"/>
        <v>0</v>
      </c>
      <c r="K10" s="93">
        <f t="shared" si="0"/>
        <v>0</v>
      </c>
      <c r="L10" s="93">
        <f t="shared" si="0"/>
        <v>0</v>
      </c>
      <c r="M10" s="93">
        <f t="shared" si="0"/>
        <v>0</v>
      </c>
      <c r="N10" s="94">
        <f t="shared" si="1"/>
        <v>0</v>
      </c>
      <c r="O10" s="94">
        <f t="shared" si="2"/>
        <v>0</v>
      </c>
      <c r="P10" s="94">
        <f t="shared" si="3"/>
        <v>0</v>
      </c>
      <c r="Q10" s="94">
        <f t="shared" si="4"/>
        <v>0</v>
      </c>
      <c r="R10" s="94">
        <f t="shared" si="5"/>
        <v>0</v>
      </c>
      <c r="S10" s="94">
        <f t="shared" si="6"/>
        <v>0</v>
      </c>
      <c r="T10" s="95">
        <f t="shared" si="7"/>
        <v>0</v>
      </c>
      <c r="U10" s="95">
        <f t="shared" si="8"/>
        <v>0</v>
      </c>
      <c r="V10" s="96">
        <f>(IF((OR((P10="&gt;36"),(Q10="&gt;36"))),2,(IF(((T10+U10)=(P10+Q10)),0,1))))</f>
        <v>0</v>
      </c>
      <c r="W10" s="97">
        <f t="shared" ref="W10:W23" si="25">IF(OR((T10=U10),(U10=0)),T10,(IF(AND((T10=0),(U10&lt;&gt;0)),U10,$AJ$7)))</f>
        <v>0</v>
      </c>
      <c r="X10" s="120">
        <f>(ROUND( (IF((AND((T10=0),(U10=0))),D10,(IF((V10=2),S10,(IF((W10&lt;&gt;$AJ$7),(P10+Q10-W10),P10)))))),1))</f>
        <v>0</v>
      </c>
      <c r="Y10" s="95">
        <f>(IF((AND((T10=0),(U10=0))),E10,(IF((W10&lt;&gt;$AJ$7),0,Q10))))</f>
        <v>0</v>
      </c>
      <c r="Z10" s="98">
        <f t="shared" si="9"/>
        <v>0</v>
      </c>
      <c r="AA10" s="99">
        <f t="shared" si="10"/>
        <v>0</v>
      </c>
      <c r="AB10" s="100">
        <f>IF(X10=0,0,VLOOKUP(X10,FREQUENCIAS!$1:$1048576,(IF(($A10=FREQUENCIAS!$C$1),3,"ERRO")),FREQUENCIAS!$1:$1048576))</f>
        <v>0</v>
      </c>
      <c r="AC10" s="100">
        <f>IF(Y10=0,0,VLOOKUP(Y10,FREQUENCIAS!$1:$1048576,(IF(($A10=FREQUENCIAS!$C$1),3,"ERRO")),FREQUENCIAS!$1:$1048576))</f>
        <v>0</v>
      </c>
      <c r="AD10" s="100"/>
      <c r="AE10" s="100"/>
      <c r="AF10" s="100"/>
      <c r="AG10" s="101">
        <f>(IF((A10="ERRO-FT"),"24",((IF((AND(($Z10=0),($AA10=0),($AX$32="N"))),0,(IF((AND(($Z10=0),($AA10=0),(AX$32="S"))),1,(IF((AB10+AC10+AD10+AE10+AF10)&lt;=$AI$7,$AI$7,(AB10+AC10+AD10+AE10+AF10))))))))))</f>
        <v>0</v>
      </c>
      <c r="AH10" s="102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3">
        <f t="shared" si="11"/>
        <v>0</v>
      </c>
      <c r="AJ10" s="104"/>
      <c r="AK10" s="105">
        <f t="shared" si="12"/>
        <v>1</v>
      </c>
      <c r="AL10" s="104"/>
      <c r="AM10" s="106" t="str">
        <f t="shared" si="13"/>
        <v>EXCLUI</v>
      </c>
      <c r="AN10" s="97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0</v>
      </c>
      <c r="BC10" s="41">
        <f t="shared" si="16"/>
        <v>0</v>
      </c>
      <c r="BD10" s="2">
        <f t="shared" ref="BD10:BD23" si="27">IF((W10=0),1,0)</f>
        <v>1</v>
      </c>
      <c r="BF10" s="53">
        <v>24</v>
      </c>
      <c r="BG10" s="53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7" t="str">
        <f t="shared" si="17"/>
        <v/>
      </c>
      <c r="BJ10" s="57">
        <f t="shared" si="18"/>
        <v>0</v>
      </c>
      <c r="BK10" s="57">
        <f t="shared" si="19"/>
        <v>0</v>
      </c>
      <c r="BL10" s="60" t="str">
        <f t="shared" si="20"/>
        <v/>
      </c>
      <c r="BM10" s="66">
        <f t="shared" si="21"/>
        <v>0</v>
      </c>
      <c r="BN10" s="60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 x14ac:dyDescent="0.3">
      <c r="A11" s="272" t="s">
        <v>215</v>
      </c>
      <c r="B11" s="273">
        <f>'PD0101'!F11</f>
        <v>0</v>
      </c>
      <c r="C11" s="273">
        <f>'PD0101'!G11</f>
        <v>0</v>
      </c>
      <c r="D11" s="273">
        <f>'PD0101'!D11</f>
        <v>0</v>
      </c>
      <c r="E11" s="273">
        <f>'PD0101'!E11</f>
        <v>0</v>
      </c>
      <c r="F11" s="273">
        <f>'PD0101'!B11</f>
        <v>0</v>
      </c>
      <c r="G11" s="273">
        <f>'PD0101'!C11</f>
        <v>0</v>
      </c>
      <c r="H11" s="93">
        <f t="shared" si="0"/>
        <v>0</v>
      </c>
      <c r="I11" s="93">
        <f t="shared" si="0"/>
        <v>0</v>
      </c>
      <c r="J11" s="93">
        <f t="shared" si="0"/>
        <v>0</v>
      </c>
      <c r="K11" s="93">
        <f t="shared" si="0"/>
        <v>0</v>
      </c>
      <c r="L11" s="93">
        <f t="shared" si="0"/>
        <v>0</v>
      </c>
      <c r="M11" s="93">
        <f t="shared" si="0"/>
        <v>0</v>
      </c>
      <c r="N11" s="94">
        <f t="shared" si="1"/>
        <v>0</v>
      </c>
      <c r="O11" s="94">
        <f t="shared" si="2"/>
        <v>0</v>
      </c>
      <c r="P11" s="94">
        <f t="shared" si="3"/>
        <v>0</v>
      </c>
      <c r="Q11" s="94">
        <f t="shared" si="4"/>
        <v>0</v>
      </c>
      <c r="R11" s="94">
        <f t="shared" si="5"/>
        <v>0</v>
      </c>
      <c r="S11" s="94">
        <f t="shared" si="6"/>
        <v>0</v>
      </c>
      <c r="T11" s="95">
        <f t="shared" si="7"/>
        <v>0</v>
      </c>
      <c r="U11" s="95">
        <f t="shared" si="8"/>
        <v>0</v>
      </c>
      <c r="V11" s="96">
        <f>(IF((OR((P11="&gt;22"),(Q11="&gt;22"))),2,(IF(((T11+U11)=(P11+Q11)),0,1))))</f>
        <v>0</v>
      </c>
      <c r="W11" s="97">
        <f t="shared" si="25"/>
        <v>0</v>
      </c>
      <c r="X11" s="120">
        <f>(ROUND( (IF((AND((T11=0),(U11=0))),D11,(IF((V11=2),S11,(IF((W11&lt;&gt;$AJ$7),(P11+Q11-W11),P11)))))),1))</f>
        <v>0</v>
      </c>
      <c r="Y11" s="95">
        <f>(ROUND( (IF((AND((T11=0),(U11=0))),E11,(IF((W11&lt;&gt;$AJ$7),0,Q11)))),1))</f>
        <v>0</v>
      </c>
      <c r="Z11" s="98">
        <f t="shared" si="9"/>
        <v>0</v>
      </c>
      <c r="AA11" s="99">
        <f t="shared" si="10"/>
        <v>0</v>
      </c>
      <c r="AB11" s="100">
        <f>IF(X11=0,0,VLOOKUP(X11,FREQUENCIAS!$1:$1048576,(IF(($A11=FREQUENCIAS!$D$1),4,"ERRO")),FREQUENCIAS!$1:$1048576))</f>
        <v>0</v>
      </c>
      <c r="AC11" s="100">
        <f>IF(Y11=0,0,VLOOKUP(Y11,FREQUENCIAS!$1:$1048576,(IF(($A11=FREQUENCIAS!$D$1),4,"ERRO")),FREQUENCIAS!$1:$1048576))</f>
        <v>0</v>
      </c>
      <c r="AD11" s="100"/>
      <c r="AE11" s="100"/>
      <c r="AF11" s="100"/>
      <c r="AG11" s="101">
        <f>(IF((A11="ERRO-FT"),"6",((IF((AND(($Z11=0),($AA11=0),($AX$32="N"))),0,(IF((AND(($Z11=0),($AA11=0),(AX$32="S"))),1,(IF((AB11+AC11+AD11+AE11+AF11)&lt;=$AI$7,$AI$7,(AB11+AC11+AD11+AE11+AF11))))))))))</f>
        <v>0</v>
      </c>
      <c r="AH11" s="102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3">
        <f t="shared" si="11"/>
        <v>0</v>
      </c>
      <c r="AJ11" s="104"/>
      <c r="AK11" s="105">
        <f t="shared" si="12"/>
        <v>1</v>
      </c>
      <c r="AL11" s="104"/>
      <c r="AM11" s="106" t="str">
        <f t="shared" si="13"/>
        <v>EXCLUI</v>
      </c>
      <c r="AN11" s="97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0</v>
      </c>
      <c r="BC11" s="41">
        <f t="shared" si="16"/>
        <v>0</v>
      </c>
      <c r="BD11" s="2">
        <f t="shared" si="27"/>
        <v>1</v>
      </c>
      <c r="BF11" s="53">
        <v>6</v>
      </c>
      <c r="BG11" s="53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7" t="str">
        <f t="shared" si="17"/>
        <v/>
      </c>
      <c r="BJ11" s="57">
        <f t="shared" si="18"/>
        <v>0</v>
      </c>
      <c r="BK11" s="57">
        <f t="shared" si="19"/>
        <v>0</v>
      </c>
      <c r="BL11" s="60" t="str">
        <f t="shared" si="20"/>
        <v/>
      </c>
      <c r="BM11" s="60">
        <f t="shared" si="21"/>
        <v>0</v>
      </c>
      <c r="BN11" s="60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31" customFormat="1" ht="16.5" thickTop="1" thickBot="1" x14ac:dyDescent="0.3">
      <c r="A12" s="274" t="s">
        <v>216</v>
      </c>
      <c r="B12" s="275">
        <f>'PD0101'!F12</f>
        <v>0</v>
      </c>
      <c r="C12" s="275">
        <f>'PD0101'!G12</f>
        <v>0</v>
      </c>
      <c r="D12" s="275">
        <f>'PD0101'!D12</f>
        <v>0</v>
      </c>
      <c r="E12" s="275">
        <f>'PD0101'!E12</f>
        <v>0</v>
      </c>
      <c r="F12" s="275">
        <f>'PD0101'!B12</f>
        <v>0</v>
      </c>
      <c r="G12" s="275">
        <f>'PD0101'!C12</f>
        <v>0</v>
      </c>
      <c r="H12" s="116">
        <f t="shared" si="0"/>
        <v>0</v>
      </c>
      <c r="I12" s="116">
        <f t="shared" si="0"/>
        <v>0</v>
      </c>
      <c r="J12" s="116">
        <f t="shared" si="0"/>
        <v>0</v>
      </c>
      <c r="K12" s="116">
        <f t="shared" si="0"/>
        <v>0</v>
      </c>
      <c r="L12" s="116">
        <f t="shared" si="0"/>
        <v>0</v>
      </c>
      <c r="M12" s="116">
        <f t="shared" si="0"/>
        <v>0</v>
      </c>
      <c r="N12" s="117">
        <f t="shared" si="1"/>
        <v>0</v>
      </c>
      <c r="O12" s="117">
        <f t="shared" si="2"/>
        <v>0</v>
      </c>
      <c r="P12" s="117">
        <f t="shared" si="3"/>
        <v>0</v>
      </c>
      <c r="Q12" s="117">
        <f t="shared" si="4"/>
        <v>0</v>
      </c>
      <c r="R12" s="117">
        <f t="shared" si="5"/>
        <v>0</v>
      </c>
      <c r="S12" s="117">
        <f t="shared" si="6"/>
        <v>0</v>
      </c>
      <c r="T12" s="118">
        <f t="shared" si="7"/>
        <v>0</v>
      </c>
      <c r="U12" s="118">
        <f t="shared" si="8"/>
        <v>0</v>
      </c>
      <c r="V12" s="119">
        <f>(IF((OR((P12="&gt;21"),(Q12="&gt;21"))),2,(IF(((T12+U12)=(P12+Q12)),0,1))))</f>
        <v>0</v>
      </c>
      <c r="W12" s="118">
        <f t="shared" si="25"/>
        <v>0</v>
      </c>
      <c r="X12" s="120">
        <f>(ROUND( (IF((AND((T12=0),(U12=0))),D12,(IF((V12=2),S12,(IF((W12&lt;&gt;$AJ$7),(P12+Q12-W12),P12)))))),1))</f>
        <v>0</v>
      </c>
      <c r="Y12" s="118">
        <f xml:space="preserve"> (IF((AND((T12=0),(U12=0))),E12,(IF((W12&lt;&gt;$AJ$7),0,Q12))))</f>
        <v>0</v>
      </c>
      <c r="Z12" s="121">
        <f t="shared" si="9"/>
        <v>0</v>
      </c>
      <c r="AA12" s="122">
        <f t="shared" si="10"/>
        <v>0</v>
      </c>
      <c r="AB12" s="123">
        <f>IF(X12=0,0,VLOOKUP(X12,FREQUENCIAS!$1:$1048576,(IF(($A12=FREQUENCIAS!$E$1),5,"ERRO")),FREQUENCIAS!$1:$1048576))</f>
        <v>0</v>
      </c>
      <c r="AC12" s="123">
        <f>IF(Y12=0,0,VLOOKUP(Y12,FREQUENCIAS!$1:$1048576,(IF(($A12=FREQUENCIAS!$E$1),5,"ERRO")),FREQUENCIAS!$1:$1048576))</f>
        <v>0</v>
      </c>
      <c r="AD12" s="123"/>
      <c r="AE12" s="123"/>
      <c r="AF12" s="123"/>
      <c r="AG12" s="124">
        <f>(IF((A12="ERRO-FT"),"6",((IF((AND(($Z12=0),($AA12=0),($AX$32="N"))),0,(IF((AND(($Z12=0),($AA12=0),(AX$32="S"))),1,(IF((AB12+AC12+AD12+AE12+AF12)&lt;=$AI$7,$AI$7,(AB12+AC12+AD12+AE12+AF12))))))))))</f>
        <v>0</v>
      </c>
      <c r="AH12" s="125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6">
        <f t="shared" si="11"/>
        <v>0</v>
      </c>
      <c r="AJ12" s="127" t="s">
        <v>140</v>
      </c>
      <c r="AK12" s="128">
        <f t="shared" si="12"/>
        <v>1</v>
      </c>
      <c r="AL12" s="127"/>
      <c r="AM12" s="129" t="str">
        <f t="shared" si="13"/>
        <v>EXCLUI</v>
      </c>
      <c r="AN12" s="130" t="str">
        <f t="shared" si="14"/>
        <v>EM</v>
      </c>
      <c r="AQ12" s="131" t="e">
        <f>(IF(OR((B12="&lt;6"),(B12="&gt;15"),(B12=11.3),(B12=15),(B12=#REF!),(B12=#REF!),(B12=#REF!),(B12=#REF!),(B12=#REF!),(B12=#REF!),(B12=#REF!),(B12=#REF!),(B12=#REF!)),1,0))</f>
        <v>#REF!</v>
      </c>
      <c r="AR12" s="131" t="e">
        <f>(IF(OR((C12="&lt;6"),(C12="&gt;15"),(C12=11.3),(C12=15),(C12=#REF!),(C12=#REF!),(C12=#REF!),(C12=#REF!),(C12=#REF!),(C12=#REF!),(C12=#REF!),(C12=#REF!),(C12=#REF!)),1,0))</f>
        <v>#REF!</v>
      </c>
      <c r="AS12" s="131" t="e">
        <f>(IF(OR((D12="&lt;6"),(D12="&gt;15"),(D12=11.3),(D12=15),(D12=#REF!),(D12=#REF!),(D12=#REF!),(D12=#REF!),(D12=#REF!),(D12=#REF!),(D12=#REF!),(D12=#REF!),(D12=#REF!)),1,0))</f>
        <v>#REF!</v>
      </c>
      <c r="AT12" s="131" t="e">
        <f>(IF(OR((E12="&lt;6"),(E12="&gt;15"),(E12=11.3),(E12=15),(E12=#REF!),(E12=#REF!),(E12=#REF!),(E12=#REF!),(E12=#REF!),(E12=#REF!),(E12=#REF!),(E12=#REF!),(E12=#REF!)),1,0))</f>
        <v>#REF!</v>
      </c>
      <c r="AU12" s="131" t="e">
        <f>(IF(OR((F12="&lt;6"),(F12="&gt;15"),(F12=11.3),(F12=15),(F12=#REF!),(F12=#REF!),(F12=#REF!),(F12=#REF!),(F12=#REF!),(F12=#REF!),(F12=#REF!),(F12=#REF!),(F12=#REF!)),1,0))</f>
        <v>#REF!</v>
      </c>
      <c r="AV12" s="131" t="e">
        <f>(IF(OR((G12="&lt;6"),(G12="&gt;15"),(G12=11.3),(G12=15),(G12=#REF!),(G12=#REF!),(G12=#REF!),(G12=#REF!),(G12=#REF!),(G12=#REF!),(G12=#REF!),(G12=#REF!),(G12=#REF!)),1,0))</f>
        <v>#REF!</v>
      </c>
      <c r="AX12" s="132">
        <f t="shared" si="26"/>
        <v>1</v>
      </c>
      <c r="AY12" s="133">
        <f t="shared" si="15"/>
        <v>0</v>
      </c>
      <c r="AZ12" s="134"/>
      <c r="BA12" s="40">
        <f>IF($A12=FREQUENCIAS!$E$1,FREQUENCIAS!$E$2,"ERRO NO PE")</f>
        <v>0.54300000000000004</v>
      </c>
      <c r="BB12" s="40">
        <f>IF($A12=FREQUENCIAS!$E$1,FREQUENCIAS!$E$3,"ERRO NA MUT")</f>
        <v>0</v>
      </c>
      <c r="BC12" s="135">
        <f t="shared" si="16"/>
        <v>0</v>
      </c>
      <c r="BD12" s="136">
        <f t="shared" si="27"/>
        <v>1</v>
      </c>
      <c r="BF12" s="137">
        <v>6</v>
      </c>
      <c r="BG12" s="137">
        <v>15</v>
      </c>
      <c r="BH12" s="131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8" t="str">
        <f t="shared" si="17"/>
        <v/>
      </c>
      <c r="BJ12" s="118">
        <f t="shared" si="18"/>
        <v>0</v>
      </c>
      <c r="BK12" s="118">
        <f t="shared" si="19"/>
        <v>0</v>
      </c>
      <c r="BL12" s="118" t="str">
        <f t="shared" si="20"/>
        <v/>
      </c>
      <c r="BM12" s="118">
        <f t="shared" si="21"/>
        <v>0</v>
      </c>
      <c r="BN12" s="118">
        <f t="shared" si="22"/>
        <v>0</v>
      </c>
      <c r="BO12" s="118" t="str">
        <f t="shared" si="28"/>
        <v/>
      </c>
      <c r="BP12" s="118">
        <f t="shared" si="23"/>
        <v>0</v>
      </c>
      <c r="BQ12" s="118">
        <f t="shared" si="24"/>
        <v>0</v>
      </c>
      <c r="BT12" s="138">
        <v>9</v>
      </c>
      <c r="BU12" s="139">
        <v>12</v>
      </c>
    </row>
    <row r="13" spans="1:80" ht="16.5" thickTop="1" thickBot="1" x14ac:dyDescent="0.3">
      <c r="A13" s="272" t="s">
        <v>157</v>
      </c>
      <c r="B13" s="273">
        <f>'PD0101'!F13</f>
        <v>0</v>
      </c>
      <c r="C13" s="273">
        <f>'PD0101'!G13</f>
        <v>0</v>
      </c>
      <c r="D13" s="273">
        <f>'PD0101'!D13</f>
        <v>0</v>
      </c>
      <c r="E13" s="273">
        <f>'PD0101'!E13</f>
        <v>0</v>
      </c>
      <c r="F13" s="273">
        <f>'PD0101'!B13</f>
        <v>0</v>
      </c>
      <c r="G13" s="273">
        <f>'PD0101'!C13</f>
        <v>0</v>
      </c>
      <c r="H13" s="93">
        <f t="shared" si="0"/>
        <v>0</v>
      </c>
      <c r="I13" s="93">
        <f t="shared" si="0"/>
        <v>0</v>
      </c>
      <c r="J13" s="93">
        <f t="shared" si="0"/>
        <v>0</v>
      </c>
      <c r="K13" s="93">
        <f t="shared" si="0"/>
        <v>0</v>
      </c>
      <c r="L13" s="93">
        <f t="shared" si="0"/>
        <v>0</v>
      </c>
      <c r="M13" s="93">
        <f t="shared" si="0"/>
        <v>0</v>
      </c>
      <c r="N13" s="94">
        <f t="shared" si="1"/>
        <v>0</v>
      </c>
      <c r="O13" s="94">
        <f t="shared" si="2"/>
        <v>0</v>
      </c>
      <c r="P13" s="94">
        <f t="shared" si="3"/>
        <v>0</v>
      </c>
      <c r="Q13" s="94">
        <f t="shared" si="4"/>
        <v>0</v>
      </c>
      <c r="R13" s="94">
        <f t="shared" si="5"/>
        <v>0</v>
      </c>
      <c r="S13" s="94">
        <f t="shared" si="6"/>
        <v>0</v>
      </c>
      <c r="T13" s="95">
        <f t="shared" si="7"/>
        <v>0</v>
      </c>
      <c r="U13" s="95">
        <f t="shared" si="8"/>
        <v>0</v>
      </c>
      <c r="V13" s="96">
        <f>(IF((OR((P13="&gt;21"),(Q13="&gt;21"))),2,(IF(((T13+U13)=(P13+Q13)),0,1))))</f>
        <v>0</v>
      </c>
      <c r="W13" s="97">
        <f t="shared" si="25"/>
        <v>0</v>
      </c>
      <c r="X13" s="120">
        <f t="shared" ref="X13:X30" si="30">(ROUND( (IF((AND((T13=0),(U13=0))),D13,(IF((V13=2),S13,(IF((W13&lt;&gt;$AJ$7),(P13+Q13-W13),P13)))))),1))</f>
        <v>0</v>
      </c>
      <c r="Y13" s="95">
        <f t="shared" ref="Y13:Y23" si="31">(IF((AND((T13=0),(U13=0))),E13,(IF((W13&lt;&gt;$AJ$7),0,Q13))))</f>
        <v>0</v>
      </c>
      <c r="Z13" s="98">
        <f t="shared" si="9"/>
        <v>0</v>
      </c>
      <c r="AA13" s="99">
        <f t="shared" si="10"/>
        <v>0</v>
      </c>
      <c r="AB13" s="100">
        <f>IF(X13=0,0,VLOOKUP(X13,FREQUENCIAS!$1:$1048576,(IF(($A13=FREQUENCIAS!$F$1),6,"ERRO")),FREQUENCIAS!$1:$1048576))</f>
        <v>0</v>
      </c>
      <c r="AC13" s="100">
        <f>IF(Y13=0,0,VLOOKUP(Y13,FREQUENCIAS!$1:$1048576,(IF(($A13=FREQUENCIAS!$F$1),6,"ERRO")),FREQUENCIAS!$1:$1048576))</f>
        <v>0</v>
      </c>
      <c r="AD13" s="100"/>
      <c r="AE13" s="100"/>
      <c r="AF13" s="100"/>
      <c r="AG13" s="101">
        <f>(IF((A13="ERRO-FT"),"11",((IF((AND(($Z13=0),($AA13=0),($AX$32="N"))),0,(IF((AND(($Z13=0),($AA13=0),(AX$32="S"))),1,(IF((AB13+AC13+AD13+AE13+AF13)&lt;=$AI$7,$AI$7,(AB13+AC13+AD13+AE13+AF13))))))))))</f>
        <v>0</v>
      </c>
      <c r="AH13" s="102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3">
        <f t="shared" si="11"/>
        <v>0</v>
      </c>
      <c r="AJ13" s="104" t="s">
        <v>163</v>
      </c>
      <c r="AK13" s="276">
        <f t="shared" si="12"/>
        <v>1</v>
      </c>
      <c r="AL13" s="104"/>
      <c r="AM13" s="106" t="str">
        <f t="shared" si="13"/>
        <v>EXCLUI</v>
      </c>
      <c r="AN13" s="97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1">
        <f t="shared" si="16"/>
        <v>0</v>
      </c>
      <c r="BD13" s="2">
        <f t="shared" si="27"/>
        <v>1</v>
      </c>
      <c r="BF13" s="53">
        <v>12</v>
      </c>
      <c r="BG13" s="53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7" t="str">
        <f t="shared" si="17"/>
        <v/>
      </c>
      <c r="BJ13" s="57">
        <f t="shared" si="18"/>
        <v>0</v>
      </c>
      <c r="BK13" s="57">
        <f t="shared" si="19"/>
        <v>0</v>
      </c>
      <c r="BL13" s="60" t="str">
        <f t="shared" si="20"/>
        <v/>
      </c>
      <c r="BM13" s="60">
        <f t="shared" si="21"/>
        <v>0</v>
      </c>
      <c r="BN13" s="60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 x14ac:dyDescent="0.3">
      <c r="A14" s="272" t="s">
        <v>219</v>
      </c>
      <c r="B14" s="273">
        <f>'PD0101'!F14</f>
        <v>0</v>
      </c>
      <c r="C14" s="273">
        <f>'PD0101'!G14</f>
        <v>0</v>
      </c>
      <c r="D14" s="273">
        <f>'PD0101'!D14</f>
        <v>0</v>
      </c>
      <c r="E14" s="273">
        <f>'PD0101'!E14</f>
        <v>0</v>
      </c>
      <c r="F14" s="273">
        <f>'PD0101'!B14</f>
        <v>0</v>
      </c>
      <c r="G14" s="273">
        <f>'PD0101'!C14</f>
        <v>0</v>
      </c>
      <c r="H14" s="93">
        <f t="shared" si="0"/>
        <v>0</v>
      </c>
      <c r="I14" s="93">
        <f t="shared" si="0"/>
        <v>0</v>
      </c>
      <c r="J14" s="93">
        <f t="shared" si="0"/>
        <v>0</v>
      </c>
      <c r="K14" s="93">
        <f t="shared" si="0"/>
        <v>0</v>
      </c>
      <c r="L14" s="93">
        <f t="shared" si="0"/>
        <v>0</v>
      </c>
      <c r="M14" s="93">
        <f t="shared" si="0"/>
        <v>0</v>
      </c>
      <c r="N14" s="94">
        <f t="shared" si="1"/>
        <v>0</v>
      </c>
      <c r="O14" s="94">
        <f t="shared" si="2"/>
        <v>0</v>
      </c>
      <c r="P14" s="94">
        <f t="shared" si="3"/>
        <v>0</v>
      </c>
      <c r="Q14" s="94">
        <f t="shared" si="4"/>
        <v>0</v>
      </c>
      <c r="R14" s="94">
        <f t="shared" si="5"/>
        <v>0</v>
      </c>
      <c r="S14" s="94">
        <f t="shared" si="6"/>
        <v>0</v>
      </c>
      <c r="T14" s="95">
        <f t="shared" si="7"/>
        <v>0</v>
      </c>
      <c r="U14" s="95">
        <f t="shared" si="8"/>
        <v>0</v>
      </c>
      <c r="V14" s="96">
        <f>(IF((OR((P14="&gt;20"),(Q14="&gt;20"))),2,(IF(((T14+U14)=(P14+Q14)),0,1))))</f>
        <v>0</v>
      </c>
      <c r="W14" s="97">
        <f t="shared" si="25"/>
        <v>0</v>
      </c>
      <c r="X14" s="120">
        <f t="shared" si="30"/>
        <v>0</v>
      </c>
      <c r="Y14" s="95">
        <f t="shared" si="31"/>
        <v>0</v>
      </c>
      <c r="Z14" s="98">
        <f t="shared" si="9"/>
        <v>0</v>
      </c>
      <c r="AA14" s="99">
        <f t="shared" si="10"/>
        <v>0</v>
      </c>
      <c r="AB14" s="100">
        <f>IF(X14=0,0,VLOOKUP(X14,FREQUENCIAS!$1:$1048576,(IF(($A14=FREQUENCIAS!$G$1),7,"ERRO")),FREQUENCIAS!$1:$1048576))</f>
        <v>0</v>
      </c>
      <c r="AC14" s="100">
        <f>IF(Y14=0,0,VLOOKUP(Y14,FREQUENCIAS!$1:$1048576,(IF(($A14=FREQUENCIAS!$G$1),7,"ERRO")),FREQUENCIAS!$1:$1048576))</f>
        <v>0</v>
      </c>
      <c r="AD14" s="100"/>
      <c r="AE14" s="100"/>
      <c r="AF14" s="100"/>
      <c r="AG14" s="101">
        <f>(IF((A14="ERRO-FT"),"4",((IF((AND(($Z14=0),($AA14=0),($AX$32="N"))),0,(IF((AND(($Z14=0),($AA14=0),(AX$32="S"))),1,(IF((AB14+AC14+AD14+AE14+AF14)&lt;=$AI$7,$AI$7,(AB14+AC14+AD14+AE14+AF14))))))))))</f>
        <v>0</v>
      </c>
      <c r="AH14" s="102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3">
        <f t="shared" si="11"/>
        <v>0</v>
      </c>
      <c r="AJ14" s="104"/>
      <c r="AK14" s="105">
        <f t="shared" si="12"/>
        <v>1</v>
      </c>
      <c r="AL14" s="104"/>
      <c r="AM14" s="106" t="str">
        <f t="shared" si="13"/>
        <v>EXCLUI</v>
      </c>
      <c r="AN14" s="97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1">
        <f t="shared" si="16"/>
        <v>0</v>
      </c>
      <c r="BD14" s="2">
        <f t="shared" si="27"/>
        <v>1</v>
      </c>
      <c r="BF14" s="53">
        <v>4</v>
      </c>
      <c r="BG14" s="53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7" t="str">
        <f t="shared" si="17"/>
        <v/>
      </c>
      <c r="BJ14" s="57">
        <f t="shared" si="18"/>
        <v>0</v>
      </c>
      <c r="BK14" s="57">
        <f t="shared" si="19"/>
        <v>0</v>
      </c>
      <c r="BL14" s="60" t="str">
        <f t="shared" si="20"/>
        <v/>
      </c>
      <c r="BM14" s="60">
        <f t="shared" si="21"/>
        <v>0</v>
      </c>
      <c r="BN14" s="60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 x14ac:dyDescent="0.3">
      <c r="A15" s="272" t="s">
        <v>159</v>
      </c>
      <c r="B15" s="273">
        <f>'PD0101'!F15</f>
        <v>0</v>
      </c>
      <c r="C15" s="273">
        <f>'PD0101'!G15</f>
        <v>0</v>
      </c>
      <c r="D15" s="273">
        <f>'PD0101'!D15</f>
        <v>0</v>
      </c>
      <c r="E15" s="273">
        <f>'PD0101'!E15</f>
        <v>0</v>
      </c>
      <c r="F15" s="273">
        <f>'PD0101'!B15</f>
        <v>0</v>
      </c>
      <c r="G15" s="273">
        <f>'PD0101'!C15</f>
        <v>0</v>
      </c>
      <c r="H15" s="93">
        <f t="shared" si="0"/>
        <v>0</v>
      </c>
      <c r="I15" s="93">
        <f t="shared" si="0"/>
        <v>0</v>
      </c>
      <c r="J15" s="93">
        <f t="shared" si="0"/>
        <v>0</v>
      </c>
      <c r="K15" s="93">
        <f t="shared" si="0"/>
        <v>0</v>
      </c>
      <c r="L15" s="93">
        <f t="shared" si="0"/>
        <v>0</v>
      </c>
      <c r="M15" s="93">
        <f t="shared" si="0"/>
        <v>0</v>
      </c>
      <c r="N15" s="94">
        <f t="shared" si="1"/>
        <v>0</v>
      </c>
      <c r="O15" s="94">
        <f t="shared" si="2"/>
        <v>0</v>
      </c>
      <c r="P15" s="94">
        <f t="shared" si="3"/>
        <v>0</v>
      </c>
      <c r="Q15" s="94">
        <f t="shared" si="4"/>
        <v>0</v>
      </c>
      <c r="R15" s="94">
        <f t="shared" si="5"/>
        <v>0</v>
      </c>
      <c r="S15" s="94">
        <f t="shared" si="6"/>
        <v>0</v>
      </c>
      <c r="T15" s="95">
        <f t="shared" si="7"/>
        <v>0</v>
      </c>
      <c r="U15" s="95">
        <f t="shared" si="8"/>
        <v>0</v>
      </c>
      <c r="V15" s="96">
        <f>(IF((OR((P15="&gt;23"),(Q15="&gt;23"))),2,(IF(((T15+U15)=(P15+Q15)),0,1))))</f>
        <v>0</v>
      </c>
      <c r="W15" s="97">
        <f t="shared" si="25"/>
        <v>0</v>
      </c>
      <c r="X15" s="120">
        <f t="shared" si="30"/>
        <v>0</v>
      </c>
      <c r="Y15" s="95">
        <f t="shared" si="31"/>
        <v>0</v>
      </c>
      <c r="Z15" s="98">
        <f t="shared" si="9"/>
        <v>0</v>
      </c>
      <c r="AA15" s="99">
        <f t="shared" si="10"/>
        <v>0</v>
      </c>
      <c r="AB15" s="100">
        <f>IF(X15=0,0,VLOOKUP(X15,FREQUENCIAS!$1:$1048576,(IF(($A15=FREQUENCIAS!$H$1),8,"ERRO")),FREQUENCIAS!$1:$1048576))</f>
        <v>0</v>
      </c>
      <c r="AC15" s="100">
        <f>IF(Y15=0,0,VLOOKUP(Y15,FREQUENCIAS!$1:$1048576,(IF(($A15=FREQUENCIAS!$H$1),8,"ERRO")),FREQUENCIAS!$1:$1048576))</f>
        <v>0</v>
      </c>
      <c r="AD15" s="100"/>
      <c r="AE15" s="100"/>
      <c r="AF15" s="100"/>
      <c r="AG15" s="101">
        <f>(IF((A15="ERRO-FT"),"8",((IF((AND(($Z15=0),($AA15=0),($AX$32="N"))),0,(IF((AND(($Z15=0),($AA15=0),(AX$32="S"))),1,(IF((AB15+AC15+AD15+AE15+AF15)&lt;=$AI$7,$AI$7,(AB15+AC15+AD15+AE15+AF15))))))))))</f>
        <v>0</v>
      </c>
      <c r="AH15" s="102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3">
        <f t="shared" si="11"/>
        <v>0</v>
      </c>
      <c r="AJ15" s="104"/>
      <c r="AK15" s="105">
        <f t="shared" si="12"/>
        <v>1</v>
      </c>
      <c r="AL15" s="104"/>
      <c r="AM15" s="106" t="str">
        <f t="shared" si="13"/>
        <v>EXCLUI</v>
      </c>
      <c r="AN15" s="97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1">
        <f t="shared" si="16"/>
        <v>0</v>
      </c>
      <c r="BD15" s="2">
        <f t="shared" si="27"/>
        <v>1</v>
      </c>
      <c r="BF15" s="53">
        <v>8</v>
      </c>
      <c r="BG15" s="53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7" t="str">
        <f t="shared" si="17"/>
        <v/>
      </c>
      <c r="BJ15" s="57">
        <f t="shared" si="18"/>
        <v>0</v>
      </c>
      <c r="BK15" s="57">
        <f t="shared" si="19"/>
        <v>0</v>
      </c>
      <c r="BL15" s="60" t="str">
        <f t="shared" si="20"/>
        <v/>
      </c>
      <c r="BM15" s="60">
        <f t="shared" si="21"/>
        <v>0</v>
      </c>
      <c r="BN15" s="60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 x14ac:dyDescent="0.3">
      <c r="A16" s="272" t="s">
        <v>155</v>
      </c>
      <c r="B16" s="273">
        <f>'PD0101'!F16</f>
        <v>0</v>
      </c>
      <c r="C16" s="273">
        <f>'PD0101'!G16</f>
        <v>0</v>
      </c>
      <c r="D16" s="273">
        <f>'PD0101'!D16</f>
        <v>0</v>
      </c>
      <c r="E16" s="273">
        <f>'PD0101'!E16</f>
        <v>0</v>
      </c>
      <c r="F16" s="273">
        <f>'PD0101'!B16</f>
        <v>0</v>
      </c>
      <c r="G16" s="273">
        <f>'PD0101'!C16</f>
        <v>0</v>
      </c>
      <c r="H16" s="93">
        <f t="shared" si="0"/>
        <v>0</v>
      </c>
      <c r="I16" s="93">
        <f t="shared" si="0"/>
        <v>0</v>
      </c>
      <c r="J16" s="93">
        <f t="shared" si="0"/>
        <v>0</v>
      </c>
      <c r="K16" s="93">
        <f t="shared" si="0"/>
        <v>0</v>
      </c>
      <c r="L16" s="93">
        <f t="shared" si="0"/>
        <v>0</v>
      </c>
      <c r="M16" s="93">
        <f t="shared" si="0"/>
        <v>0</v>
      </c>
      <c r="N16" s="94">
        <f t="shared" si="1"/>
        <v>0</v>
      </c>
      <c r="O16" s="94">
        <f t="shared" si="2"/>
        <v>0</v>
      </c>
      <c r="P16" s="94">
        <f t="shared" si="3"/>
        <v>0</v>
      </c>
      <c r="Q16" s="94">
        <f t="shared" si="4"/>
        <v>0</v>
      </c>
      <c r="R16" s="94">
        <f t="shared" si="5"/>
        <v>0</v>
      </c>
      <c r="S16" s="94">
        <f t="shared" si="6"/>
        <v>0</v>
      </c>
      <c r="T16" s="95">
        <f t="shared" si="7"/>
        <v>0</v>
      </c>
      <c r="U16" s="95">
        <f t="shared" si="8"/>
        <v>0</v>
      </c>
      <c r="V16" s="96">
        <f>(IF((OR((P16="&gt;22"),(Q16="&gt;22"))),2,(IF(((T16+U16)=(P16+Q16)),0,1))))</f>
        <v>0</v>
      </c>
      <c r="W16" s="97">
        <f t="shared" si="25"/>
        <v>0</v>
      </c>
      <c r="X16" s="120">
        <f t="shared" si="30"/>
        <v>0</v>
      </c>
      <c r="Y16" s="95">
        <f t="shared" si="31"/>
        <v>0</v>
      </c>
      <c r="Z16" s="98">
        <f t="shared" si="9"/>
        <v>0</v>
      </c>
      <c r="AA16" s="99">
        <f t="shared" si="10"/>
        <v>0</v>
      </c>
      <c r="AB16" s="100">
        <f>IF(X16=0,0,VLOOKUP(X16,FREQUENCIAS!$1:$1048576,(IF(($A16=FREQUENCIAS!$I$1),9,"ERRO")),FREQUENCIAS!$1:$1048576))</f>
        <v>0</v>
      </c>
      <c r="AC16" s="100">
        <f>IF(Y16=0,0,VLOOKUP(Y16,FREQUENCIAS!$1:$1048576,(IF(($A16=FREQUENCIAS!$I$1),9,"ERRO")),FREQUENCIAS!$1:$1048576))</f>
        <v>0</v>
      </c>
      <c r="AD16" s="100"/>
      <c r="AE16" s="100"/>
      <c r="AF16" s="100"/>
      <c r="AG16" s="101">
        <f>(IF((A16="ERRO-FT"),"5",((IF((AND(($Z16=0),($AA16=0),($AX$32="N"))),0,(IF((AND(($Z16=0),($AA16=0),(AX$32="S"))),1,(IF((AB16+AC16+AD16+AE16+AF16)&lt;=$AI$7,$AI$7,(AB16+AC16+AD16+AE16+AF16))))))))))</f>
        <v>0</v>
      </c>
      <c r="AH16" s="102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3">
        <f t="shared" si="11"/>
        <v>0</v>
      </c>
      <c r="AJ16" s="104"/>
      <c r="AK16" s="105">
        <f t="shared" si="12"/>
        <v>1</v>
      </c>
      <c r="AL16" s="104"/>
      <c r="AM16" s="106" t="str">
        <f t="shared" si="13"/>
        <v>EXCLUI</v>
      </c>
      <c r="AN16" s="97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1">
        <f t="shared" si="16"/>
        <v>0</v>
      </c>
      <c r="BD16" s="2">
        <f t="shared" si="27"/>
        <v>1</v>
      </c>
      <c r="BF16" s="53">
        <v>5</v>
      </c>
      <c r="BG16" s="53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7" t="str">
        <f t="shared" si="17"/>
        <v/>
      </c>
      <c r="BJ16" s="57">
        <f t="shared" si="18"/>
        <v>0</v>
      </c>
      <c r="BK16" s="57">
        <f t="shared" si="19"/>
        <v>0</v>
      </c>
      <c r="BL16" s="60" t="str">
        <f t="shared" si="20"/>
        <v/>
      </c>
      <c r="BM16" s="60">
        <f t="shared" si="21"/>
        <v>0</v>
      </c>
      <c r="BN16" s="60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 x14ac:dyDescent="0.3">
      <c r="A17" s="272" t="s">
        <v>51</v>
      </c>
      <c r="B17" s="273">
        <f>'PD0101'!F17</f>
        <v>0</v>
      </c>
      <c r="C17" s="273">
        <f>'PD0101'!G17</f>
        <v>0</v>
      </c>
      <c r="D17" s="273">
        <f>'PD0101'!D17</f>
        <v>0</v>
      </c>
      <c r="E17" s="273">
        <f>'PD0101'!E17</f>
        <v>0</v>
      </c>
      <c r="F17" s="273">
        <f>'PD0101'!B17</f>
        <v>0</v>
      </c>
      <c r="G17" s="273">
        <f>'PD0101'!C17</f>
        <v>0</v>
      </c>
      <c r="H17" s="93">
        <f t="shared" si="0"/>
        <v>0</v>
      </c>
      <c r="I17" s="93">
        <f t="shared" si="0"/>
        <v>0</v>
      </c>
      <c r="J17" s="93">
        <f t="shared" si="0"/>
        <v>0</v>
      </c>
      <c r="K17" s="93">
        <f t="shared" si="0"/>
        <v>0</v>
      </c>
      <c r="L17" s="93">
        <f t="shared" si="0"/>
        <v>0</v>
      </c>
      <c r="M17" s="93">
        <f t="shared" si="0"/>
        <v>0</v>
      </c>
      <c r="N17" s="94">
        <f t="shared" si="1"/>
        <v>0</v>
      </c>
      <c r="O17" s="94">
        <f t="shared" si="2"/>
        <v>0</v>
      </c>
      <c r="P17" s="94">
        <f t="shared" si="3"/>
        <v>0</v>
      </c>
      <c r="Q17" s="94">
        <f t="shared" si="4"/>
        <v>0</v>
      </c>
      <c r="R17" s="94">
        <f t="shared" si="5"/>
        <v>0</v>
      </c>
      <c r="S17" s="94">
        <f t="shared" si="6"/>
        <v>0</v>
      </c>
      <c r="T17" s="95">
        <f t="shared" si="7"/>
        <v>0</v>
      </c>
      <c r="U17" s="95">
        <f t="shared" si="8"/>
        <v>0</v>
      </c>
      <c r="V17" s="96">
        <f>(IF((OR((P17="&gt;28"),(Q17="&gt;28"))),2,(IF(((T17+U17)=(P17+Q17)),0,1))))</f>
        <v>0</v>
      </c>
      <c r="W17" s="97">
        <f t="shared" si="25"/>
        <v>0</v>
      </c>
      <c r="X17" s="120">
        <f t="shared" si="30"/>
        <v>0</v>
      </c>
      <c r="Y17" s="95">
        <f t="shared" si="31"/>
        <v>0</v>
      </c>
      <c r="Z17" s="98">
        <f t="shared" si="9"/>
        <v>0</v>
      </c>
      <c r="AA17" s="99">
        <f t="shared" si="10"/>
        <v>0</v>
      </c>
      <c r="AB17" s="100">
        <f>IF(X17=0,0,VLOOKUP(X17,FREQUENCIAS!$1:$1048576,(IF(($A17=FREQUENCIAS!$J$1),10,"ERRO")),FREQUENCIAS!$1:$1048576))</f>
        <v>0</v>
      </c>
      <c r="AC17" s="100">
        <f>IF(Y17=0,0,VLOOKUP(Y17,FREQUENCIAS!$1:$1048576,(IF(($A17=FREQUENCIAS!$J$1),10,"ERRO")),FREQUENCIAS!$1:$1048576))</f>
        <v>0</v>
      </c>
      <c r="AD17" s="100"/>
      <c r="AE17" s="100"/>
      <c r="AF17" s="100"/>
      <c r="AG17" s="101">
        <f>(IF((A17="ERRO-FT"),"15",((IF((AND(($Z17=0),($AA17=0),($AX$32="N"))),0,(IF((AND(($Z17=0),($AA17=0),(AX$32="S"))),1,(IF((AB17+AC17+AD17+AE17+AF17)&lt;=$AI$7,$AI$7,(AB17+AC17+AD17+AE17+AF17))))))))))</f>
        <v>0</v>
      </c>
      <c r="AH17" s="102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3">
        <f t="shared" si="11"/>
        <v>0</v>
      </c>
      <c r="AJ17" s="104" t="s">
        <v>173</v>
      </c>
      <c r="AK17" s="105">
        <f t="shared" si="12"/>
        <v>1</v>
      </c>
      <c r="AL17" s="104"/>
      <c r="AM17" s="106" t="str">
        <f t="shared" si="13"/>
        <v>EXCLUI</v>
      </c>
      <c r="AN17" s="97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1">
        <f t="shared" si="16"/>
        <v>0</v>
      </c>
      <c r="BD17" s="2">
        <f t="shared" si="27"/>
        <v>1</v>
      </c>
      <c r="BF17" s="53">
        <v>15</v>
      </c>
      <c r="BG17" s="53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7" t="str">
        <f t="shared" si="17"/>
        <v/>
      </c>
      <c r="BJ17" s="57">
        <f t="shared" si="18"/>
        <v>0</v>
      </c>
      <c r="BK17" s="57">
        <f t="shared" si="19"/>
        <v>0</v>
      </c>
      <c r="BL17" s="60" t="str">
        <f t="shared" si="20"/>
        <v/>
      </c>
      <c r="BM17" s="60">
        <f t="shared" si="21"/>
        <v>0</v>
      </c>
      <c r="BN17" s="60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 x14ac:dyDescent="0.3">
      <c r="A18" s="272" t="s">
        <v>132</v>
      </c>
      <c r="B18" s="273">
        <f>'PD0101'!F18</f>
        <v>0</v>
      </c>
      <c r="C18" s="273">
        <f>'PD0101'!G18</f>
        <v>0</v>
      </c>
      <c r="D18" s="273">
        <f>'PD0101'!D18</f>
        <v>0</v>
      </c>
      <c r="E18" s="273">
        <f>'PD0101'!E18</f>
        <v>0</v>
      </c>
      <c r="F18" s="273">
        <f>'PD0101'!B18</f>
        <v>0</v>
      </c>
      <c r="G18" s="273">
        <f>'PD0101'!C18</f>
        <v>0</v>
      </c>
      <c r="H18" s="93">
        <f t="shared" si="0"/>
        <v>0</v>
      </c>
      <c r="I18" s="93">
        <f t="shared" si="0"/>
        <v>0</v>
      </c>
      <c r="J18" s="93">
        <f t="shared" si="0"/>
        <v>0</v>
      </c>
      <c r="K18" s="93">
        <f t="shared" si="0"/>
        <v>0</v>
      </c>
      <c r="L18" s="93">
        <f t="shared" si="0"/>
        <v>0</v>
      </c>
      <c r="M18" s="93">
        <f t="shared" si="0"/>
        <v>0</v>
      </c>
      <c r="N18" s="94">
        <f t="shared" si="1"/>
        <v>0</v>
      </c>
      <c r="O18" s="94">
        <f t="shared" si="2"/>
        <v>0</v>
      </c>
      <c r="P18" s="94">
        <f t="shared" si="3"/>
        <v>0</v>
      </c>
      <c r="Q18" s="94">
        <f t="shared" si="4"/>
        <v>0</v>
      </c>
      <c r="R18" s="94">
        <f t="shared" si="5"/>
        <v>0</v>
      </c>
      <c r="S18" s="94">
        <f t="shared" si="6"/>
        <v>0</v>
      </c>
      <c r="T18" s="95">
        <f t="shared" si="7"/>
        <v>0</v>
      </c>
      <c r="U18" s="95">
        <f t="shared" si="8"/>
        <v>0</v>
      </c>
      <c r="V18" s="96">
        <f>(IF((OR((P18="&gt;17,2"),(Q18="&gt;17,2"))),2,(IF(((T18+U18)=(P18+Q18)),0,1))))</f>
        <v>0</v>
      </c>
      <c r="W18" s="97">
        <f t="shared" si="25"/>
        <v>0</v>
      </c>
      <c r="X18" s="120">
        <f t="shared" si="30"/>
        <v>0</v>
      </c>
      <c r="Y18" s="95">
        <f t="shared" si="31"/>
        <v>0</v>
      </c>
      <c r="Z18" s="98">
        <f t="shared" si="9"/>
        <v>0</v>
      </c>
      <c r="AA18" s="99">
        <f t="shared" si="10"/>
        <v>0</v>
      </c>
      <c r="AB18" s="100">
        <f>IF(X18=0,0,VLOOKUP(X18,FREQUENCIAS!$1:$1048576,(IF(($A18=FREQUENCIAS!$K$1),11,"ERRO")),FREQUENCIAS!$1:$1048576))</f>
        <v>0</v>
      </c>
      <c r="AC18" s="100">
        <f>IF(Y18=0,0,VLOOKUP(Y18,FREQUENCIAS!$1:$1048576,(IF(($A18=FREQUENCIAS!$K$1),11,"ERRO")),FREQUENCIAS!$1:$1048576))</f>
        <v>0</v>
      </c>
      <c r="AD18" s="100"/>
      <c r="AE18" s="100"/>
      <c r="AF18" s="100"/>
      <c r="AG18" s="101">
        <f>(IF((A18="ERRO-FT"),"9",((IF((AND(($Z18=0),($AA18=0),($AX$32="N"))),0,(IF((AND(($Z18=0),($AA18=0),(AX$32="S"))),1,(IF((AB18+AC18+AD18+AE18+AF18)&lt;=$AI$7,$AI$7,(AB18+AC18+AD18+AE18+AF18))))))))))</f>
        <v>0</v>
      </c>
      <c r="AH18" s="102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3">
        <f t="shared" si="11"/>
        <v>0</v>
      </c>
      <c r="AJ18" s="104"/>
      <c r="AK18" s="105">
        <f t="shared" si="12"/>
        <v>1</v>
      </c>
      <c r="AL18" s="104"/>
      <c r="AM18" s="106" t="str">
        <f t="shared" si="13"/>
        <v>EXCLUI</v>
      </c>
      <c r="AN18" s="97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1">
        <f t="shared" si="16"/>
        <v>0</v>
      </c>
      <c r="BD18" s="2">
        <f t="shared" si="27"/>
        <v>1</v>
      </c>
      <c r="BF18" s="53">
        <v>9</v>
      </c>
      <c r="BG18" s="53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7" t="str">
        <f t="shared" si="17"/>
        <v/>
      </c>
      <c r="BJ18" s="57">
        <f t="shared" si="18"/>
        <v>0</v>
      </c>
      <c r="BK18" s="57">
        <f t="shared" si="19"/>
        <v>0</v>
      </c>
      <c r="BL18" s="60" t="str">
        <f t="shared" si="20"/>
        <v/>
      </c>
      <c r="BM18" s="60">
        <f t="shared" si="21"/>
        <v>0</v>
      </c>
      <c r="BN18" s="60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 x14ac:dyDescent="0.3">
      <c r="A19" s="272" t="s">
        <v>220</v>
      </c>
      <c r="B19" s="273">
        <f>'PD0101'!F19</f>
        <v>0</v>
      </c>
      <c r="C19" s="273">
        <f>'PD0101'!G19</f>
        <v>0</v>
      </c>
      <c r="D19" s="273">
        <f>'PD0101'!D19</f>
        <v>0</v>
      </c>
      <c r="E19" s="273">
        <f>'PD0101'!E19</f>
        <v>0</v>
      </c>
      <c r="F19" s="273">
        <f>'PD0101'!B19</f>
        <v>0</v>
      </c>
      <c r="G19" s="273">
        <f>'PD0101'!C19</f>
        <v>0</v>
      </c>
      <c r="H19" s="93">
        <f t="shared" si="0"/>
        <v>0</v>
      </c>
      <c r="I19" s="93">
        <f t="shared" si="0"/>
        <v>0</v>
      </c>
      <c r="J19" s="93">
        <f t="shared" si="0"/>
        <v>0</v>
      </c>
      <c r="K19" s="93">
        <f t="shared" si="0"/>
        <v>0</v>
      </c>
      <c r="L19" s="93">
        <f t="shared" si="0"/>
        <v>0</v>
      </c>
      <c r="M19" s="93">
        <f t="shared" si="0"/>
        <v>0</v>
      </c>
      <c r="N19" s="94">
        <f t="shared" si="1"/>
        <v>0</v>
      </c>
      <c r="O19" s="94">
        <f t="shared" si="2"/>
        <v>0</v>
      </c>
      <c r="P19" s="94">
        <f t="shared" si="3"/>
        <v>0</v>
      </c>
      <c r="Q19" s="94">
        <f t="shared" si="4"/>
        <v>0</v>
      </c>
      <c r="R19" s="94">
        <f t="shared" si="5"/>
        <v>0</v>
      </c>
      <c r="S19" s="94">
        <f t="shared" si="6"/>
        <v>0</v>
      </c>
      <c r="T19" s="95">
        <f t="shared" si="7"/>
        <v>0</v>
      </c>
      <c r="U19" s="95">
        <f t="shared" si="8"/>
        <v>0</v>
      </c>
      <c r="V19" s="96">
        <f>(IF((OR((P19="&gt;21"),(Q19="&gt;21"))),2,(IF(((T19+U19)=(P19+Q19)),0,1))))</f>
        <v>0</v>
      </c>
      <c r="W19" s="97">
        <f t="shared" si="25"/>
        <v>0</v>
      </c>
      <c r="X19" s="120">
        <f t="shared" si="30"/>
        <v>0</v>
      </c>
      <c r="Y19" s="95">
        <f t="shared" si="31"/>
        <v>0</v>
      </c>
      <c r="Z19" s="98">
        <f t="shared" si="9"/>
        <v>0</v>
      </c>
      <c r="AA19" s="99">
        <f t="shared" si="10"/>
        <v>0</v>
      </c>
      <c r="AB19" s="100">
        <f>IF(X19=0,0,VLOOKUP(X19,FREQUENCIAS!$1:$1048576,(IF(($A19=FREQUENCIAS!$L$1),12,"ERRO")),FREQUENCIAS!$1:$1048576))</f>
        <v>0</v>
      </c>
      <c r="AC19" s="100">
        <f>IF(Y19=0,0,VLOOKUP(Y19,FREQUENCIAS!$1:$1048576,(IF(($A19=FREQUENCIAS!$L$1),12,"ERRO")),FREQUENCIAS!$1:$1048576))</f>
        <v>0</v>
      </c>
      <c r="AD19" s="100"/>
      <c r="AE19" s="100"/>
      <c r="AF19" s="100"/>
      <c r="AG19" s="101">
        <f>(IF((A19="ERRO-FT"),"11",((IF((AND(($Z19=0),($AA19=0),($AX$32="N"))),0,(IF((AND(($Z19=0),($AA19=0),(AX$32="S"))),1,(IF((AB19+AC19+AD19+AE19+AF19)&lt;=$AI$7,$AI$7,(AB19+AC19+AD19+AE19+AF19))))))))))</f>
        <v>0</v>
      </c>
      <c r="AH19" s="102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3">
        <f t="shared" si="11"/>
        <v>0</v>
      </c>
      <c r="AJ19" s="104" t="s">
        <v>164</v>
      </c>
      <c r="AK19" s="105">
        <f t="shared" si="12"/>
        <v>1</v>
      </c>
      <c r="AL19" s="104"/>
      <c r="AM19" s="106" t="str">
        <f t="shared" si="13"/>
        <v>EXCLUI</v>
      </c>
      <c r="AN19" s="97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1">
        <f t="shared" si="16"/>
        <v>0</v>
      </c>
      <c r="BD19" s="2">
        <f t="shared" si="27"/>
        <v>1</v>
      </c>
      <c r="BF19" s="53">
        <v>11</v>
      </c>
      <c r="BG19" s="53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7" t="str">
        <f t="shared" si="17"/>
        <v/>
      </c>
      <c r="BJ19" s="57">
        <f t="shared" si="18"/>
        <v>0</v>
      </c>
      <c r="BK19" s="57">
        <f t="shared" si="19"/>
        <v>0</v>
      </c>
      <c r="BL19" s="60" t="str">
        <f t="shared" si="20"/>
        <v/>
      </c>
      <c r="BM19" s="60">
        <f t="shared" si="21"/>
        <v>0</v>
      </c>
      <c r="BN19" s="60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 x14ac:dyDescent="0.3">
      <c r="A20" s="272" t="s">
        <v>144</v>
      </c>
      <c r="B20" s="273">
        <f>'PD0101'!F20</f>
        <v>0</v>
      </c>
      <c r="C20" s="273">
        <f>'PD0101'!G20</f>
        <v>0</v>
      </c>
      <c r="D20" s="273">
        <f>'PD0101'!D20</f>
        <v>0</v>
      </c>
      <c r="E20" s="273">
        <f>'PD0101'!E20</f>
        <v>0</v>
      </c>
      <c r="F20" s="273">
        <f>'PD0101'!B20</f>
        <v>0</v>
      </c>
      <c r="G20" s="273">
        <f>'PD0101'!C20</f>
        <v>0</v>
      </c>
      <c r="H20" s="93">
        <f t="shared" si="0"/>
        <v>0</v>
      </c>
      <c r="I20" s="93">
        <f t="shared" si="0"/>
        <v>0</v>
      </c>
      <c r="J20" s="93">
        <f t="shared" si="0"/>
        <v>0</v>
      </c>
      <c r="K20" s="93">
        <f t="shared" si="0"/>
        <v>0</v>
      </c>
      <c r="L20" s="93">
        <f t="shared" si="0"/>
        <v>0</v>
      </c>
      <c r="M20" s="93">
        <f t="shared" si="0"/>
        <v>0</v>
      </c>
      <c r="N20" s="94">
        <f t="shared" si="1"/>
        <v>0</v>
      </c>
      <c r="O20" s="94">
        <f t="shared" si="2"/>
        <v>0</v>
      </c>
      <c r="P20" s="94">
        <f t="shared" si="3"/>
        <v>0</v>
      </c>
      <c r="Q20" s="94">
        <f t="shared" si="4"/>
        <v>0</v>
      </c>
      <c r="R20" s="94">
        <f t="shared" si="5"/>
        <v>0</v>
      </c>
      <c r="S20" s="94">
        <f t="shared" si="6"/>
        <v>0</v>
      </c>
      <c r="T20" s="95">
        <f t="shared" si="7"/>
        <v>0</v>
      </c>
      <c r="U20" s="95">
        <f t="shared" si="8"/>
        <v>0</v>
      </c>
      <c r="V20" s="96">
        <f>(IF((OR((P20="&gt;20"),(Q20="&gt;20"))),2,(IF(((T20+U20)=(P20+Q20)),0,1))))</f>
        <v>0</v>
      </c>
      <c r="W20" s="97">
        <f t="shared" si="25"/>
        <v>0</v>
      </c>
      <c r="X20" s="120">
        <f t="shared" si="30"/>
        <v>0</v>
      </c>
      <c r="Y20" s="95">
        <f t="shared" si="31"/>
        <v>0</v>
      </c>
      <c r="Z20" s="98">
        <f t="shared" si="9"/>
        <v>0</v>
      </c>
      <c r="AA20" s="99">
        <f t="shared" si="10"/>
        <v>0</v>
      </c>
      <c r="AB20" s="100">
        <f>IF(X20=0,0,VLOOKUP(X20,FREQUENCIAS!$1:$1048576,(IF(($A20=FREQUENCIAS!$M$1),13,"ERRO")),FREQUENCIAS!$1:$1048576))</f>
        <v>0</v>
      </c>
      <c r="AC20" s="100">
        <f>IF(Y20=0,0,VLOOKUP(Y20,FREQUENCIAS!$1:$1048576,(IF(($A20=FREQUENCIAS!$M$1),13,"ERRO")),FREQUENCIAS!$1:$1048576))</f>
        <v>0</v>
      </c>
      <c r="AD20" s="100"/>
      <c r="AE20" s="100"/>
      <c r="AF20" s="100"/>
      <c r="AG20" s="101">
        <f>(IF((A20="ERRO-FT"),"5",((IF((AND(($Z20=0),($AA20=0),($AX$32="N"))),0,(IF((AND(($Z20=0),($AA20=0),(AX$32="S"))),1,(IF((AB20+AC20+AD20+AE20+AF20)&lt;=$AI$7,$AI$7,(AB20+AC20+AD20+AE20+AF20))))))))))</f>
        <v>0</v>
      </c>
      <c r="AH20" s="102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3">
        <f t="shared" si="11"/>
        <v>0</v>
      </c>
      <c r="AJ20" s="104"/>
      <c r="AK20" s="105">
        <f t="shared" si="12"/>
        <v>1</v>
      </c>
      <c r="AL20" s="104"/>
      <c r="AM20" s="106" t="str">
        <f t="shared" si="13"/>
        <v>EXCLUI</v>
      </c>
      <c r="AN20" s="97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1">
        <f t="shared" si="16"/>
        <v>0</v>
      </c>
      <c r="BD20" s="2">
        <f t="shared" si="27"/>
        <v>1</v>
      </c>
      <c r="BF20" s="53">
        <v>5</v>
      </c>
      <c r="BG20" s="53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7" t="str">
        <f t="shared" si="17"/>
        <v/>
      </c>
      <c r="BJ20" s="57">
        <f t="shared" si="18"/>
        <v>0</v>
      </c>
      <c r="BK20" s="57">
        <f t="shared" si="19"/>
        <v>0</v>
      </c>
      <c r="BL20" s="60" t="str">
        <f t="shared" si="20"/>
        <v/>
      </c>
      <c r="BM20" s="60">
        <f t="shared" si="21"/>
        <v>0</v>
      </c>
      <c r="BN20" s="60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 x14ac:dyDescent="0.3">
      <c r="A21" s="272" t="s">
        <v>179</v>
      </c>
      <c r="B21" s="273">
        <f>'PD0101'!F21</f>
        <v>0</v>
      </c>
      <c r="C21" s="273">
        <f>'PD0101'!G21</f>
        <v>0</v>
      </c>
      <c r="D21" s="273">
        <f>'PD0101'!D21</f>
        <v>0</v>
      </c>
      <c r="E21" s="273">
        <f>'PD0101'!E21</f>
        <v>0</v>
      </c>
      <c r="F21" s="273">
        <f>'PD0101'!B21</f>
        <v>0</v>
      </c>
      <c r="G21" s="273">
        <f>'PD0101'!C21</f>
        <v>0</v>
      </c>
      <c r="H21" s="93">
        <f t="shared" si="0"/>
        <v>0</v>
      </c>
      <c r="I21" s="93">
        <f t="shared" si="0"/>
        <v>0</v>
      </c>
      <c r="J21" s="93">
        <f t="shared" si="0"/>
        <v>0</v>
      </c>
      <c r="K21" s="93">
        <f t="shared" si="0"/>
        <v>0</v>
      </c>
      <c r="L21" s="93">
        <f t="shared" si="0"/>
        <v>0</v>
      </c>
      <c r="M21" s="93">
        <f t="shared" si="0"/>
        <v>0</v>
      </c>
      <c r="N21" s="94">
        <f t="shared" si="1"/>
        <v>0</v>
      </c>
      <c r="O21" s="94">
        <f t="shared" si="2"/>
        <v>0</v>
      </c>
      <c r="P21" s="94">
        <f t="shared" si="3"/>
        <v>0</v>
      </c>
      <c r="Q21" s="94">
        <f t="shared" si="4"/>
        <v>0</v>
      </c>
      <c r="R21" s="94">
        <f t="shared" si="5"/>
        <v>0</v>
      </c>
      <c r="S21" s="94">
        <f t="shared" si="6"/>
        <v>0</v>
      </c>
      <c r="T21" s="95">
        <f t="shared" si="7"/>
        <v>0</v>
      </c>
      <c r="U21" s="95">
        <f t="shared" si="8"/>
        <v>0</v>
      </c>
      <c r="V21" s="96">
        <f>(IF((OR((P21="&gt;24"),(Q21="&gt;24"))),2,(IF(((T21+U21)=(P21+Q21)),0,1))))</f>
        <v>0</v>
      </c>
      <c r="W21" s="97">
        <f t="shared" si="25"/>
        <v>0</v>
      </c>
      <c r="X21" s="120">
        <f t="shared" si="30"/>
        <v>0</v>
      </c>
      <c r="Y21" s="95">
        <f t="shared" si="31"/>
        <v>0</v>
      </c>
      <c r="Z21" s="98">
        <f t="shared" si="9"/>
        <v>0</v>
      </c>
      <c r="AA21" s="99">
        <f t="shared" si="10"/>
        <v>0</v>
      </c>
      <c r="AB21" s="100">
        <f>IF(X21=0,0,VLOOKUP(X21,FREQUENCIAS!$1:$1048576,(IF(($A21=FREQUENCIAS!$N$1),14,"ERRO")),FREQUENCIAS!$1:$1048576))</f>
        <v>0</v>
      </c>
      <c r="AC21" s="100">
        <f>IF(Y21=0,0,VLOOKUP(Y21,FREQUENCIAS!$1:$1048576,(IF(($A21=FREQUENCIAS!$N$1),14,"ERRO")),FREQUENCIAS!$1:$1048576))</f>
        <v>0</v>
      </c>
      <c r="AD21" s="100"/>
      <c r="AE21" s="100"/>
      <c r="AF21" s="100"/>
      <c r="AG21" s="101">
        <f>(IF((A21="ERRO-FT"),"7",((IF((AND(($Z21=0),($AA21=0),($AX$32="N"))),0,(IF((AND(($Z21=0),($AA21=0),(AX$32="S"))),1,(IF((AB21+AC21+AD21+AE21+AF21)&lt;=$AI$7,$AI$7,(AB21+AC21+AD21+AE21+AF21))))))))))</f>
        <v>0</v>
      </c>
      <c r="AH21" s="102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3">
        <f t="shared" si="11"/>
        <v>0</v>
      </c>
      <c r="AJ21" s="104"/>
      <c r="AK21" s="105">
        <f t="shared" si="12"/>
        <v>1</v>
      </c>
      <c r="AL21" s="104"/>
      <c r="AM21" s="106" t="str">
        <f t="shared" si="13"/>
        <v>EXCLUI</v>
      </c>
      <c r="AN21" s="97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1">
        <f t="shared" si="16"/>
        <v>0</v>
      </c>
      <c r="BD21" s="2">
        <f t="shared" si="27"/>
        <v>1</v>
      </c>
      <c r="BF21" s="53">
        <v>7</v>
      </c>
      <c r="BG21" s="53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7" t="str">
        <f t="shared" si="17"/>
        <v/>
      </c>
      <c r="BJ21" s="57">
        <f t="shared" si="18"/>
        <v>0</v>
      </c>
      <c r="BK21" s="57">
        <f t="shared" si="19"/>
        <v>0</v>
      </c>
      <c r="BL21" s="60" t="str">
        <f t="shared" si="20"/>
        <v/>
      </c>
      <c r="BM21" s="60">
        <f t="shared" si="21"/>
        <v>0</v>
      </c>
      <c r="BN21" s="60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 x14ac:dyDescent="0.3">
      <c r="A22" s="272" t="s">
        <v>154</v>
      </c>
      <c r="B22" s="273">
        <f>'PD0101'!F22</f>
        <v>0</v>
      </c>
      <c r="C22" s="273">
        <f>'PD0101'!G22</f>
        <v>0</v>
      </c>
      <c r="D22" s="273">
        <f>'PD0101'!D22</f>
        <v>0</v>
      </c>
      <c r="E22" s="273">
        <f>'PD0101'!E22</f>
        <v>0</v>
      </c>
      <c r="F22" s="273">
        <f>'PD0101'!B22</f>
        <v>0</v>
      </c>
      <c r="G22" s="273">
        <f>'PD0101'!C22</f>
        <v>0</v>
      </c>
      <c r="H22" s="93">
        <f t="shared" si="0"/>
        <v>0</v>
      </c>
      <c r="I22" s="93">
        <f t="shared" si="0"/>
        <v>0</v>
      </c>
      <c r="J22" s="93">
        <f t="shared" si="0"/>
        <v>0</v>
      </c>
      <c r="K22" s="93">
        <f t="shared" si="0"/>
        <v>0</v>
      </c>
      <c r="L22" s="93">
        <f t="shared" si="0"/>
        <v>0</v>
      </c>
      <c r="M22" s="93">
        <f t="shared" si="0"/>
        <v>0</v>
      </c>
      <c r="N22" s="94">
        <f t="shared" si="1"/>
        <v>0</v>
      </c>
      <c r="O22" s="94">
        <f t="shared" si="2"/>
        <v>0</v>
      </c>
      <c r="P22" s="94">
        <f t="shared" si="3"/>
        <v>0</v>
      </c>
      <c r="Q22" s="94">
        <f t="shared" si="4"/>
        <v>0</v>
      </c>
      <c r="R22" s="94">
        <f t="shared" si="5"/>
        <v>0</v>
      </c>
      <c r="S22" s="94">
        <f t="shared" si="6"/>
        <v>0</v>
      </c>
      <c r="T22" s="95">
        <f t="shared" si="7"/>
        <v>0</v>
      </c>
      <c r="U22" s="95">
        <f t="shared" si="8"/>
        <v>0</v>
      </c>
      <c r="V22" s="96">
        <f>(IF((OR((P22="&gt;22"),(Q22="&gt;22"))),2,(IF(((T22+U22)=(P22+Q22)),0,1))))</f>
        <v>0</v>
      </c>
      <c r="W22" s="97">
        <f t="shared" si="25"/>
        <v>0</v>
      </c>
      <c r="X22" s="120">
        <f t="shared" si="30"/>
        <v>0</v>
      </c>
      <c r="Y22" s="95">
        <f t="shared" si="31"/>
        <v>0</v>
      </c>
      <c r="Z22" s="98">
        <f t="shared" si="9"/>
        <v>0</v>
      </c>
      <c r="AA22" s="99">
        <f t="shared" si="10"/>
        <v>0</v>
      </c>
      <c r="AB22" s="100">
        <f>IF(X22=0,0,VLOOKUP(X22,FREQUENCIAS!$1:$1048576,(IF(($A22=FREQUENCIAS!$O$1),15,"ERRO")),FREQUENCIAS!$1:$1048576))</f>
        <v>0</v>
      </c>
      <c r="AC22" s="100">
        <f>IF(Y22=0,0,VLOOKUP(Y22,FREQUENCIAS!$1:$1048576,(IF(($A22=FREQUENCIAS!$O$1),15,"ERRO")),FREQUENCIAS!$1:$1048576))</f>
        <v>0</v>
      </c>
      <c r="AD22" s="100"/>
      <c r="AE22" s="100"/>
      <c r="AF22" s="100"/>
      <c r="AG22" s="101">
        <f>(IF((A22="ERRO-FT"),"7",((IF((AND(($Z22=0),($AA22=0),($AX$32="N"))),0,(IF((AND(($Z22=0),($AA22=0),(AX$32="S"))),1,(IF((AB22+AC22+AD22+AE22+AF22)&lt;=$AI$7,$AI$7,(AB22+AC22+AD22+AE22+AF22))))))))))</f>
        <v>0</v>
      </c>
      <c r="AH22" s="102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3">
        <f t="shared" si="11"/>
        <v>0</v>
      </c>
      <c r="AJ22" s="104"/>
      <c r="AK22" s="105">
        <f t="shared" si="12"/>
        <v>1</v>
      </c>
      <c r="AL22" s="104"/>
      <c r="AM22" s="106" t="str">
        <f t="shared" si="13"/>
        <v>EXCLUI</v>
      </c>
      <c r="AN22" s="97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1">
        <f t="shared" si="16"/>
        <v>0</v>
      </c>
      <c r="BD22" s="2">
        <f t="shared" si="27"/>
        <v>1</v>
      </c>
      <c r="BF22" s="53">
        <v>7</v>
      </c>
      <c r="BG22" s="53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7" t="str">
        <f t="shared" si="17"/>
        <v/>
      </c>
      <c r="BJ22" s="57">
        <f t="shared" si="18"/>
        <v>0</v>
      </c>
      <c r="BK22" s="57">
        <f t="shared" si="19"/>
        <v>0</v>
      </c>
      <c r="BL22" s="60" t="str">
        <f t="shared" si="20"/>
        <v/>
      </c>
      <c r="BM22" s="60">
        <f t="shared" si="21"/>
        <v>0</v>
      </c>
      <c r="BN22" s="60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 x14ac:dyDescent="0.3">
      <c r="A23" s="272" t="s">
        <v>158</v>
      </c>
      <c r="B23" s="273">
        <f>'PD0101'!F23</f>
        <v>0</v>
      </c>
      <c r="C23" s="273">
        <f>'PD0101'!G23</f>
        <v>0</v>
      </c>
      <c r="D23" s="273">
        <f>'PD0101'!D23</f>
        <v>0</v>
      </c>
      <c r="E23" s="273">
        <f>'PD0101'!E23</f>
        <v>0</v>
      </c>
      <c r="F23" s="273">
        <f>'PD0101'!B23</f>
        <v>0</v>
      </c>
      <c r="G23" s="273">
        <f>'PD0101'!C23</f>
        <v>0</v>
      </c>
      <c r="H23" s="93">
        <f t="shared" si="0"/>
        <v>0</v>
      </c>
      <c r="I23" s="93">
        <f t="shared" si="0"/>
        <v>0</v>
      </c>
      <c r="J23" s="93">
        <f t="shared" si="0"/>
        <v>0</v>
      </c>
      <c r="K23" s="93">
        <f t="shared" si="0"/>
        <v>0</v>
      </c>
      <c r="L23" s="93">
        <f t="shared" si="0"/>
        <v>0</v>
      </c>
      <c r="M23" s="93">
        <f t="shared" si="0"/>
        <v>0</v>
      </c>
      <c r="N23" s="94">
        <f t="shared" si="1"/>
        <v>0</v>
      </c>
      <c r="O23" s="94">
        <f t="shared" si="2"/>
        <v>0</v>
      </c>
      <c r="P23" s="94">
        <f t="shared" si="3"/>
        <v>0</v>
      </c>
      <c r="Q23" s="94">
        <f t="shared" si="4"/>
        <v>0</v>
      </c>
      <c r="R23" s="94">
        <f t="shared" si="5"/>
        <v>0</v>
      </c>
      <c r="S23" s="94">
        <f t="shared" si="6"/>
        <v>0</v>
      </c>
      <c r="T23" s="95">
        <f t="shared" si="7"/>
        <v>0</v>
      </c>
      <c r="U23" s="95">
        <f t="shared" si="8"/>
        <v>0</v>
      </c>
      <c r="V23" s="96">
        <f>(IF((OR((P23="&gt;32"),(Q23="&gt;32"))),2,(IF(((T23+U23)=(P23+Q23)),0,1))))</f>
        <v>0</v>
      </c>
      <c r="W23" s="97">
        <f t="shared" si="25"/>
        <v>0</v>
      </c>
      <c r="X23" s="120">
        <f t="shared" si="30"/>
        <v>0</v>
      </c>
      <c r="Y23" s="95">
        <f t="shared" si="31"/>
        <v>0</v>
      </c>
      <c r="Z23" s="98">
        <f t="shared" si="9"/>
        <v>0</v>
      </c>
      <c r="AA23" s="99">
        <f t="shared" si="10"/>
        <v>0</v>
      </c>
      <c r="AB23" s="100">
        <f>IF(X23=0,0,VLOOKUP(X23,FREQUENCIAS!$1:$1048576,(IF(($A23=FREQUENCIAS!$P$1),16,"ERRO")),FREQUENCIAS!$1:$1048576))</f>
        <v>0</v>
      </c>
      <c r="AC23" s="100">
        <f>IF(Y23=0,0,VLOOKUP(Y23,FREQUENCIAS!$1:$1048576,(IF(($A23=FREQUENCIAS!$P$1),16,"ERRO")),FREQUENCIAS!$1:$1048576))</f>
        <v>0</v>
      </c>
      <c r="AD23" s="100"/>
      <c r="AE23" s="100"/>
      <c r="AF23" s="100"/>
      <c r="AG23" s="101">
        <f>(IF((A23="ERRO-FT"),"16",((IF((AND(($Z23=0),($AA23=0),($AX$32="N"))),0,(IF((AND(($Z23=0),($AA23=0),(AX$32="S"))),1,(IF((AB23+AC23+AD23+AE23+AF23)&lt;=$AI$7,$AI$7,(AB23+AC23+AD23+AE23+AF23))))))))))</f>
        <v>0</v>
      </c>
      <c r="AH23" s="102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3">
        <f t="shared" si="11"/>
        <v>0</v>
      </c>
      <c r="AJ23" s="104" t="s">
        <v>173</v>
      </c>
      <c r="AK23" s="105">
        <f t="shared" si="12"/>
        <v>1</v>
      </c>
      <c r="AL23" s="104"/>
      <c r="AM23" s="106" t="str">
        <f t="shared" si="13"/>
        <v>EXCLUI</v>
      </c>
      <c r="AN23" s="97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1">
        <f t="shared" si="16"/>
        <v>0</v>
      </c>
      <c r="BD23" s="2">
        <f t="shared" si="27"/>
        <v>1</v>
      </c>
      <c r="BF23" s="53">
        <v>17</v>
      </c>
      <c r="BG23" s="53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4" t="str">
        <f t="shared" si="20"/>
        <v/>
      </c>
      <c r="BM23" s="64">
        <f t="shared" si="21"/>
        <v>0</v>
      </c>
      <c r="BN23" s="64">
        <f t="shared" si="22"/>
        <v>0</v>
      </c>
      <c r="BO23" s="65" t="str">
        <f t="shared" si="28"/>
        <v/>
      </c>
      <c r="BP23" s="65">
        <f t="shared" si="23"/>
        <v>0</v>
      </c>
      <c r="BQ23" s="65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 x14ac:dyDescent="0.3">
      <c r="A24" s="272" t="s">
        <v>156</v>
      </c>
      <c r="B24" s="273">
        <f>'PD0101'!F24</f>
        <v>0</v>
      </c>
      <c r="C24" s="273">
        <f>'PD0101'!G24</f>
        <v>0</v>
      </c>
      <c r="D24" s="273">
        <f>'PD0101'!D24</f>
        <v>0</v>
      </c>
      <c r="E24" s="273">
        <f>'PD0101'!E24</f>
        <v>0</v>
      </c>
      <c r="F24" s="273">
        <f>'PD0101'!B24</f>
        <v>0</v>
      </c>
      <c r="G24" s="273">
        <f>'PD0101'!C24</f>
        <v>0</v>
      </c>
      <c r="H24" s="93">
        <f t="shared" si="0"/>
        <v>0</v>
      </c>
      <c r="I24" s="93">
        <f t="shared" si="0"/>
        <v>0</v>
      </c>
      <c r="J24" s="93">
        <f t="shared" si="0"/>
        <v>0</v>
      </c>
      <c r="K24" s="93">
        <f t="shared" si="0"/>
        <v>0</v>
      </c>
      <c r="L24" s="93">
        <f t="shared" si="0"/>
        <v>0</v>
      </c>
      <c r="M24" s="93">
        <f t="shared" si="0"/>
        <v>0</v>
      </c>
      <c r="N24" s="94">
        <f t="shared" si="1"/>
        <v>0</v>
      </c>
      <c r="O24" s="94">
        <f t="shared" si="2"/>
        <v>0</v>
      </c>
      <c r="P24" s="94">
        <f t="shared" si="3"/>
        <v>0</v>
      </c>
      <c r="Q24" s="94">
        <f t="shared" si="4"/>
        <v>0</v>
      </c>
      <c r="R24" s="94">
        <f t="shared" si="5"/>
        <v>0</v>
      </c>
      <c r="S24" s="94">
        <f t="shared" si="6"/>
        <v>0</v>
      </c>
      <c r="T24" s="95">
        <f t="shared" si="7"/>
        <v>0</v>
      </c>
      <c r="U24" s="95">
        <f t="shared" si="8"/>
        <v>0</v>
      </c>
      <c r="V24" s="96">
        <f>(IF((OR((P24="&gt;18"),(Q24="&gt;18"))),2,(IF(((T24+U24)=(P24+Q24)),0,1))))</f>
        <v>0</v>
      </c>
      <c r="W24" s="97">
        <f>IF(OR(($T24=$U24),($U24=0)),$T24,(IF(AND(($T24=0),($U24&lt;&gt;0)),$U24,$AJ$7)))</f>
        <v>0</v>
      </c>
      <c r="X24" s="120">
        <f t="shared" si="30"/>
        <v>0</v>
      </c>
      <c r="Y24" s="95">
        <f>(IF((AND(($T24=0),($U24=0))),$E24,(IF(($W24&lt;&gt;$AJ$7),0,$Q24))))</f>
        <v>0</v>
      </c>
      <c r="Z24" s="98">
        <f t="shared" si="9"/>
        <v>0</v>
      </c>
      <c r="AA24" s="99">
        <f t="shared" si="10"/>
        <v>0</v>
      </c>
      <c r="AB24" s="100">
        <f>IF(X24=0,0,VLOOKUP(X24,FREQUENCIAS!$1:$1048576,(IF(($A24=FREQUENCIAS!$Q$1),17,"ERRO")),FREQUENCIAS!$1:$1048576))</f>
        <v>0</v>
      </c>
      <c r="AC24" s="100">
        <f>IF(Y24=0,0,VLOOKUP(Y24,FREQUENCIAS!$1:$1048576,(IF(($A24=FREQUENCIAS!$Q$1),17,"ERRO")),FREQUENCIAS!$1:$1048576))</f>
        <v>0</v>
      </c>
      <c r="AD24" s="100"/>
      <c r="AE24" s="100"/>
      <c r="AF24" s="100"/>
      <c r="AG24" s="101">
        <f>(IF((A24="ERRO-FT"),"8",((IF((AND(($Z24=0),($AA24=0),($AX$32="N"))),0,(IF((AND(($Z24=0),($AA24=0),(AX$32="S"))),1,(IF((AB24+AC24+AD24+AE24+AF24)&lt;=$AI$7,$AI$7,(AB24+AC24+AD24+AE24+AF24))))))))))</f>
        <v>0</v>
      </c>
      <c r="AH24" s="102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3">
        <f t="shared" si="11"/>
        <v>0</v>
      </c>
      <c r="AJ24" s="104"/>
      <c r="AK24" s="105">
        <f t="shared" si="12"/>
        <v>1</v>
      </c>
      <c r="AL24" s="104"/>
      <c r="AM24" s="106" t="str">
        <f t="shared" si="13"/>
        <v>EXCLUI</v>
      </c>
      <c r="AN24" s="97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1">
        <f t="shared" si="16"/>
        <v>0</v>
      </c>
      <c r="BD24" s="2">
        <f>IF((W24=0),1,0)</f>
        <v>1</v>
      </c>
      <c r="BE24" s="68"/>
      <c r="BF24" s="52">
        <v>8</v>
      </c>
      <c r="BG24" s="52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7" t="str">
        <f t="shared" si="17"/>
        <v/>
      </c>
      <c r="BJ24" s="57">
        <f t="shared" si="18"/>
        <v>0</v>
      </c>
      <c r="BK24" s="57">
        <f t="shared" si="19"/>
        <v>0</v>
      </c>
      <c r="BL24" s="60" t="str">
        <f t="shared" si="20"/>
        <v/>
      </c>
      <c r="BM24" s="60">
        <f t="shared" si="21"/>
        <v>0</v>
      </c>
      <c r="BN24" s="60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 x14ac:dyDescent="0.3">
      <c r="A25" s="272" t="s">
        <v>142</v>
      </c>
      <c r="B25" s="273">
        <f>'PD0101'!F25</f>
        <v>0</v>
      </c>
      <c r="C25" s="273">
        <f>'PD0101'!G25</f>
        <v>0</v>
      </c>
      <c r="D25" s="273">
        <f>'PD0101'!D25</f>
        <v>0</v>
      </c>
      <c r="E25" s="273">
        <f>'PD0101'!E25</f>
        <v>0</v>
      </c>
      <c r="F25" s="273">
        <f>'PD0101'!B25</f>
        <v>0</v>
      </c>
      <c r="G25" s="273">
        <f>'PD0101'!C25</f>
        <v>0</v>
      </c>
      <c r="H25" s="93">
        <f t="shared" ref="H25:M30" si="33">(IF(CODE(B25)=(60),($BF25-1),(IF(CODE(B25)=(62),($BG25+1),B25))))</f>
        <v>0</v>
      </c>
      <c r="I25" s="93">
        <f t="shared" si="33"/>
        <v>0</v>
      </c>
      <c r="J25" s="93">
        <f t="shared" si="33"/>
        <v>0</v>
      </c>
      <c r="K25" s="93">
        <f t="shared" si="33"/>
        <v>0</v>
      </c>
      <c r="L25" s="93">
        <f t="shared" si="33"/>
        <v>0</v>
      </c>
      <c r="M25" s="93">
        <f t="shared" si="33"/>
        <v>0</v>
      </c>
      <c r="N25" s="94">
        <f t="shared" si="1"/>
        <v>0</v>
      </c>
      <c r="O25" s="94">
        <f t="shared" si="2"/>
        <v>0</v>
      </c>
      <c r="P25" s="94">
        <f t="shared" si="3"/>
        <v>0</v>
      </c>
      <c r="Q25" s="94">
        <f t="shared" si="4"/>
        <v>0</v>
      </c>
      <c r="R25" s="94">
        <f t="shared" si="5"/>
        <v>0</v>
      </c>
      <c r="S25" s="94">
        <f t="shared" si="6"/>
        <v>0</v>
      </c>
      <c r="T25" s="95">
        <f t="shared" si="7"/>
        <v>0</v>
      </c>
      <c r="U25" s="95">
        <f t="shared" si="8"/>
        <v>0</v>
      </c>
      <c r="V25" s="96">
        <f>(IF((OR((P25="&gt;36"),(Q25="&gt;36"))),2,(IF(((T25+U25)=(P25+Q25)),0,1))))</f>
        <v>0</v>
      </c>
      <c r="W25" s="97">
        <f t="shared" ref="W25:W30" si="34">IF(OR((T25=U25),(U25=0)),T25,(IF(AND((T25=0),(U25&lt;&gt;0)),U25,$AJ$7)))</f>
        <v>0</v>
      </c>
      <c r="X25" s="120">
        <f t="shared" si="30"/>
        <v>0</v>
      </c>
      <c r="Y25" s="95">
        <f>(IF((AND((T25=0),(U25=0))),E25,(IF((W25&lt;&gt;$AJ$7),0,Q25))))</f>
        <v>0</v>
      </c>
      <c r="Z25" s="98">
        <f t="shared" si="9"/>
        <v>0</v>
      </c>
      <c r="AA25" s="99">
        <f t="shared" si="10"/>
        <v>0</v>
      </c>
      <c r="AB25" s="100">
        <f>IF(X25=0,0,VLOOKUP(X25,FREQUENCIAS!$1:$1048576,(IF(($A25=FREQUENCIAS!$R$1),18,"ERRO")),FREQUENCIAS!$1:$1048576))</f>
        <v>0</v>
      </c>
      <c r="AC25" s="100">
        <f>IF(Y25=0,0,VLOOKUP(Y25,FREQUENCIAS!$1:$1048576,(IF(($A25=FREQUENCIAS!$R$1),18,"ERRO")),FREQUENCIAS!$1:$1048576))</f>
        <v>0</v>
      </c>
      <c r="AD25" s="100"/>
      <c r="AE25" s="100"/>
      <c r="AF25" s="100"/>
      <c r="AG25" s="101">
        <f>(IF((A25="ERRO-FT"),"24",((IF((AND(($Z25=0),($AA25=0),($AX$32="N"))),0,(IF((AND(($Z25=0),($AA25=0),(AX$32="S"))),1,(IF((AB25+AC25+AD25+AE25+AF25)&lt;=$AI$7,$AI$7,(AB25+AC25+AD25+AE25+AF25))))))))))</f>
        <v>0</v>
      </c>
      <c r="AH25" s="102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3">
        <f t="shared" si="11"/>
        <v>0</v>
      </c>
      <c r="AJ25" s="104"/>
      <c r="AK25" s="105">
        <f t="shared" si="12"/>
        <v>1</v>
      </c>
      <c r="AL25" s="104"/>
      <c r="AM25" s="106" t="str">
        <f t="shared" si="13"/>
        <v>EXCLUI</v>
      </c>
      <c r="AN25" s="97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1">
        <f t="shared" si="16"/>
        <v>0</v>
      </c>
      <c r="BD25" s="2">
        <f t="shared" ref="BD25:BD30" si="35">IF((W25=0),1,0)</f>
        <v>1</v>
      </c>
      <c r="BF25" s="53">
        <v>24</v>
      </c>
      <c r="BG25" s="53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7" t="str">
        <f t="shared" si="17"/>
        <v/>
      </c>
      <c r="BJ25" s="57">
        <f t="shared" si="18"/>
        <v>0</v>
      </c>
      <c r="BK25" s="57">
        <f t="shared" si="19"/>
        <v>0</v>
      </c>
      <c r="BL25" s="60" t="str">
        <f t="shared" si="20"/>
        <v/>
      </c>
      <c r="BM25" s="66">
        <f t="shared" si="21"/>
        <v>0</v>
      </c>
      <c r="BN25" s="60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 x14ac:dyDescent="0.3">
      <c r="A26" s="272" t="s">
        <v>153</v>
      </c>
      <c r="B26" s="273">
        <f>'PD0101'!F26</f>
        <v>0</v>
      </c>
      <c r="C26" s="273">
        <f>'PD0101'!G26</f>
        <v>0</v>
      </c>
      <c r="D26" s="273">
        <f>'PD0101'!D26</f>
        <v>0</v>
      </c>
      <c r="E26" s="273">
        <f>'PD0101'!E26</f>
        <v>0</v>
      </c>
      <c r="F26" s="273">
        <f>'PD0101'!B26</f>
        <v>0</v>
      </c>
      <c r="G26" s="273">
        <f>'PD0101'!C26</f>
        <v>0</v>
      </c>
      <c r="H26" s="93">
        <f t="shared" si="33"/>
        <v>0</v>
      </c>
      <c r="I26" s="93">
        <f t="shared" si="33"/>
        <v>0</v>
      </c>
      <c r="J26" s="93">
        <f t="shared" si="33"/>
        <v>0</v>
      </c>
      <c r="K26" s="93">
        <f t="shared" si="33"/>
        <v>0</v>
      </c>
      <c r="L26" s="93">
        <f t="shared" si="33"/>
        <v>0</v>
      </c>
      <c r="M26" s="93">
        <f t="shared" si="33"/>
        <v>0</v>
      </c>
      <c r="N26" s="94">
        <f t="shared" si="1"/>
        <v>0</v>
      </c>
      <c r="O26" s="94">
        <f t="shared" si="2"/>
        <v>0</v>
      </c>
      <c r="P26" s="94">
        <f t="shared" si="3"/>
        <v>0</v>
      </c>
      <c r="Q26" s="94">
        <f t="shared" si="4"/>
        <v>0</v>
      </c>
      <c r="R26" s="94">
        <f t="shared" si="5"/>
        <v>0</v>
      </c>
      <c r="S26" s="94">
        <f t="shared" si="6"/>
        <v>0</v>
      </c>
      <c r="T26" s="95">
        <f t="shared" si="7"/>
        <v>0</v>
      </c>
      <c r="U26" s="95">
        <f t="shared" si="8"/>
        <v>0</v>
      </c>
      <c r="V26" s="96">
        <f>(IF((OR((P26="&gt;21"),(Q26="&gt;21"))),2,(IF(((T26+U26)=(P26+Q26)),0,1))))</f>
        <v>0</v>
      </c>
      <c r="W26" s="95">
        <f t="shared" si="34"/>
        <v>0</v>
      </c>
      <c r="X26" s="120">
        <f t="shared" si="30"/>
        <v>0</v>
      </c>
      <c r="Y26" s="95">
        <f xml:space="preserve"> (IF((AND((T26=0),(U26=0))),E26,(IF((W26&lt;&gt;$AJ$7),0,Q26))))</f>
        <v>0</v>
      </c>
      <c r="Z26" s="98">
        <f t="shared" si="9"/>
        <v>0</v>
      </c>
      <c r="AA26" s="99">
        <f t="shared" si="10"/>
        <v>0</v>
      </c>
      <c r="AB26" s="100">
        <f>IF(X26=0,0,VLOOKUP(X26,FREQUENCIAS!$1:$1048576,(IF(($A26=FREQUENCIAS!$S$1),19,"ERRO")),FREQUENCIAS!$1:$1048576))</f>
        <v>0</v>
      </c>
      <c r="AC26" s="100">
        <f>IF(Y26=0,0,VLOOKUP(Y26,FREQUENCIAS!$1:$1048576,(IF(($A26=FREQUENCIAS!$S$1),19,"ERRO")),FREQUENCIAS!$1:$1048576))</f>
        <v>0</v>
      </c>
      <c r="AD26" s="100"/>
      <c r="AE26" s="100"/>
      <c r="AF26" s="100"/>
      <c r="AG26" s="101">
        <f>(IF((A26="ERRO-FT"),"6",((IF((AND(($Z26=0),($AA26=0),($AX$32="N"))),0,(IF((AND(($Z26=0),($AA26=0),(AX$32="S"))),1,(IF((AB26+AC26+AD26+AE26+AF26)&lt;=$AI$7,$AI$7,(AB26+AC26+AD26+AE26+AF26))))))))))</f>
        <v>0</v>
      </c>
      <c r="AH26" s="102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3">
        <f t="shared" si="11"/>
        <v>0</v>
      </c>
      <c r="AJ26" s="104" t="s">
        <v>140</v>
      </c>
      <c r="AK26" s="105">
        <f t="shared" si="12"/>
        <v>1</v>
      </c>
      <c r="AL26" s="104"/>
      <c r="AM26" s="106" t="str">
        <f t="shared" si="13"/>
        <v>EXCLUI</v>
      </c>
      <c r="AN26" s="97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1">
        <f t="shared" si="16"/>
        <v>0</v>
      </c>
      <c r="BD26" s="2">
        <f t="shared" si="35"/>
        <v>1</v>
      </c>
      <c r="BF26" s="53">
        <v>6</v>
      </c>
      <c r="BG26" s="53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7" t="str">
        <f t="shared" si="17"/>
        <v/>
      </c>
      <c r="BJ26" s="57">
        <f t="shared" si="18"/>
        <v>0</v>
      </c>
      <c r="BK26" s="57">
        <f t="shared" si="19"/>
        <v>0</v>
      </c>
      <c r="BL26" s="60" t="str">
        <f t="shared" si="20"/>
        <v/>
      </c>
      <c r="BM26" s="60">
        <f t="shared" si="21"/>
        <v>0</v>
      </c>
      <c r="BN26" s="60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 x14ac:dyDescent="0.3">
      <c r="A27" s="272" t="s">
        <v>217</v>
      </c>
      <c r="B27" s="273">
        <f>'PD0101'!F27</f>
        <v>0</v>
      </c>
      <c r="C27" s="273">
        <f>'PD0101'!G27</f>
        <v>0</v>
      </c>
      <c r="D27" s="273">
        <f>'PD0101'!D27</f>
        <v>0</v>
      </c>
      <c r="E27" s="273">
        <f>'PD0101'!E27</f>
        <v>0</v>
      </c>
      <c r="F27" s="273">
        <f>'PD0101'!B27</f>
        <v>0</v>
      </c>
      <c r="G27" s="273">
        <f>'PD0101'!C27</f>
        <v>0</v>
      </c>
      <c r="H27" s="93">
        <f t="shared" si="33"/>
        <v>0</v>
      </c>
      <c r="I27" s="93">
        <f t="shared" si="33"/>
        <v>0</v>
      </c>
      <c r="J27" s="93">
        <f t="shared" si="33"/>
        <v>0</v>
      </c>
      <c r="K27" s="93">
        <f t="shared" si="33"/>
        <v>0</v>
      </c>
      <c r="L27" s="93">
        <f t="shared" si="33"/>
        <v>0</v>
      </c>
      <c r="M27" s="93">
        <f t="shared" si="33"/>
        <v>0</v>
      </c>
      <c r="N27" s="94">
        <f t="shared" si="1"/>
        <v>0</v>
      </c>
      <c r="O27" s="94">
        <f t="shared" si="2"/>
        <v>0</v>
      </c>
      <c r="P27" s="94">
        <f t="shared" si="3"/>
        <v>0</v>
      </c>
      <c r="Q27" s="94">
        <f t="shared" si="4"/>
        <v>0</v>
      </c>
      <c r="R27" s="94">
        <f t="shared" si="5"/>
        <v>0</v>
      </c>
      <c r="S27" s="94">
        <f t="shared" si="6"/>
        <v>0</v>
      </c>
      <c r="T27" s="95">
        <f t="shared" si="7"/>
        <v>0</v>
      </c>
      <c r="U27" s="95">
        <f t="shared" si="8"/>
        <v>0</v>
      </c>
      <c r="V27" s="96">
        <f>(IF((OR((P27="&gt;21"),(Q27="&gt;21"))),2,(IF(((T27+U27)=(P27+Q27)),0,1))))</f>
        <v>0</v>
      </c>
      <c r="W27" s="97">
        <f t="shared" si="34"/>
        <v>0</v>
      </c>
      <c r="X27" s="120">
        <f t="shared" si="30"/>
        <v>0</v>
      </c>
      <c r="Y27" s="95">
        <f>(IF((AND((T27=0),(U27=0))),E27,(IF((W27&lt;&gt;$AJ$7),0,Q27))))</f>
        <v>0</v>
      </c>
      <c r="Z27" s="98">
        <f t="shared" si="9"/>
        <v>0</v>
      </c>
      <c r="AA27" s="99">
        <f t="shared" si="10"/>
        <v>0</v>
      </c>
      <c r="AB27" s="100">
        <f>IF(X27=0,0,VLOOKUP(X27,FREQUENCIAS!$1:$1048576,(IF(($A27=FREQUENCIAS!$T$1),20,"ERRO")),FREQUENCIAS!$1:$1048576))</f>
        <v>0</v>
      </c>
      <c r="AC27" s="100">
        <f>IF(Y27=0,0,VLOOKUP(Y27,FREQUENCIAS!$1:$1048576,(IF(($A27=FREQUENCIAS!$T$1),20,"ERRO")),FREQUENCIAS!$1:$1048576))</f>
        <v>0</v>
      </c>
      <c r="AD27" s="100"/>
      <c r="AE27" s="100"/>
      <c r="AF27" s="100"/>
      <c r="AG27" s="101">
        <f>(IF((A27="ERRO-FT"),"11",((IF((AND(($Z27=0),($AA27=0),($AX$32="N"))),0,(IF((AND(($Z27=0),($AA27=0),(AX$32="S"))),1,(IF((AB27+AC27+AD27+AE27+AF27)&lt;=$AI$7,$AI$7,(AB27+AC27+AD27+AE27+AF27))))))))))</f>
        <v>0</v>
      </c>
      <c r="AH27" s="102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3">
        <f t="shared" si="11"/>
        <v>0</v>
      </c>
      <c r="AJ27" s="104" t="s">
        <v>163</v>
      </c>
      <c r="AK27" s="276">
        <f t="shared" si="12"/>
        <v>1</v>
      </c>
      <c r="AL27" s="104"/>
      <c r="AM27" s="106" t="str">
        <f t="shared" si="13"/>
        <v>EXCLUI</v>
      </c>
      <c r="AN27" s="97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0</v>
      </c>
      <c r="BC27" s="41">
        <f t="shared" si="16"/>
        <v>0</v>
      </c>
      <c r="BD27" s="2">
        <f t="shared" si="35"/>
        <v>1</v>
      </c>
      <c r="BF27" s="53">
        <v>12</v>
      </c>
      <c r="BG27" s="53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7" t="str">
        <f t="shared" si="17"/>
        <v/>
      </c>
      <c r="BJ27" s="57">
        <f t="shared" si="18"/>
        <v>0</v>
      </c>
      <c r="BK27" s="57">
        <f t="shared" si="19"/>
        <v>0</v>
      </c>
      <c r="BL27" s="60" t="str">
        <f t="shared" si="20"/>
        <v/>
      </c>
      <c r="BM27" s="60">
        <f t="shared" si="21"/>
        <v>0</v>
      </c>
      <c r="BN27" s="60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 x14ac:dyDescent="0.3">
      <c r="A28" s="272" t="s">
        <v>52</v>
      </c>
      <c r="B28" s="273">
        <f>'PD0101'!F28</f>
        <v>0</v>
      </c>
      <c r="C28" s="273">
        <f>'PD0101'!G28</f>
        <v>0</v>
      </c>
      <c r="D28" s="273">
        <f>'PD0101'!D28</f>
        <v>0</v>
      </c>
      <c r="E28" s="273">
        <f>'PD0101'!E28</f>
        <v>0</v>
      </c>
      <c r="F28" s="273">
        <f>'PD0101'!B28</f>
        <v>0</v>
      </c>
      <c r="G28" s="273">
        <f>'PD0101'!C28</f>
        <v>0</v>
      </c>
      <c r="H28" s="93">
        <f t="shared" si="33"/>
        <v>0</v>
      </c>
      <c r="I28" s="93">
        <f t="shared" si="33"/>
        <v>0</v>
      </c>
      <c r="J28" s="93">
        <f t="shared" si="33"/>
        <v>0</v>
      </c>
      <c r="K28" s="93">
        <f t="shared" si="33"/>
        <v>0</v>
      </c>
      <c r="L28" s="93">
        <f t="shared" si="33"/>
        <v>0</v>
      </c>
      <c r="M28" s="93">
        <f t="shared" si="33"/>
        <v>0</v>
      </c>
      <c r="N28" s="94">
        <f t="shared" si="1"/>
        <v>0</v>
      </c>
      <c r="O28" s="94">
        <f t="shared" si="2"/>
        <v>0</v>
      </c>
      <c r="P28" s="94">
        <f t="shared" si="3"/>
        <v>0</v>
      </c>
      <c r="Q28" s="94">
        <f t="shared" si="4"/>
        <v>0</v>
      </c>
      <c r="R28" s="94">
        <f t="shared" si="5"/>
        <v>0</v>
      </c>
      <c r="S28" s="94">
        <f t="shared" si="6"/>
        <v>0</v>
      </c>
      <c r="T28" s="95">
        <f t="shared" si="7"/>
        <v>0</v>
      </c>
      <c r="U28" s="95">
        <f t="shared" si="8"/>
        <v>0</v>
      </c>
      <c r="V28" s="96">
        <f>(IF((OR((P28="&gt;20"),(Q28="&gt;20"))),2,(IF(((T28+U28)=(P28+Q28)),0,1))))</f>
        <v>0</v>
      </c>
      <c r="W28" s="97">
        <f t="shared" si="34"/>
        <v>0</v>
      </c>
      <c r="X28" s="120">
        <f t="shared" si="30"/>
        <v>0</v>
      </c>
      <c r="Y28" s="95">
        <f>(IF((AND((T28=0),(U28=0))),E28,(IF((W28&lt;&gt;$AJ$7),0,Q28))))</f>
        <v>0</v>
      </c>
      <c r="Z28" s="98">
        <f t="shared" si="9"/>
        <v>0</v>
      </c>
      <c r="AA28" s="99">
        <f t="shared" si="10"/>
        <v>0</v>
      </c>
      <c r="AB28" s="100">
        <f>IF(X28=0,0,VLOOKUP(X28,FREQUENCIAS!$1:$1048576,(IF(($A28=FREQUENCIAS!$U$1),21,"ERRO")),FREQUENCIAS!$1:$1048576))</f>
        <v>0</v>
      </c>
      <c r="AC28" s="100">
        <f>IF(Y28=0,0,VLOOKUP(Y28,FREQUENCIAS!$1:$1048576,(IF(($A28=FREQUENCIAS!$U$1),21,"ERRO")),FREQUENCIAS!$1:$1048576))</f>
        <v>0</v>
      </c>
      <c r="AD28" s="100"/>
      <c r="AE28" s="100"/>
      <c r="AF28" s="100"/>
      <c r="AG28" s="101">
        <f>(IF((A28="ERRO-FT"),"4",((IF((AND(($Z28=0),($AA28=0),($AX$32="N"))),0,(IF((AND(($Z28=0),($AA28=0),(AX$32="S"))),1,(IF((AB28+AC28+AD28+AE28+AF28)&lt;=$AI$7,$AI$7,(AB28+AC28+AD28+AE28+AF28))))))))))</f>
        <v>0</v>
      </c>
      <c r="AH28" s="102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3">
        <f t="shared" si="11"/>
        <v>0</v>
      </c>
      <c r="AJ28" s="104"/>
      <c r="AK28" s="105">
        <f t="shared" si="12"/>
        <v>1</v>
      </c>
      <c r="AL28" s="104"/>
      <c r="AM28" s="106" t="str">
        <f t="shared" si="13"/>
        <v>EXCLUI</v>
      </c>
      <c r="AN28" s="97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1">
        <f t="shared" si="16"/>
        <v>0</v>
      </c>
      <c r="BD28" s="2">
        <f t="shared" si="35"/>
        <v>1</v>
      </c>
      <c r="BF28" s="53">
        <v>4</v>
      </c>
      <c r="BG28" s="53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7" t="str">
        <f t="shared" si="17"/>
        <v/>
      </c>
      <c r="BJ28" s="57">
        <f t="shared" si="18"/>
        <v>0</v>
      </c>
      <c r="BK28" s="57">
        <f t="shared" si="19"/>
        <v>0</v>
      </c>
      <c r="BL28" s="60" t="str">
        <f t="shared" si="20"/>
        <v/>
      </c>
      <c r="BM28" s="60">
        <f t="shared" si="21"/>
        <v>0</v>
      </c>
      <c r="BN28" s="60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 x14ac:dyDescent="0.3">
      <c r="A29" s="272" t="s">
        <v>152</v>
      </c>
      <c r="B29" s="273">
        <f>'PD0101'!F29</f>
        <v>0</v>
      </c>
      <c r="C29" s="273">
        <f>'PD0101'!G29</f>
        <v>0</v>
      </c>
      <c r="D29" s="273">
        <f>'PD0101'!D29</f>
        <v>0</v>
      </c>
      <c r="E29" s="273">
        <f>'PD0101'!E29</f>
        <v>0</v>
      </c>
      <c r="F29" s="273">
        <f>'PD0101'!B29</f>
        <v>0</v>
      </c>
      <c r="G29" s="273">
        <f>'PD0101'!C29</f>
        <v>0</v>
      </c>
      <c r="H29" s="93">
        <f t="shared" si="33"/>
        <v>0</v>
      </c>
      <c r="I29" s="93">
        <f t="shared" si="33"/>
        <v>0</v>
      </c>
      <c r="J29" s="93">
        <f t="shared" si="33"/>
        <v>0</v>
      </c>
      <c r="K29" s="93">
        <f t="shared" si="33"/>
        <v>0</v>
      </c>
      <c r="L29" s="93">
        <f t="shared" si="33"/>
        <v>0</v>
      </c>
      <c r="M29" s="93">
        <f t="shared" si="33"/>
        <v>0</v>
      </c>
      <c r="N29" s="94">
        <f t="shared" si="1"/>
        <v>0</v>
      </c>
      <c r="O29" s="94">
        <f t="shared" si="2"/>
        <v>0</v>
      </c>
      <c r="P29" s="94">
        <f t="shared" si="3"/>
        <v>0</v>
      </c>
      <c r="Q29" s="94">
        <f t="shared" si="4"/>
        <v>0</v>
      </c>
      <c r="R29" s="94">
        <f t="shared" si="5"/>
        <v>0</v>
      </c>
      <c r="S29" s="94">
        <f t="shared" si="6"/>
        <v>0</v>
      </c>
      <c r="T29" s="95">
        <f t="shared" si="7"/>
        <v>0</v>
      </c>
      <c r="U29" s="95">
        <f t="shared" si="8"/>
        <v>0</v>
      </c>
      <c r="V29" s="96">
        <f>(IF((OR((P29="&gt;23"),(Q29="&gt;23"))),2,(IF(((T29+U29)=(P29+Q29)),0,1))))</f>
        <v>0</v>
      </c>
      <c r="W29" s="97">
        <f t="shared" si="34"/>
        <v>0</v>
      </c>
      <c r="X29" s="120">
        <f t="shared" si="30"/>
        <v>0</v>
      </c>
      <c r="Y29" s="95">
        <f>(IF((AND((T29=0),(U29=0))),E29,(IF((W29&lt;&gt;$AJ$7),0,Q29))))</f>
        <v>0</v>
      </c>
      <c r="Z29" s="98">
        <f t="shared" si="9"/>
        <v>0</v>
      </c>
      <c r="AA29" s="99">
        <f t="shared" si="10"/>
        <v>0</v>
      </c>
      <c r="AB29" s="100">
        <f>IF(X29=0,0,VLOOKUP(X29,FREQUENCIAS!$1:$1048576,(IF(($A29=FREQUENCIAS!$V$1),22,"ERRO")),FREQUENCIAS!$1:$1048576))</f>
        <v>0</v>
      </c>
      <c r="AC29" s="100">
        <f>IF(Y29=0,0,VLOOKUP(Y29,FREQUENCIAS!$1:$1048576,(IF(($A29=FREQUENCIAS!$V$1),22,"ERRO")),FREQUENCIAS!$1:$1048576))</f>
        <v>0</v>
      </c>
      <c r="AD29" s="100"/>
      <c r="AE29" s="100"/>
      <c r="AF29" s="100"/>
      <c r="AG29" s="101">
        <f>(IF((A29="ERRO-FT"),"8",((IF((AND(($Z29=0),($AA29=0),($AX$32="N"))),0,(IF((AND(($Z29=0),($AA29=0),(AX$32="S"))),1,(IF((AB29+AC29+AD29+AE29+AF29)&lt;=$AI$7,$AI$7,(AB29+AC29+AD29+AE29+AF29))))))))))</f>
        <v>0</v>
      </c>
      <c r="AH29" s="102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3">
        <f t="shared" si="11"/>
        <v>0</v>
      </c>
      <c r="AJ29" s="104"/>
      <c r="AK29" s="105">
        <f t="shared" si="12"/>
        <v>1</v>
      </c>
      <c r="AL29" s="104"/>
      <c r="AM29" s="106" t="str">
        <f t="shared" si="13"/>
        <v>EXCLUI</v>
      </c>
      <c r="AN29" s="97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1">
        <f t="shared" si="16"/>
        <v>0</v>
      </c>
      <c r="BD29" s="2">
        <f t="shared" si="35"/>
        <v>1</v>
      </c>
      <c r="BF29" s="53">
        <v>8</v>
      </c>
      <c r="BG29" s="53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7" t="str">
        <f t="shared" si="17"/>
        <v/>
      </c>
      <c r="BJ29" s="57">
        <f t="shared" si="18"/>
        <v>0</v>
      </c>
      <c r="BK29" s="57">
        <f t="shared" si="19"/>
        <v>0</v>
      </c>
      <c r="BL29" s="60" t="str">
        <f t="shared" si="20"/>
        <v/>
      </c>
      <c r="BM29" s="60">
        <f t="shared" si="21"/>
        <v>0</v>
      </c>
      <c r="BN29" s="60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 x14ac:dyDescent="0.3">
      <c r="A30" s="272" t="s">
        <v>218</v>
      </c>
      <c r="B30" s="273">
        <f>'PD0101'!F30</f>
        <v>0</v>
      </c>
      <c r="C30" s="273">
        <f>'PD0101'!G30</f>
        <v>0</v>
      </c>
      <c r="D30" s="273">
        <f>'PD0101'!D30</f>
        <v>0</v>
      </c>
      <c r="E30" s="273">
        <f>'PD0101'!E30</f>
        <v>0</v>
      </c>
      <c r="F30" s="273">
        <f>'PD0101'!B30</f>
        <v>0</v>
      </c>
      <c r="G30" s="273">
        <f>'PD0101'!C30</f>
        <v>0</v>
      </c>
      <c r="H30" s="93">
        <f t="shared" si="33"/>
        <v>0</v>
      </c>
      <c r="I30" s="93">
        <f t="shared" si="33"/>
        <v>0</v>
      </c>
      <c r="J30" s="93">
        <f t="shared" si="33"/>
        <v>0</v>
      </c>
      <c r="K30" s="93">
        <f t="shared" si="33"/>
        <v>0</v>
      </c>
      <c r="L30" s="93">
        <f t="shared" si="33"/>
        <v>0</v>
      </c>
      <c r="M30" s="93">
        <f t="shared" si="33"/>
        <v>0</v>
      </c>
      <c r="N30" s="94">
        <f t="shared" si="1"/>
        <v>0</v>
      </c>
      <c r="O30" s="94">
        <f t="shared" si="2"/>
        <v>0</v>
      </c>
      <c r="P30" s="94">
        <f t="shared" si="3"/>
        <v>0</v>
      </c>
      <c r="Q30" s="94">
        <f t="shared" si="4"/>
        <v>0</v>
      </c>
      <c r="R30" s="94">
        <f t="shared" si="5"/>
        <v>0</v>
      </c>
      <c r="S30" s="94">
        <f t="shared" si="6"/>
        <v>0</v>
      </c>
      <c r="T30" s="95">
        <f t="shared" si="7"/>
        <v>0</v>
      </c>
      <c r="U30" s="95">
        <f t="shared" si="8"/>
        <v>0</v>
      </c>
      <c r="V30" s="96">
        <f>(IF((OR((P30="&gt;22"),(Q30="&gt;22"))),2,(IF(((T30+U30)=(P30+Q30)),0,1))))</f>
        <v>0</v>
      </c>
      <c r="W30" s="97">
        <f t="shared" si="34"/>
        <v>0</v>
      </c>
      <c r="X30" s="120">
        <f t="shared" si="30"/>
        <v>0</v>
      </c>
      <c r="Y30" s="95">
        <f>(IF((AND((T30=0),(U30=0))),E30,(IF((W30&lt;&gt;$AJ$7),0,Q30))))</f>
        <v>0</v>
      </c>
      <c r="Z30" s="98">
        <f t="shared" si="9"/>
        <v>0</v>
      </c>
      <c r="AA30" s="99">
        <f t="shared" si="10"/>
        <v>0</v>
      </c>
      <c r="AB30" s="100">
        <f>IF(X30=0,0,VLOOKUP(X30,FREQUENCIAS!$1:$1048576,(IF(($A30=FREQUENCIAS!$W$1),23,"ERRO")),FREQUENCIAS!$1:$1048576))</f>
        <v>0</v>
      </c>
      <c r="AC30" s="100">
        <f>IF(Y30=0,0,VLOOKUP(Y30,FREQUENCIAS!$1:$1048576,(IF(($A30=FREQUENCIAS!$W$1),23,"ERRO")),FREQUENCIAS!$1:$1048576))</f>
        <v>0</v>
      </c>
      <c r="AD30" s="100"/>
      <c r="AE30" s="100"/>
      <c r="AF30" s="100"/>
      <c r="AG30" s="101">
        <f>(IF((A30="ERRO-FT"),"5",((IF((AND(($Z30=0),($AA30=0),($AX$32="N"))),0,(IF((AND(($Z30=0),($AA30=0),(AX$32="S"))),1,(IF((AB30+AC30+AD30+AE30+AF30)&lt;=$AI$7,$AI$7,(AB30+AC30+AD30+AE30+AF30))))))))))</f>
        <v>0</v>
      </c>
      <c r="AH30" s="102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3">
        <f t="shared" si="11"/>
        <v>0</v>
      </c>
      <c r="AJ30" s="104"/>
      <c r="AK30" s="105">
        <f t="shared" si="12"/>
        <v>1</v>
      </c>
      <c r="AL30" s="104"/>
      <c r="AM30" s="106" t="str">
        <f t="shared" si="13"/>
        <v>EXCLUI</v>
      </c>
      <c r="AN30" s="97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0</v>
      </c>
      <c r="BC30" s="41">
        <f t="shared" si="16"/>
        <v>0</v>
      </c>
      <c r="BD30" s="2">
        <f t="shared" si="35"/>
        <v>1</v>
      </c>
      <c r="BF30" s="53">
        <v>5</v>
      </c>
      <c r="BG30" s="53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7" t="str">
        <f t="shared" si="17"/>
        <v/>
      </c>
      <c r="BJ30" s="57">
        <f t="shared" si="18"/>
        <v>0</v>
      </c>
      <c r="BK30" s="57">
        <f t="shared" si="19"/>
        <v>0</v>
      </c>
      <c r="BL30" s="60" t="str">
        <f t="shared" si="20"/>
        <v/>
      </c>
      <c r="BM30" s="60">
        <f t="shared" si="21"/>
        <v>0</v>
      </c>
      <c r="BN30" s="60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 x14ac:dyDescent="0.25">
      <c r="A31" s="36"/>
      <c r="B31" s="16"/>
      <c r="C31" s="16"/>
      <c r="D31" s="16"/>
      <c r="E31" s="26"/>
      <c r="F31" s="26"/>
      <c r="G31" s="277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84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846"/>
      <c r="AI31" s="846"/>
      <c r="AK31" s="84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42"/>
      <c r="AM31" s="278"/>
      <c r="AN31" s="17"/>
      <c r="AX31" s="55">
        <f>SUM(AX9:AX23)</f>
        <v>15</v>
      </c>
      <c r="BC31" s="41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 x14ac:dyDescent="0.25">
      <c r="A32" s="18"/>
      <c r="B32" s="6"/>
      <c r="C32" s="6"/>
      <c r="D32" s="6"/>
      <c r="E32" s="27"/>
      <c r="F32" s="27"/>
      <c r="G32" s="73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843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843"/>
      <c r="AI32" s="843"/>
      <c r="AJ32" s="843"/>
      <c r="AK32" s="843"/>
      <c r="AL32" s="843"/>
      <c r="AM32" s="843"/>
      <c r="AN32" s="76"/>
      <c r="AR32" s="1" t="s">
        <v>102</v>
      </c>
      <c r="AS32" s="22" t="s">
        <v>139</v>
      </c>
      <c r="AX32" s="28" t="str">
        <f>IF(AH41="SIM","S",IF(AH41="NÃO","N",""))</f>
        <v>N</v>
      </c>
      <c r="AY32" s="50" t="s">
        <v>124</v>
      </c>
    </row>
    <row r="33" spans="1:74" ht="15" x14ac:dyDescent="0.25">
      <c r="A33" s="18"/>
      <c r="B33" s="6"/>
      <c r="C33" s="6"/>
      <c r="D33" s="6"/>
      <c r="E33" s="27"/>
      <c r="F33" s="27"/>
      <c r="G33" s="73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84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844"/>
      <c r="AI33" s="844"/>
      <c r="AJ33" s="844"/>
      <c r="AK33" s="844"/>
      <c r="AL33" s="844"/>
      <c r="AM33" s="844"/>
      <c r="AN33" s="75"/>
      <c r="AR33" s="1" t="s">
        <v>104</v>
      </c>
      <c r="AS33" s="22" t="s">
        <v>140</v>
      </c>
      <c r="AX33" s="29" t="s">
        <v>104</v>
      </c>
      <c r="AY33" s="50" t="s">
        <v>125</v>
      </c>
    </row>
    <row r="34" spans="1:74" ht="19.5" customHeight="1" thickBot="1" x14ac:dyDescent="0.3">
      <c r="A34" s="18"/>
      <c r="B34" s="6"/>
      <c r="C34" s="6"/>
      <c r="D34" s="6"/>
      <c r="E34" s="27"/>
      <c r="F34" s="27"/>
      <c r="G34" s="73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7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 xml:space="preserve"> DETECTADA EXCLUSÃO DE MÃE</v>
      </c>
      <c r="AH34" s="279"/>
      <c r="AI34" s="280"/>
      <c r="AM34" s="42"/>
      <c r="AN34" s="12"/>
      <c r="AX34" s="29"/>
      <c r="AY34" s="50" t="s">
        <v>96</v>
      </c>
    </row>
    <row r="35" spans="1:74" ht="13.5" thickTop="1" x14ac:dyDescent="0.2">
      <c r="A35" s="281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82"/>
      <c r="AK35" s="282"/>
      <c r="AL35" s="282"/>
      <c r="AM35" s="16"/>
      <c r="AN35" s="17"/>
    </row>
    <row r="36" spans="1:74" x14ac:dyDescent="0.2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2">
        <v>37319</v>
      </c>
      <c r="AJ36" s="43"/>
      <c r="AK36" s="43"/>
      <c r="AL36" s="43"/>
      <c r="AM36" s="6"/>
      <c r="AN36" s="7"/>
      <c r="AR36" s="283" t="s">
        <v>229</v>
      </c>
      <c r="AS36" s="284"/>
      <c r="AT36" s="284"/>
      <c r="AU36" s="284"/>
      <c r="AV36" s="284"/>
      <c r="AW36" s="284"/>
      <c r="AX36" s="284"/>
      <c r="AY36" s="284"/>
    </row>
    <row r="37" spans="1:74" ht="12.75" customHeight="1" x14ac:dyDescent="0.2">
      <c r="A37" s="285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2"/>
      <c r="AJ37" s="43"/>
      <c r="AK37" s="43"/>
      <c r="AL37" s="43"/>
      <c r="AM37" s="6"/>
      <c r="AN37" s="7"/>
      <c r="AR37" s="845" t="s">
        <v>231</v>
      </c>
      <c r="AS37" s="845"/>
      <c r="AT37" s="845"/>
      <c r="AU37" s="845"/>
      <c r="AV37" s="845"/>
      <c r="AW37" s="845"/>
      <c r="AX37" s="845"/>
      <c r="AY37" s="845"/>
    </row>
    <row r="38" spans="1:74" ht="12.75" customHeight="1" x14ac:dyDescent="0.2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2"/>
      <c r="AJ38" s="43"/>
      <c r="AK38" s="43"/>
      <c r="AL38" s="43"/>
      <c r="AM38" s="6"/>
      <c r="AN38" s="7"/>
      <c r="AR38" s="845"/>
      <c r="AS38" s="845"/>
      <c r="AT38" s="845"/>
      <c r="AU38" s="845"/>
      <c r="AV38" s="845"/>
      <c r="AW38" s="845"/>
      <c r="AX38" s="845"/>
      <c r="AY38" s="845"/>
    </row>
    <row r="39" spans="1:74" ht="13.5" thickBot="1" x14ac:dyDescent="0.25">
      <c r="A39" s="286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4"/>
      <c r="AK39" s="44"/>
      <c r="AL39" s="44"/>
      <c r="AM39" s="10"/>
      <c r="AN39" s="12"/>
      <c r="AR39" s="845"/>
      <c r="AS39" s="845"/>
      <c r="AT39" s="845"/>
      <c r="AU39" s="845"/>
      <c r="AV39" s="845"/>
      <c r="AW39" s="845"/>
      <c r="AX39" s="845"/>
      <c r="AY39" s="845"/>
    </row>
    <row r="40" spans="1:74" ht="16.5" thickTop="1" x14ac:dyDescent="0.25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6" t="s">
        <v>127</v>
      </c>
      <c r="AH40" s="287" t="s">
        <v>139</v>
      </c>
      <c r="AI40" s="72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9"/>
      <c r="AK40" s="69"/>
      <c r="AL40" s="69"/>
      <c r="AM40" s="69"/>
      <c r="AN40" s="71"/>
      <c r="AO40" s="69"/>
      <c r="AP40" s="69"/>
      <c r="AQ40" s="69"/>
      <c r="AR40" s="845" t="s">
        <v>234</v>
      </c>
      <c r="AS40" s="845"/>
      <c r="AT40" s="845"/>
      <c r="AU40" s="845"/>
      <c r="AV40" s="845"/>
      <c r="AW40" s="845"/>
      <c r="AX40" s="845"/>
      <c r="AY40" s="845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70"/>
    </row>
    <row r="41" spans="1:74" ht="12.75" customHeight="1" x14ac:dyDescent="0.25">
      <c r="A41" s="79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6" t="str">
        <f>(IF(($AX$31=1),"Estudar ocorrência de MUTAÇÃO?",(IF(($AX$31=2),"Estudar ocorrência de MUTAÇÃO?",(IF(($AX$32="S"),"Estudar ocorrência de MUTAÇÃO?"," "))))))</f>
        <v xml:space="preserve"> </v>
      </c>
      <c r="AH41" s="288" t="s">
        <v>140</v>
      </c>
      <c r="AI41" s="289"/>
      <c r="AJ41" s="290"/>
      <c r="AK41" s="290"/>
      <c r="AL41" s="290"/>
      <c r="AM41" s="289"/>
      <c r="AN41" s="291"/>
      <c r="AR41" s="845"/>
      <c r="AS41" s="845"/>
      <c r="AT41" s="845"/>
      <c r="AU41" s="845"/>
      <c r="AV41" s="845"/>
      <c r="AW41" s="845"/>
      <c r="AX41" s="845"/>
      <c r="AY41" s="845"/>
    </row>
    <row r="42" spans="1:74" x14ac:dyDescent="0.2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49"/>
      <c r="AH42" s="49"/>
      <c r="AI42" s="6"/>
      <c r="AJ42" s="43"/>
      <c r="AK42" s="43"/>
      <c r="AL42" s="43"/>
      <c r="AM42" s="6"/>
      <c r="AN42" s="7"/>
      <c r="AR42" s="845"/>
      <c r="AS42" s="845"/>
      <c r="AT42" s="845"/>
      <c r="AU42" s="845"/>
      <c r="AV42" s="845"/>
      <c r="AW42" s="845"/>
      <c r="AX42" s="845"/>
      <c r="AY42" s="845"/>
    </row>
    <row r="43" spans="1:74" ht="12.75" customHeight="1" x14ac:dyDescent="0.25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5"/>
      <c r="AH43" s="288"/>
      <c r="AI43" s="289"/>
      <c r="AJ43" s="290"/>
      <c r="AK43" s="290"/>
      <c r="AL43" s="290"/>
      <c r="AM43" s="289"/>
      <c r="AN43" s="291"/>
      <c r="AY43" s="48"/>
    </row>
    <row r="44" spans="1:74" ht="12.75" customHeight="1" x14ac:dyDescent="0.2">
      <c r="A44" s="83"/>
      <c r="B44" s="86"/>
      <c r="C44" s="86"/>
      <c r="D44" s="292"/>
      <c r="E44" s="85"/>
      <c r="F44" s="85" t="s">
        <v>202</v>
      </c>
      <c r="G44" s="836">
        <f ca="1">TODAY()</f>
        <v>44843</v>
      </c>
      <c r="H44" s="836"/>
      <c r="I44" s="836"/>
      <c r="J44" s="836"/>
      <c r="K44" s="836"/>
      <c r="L44" s="836"/>
      <c r="M44" s="836"/>
      <c r="N44" s="836"/>
      <c r="O44" s="836"/>
      <c r="P44" s="836"/>
      <c r="Q44" s="836"/>
      <c r="R44" s="836"/>
      <c r="S44" s="836"/>
      <c r="T44" s="836"/>
      <c r="U44" s="836"/>
      <c r="V44" s="836"/>
      <c r="W44" s="836"/>
      <c r="X44" s="836"/>
      <c r="Y44" s="836"/>
      <c r="Z44" s="836"/>
      <c r="AA44" s="836"/>
      <c r="AB44" s="836"/>
      <c r="AC44" s="836"/>
      <c r="AD44" s="836"/>
      <c r="AE44" s="836"/>
      <c r="AF44" s="836"/>
      <c r="AG44" s="836"/>
      <c r="AH44" s="836"/>
      <c r="AI44" s="836"/>
      <c r="AJ44" s="836"/>
      <c r="AK44" s="836"/>
      <c r="AL44" s="836"/>
      <c r="AM44" s="836"/>
      <c r="AN44" s="837"/>
    </row>
    <row r="45" spans="1:74" ht="13.5" customHeight="1" x14ac:dyDescent="0.2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3"/>
      <c r="AK45" s="43"/>
      <c r="AL45" s="43"/>
      <c r="AM45" s="6"/>
      <c r="AN45" s="7"/>
    </row>
    <row r="46" spans="1:74" x14ac:dyDescent="0.2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J46" s="43"/>
      <c r="AK46" s="43"/>
      <c r="AL46" s="43"/>
      <c r="AM46" s="6"/>
      <c r="AN46" s="7"/>
    </row>
    <row r="47" spans="1:74" ht="15" x14ac:dyDescent="0.2">
      <c r="A47" s="90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  <c r="AJ47" s="91"/>
      <c r="AK47" s="91"/>
      <c r="AL47" s="91"/>
      <c r="AM47" s="91"/>
      <c r="AN47" s="92"/>
    </row>
    <row r="48" spans="1:74" x14ac:dyDescent="0.2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43"/>
      <c r="AK48" s="43"/>
      <c r="AL48" s="43"/>
      <c r="AM48" s="6"/>
      <c r="AN48" s="7"/>
    </row>
    <row r="49" spans="1:59" x14ac:dyDescent="0.2">
      <c r="A49" s="838" t="s">
        <v>208</v>
      </c>
      <c r="B49" s="839"/>
      <c r="C49" s="839"/>
      <c r="D49" s="839"/>
      <c r="E49" s="839"/>
      <c r="F49" s="839"/>
      <c r="G49" s="112" t="s">
        <v>204</v>
      </c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840" t="s">
        <v>205</v>
      </c>
      <c r="AH49" s="840"/>
      <c r="AI49" s="840"/>
      <c r="AJ49" s="840"/>
      <c r="AK49" s="840"/>
      <c r="AL49" s="840"/>
      <c r="AM49" s="840"/>
      <c r="AN49" s="841"/>
    </row>
    <row r="50" spans="1:59" x14ac:dyDescent="0.2">
      <c r="A50" s="832" t="s">
        <v>209</v>
      </c>
      <c r="B50" s="833"/>
      <c r="C50" s="833"/>
      <c r="D50" s="833"/>
      <c r="E50" s="833"/>
      <c r="F50" s="833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34" t="s">
        <v>206</v>
      </c>
      <c r="AH50" s="834"/>
      <c r="AI50" s="834"/>
      <c r="AJ50" s="834"/>
      <c r="AK50" s="834"/>
      <c r="AL50" s="834"/>
      <c r="AM50" s="834"/>
      <c r="AN50" s="835"/>
    </row>
    <row r="51" spans="1:59" x14ac:dyDescent="0.2">
      <c r="A51" s="832" t="s">
        <v>210</v>
      </c>
      <c r="B51" s="833"/>
      <c r="C51" s="833"/>
      <c r="D51" s="833"/>
      <c r="E51" s="833"/>
      <c r="F51" s="833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34" t="s">
        <v>207</v>
      </c>
      <c r="AH51" s="834"/>
      <c r="AI51" s="834"/>
      <c r="AJ51" s="834"/>
      <c r="AK51" s="834"/>
      <c r="AL51" s="834"/>
      <c r="AM51" s="834"/>
      <c r="AN51" s="835"/>
    </row>
    <row r="52" spans="1:59" ht="13.5" thickBot="1" x14ac:dyDescent="0.25">
      <c r="A52" s="770" t="s">
        <v>211</v>
      </c>
      <c r="B52" s="771"/>
      <c r="C52" s="771"/>
      <c r="D52" s="771"/>
      <c r="E52" s="771"/>
      <c r="F52" s="771"/>
      <c r="G52" s="771"/>
      <c r="H52" s="771"/>
      <c r="I52" s="771"/>
      <c r="J52" s="771"/>
      <c r="K52" s="771"/>
      <c r="L52" s="771"/>
      <c r="M52" s="771"/>
      <c r="N52" s="771"/>
      <c r="O52" s="771"/>
      <c r="P52" s="771"/>
      <c r="Q52" s="771"/>
      <c r="R52" s="771"/>
      <c r="S52" s="771"/>
      <c r="T52" s="771"/>
      <c r="U52" s="771"/>
      <c r="V52" s="771"/>
      <c r="W52" s="771"/>
      <c r="X52" s="771"/>
      <c r="Y52" s="771"/>
      <c r="Z52" s="771"/>
      <c r="AA52" s="771"/>
      <c r="AB52" s="771"/>
      <c r="AC52" s="771"/>
      <c r="AD52" s="771"/>
      <c r="AE52" s="771"/>
      <c r="AF52" s="771"/>
      <c r="AG52" s="771"/>
      <c r="AH52" s="771"/>
      <c r="AI52" s="771"/>
      <c r="AJ52" s="771"/>
      <c r="AK52" s="771"/>
      <c r="AL52" s="771"/>
      <c r="AM52" s="771"/>
      <c r="AN52" s="772"/>
    </row>
    <row r="53" spans="1:59" s="107" customFormat="1" ht="26.25" thickTop="1" x14ac:dyDescent="0.5">
      <c r="A53" s="110" t="s">
        <v>195</v>
      </c>
      <c r="B53" s="110" t="s">
        <v>197</v>
      </c>
      <c r="C53" s="110" t="s">
        <v>198</v>
      </c>
      <c r="D53" s="110" t="s">
        <v>199</v>
      </c>
      <c r="E53" s="110" t="s">
        <v>200</v>
      </c>
      <c r="F53" s="110" t="s">
        <v>201</v>
      </c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M53" s="109"/>
      <c r="AN53" s="293" t="s">
        <v>195</v>
      </c>
      <c r="BF53" s="108"/>
      <c r="BG53" s="108"/>
    </row>
    <row r="54" spans="1:59" s="294" customFormat="1" x14ac:dyDescent="0.2">
      <c r="A54" s="294" t="str">
        <f>'IMPORTAÇÃO GENOTIPER'!$S$1</f>
        <v>Helder - MS</v>
      </c>
      <c r="B54" s="294" t="s">
        <v>194</v>
      </c>
      <c r="AN54" s="295" t="s">
        <v>196</v>
      </c>
      <c r="BF54" s="296"/>
      <c r="BG54" s="296"/>
    </row>
    <row r="55" spans="1:59" s="294" customFormat="1" x14ac:dyDescent="0.2">
      <c r="B55" s="294" t="s">
        <v>186</v>
      </c>
      <c r="BF55" s="296"/>
      <c r="BG55" s="296"/>
    </row>
    <row r="56" spans="1:59" s="294" customFormat="1" x14ac:dyDescent="0.2">
      <c r="B56" s="294" t="s">
        <v>188</v>
      </c>
      <c r="BF56" s="296"/>
      <c r="BG56" s="296"/>
    </row>
    <row r="57" spans="1:59" s="294" customFormat="1" x14ac:dyDescent="0.2">
      <c r="B57" s="294" t="s">
        <v>189</v>
      </c>
      <c r="BF57" s="296"/>
      <c r="BG57" s="296"/>
    </row>
    <row r="58" spans="1:59" s="294" customFormat="1" x14ac:dyDescent="0.2">
      <c r="B58" s="294" t="s">
        <v>190</v>
      </c>
      <c r="BF58" s="296"/>
      <c r="BG58" s="296"/>
    </row>
    <row r="59" spans="1:59" s="294" customFormat="1" x14ac:dyDescent="0.2">
      <c r="B59" s="294" t="s">
        <v>191</v>
      </c>
      <c r="BF59" s="296"/>
      <c r="BG59" s="296"/>
    </row>
    <row r="60" spans="1:59" s="294" customFormat="1" x14ac:dyDescent="0.2">
      <c r="B60" s="294" t="s">
        <v>192</v>
      </c>
      <c r="BF60" s="296"/>
      <c r="BG60" s="296"/>
    </row>
    <row r="61" spans="1:59" s="294" customFormat="1" x14ac:dyDescent="0.2">
      <c r="B61" s="294" t="s">
        <v>193</v>
      </c>
      <c r="BF61" s="296"/>
      <c r="BG61" s="296"/>
    </row>
    <row r="63" spans="1:59" x14ac:dyDescent="0.2">
      <c r="AM63" s="20"/>
    </row>
  </sheetData>
  <mergeCells count="33">
    <mergeCell ref="L8:M8"/>
    <mergeCell ref="R8:S8"/>
    <mergeCell ref="A1:AN1"/>
    <mergeCell ref="B3:G3"/>
    <mergeCell ref="B8:C8"/>
    <mergeCell ref="D8:E8"/>
    <mergeCell ref="F8:G8"/>
    <mergeCell ref="H8:I8"/>
    <mergeCell ref="J8:K8"/>
    <mergeCell ref="AZ6:BA6"/>
    <mergeCell ref="AQ7:AV8"/>
    <mergeCell ref="AZ7:BB7"/>
    <mergeCell ref="BI7:BK7"/>
    <mergeCell ref="BL7:BN7"/>
    <mergeCell ref="BO7:BQ7"/>
    <mergeCell ref="N8:O8"/>
    <mergeCell ref="P8:Q8"/>
    <mergeCell ref="X8:Y8"/>
    <mergeCell ref="Z8:AA8"/>
    <mergeCell ref="AK31:AL31"/>
    <mergeCell ref="AG32:AM32"/>
    <mergeCell ref="AG33:AM33"/>
    <mergeCell ref="AR37:AY39"/>
    <mergeCell ref="AR40:AY42"/>
    <mergeCell ref="AG31:AI31"/>
    <mergeCell ref="A51:F51"/>
    <mergeCell ref="AG51:AN51"/>
    <mergeCell ref="A52:AN52"/>
    <mergeCell ref="G44:AN44"/>
    <mergeCell ref="A49:F49"/>
    <mergeCell ref="AG49:AN49"/>
    <mergeCell ref="A50:F50"/>
    <mergeCell ref="AG50:AN50"/>
  </mergeCells>
  <conditionalFormatting sqref="AH9:AH23">
    <cfRule type="cellIs" dxfId="210" priority="45" stopIfTrue="1" operator="equal">
      <formula>"FT"</formula>
    </cfRule>
  </conditionalFormatting>
  <conditionalFormatting sqref="AA9">
    <cfRule type="cellIs" dxfId="209" priority="46" stopIfTrue="1" operator="equal">
      <formula>1</formula>
    </cfRule>
  </conditionalFormatting>
  <conditionalFormatting sqref="AG9">
    <cfRule type="cellIs" dxfId="208" priority="47" stopIfTrue="1" operator="equal">
      <formula>"EXCLUI"</formula>
    </cfRule>
    <cfRule type="cellIs" dxfId="207" priority="48" stopIfTrue="1" operator="equal">
      <formula>"MUTAÇÃO"</formula>
    </cfRule>
  </conditionalFormatting>
  <conditionalFormatting sqref="B9:C23">
    <cfRule type="cellIs" dxfId="206" priority="49" stopIfTrue="1" operator="equal">
      <formula>$T$9</formula>
    </cfRule>
    <cfRule type="cellIs" dxfId="205" priority="50" stopIfTrue="1" operator="equal">
      <formula>$U$9</formula>
    </cfRule>
  </conditionalFormatting>
  <conditionalFormatting sqref="D9:G23">
    <cfRule type="cellIs" dxfId="204" priority="51" stopIfTrue="1" operator="equal">
      <formula>$T9</formula>
    </cfRule>
    <cfRule type="cellIs" dxfId="203" priority="52" stopIfTrue="1" operator="equal">
      <formula>$U9</formula>
    </cfRule>
  </conditionalFormatting>
  <conditionalFormatting sqref="AH24:AH30">
    <cfRule type="cellIs" dxfId="202" priority="40" stopIfTrue="1" operator="equal">
      <formula>"FT"</formula>
    </cfRule>
  </conditionalFormatting>
  <conditionalFormatting sqref="B24:C30">
    <cfRule type="cellIs" dxfId="201" priority="41" stopIfTrue="1" operator="equal">
      <formula>$T$9</formula>
    </cfRule>
    <cfRule type="cellIs" dxfId="200" priority="42" stopIfTrue="1" operator="equal">
      <formula>$U$9</formula>
    </cfRule>
  </conditionalFormatting>
  <conditionalFormatting sqref="D24:G30">
    <cfRule type="cellIs" dxfId="199" priority="43" stopIfTrue="1" operator="equal">
      <formula>$T24</formula>
    </cfRule>
    <cfRule type="cellIs" dxfId="198" priority="44" stopIfTrue="1" operator="equal">
      <formula>$U24</formula>
    </cfRule>
  </conditionalFormatting>
  <conditionalFormatting sqref="AH9:AH23">
    <cfRule type="cellIs" dxfId="197" priority="39" stopIfTrue="1" operator="equal">
      <formula>"FT"</formula>
    </cfRule>
  </conditionalFormatting>
  <conditionalFormatting sqref="AA9">
    <cfRule type="cellIs" dxfId="196" priority="38" stopIfTrue="1" operator="equal">
      <formula>1</formula>
    </cfRule>
  </conditionalFormatting>
  <conditionalFormatting sqref="AG9">
    <cfRule type="cellIs" dxfId="195" priority="36" stopIfTrue="1" operator="equal">
      <formula>"EXCLUI"</formula>
    </cfRule>
    <cfRule type="cellIs" dxfId="194" priority="37" stopIfTrue="1" operator="equal">
      <formula>"MUTAÇÃO"</formula>
    </cfRule>
  </conditionalFormatting>
  <conditionalFormatting sqref="D9:E23">
    <cfRule type="cellIs" dxfId="193" priority="34" stopIfTrue="1" operator="equal">
      <formula>$T$9</formula>
    </cfRule>
    <cfRule type="cellIs" dxfId="192" priority="35" stopIfTrue="1" operator="equal">
      <formula>$U$9</formula>
    </cfRule>
  </conditionalFormatting>
  <conditionalFormatting sqref="F9:G23">
    <cfRule type="cellIs" dxfId="191" priority="32" stopIfTrue="1" operator="equal">
      <formula>$T9</formula>
    </cfRule>
    <cfRule type="cellIs" dxfId="190" priority="33" stopIfTrue="1" operator="equal">
      <formula>$U9</formula>
    </cfRule>
  </conditionalFormatting>
  <conditionalFormatting sqref="AB9">
    <cfRule type="cellIs" dxfId="189" priority="30" stopIfTrue="1" operator="equal">
      <formula>0</formula>
    </cfRule>
    <cfRule type="cellIs" dxfId="188" priority="31" stopIfTrue="1" operator="equal">
      <formula>$AS$13</formula>
    </cfRule>
  </conditionalFormatting>
  <conditionalFormatting sqref="AH24:AH30">
    <cfRule type="cellIs" dxfId="187" priority="29" stopIfTrue="1" operator="equal">
      <formula>"FT"</formula>
    </cfRule>
  </conditionalFormatting>
  <conditionalFormatting sqref="D24:E30">
    <cfRule type="cellIs" dxfId="186" priority="27" stopIfTrue="1" operator="equal">
      <formula>$T$9</formula>
    </cfRule>
    <cfRule type="cellIs" dxfId="185" priority="28" stopIfTrue="1" operator="equal">
      <formula>$U$9</formula>
    </cfRule>
  </conditionalFormatting>
  <conditionalFormatting sqref="F24:G30">
    <cfRule type="cellIs" dxfId="184" priority="25" stopIfTrue="1" operator="equal">
      <formula>$T24</formula>
    </cfRule>
    <cfRule type="cellIs" dxfId="183" priority="26" stopIfTrue="1" operator="equal">
      <formula>$U24</formula>
    </cfRule>
  </conditionalFormatting>
  <conditionalFormatting sqref="H9:M30">
    <cfRule type="cellIs" dxfId="182" priority="23" stopIfTrue="1" operator="equal">
      <formula>$Z9</formula>
    </cfRule>
    <cfRule type="cellIs" dxfId="181" priority="24" stopIfTrue="1" operator="equal">
      <formula>$AA9</formula>
    </cfRule>
  </conditionalFormatting>
  <conditionalFormatting sqref="AG43">
    <cfRule type="cellIs" dxfId="180" priority="21" stopIfTrue="1" operator="greaterThanOrEqual">
      <formula>1</formula>
    </cfRule>
    <cfRule type="cellIs" dxfId="179" priority="22" stopIfTrue="1" operator="lessThanOrEqual">
      <formula>2</formula>
    </cfRule>
  </conditionalFormatting>
  <conditionalFormatting sqref="AM9:AM30">
    <cfRule type="cellIs" dxfId="178" priority="19" stopIfTrue="1" operator="equal">
      <formula>"EXCLUI"</formula>
    </cfRule>
    <cfRule type="cellIs" dxfId="177" priority="20" stopIfTrue="1" operator="equal">
      <formula>"MUTAÇÃO"</formula>
    </cfRule>
  </conditionalFormatting>
  <conditionalFormatting sqref="BI9:BQ30">
    <cfRule type="cellIs" dxfId="176" priority="18" stopIfTrue="1" operator="equal">
      <formula>$BF9-1</formula>
    </cfRule>
  </conditionalFormatting>
  <conditionalFormatting sqref="BT9:BU30">
    <cfRule type="cellIs" dxfId="175" priority="16" stopIfTrue="1" operator="equal">
      <formula>$BN9</formula>
    </cfRule>
    <cfRule type="cellIs" dxfId="174" priority="17" stopIfTrue="1" operator="equal">
      <formula>$BQ9</formula>
    </cfRule>
  </conditionalFormatting>
  <conditionalFormatting sqref="A9:A30">
    <cfRule type="cellIs" dxfId="173" priority="15" stopIfTrue="1" operator="equal">
      <formula>"ERRO-FT"</formula>
    </cfRule>
  </conditionalFormatting>
  <conditionalFormatting sqref="AH8">
    <cfRule type="cellIs" dxfId="172" priority="14" stopIfTrue="1" operator="equal">
      <formula>"AL.SUP."</formula>
    </cfRule>
  </conditionalFormatting>
  <conditionalFormatting sqref="AG8">
    <cfRule type="cellIs" dxfId="171" priority="13" stopIfTrue="1" operator="equal">
      <formula>"AL.INF."</formula>
    </cfRule>
  </conditionalFormatting>
  <conditionalFormatting sqref="AG9:AG30">
    <cfRule type="expression" dxfId="170" priority="12" stopIfTrue="1">
      <formula>(A9="ERRO-FT")</formula>
    </cfRule>
  </conditionalFormatting>
  <conditionalFormatting sqref="AH9:AH30">
    <cfRule type="cellIs" dxfId="169" priority="9" stopIfTrue="1" operator="equal">
      <formula>0</formula>
    </cfRule>
    <cfRule type="cellIs" dxfId="168" priority="10" stopIfTrue="1" operator="equal">
      <formula>$AY9</formula>
    </cfRule>
    <cfRule type="expression" dxfId="167" priority="11" stopIfTrue="1">
      <formula>(A9="ERRO-FT")</formula>
    </cfRule>
  </conditionalFormatting>
  <conditionalFormatting sqref="AG31:AI31">
    <cfRule type="cellIs" dxfId="166" priority="8" stopIfTrue="1" operator="equal">
      <formula>"VERIFICAR ALELOS"</formula>
    </cfRule>
  </conditionalFormatting>
  <conditionalFormatting sqref="AG32:AM32">
    <cfRule type="cellIs" dxfId="165" priority="7" stopIfTrue="1" operator="equal">
      <formula>"OCORRÊNCIA DE 'OUT LADDER'"</formula>
    </cfRule>
  </conditionalFormatting>
  <conditionalFormatting sqref="AG33:AN33">
    <cfRule type="cellIs" dxfId="164" priority="5" stopIfTrue="1" operator="equal">
      <formula>"CÁLCULO COM OMISSÃO DE LOCUS"</formula>
    </cfRule>
    <cfRule type="cellIs" dxfId="163" priority="6" stopIfTrue="1" operator="equal">
      <formula>"ANALISAR DIGITAÇÃO"</formula>
    </cfRule>
  </conditionalFormatting>
  <conditionalFormatting sqref="AG46:AH46">
    <cfRule type="expression" dxfId="162" priority="3" stopIfTrue="1">
      <formula>($AH$46="SIM")</formula>
    </cfRule>
    <cfRule type="expression" dxfId="161" priority="4" stopIfTrue="1">
      <formula>($AH$46&lt;&gt;"SIM")</formula>
    </cfRule>
  </conditionalFormatting>
  <conditionalFormatting sqref="AN9:AN30">
    <cfRule type="cellIs" dxfId="160" priority="1" stopIfTrue="1" operator="equal">
      <formula>"EM"</formula>
    </cfRule>
    <cfRule type="cellIs" dxfId="159" priority="2" stopIfTrue="1" operator="equal">
      <formula>"MT"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B9" sqref="B9:E30"/>
    </sheetView>
  </sheetViews>
  <sheetFormatPr defaultColWidth="9.140625" defaultRowHeight="12.75" x14ac:dyDescent="0.2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 x14ac:dyDescent="0.25">
      <c r="A1" s="807" t="s">
        <v>203</v>
      </c>
      <c r="B1" s="808"/>
      <c r="C1" s="808"/>
      <c r="D1" s="808"/>
      <c r="E1" s="808"/>
      <c r="F1" s="808"/>
      <c r="G1" s="808"/>
      <c r="H1" s="808"/>
      <c r="I1" s="808"/>
      <c r="J1" s="808"/>
      <c r="K1" s="808"/>
      <c r="L1" s="808"/>
      <c r="M1" s="808"/>
      <c r="N1" s="808"/>
      <c r="O1" s="808"/>
      <c r="P1" s="808"/>
      <c r="Q1" s="808"/>
      <c r="R1" s="808"/>
      <c r="S1" s="808"/>
      <c r="T1" s="808"/>
      <c r="U1" s="808"/>
      <c r="V1" s="808"/>
      <c r="W1" s="808"/>
      <c r="X1" s="808"/>
      <c r="Y1" s="808"/>
      <c r="Z1" s="808"/>
      <c r="AA1" s="808"/>
      <c r="AB1" s="808"/>
      <c r="AC1" s="808"/>
      <c r="AD1" s="808"/>
      <c r="AE1" s="808"/>
      <c r="AF1" s="808"/>
      <c r="AG1" s="808"/>
      <c r="AH1" s="808"/>
      <c r="AI1" s="808"/>
      <c r="AJ1" s="808"/>
      <c r="AK1" s="808"/>
      <c r="AL1" s="808"/>
      <c r="AM1" s="808"/>
      <c r="AN1" s="809"/>
      <c r="AO1" s="20"/>
      <c r="AP1" s="21"/>
    </row>
    <row r="2" spans="1:80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 x14ac:dyDescent="0.25">
      <c r="A3" s="252" t="s">
        <v>81</v>
      </c>
      <c r="B3" s="859"/>
      <c r="C3" s="859"/>
      <c r="D3" s="859"/>
      <c r="E3" s="859"/>
      <c r="F3" s="859"/>
      <c r="G3" s="859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53" t="s">
        <v>0</v>
      </c>
      <c r="AI3" s="6"/>
      <c r="AM3" s="254" t="s">
        <v>224</v>
      </c>
      <c r="AN3" s="255"/>
    </row>
    <row r="4" spans="1:80" ht="15.75" x14ac:dyDescent="0.25">
      <c r="A4" s="252" t="s">
        <v>161</v>
      </c>
      <c r="B4" s="25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57" t="str">
        <f>(IF(('IMPORTAÇÃO GENOTIPER'!AA4="X"),"XX",(IF(('IMPORTAÇÃO GENOTIPER'!AA4&lt;&gt;"X"),"ERRO"))))</f>
        <v>ERRO</v>
      </c>
      <c r="AM4" s="258" t="str">
        <f>IF(('SUPERVISÃO 1'!$AB$34="EVIDÊNCIA DE TROCA"),"VERIFICAR","OK")</f>
        <v>OK</v>
      </c>
      <c r="AN4" s="259"/>
    </row>
    <row r="5" spans="1:80" ht="16.5" thickBot="1" x14ac:dyDescent="0.3">
      <c r="A5" s="252" t="s">
        <v>92</v>
      </c>
      <c r="B5" s="25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60"/>
      <c r="Y5" s="260"/>
      <c r="Z5" s="260"/>
      <c r="AA5" s="260"/>
      <c r="AB5" s="260"/>
      <c r="AC5" s="260"/>
      <c r="AD5" s="260"/>
      <c r="AE5" s="6"/>
      <c r="AF5" s="6"/>
      <c r="AG5" s="6"/>
      <c r="AH5" s="6"/>
      <c r="AI5" s="261" t="str">
        <f>(IF(('IMPORTAÇÃO GENOTIPER'!AQ4="Y"),"XY",(IF(('IMPORTAÇÃO GENOTIPER'!AQ4="X"),"XX","ERRO"))))</f>
        <v>ERRO</v>
      </c>
      <c r="AM5" s="258" t="str">
        <f>IF(('SUPERVISÃO 2'!$AB$34="EVIDÊNCIA DE TROCA"),"VERIFICAR","OK")</f>
        <v>OK</v>
      </c>
      <c r="AN5" s="259"/>
    </row>
    <row r="6" spans="1:80" ht="17.25" thickTop="1" thickBot="1" x14ac:dyDescent="0.3">
      <c r="A6" s="252" t="s">
        <v>93</v>
      </c>
      <c r="B6" s="25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62" t="str">
        <f>(IF(('IMPORTAÇÃO GENOTIPER'!BG4="Y"),"XY",(IF(('IMPORTAÇÃO GENOTIPER'!BG4&lt;&gt;"Y"),"ERRO"))))</f>
        <v>ERRO</v>
      </c>
      <c r="AJ6" s="1" t="s">
        <v>149</v>
      </c>
      <c r="AM6" s="258" t="str">
        <f>IF(('SUPERVISÃO 3'!$AB$34="TROCA POSSÍVEL"),"VERIFICAR","OK")</f>
        <v>OK</v>
      </c>
      <c r="AN6" s="259"/>
      <c r="AO6" s="22"/>
      <c r="AZ6" s="811" t="s">
        <v>88</v>
      </c>
      <c r="BA6" s="812"/>
      <c r="BB6" s="31">
        <v>1E-3</v>
      </c>
      <c r="BH6" s="67"/>
      <c r="BI6" s="56"/>
      <c r="BJ6" s="56"/>
      <c r="BK6" s="56"/>
      <c r="BL6" s="56"/>
    </row>
    <row r="7" spans="1:80" ht="24" customHeight="1" thickTop="1" thickBot="1" x14ac:dyDescent="0.35">
      <c r="A7" s="263" t="s">
        <v>240</v>
      </c>
      <c r="B7" s="264"/>
      <c r="C7" s="10"/>
      <c r="D7" s="10"/>
      <c r="E7" s="10"/>
      <c r="F7" s="265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14" t="str">
        <f>IF(('SUPERVISÃO 4'!$AG$34="VERIFICAR"),"VERIFICAR","OK")</f>
        <v>VERIFICAR</v>
      </c>
      <c r="AN7" s="74"/>
      <c r="AO7" s="1" t="s">
        <v>78</v>
      </c>
      <c r="AQ7" s="854" t="s">
        <v>226</v>
      </c>
      <c r="AR7" s="854"/>
      <c r="AS7" s="854"/>
      <c r="AT7" s="854"/>
      <c r="AU7" s="854"/>
      <c r="AV7" s="854"/>
      <c r="AZ7" s="811" t="s">
        <v>87</v>
      </c>
      <c r="BA7" s="812"/>
      <c r="BB7" s="855"/>
      <c r="BI7" s="811" t="s">
        <v>108</v>
      </c>
      <c r="BJ7" s="812"/>
      <c r="BK7" s="855"/>
      <c r="BL7" s="856" t="s">
        <v>109</v>
      </c>
      <c r="BM7" s="857"/>
      <c r="BN7" s="858"/>
      <c r="BO7" s="847" t="s">
        <v>111</v>
      </c>
      <c r="BP7" s="848"/>
      <c r="BQ7" s="849"/>
    </row>
    <row r="8" spans="1:80" ht="16.5" thickTop="1" thickBot="1" x14ac:dyDescent="0.3">
      <c r="A8" s="266" t="s">
        <v>50</v>
      </c>
      <c r="B8" s="850" t="s">
        <v>130</v>
      </c>
      <c r="C8" s="851"/>
      <c r="D8" s="850" t="s">
        <v>55</v>
      </c>
      <c r="E8" s="851"/>
      <c r="F8" s="850" t="s">
        <v>56</v>
      </c>
      <c r="G8" s="851"/>
      <c r="H8" s="850" t="s">
        <v>97</v>
      </c>
      <c r="I8" s="851"/>
      <c r="J8" s="850" t="s">
        <v>98</v>
      </c>
      <c r="K8" s="851"/>
      <c r="L8" s="850" t="s">
        <v>99</v>
      </c>
      <c r="M8" s="851"/>
      <c r="N8" s="850" t="s">
        <v>165</v>
      </c>
      <c r="O8" s="851"/>
      <c r="P8" s="850" t="s">
        <v>166</v>
      </c>
      <c r="Q8" s="851"/>
      <c r="R8" s="850" t="s">
        <v>167</v>
      </c>
      <c r="S8" s="851"/>
      <c r="T8" s="267" t="s">
        <v>135</v>
      </c>
      <c r="U8" s="267" t="s">
        <v>136</v>
      </c>
      <c r="V8" s="267" t="s">
        <v>137</v>
      </c>
      <c r="W8" s="268" t="s">
        <v>134</v>
      </c>
      <c r="X8" s="852" t="s">
        <v>138</v>
      </c>
      <c r="Y8" s="853"/>
      <c r="Z8" s="852" t="s">
        <v>141</v>
      </c>
      <c r="AA8" s="853"/>
      <c r="AB8" s="267" t="s">
        <v>145</v>
      </c>
      <c r="AC8" s="267" t="s">
        <v>147</v>
      </c>
      <c r="AD8" s="267" t="s">
        <v>146</v>
      </c>
      <c r="AE8" s="267" t="s">
        <v>148</v>
      </c>
      <c r="AF8" s="267" t="s">
        <v>160</v>
      </c>
      <c r="AG8" s="2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70" t="s">
        <v>143</v>
      </c>
      <c r="AJ8" s="271" t="s">
        <v>139</v>
      </c>
      <c r="AK8" s="271"/>
      <c r="AL8" s="271"/>
      <c r="AM8" s="270" t="s">
        <v>176</v>
      </c>
      <c r="AN8" s="270" t="s">
        <v>129</v>
      </c>
      <c r="AQ8" s="854"/>
      <c r="AR8" s="854"/>
      <c r="AS8" s="854"/>
      <c r="AT8" s="854"/>
      <c r="AU8" s="854"/>
      <c r="AV8" s="854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51" t="s">
        <v>100</v>
      </c>
      <c r="BG8" s="51" t="s">
        <v>101</v>
      </c>
      <c r="BI8" s="13" t="s">
        <v>105</v>
      </c>
      <c r="BJ8" s="54" t="s">
        <v>106</v>
      </c>
      <c r="BK8" s="54" t="s">
        <v>107</v>
      </c>
      <c r="BL8" s="58" t="s">
        <v>105</v>
      </c>
      <c r="BM8" s="59" t="s">
        <v>112</v>
      </c>
      <c r="BN8" s="59" t="s">
        <v>110</v>
      </c>
      <c r="BO8" s="61" t="s">
        <v>105</v>
      </c>
      <c r="BP8" s="62" t="s">
        <v>113</v>
      </c>
      <c r="BQ8" s="63" t="s">
        <v>114</v>
      </c>
    </row>
    <row r="9" spans="1:80" ht="16.5" thickTop="1" thickBot="1" x14ac:dyDescent="0.3">
      <c r="A9" s="272" t="s">
        <v>151</v>
      </c>
      <c r="B9" s="273">
        <f>'PD0101'!B9</f>
        <v>0</v>
      </c>
      <c r="C9" s="273">
        <f>'PD0101'!C9</f>
        <v>0</v>
      </c>
      <c r="D9" s="273">
        <f>'PD0101'!F9</f>
        <v>0</v>
      </c>
      <c r="E9" s="273">
        <f>'PD0101'!G9</f>
        <v>0</v>
      </c>
      <c r="F9" s="273">
        <f>'PD0101'!D9</f>
        <v>0</v>
      </c>
      <c r="G9" s="273">
        <f>'PD0101'!E9</f>
        <v>0</v>
      </c>
      <c r="H9" s="93">
        <f t="shared" ref="H9:M24" si="0">(IF(CODE(B9)=(60),($BF9-1),(IF(CODE(B9)=(62),($BG9+1),B9))))</f>
        <v>0</v>
      </c>
      <c r="I9" s="93">
        <f t="shared" si="0"/>
        <v>0</v>
      </c>
      <c r="J9" s="93">
        <f t="shared" si="0"/>
        <v>0</v>
      </c>
      <c r="K9" s="93">
        <f t="shared" si="0"/>
        <v>0</v>
      </c>
      <c r="L9" s="93">
        <f t="shared" si="0"/>
        <v>0</v>
      </c>
      <c r="M9" s="93">
        <f t="shared" si="0"/>
        <v>0</v>
      </c>
      <c r="N9" s="94">
        <f t="shared" ref="N9:N30" si="1">IF((H9&gt;I9),I9,H9)</f>
        <v>0</v>
      </c>
      <c r="O9" s="94">
        <f t="shared" ref="O9:O30" si="2">IF((I9&gt;H9),I9,H9)</f>
        <v>0</v>
      </c>
      <c r="P9" s="94">
        <f t="shared" ref="P9:P30" si="3">IF((J9&gt;K9),K9,J9)</f>
        <v>0</v>
      </c>
      <c r="Q9" s="94">
        <f t="shared" ref="Q9:Q30" si="4">IF((K9&gt;J9),K9,J9)</f>
        <v>0</v>
      </c>
      <c r="R9" s="94">
        <f t="shared" ref="R9:R30" si="5">IF((L9&gt;M9),M9,L9)</f>
        <v>0</v>
      </c>
      <c r="S9" s="94">
        <f t="shared" ref="S9:S30" si="6">IF((M9&gt;L9),M9,L9)</f>
        <v>0</v>
      </c>
      <c r="T9" s="95">
        <f t="shared" ref="T9:T30" si="7">IF((P9=N9),P9,(IF((P9=O9),P9,0)))</f>
        <v>0</v>
      </c>
      <c r="U9" s="95">
        <f t="shared" ref="U9:U30" si="8">IF((Q9=N9),Q9,(IF((Q9=O9),Q9,0)))</f>
        <v>0</v>
      </c>
      <c r="V9" s="96">
        <f>(IF((OR((P9="&gt;18"),(Q9="&gt;18"))),2,(IF(((T9+U9)=(P9+Q9)),0,1))))</f>
        <v>0</v>
      </c>
      <c r="W9" s="97">
        <f>IF(OR(($T9=$U9),($U9=0)),$T9,(IF(AND(($T9=0),($U9&lt;&gt;0)),$U9,$AJ$7)))</f>
        <v>0</v>
      </c>
      <c r="X9" s="120">
        <f>(ROUND( (IF((AND((T9=0),(U9=0))),D9,(IF((V9=2),S9,(IF((W9&lt;&gt;$AJ$7),(P9+Q9-W9),P9)))))),1))</f>
        <v>0</v>
      </c>
      <c r="Y9" s="95">
        <f>(IF((AND(($T9=0),($U9=0))),$E9,(IF(($W9&lt;&gt;$AJ$7),0,$Q9))))</f>
        <v>0</v>
      </c>
      <c r="Z9" s="98">
        <f t="shared" ref="Z9:Z30" si="9">(IF(OR((X9=R9),(X9=S9)),X9,0))</f>
        <v>0</v>
      </c>
      <c r="AA9" s="99">
        <f t="shared" ref="AA9:AA30" si="10">(IF(AND((V9=0),(Z9=0),(OR((S9=T9),(S9=U9)))),Y9,(IF((Y9&lt;&gt;0),(IF(OR((Y9=R9),(Y9=S9)),Y9,0)),0))))</f>
        <v>0</v>
      </c>
      <c r="AB9" s="100">
        <f>IF(X9=0,0,VLOOKUP(X9,FREQUENCIAS!$1:$1048576,(IF(($A9=FREQUENCIAS!$B$1),2,"ERRO")),FREQUENCIAS!$1:$1048576))</f>
        <v>0</v>
      </c>
      <c r="AC9" s="100">
        <f>IF(Y9=0,0,VLOOKUP(Y9,FREQUENCIAS!$1:$1048576,(IF(($A9=FREQUENCIAS!$B$1),2,"ERRO")),FREQUENCIAS!$1:$1048576))</f>
        <v>0</v>
      </c>
      <c r="AD9" s="100"/>
      <c r="AE9" s="100"/>
      <c r="AF9" s="100"/>
      <c r="AG9" s="101">
        <f>(IF((A9="ERRO-FT"),"8",((IF((AND(($Z9=0),($AA9=0),($AX$32="N"))),0,(IF((AND(($Z9=0),($AA9=0),(AX$32="S"))),1,(IF((AB9+AC9+AD9+AE9+AF9)&lt;=$AI$7,$AI$7,(AB9+AC9+AD9+AE9+AF9))))))))))</f>
        <v>0</v>
      </c>
      <c r="AH9" s="102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3">
        <f t="shared" ref="AI9:AI30" si="11">(IF((AH9=0),0,(AH9/(AH9+1))))</f>
        <v>0</v>
      </c>
      <c r="AJ9" s="104"/>
      <c r="AK9" s="105">
        <f t="shared" ref="AK9:AK30" si="12">(1-AG9)^2</f>
        <v>1</v>
      </c>
      <c r="AL9" s="104"/>
      <c r="AM9" s="106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7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1">
        <f t="shared" ref="BC9:BC30" si="16">(IF((AND(($AX$32="N"),($AX$34="O"),($AX9=1))),1,$AH9))</f>
        <v>0</v>
      </c>
      <c r="BD9" s="2">
        <f>IF((W9=0),1,0)</f>
        <v>1</v>
      </c>
      <c r="BE9" s="68"/>
      <c r="BF9" s="52">
        <v>8</v>
      </c>
      <c r="BG9" s="52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7" t="str">
        <f t="shared" ref="BI9:BI30" si="17">IF(($W9=($BF9-1)),"&lt;",IF(($W9=($BG9+1)),"&gt;",""))</f>
        <v/>
      </c>
      <c r="BJ9" s="57">
        <f t="shared" ref="BJ9:BJ30" si="18">IF(($W9=($BF9-1)),$BF9,IF(($W9=($BG9-1)),$BG9,$W9))</f>
        <v>0</v>
      </c>
      <c r="BK9" s="57">
        <f t="shared" ref="BK9:BK30" si="19">(IF((OR(($W9=($BF9-1)),($W9=($BG9+1)))),(CONCATENATE((BI9),(BJ9))),$W9))</f>
        <v>0</v>
      </c>
      <c r="BL9" s="60" t="str">
        <f t="shared" ref="BL9:BL30" si="20">IF(($Z9=($BF9-1)),"&lt;",IF(($Z9=($BG9+1)),"&gt;",""))</f>
        <v/>
      </c>
      <c r="BM9" s="60">
        <f t="shared" ref="BM9:BM30" si="21">IF(($Z9=($BF9-1)),$BF9,IF(($Z9=($BG9+1)),$BG9,$Z9))</f>
        <v>0</v>
      </c>
      <c r="BN9" s="60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 x14ac:dyDescent="0.3">
      <c r="A10" s="272" t="s">
        <v>214</v>
      </c>
      <c r="B10" s="273">
        <f>'PD0101'!B10</f>
        <v>0</v>
      </c>
      <c r="C10" s="273">
        <f>'PD0101'!C10</f>
        <v>0</v>
      </c>
      <c r="D10" s="273">
        <f>'PD0101'!F10</f>
        <v>0</v>
      </c>
      <c r="E10" s="273">
        <f>'PD0101'!G10</f>
        <v>0</v>
      </c>
      <c r="F10" s="273">
        <f>'PD0101'!D10</f>
        <v>0</v>
      </c>
      <c r="G10" s="273">
        <f>'PD0101'!E10</f>
        <v>0</v>
      </c>
      <c r="H10" s="93">
        <f t="shared" si="0"/>
        <v>0</v>
      </c>
      <c r="I10" s="93">
        <f t="shared" si="0"/>
        <v>0</v>
      </c>
      <c r="J10" s="93">
        <f t="shared" si="0"/>
        <v>0</v>
      </c>
      <c r="K10" s="93">
        <f t="shared" si="0"/>
        <v>0</v>
      </c>
      <c r="L10" s="93">
        <f t="shared" si="0"/>
        <v>0</v>
      </c>
      <c r="M10" s="93">
        <f t="shared" si="0"/>
        <v>0</v>
      </c>
      <c r="N10" s="94">
        <f t="shared" si="1"/>
        <v>0</v>
      </c>
      <c r="O10" s="94">
        <f t="shared" si="2"/>
        <v>0</v>
      </c>
      <c r="P10" s="94">
        <f t="shared" si="3"/>
        <v>0</v>
      </c>
      <c r="Q10" s="94">
        <f t="shared" si="4"/>
        <v>0</v>
      </c>
      <c r="R10" s="94">
        <f t="shared" si="5"/>
        <v>0</v>
      </c>
      <c r="S10" s="94">
        <f t="shared" si="6"/>
        <v>0</v>
      </c>
      <c r="T10" s="95">
        <f t="shared" si="7"/>
        <v>0</v>
      </c>
      <c r="U10" s="95">
        <f t="shared" si="8"/>
        <v>0</v>
      </c>
      <c r="V10" s="96">
        <f>(IF((OR((P10="&gt;36"),(Q10="&gt;36"))),2,(IF(((T10+U10)=(P10+Q10)),0,1))))</f>
        <v>0</v>
      </c>
      <c r="W10" s="97">
        <f t="shared" ref="W10:W23" si="25">IF(OR((T10=U10),(U10=0)),T10,(IF(AND((T10=0),(U10&lt;&gt;0)),U10,$AJ$7)))</f>
        <v>0</v>
      </c>
      <c r="X10" s="120">
        <f>(ROUND( (IF((AND((T10=0),(U10=0))),D10,(IF((V10=2),S10,(IF((W10&lt;&gt;$AJ$7),(P10+Q10-W10),P10)))))),1))</f>
        <v>0</v>
      </c>
      <c r="Y10" s="95">
        <f>(IF((AND((T10=0),(U10=0))),E10,(IF((W10&lt;&gt;$AJ$7),0,Q10))))</f>
        <v>0</v>
      </c>
      <c r="Z10" s="98">
        <f t="shared" si="9"/>
        <v>0</v>
      </c>
      <c r="AA10" s="99">
        <f t="shared" si="10"/>
        <v>0</v>
      </c>
      <c r="AB10" s="100">
        <f>IF(X10=0,0,VLOOKUP(X10,FREQUENCIAS!$1:$1048576,(IF(($A10=FREQUENCIAS!$C$1),3,"ERRO")),FREQUENCIAS!$1:$1048576))</f>
        <v>0</v>
      </c>
      <c r="AC10" s="100">
        <f>IF(Y10=0,0,VLOOKUP(Y10,FREQUENCIAS!$1:$1048576,(IF(($A10=FREQUENCIAS!$C$1),3,"ERRO")),FREQUENCIAS!$1:$1048576))</f>
        <v>0</v>
      </c>
      <c r="AD10" s="100"/>
      <c r="AE10" s="100"/>
      <c r="AF10" s="100"/>
      <c r="AG10" s="101">
        <f>(IF((A10="ERRO-FT"),"24",((IF((AND(($Z10=0),($AA10=0),($AX$32="N"))),0,(IF((AND(($Z10=0),($AA10=0),(AX$32="S"))),1,(IF((AB10+AC10+AD10+AE10+AF10)&lt;=$AI$7,$AI$7,(AB10+AC10+AD10+AE10+AF10))))))))))</f>
        <v>0</v>
      </c>
      <c r="AH10" s="102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3">
        <f t="shared" si="11"/>
        <v>0</v>
      </c>
      <c r="AJ10" s="104"/>
      <c r="AK10" s="105">
        <f t="shared" si="12"/>
        <v>1</v>
      </c>
      <c r="AL10" s="104"/>
      <c r="AM10" s="106" t="str">
        <f t="shared" si="13"/>
        <v>EXCLUI</v>
      </c>
      <c r="AN10" s="97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0</v>
      </c>
      <c r="BC10" s="41">
        <f t="shared" si="16"/>
        <v>0</v>
      </c>
      <c r="BD10" s="2">
        <f t="shared" ref="BD10:BD23" si="27">IF((W10=0),1,0)</f>
        <v>1</v>
      </c>
      <c r="BF10" s="53">
        <v>24</v>
      </c>
      <c r="BG10" s="53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7" t="str">
        <f t="shared" si="17"/>
        <v/>
      </c>
      <c r="BJ10" s="57">
        <f t="shared" si="18"/>
        <v>0</v>
      </c>
      <c r="BK10" s="57">
        <f t="shared" si="19"/>
        <v>0</v>
      </c>
      <c r="BL10" s="60" t="str">
        <f t="shared" si="20"/>
        <v/>
      </c>
      <c r="BM10" s="66">
        <f t="shared" si="21"/>
        <v>0</v>
      </c>
      <c r="BN10" s="60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 x14ac:dyDescent="0.3">
      <c r="A11" s="272" t="s">
        <v>215</v>
      </c>
      <c r="B11" s="273">
        <f>'PD0101'!B11</f>
        <v>0</v>
      </c>
      <c r="C11" s="273">
        <f>'PD0101'!C11</f>
        <v>0</v>
      </c>
      <c r="D11" s="273">
        <f>'PD0101'!F11</f>
        <v>0</v>
      </c>
      <c r="E11" s="273">
        <f>'PD0101'!G11</f>
        <v>0</v>
      </c>
      <c r="F11" s="273">
        <f>'PD0101'!D11</f>
        <v>0</v>
      </c>
      <c r="G11" s="273">
        <f>'PD0101'!E11</f>
        <v>0</v>
      </c>
      <c r="H11" s="93">
        <f t="shared" si="0"/>
        <v>0</v>
      </c>
      <c r="I11" s="93">
        <f t="shared" si="0"/>
        <v>0</v>
      </c>
      <c r="J11" s="93">
        <f t="shared" si="0"/>
        <v>0</v>
      </c>
      <c r="K11" s="93">
        <f t="shared" si="0"/>
        <v>0</v>
      </c>
      <c r="L11" s="93">
        <f t="shared" si="0"/>
        <v>0</v>
      </c>
      <c r="M11" s="93">
        <f t="shared" si="0"/>
        <v>0</v>
      </c>
      <c r="N11" s="94">
        <f t="shared" si="1"/>
        <v>0</v>
      </c>
      <c r="O11" s="94">
        <f t="shared" si="2"/>
        <v>0</v>
      </c>
      <c r="P11" s="94">
        <f t="shared" si="3"/>
        <v>0</v>
      </c>
      <c r="Q11" s="94">
        <f t="shared" si="4"/>
        <v>0</v>
      </c>
      <c r="R11" s="94">
        <f t="shared" si="5"/>
        <v>0</v>
      </c>
      <c r="S11" s="94">
        <f t="shared" si="6"/>
        <v>0</v>
      </c>
      <c r="T11" s="95">
        <f t="shared" si="7"/>
        <v>0</v>
      </c>
      <c r="U11" s="95">
        <f t="shared" si="8"/>
        <v>0</v>
      </c>
      <c r="V11" s="96">
        <f>(IF((OR((P11="&gt;22"),(Q11="&gt;22"))),2,(IF(((T11+U11)=(P11+Q11)),0,1))))</f>
        <v>0</v>
      </c>
      <c r="W11" s="97">
        <f t="shared" si="25"/>
        <v>0</v>
      </c>
      <c r="X11" s="120">
        <f>(ROUND( (IF((AND((T11=0),(U11=0))),D11,(IF((V11=2),S11,(IF((W11&lt;&gt;$AJ$7),(P11+Q11-W11),P11)))))),1))</f>
        <v>0</v>
      </c>
      <c r="Y11" s="95">
        <f>(ROUND( (IF((AND((T11=0),(U11=0))),E11,(IF((W11&lt;&gt;$AJ$7),0,Q11)))),1))</f>
        <v>0</v>
      </c>
      <c r="Z11" s="98">
        <f t="shared" si="9"/>
        <v>0</v>
      </c>
      <c r="AA11" s="99">
        <f t="shared" si="10"/>
        <v>0</v>
      </c>
      <c r="AB11" s="100">
        <f>IF(X11=0,0,VLOOKUP(X11,FREQUENCIAS!$1:$1048576,(IF(($A11=FREQUENCIAS!$D$1),4,"ERRO")),FREQUENCIAS!$1:$1048576))</f>
        <v>0</v>
      </c>
      <c r="AC11" s="100">
        <f>IF(Y11=0,0,VLOOKUP(Y11,FREQUENCIAS!$1:$1048576,(IF(($A11=FREQUENCIAS!$D$1),4,"ERRO")),FREQUENCIAS!$1:$1048576))</f>
        <v>0</v>
      </c>
      <c r="AD11" s="100"/>
      <c r="AE11" s="100"/>
      <c r="AF11" s="100"/>
      <c r="AG11" s="101">
        <f>(IF((A11="ERRO-FT"),"6",((IF((AND(($Z11=0),($AA11=0),($AX$32="N"))),0,(IF((AND(($Z11=0),($AA11=0),(AX$32="S"))),1,(IF((AB11+AC11+AD11+AE11+AF11)&lt;=$AI$7,$AI$7,(AB11+AC11+AD11+AE11+AF11))))))))))</f>
        <v>0</v>
      </c>
      <c r="AH11" s="102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3">
        <f t="shared" si="11"/>
        <v>0</v>
      </c>
      <c r="AJ11" s="104"/>
      <c r="AK11" s="105">
        <f t="shared" si="12"/>
        <v>1</v>
      </c>
      <c r="AL11" s="104"/>
      <c r="AM11" s="106" t="str">
        <f t="shared" si="13"/>
        <v>EXCLUI</v>
      </c>
      <c r="AN11" s="97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0</v>
      </c>
      <c r="BC11" s="41">
        <f t="shared" si="16"/>
        <v>0</v>
      </c>
      <c r="BD11" s="2">
        <f t="shared" si="27"/>
        <v>1</v>
      </c>
      <c r="BF11" s="53">
        <v>6</v>
      </c>
      <c r="BG11" s="53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7" t="str">
        <f t="shared" si="17"/>
        <v/>
      </c>
      <c r="BJ11" s="57">
        <f t="shared" si="18"/>
        <v>0</v>
      </c>
      <c r="BK11" s="57">
        <f t="shared" si="19"/>
        <v>0</v>
      </c>
      <c r="BL11" s="60" t="str">
        <f t="shared" si="20"/>
        <v/>
      </c>
      <c r="BM11" s="60">
        <f t="shared" si="21"/>
        <v>0</v>
      </c>
      <c r="BN11" s="60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31" customFormat="1" ht="16.5" thickTop="1" thickBot="1" x14ac:dyDescent="0.3">
      <c r="A12" s="274" t="s">
        <v>216</v>
      </c>
      <c r="B12" s="275">
        <f>'PD0101'!B12</f>
        <v>0</v>
      </c>
      <c r="C12" s="275">
        <f>'PD0101'!C12</f>
        <v>0</v>
      </c>
      <c r="D12" s="275">
        <f>'PD0101'!F12</f>
        <v>0</v>
      </c>
      <c r="E12" s="275">
        <f>'PD0101'!G12</f>
        <v>0</v>
      </c>
      <c r="F12" s="275">
        <f>'PD0101'!D12</f>
        <v>0</v>
      </c>
      <c r="G12" s="275">
        <f>'PD0101'!E12</f>
        <v>0</v>
      </c>
      <c r="H12" s="116">
        <f t="shared" si="0"/>
        <v>0</v>
      </c>
      <c r="I12" s="116">
        <f t="shared" si="0"/>
        <v>0</v>
      </c>
      <c r="J12" s="116">
        <f t="shared" si="0"/>
        <v>0</v>
      </c>
      <c r="K12" s="116">
        <f t="shared" si="0"/>
        <v>0</v>
      </c>
      <c r="L12" s="116">
        <f t="shared" si="0"/>
        <v>0</v>
      </c>
      <c r="M12" s="116">
        <f t="shared" si="0"/>
        <v>0</v>
      </c>
      <c r="N12" s="117">
        <f t="shared" si="1"/>
        <v>0</v>
      </c>
      <c r="O12" s="117">
        <f t="shared" si="2"/>
        <v>0</v>
      </c>
      <c r="P12" s="117">
        <f t="shared" si="3"/>
        <v>0</v>
      </c>
      <c r="Q12" s="117">
        <f t="shared" si="4"/>
        <v>0</v>
      </c>
      <c r="R12" s="117">
        <f t="shared" si="5"/>
        <v>0</v>
      </c>
      <c r="S12" s="117">
        <f t="shared" si="6"/>
        <v>0</v>
      </c>
      <c r="T12" s="118">
        <f t="shared" si="7"/>
        <v>0</v>
      </c>
      <c r="U12" s="118">
        <f t="shared" si="8"/>
        <v>0</v>
      </c>
      <c r="V12" s="119">
        <f>(IF((OR((P12="&gt;21"),(Q12="&gt;21"))),2,(IF(((T12+U12)=(P12+Q12)),0,1))))</f>
        <v>0</v>
      </c>
      <c r="W12" s="118">
        <f t="shared" si="25"/>
        <v>0</v>
      </c>
      <c r="X12" s="120">
        <f>(ROUND( (IF((AND((T12=0),(U12=0))),D12,(IF((V12=2),S12,(IF((W12&lt;&gt;$AJ$7),(P12+Q12-W12),P12)))))),1))</f>
        <v>0</v>
      </c>
      <c r="Y12" s="118">
        <f xml:space="preserve"> (IF((AND((T12=0),(U12=0))),E12,(IF((W12&lt;&gt;$AJ$7),0,Q12))))</f>
        <v>0</v>
      </c>
      <c r="Z12" s="121">
        <f t="shared" si="9"/>
        <v>0</v>
      </c>
      <c r="AA12" s="122">
        <f t="shared" si="10"/>
        <v>0</v>
      </c>
      <c r="AB12" s="123">
        <f>IF(X12=0,0,VLOOKUP(X12,FREQUENCIAS!$1:$1048576,(IF(($A12=FREQUENCIAS!$E$1),5,"ERRO")),FREQUENCIAS!$1:$1048576))</f>
        <v>0</v>
      </c>
      <c r="AC12" s="123">
        <f>IF(Y12=0,0,VLOOKUP(Y12,FREQUENCIAS!$1:$1048576,(IF(($A12=FREQUENCIAS!$E$1),5,"ERRO")),FREQUENCIAS!$1:$1048576))</f>
        <v>0</v>
      </c>
      <c r="AD12" s="123"/>
      <c r="AE12" s="123"/>
      <c r="AF12" s="123"/>
      <c r="AG12" s="124">
        <f>(IF((A12="ERRO-FT"),"6",((IF((AND(($Z12=0),($AA12=0),($AX$32="N"))),0,(IF((AND(($Z12=0),($AA12=0),(AX$32="S"))),1,(IF((AB12+AC12+AD12+AE12+AF12)&lt;=$AI$7,$AI$7,(AB12+AC12+AD12+AE12+AF12))))))))))</f>
        <v>0</v>
      </c>
      <c r="AH12" s="125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6">
        <f t="shared" si="11"/>
        <v>0</v>
      </c>
      <c r="AJ12" s="127" t="s">
        <v>140</v>
      </c>
      <c r="AK12" s="128">
        <f t="shared" si="12"/>
        <v>1</v>
      </c>
      <c r="AL12" s="127"/>
      <c r="AM12" s="129" t="str">
        <f t="shared" si="13"/>
        <v>EXCLUI</v>
      </c>
      <c r="AN12" s="130" t="str">
        <f t="shared" si="14"/>
        <v>EM</v>
      </c>
      <c r="AQ12" s="131" t="e">
        <f>(IF(OR((B12="&lt;6"),(B12="&gt;15"),(B12=11.3),(B12=15),(B12=#REF!),(B12=#REF!),(B12=#REF!),(B12=#REF!),(B12=#REF!),(B12=#REF!),(B12=#REF!),(B12=#REF!),(B12=#REF!)),1,0))</f>
        <v>#REF!</v>
      </c>
      <c r="AR12" s="131" t="e">
        <f>(IF(OR((C12="&lt;6"),(C12="&gt;15"),(C12=11.3),(C12=15),(C12=#REF!),(C12=#REF!),(C12=#REF!),(C12=#REF!),(C12=#REF!),(C12=#REF!),(C12=#REF!),(C12=#REF!),(C12=#REF!)),1,0))</f>
        <v>#REF!</v>
      </c>
      <c r="AS12" s="131" t="e">
        <f>(IF(OR((D12="&lt;6"),(D12="&gt;15"),(D12=11.3),(D12=15),(D12=#REF!),(D12=#REF!),(D12=#REF!),(D12=#REF!),(D12=#REF!),(D12=#REF!),(D12=#REF!),(D12=#REF!),(D12=#REF!)),1,0))</f>
        <v>#REF!</v>
      </c>
      <c r="AT12" s="131" t="e">
        <f>(IF(OR((E12="&lt;6"),(E12="&gt;15"),(E12=11.3),(E12=15),(E12=#REF!),(E12=#REF!),(E12=#REF!),(E12=#REF!),(E12=#REF!),(E12=#REF!),(E12=#REF!),(E12=#REF!),(E12=#REF!)),1,0))</f>
        <v>#REF!</v>
      </c>
      <c r="AU12" s="131" t="e">
        <f>(IF(OR((F12="&lt;6"),(F12="&gt;15"),(F12=11.3),(F12=15),(F12=#REF!),(F12=#REF!),(F12=#REF!),(F12=#REF!),(F12=#REF!),(F12=#REF!),(F12=#REF!),(F12=#REF!),(F12=#REF!)),1,0))</f>
        <v>#REF!</v>
      </c>
      <c r="AV12" s="131" t="e">
        <f>(IF(OR((G12="&lt;6"),(G12="&gt;15"),(G12=11.3),(G12=15),(G12=#REF!),(G12=#REF!),(G12=#REF!),(G12=#REF!),(G12=#REF!),(G12=#REF!),(G12=#REF!),(G12=#REF!),(G12=#REF!)),1,0))</f>
        <v>#REF!</v>
      </c>
      <c r="AX12" s="132">
        <f t="shared" si="26"/>
        <v>1</v>
      </c>
      <c r="AY12" s="133">
        <f t="shared" si="15"/>
        <v>0</v>
      </c>
      <c r="AZ12" s="134"/>
      <c r="BA12" s="40">
        <f>IF($A12=FREQUENCIAS!$E$1,FREQUENCIAS!$E$2,"ERRO NO PE")</f>
        <v>0.54300000000000004</v>
      </c>
      <c r="BB12" s="40">
        <f>IF($A12=FREQUENCIAS!$E$1,FREQUENCIAS!$E$3,"ERRO NA MUT")</f>
        <v>0</v>
      </c>
      <c r="BC12" s="135">
        <f t="shared" si="16"/>
        <v>0</v>
      </c>
      <c r="BD12" s="136">
        <f t="shared" si="27"/>
        <v>1</v>
      </c>
      <c r="BF12" s="137">
        <v>6</v>
      </c>
      <c r="BG12" s="137">
        <v>15</v>
      </c>
      <c r="BH12" s="131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8" t="str">
        <f t="shared" si="17"/>
        <v/>
      </c>
      <c r="BJ12" s="118">
        <f t="shared" si="18"/>
        <v>0</v>
      </c>
      <c r="BK12" s="118">
        <f t="shared" si="19"/>
        <v>0</v>
      </c>
      <c r="BL12" s="118" t="str">
        <f t="shared" si="20"/>
        <v/>
      </c>
      <c r="BM12" s="118">
        <f t="shared" si="21"/>
        <v>0</v>
      </c>
      <c r="BN12" s="118">
        <f t="shared" si="22"/>
        <v>0</v>
      </c>
      <c r="BO12" s="118" t="str">
        <f t="shared" si="28"/>
        <v/>
      </c>
      <c r="BP12" s="118">
        <f t="shared" si="23"/>
        <v>0</v>
      </c>
      <c r="BQ12" s="118">
        <f t="shared" si="24"/>
        <v>0</v>
      </c>
      <c r="BT12" s="138">
        <v>9</v>
      </c>
      <c r="BU12" s="139">
        <v>12</v>
      </c>
    </row>
    <row r="13" spans="1:80" ht="16.5" thickTop="1" thickBot="1" x14ac:dyDescent="0.3">
      <c r="A13" s="272" t="s">
        <v>157</v>
      </c>
      <c r="B13" s="273">
        <f>'PD0101'!B13</f>
        <v>0</v>
      </c>
      <c r="C13" s="273">
        <f>'PD0101'!C13</f>
        <v>0</v>
      </c>
      <c r="D13" s="273">
        <f>'PD0101'!F13</f>
        <v>0</v>
      </c>
      <c r="E13" s="273">
        <f>'PD0101'!G13</f>
        <v>0</v>
      </c>
      <c r="F13" s="273">
        <f>'PD0101'!D13</f>
        <v>0</v>
      </c>
      <c r="G13" s="273">
        <f>'PD0101'!E13</f>
        <v>0</v>
      </c>
      <c r="H13" s="93">
        <f t="shared" si="0"/>
        <v>0</v>
      </c>
      <c r="I13" s="93">
        <f t="shared" si="0"/>
        <v>0</v>
      </c>
      <c r="J13" s="93">
        <f t="shared" si="0"/>
        <v>0</v>
      </c>
      <c r="K13" s="93">
        <f t="shared" si="0"/>
        <v>0</v>
      </c>
      <c r="L13" s="93">
        <f t="shared" si="0"/>
        <v>0</v>
      </c>
      <c r="M13" s="93">
        <f t="shared" si="0"/>
        <v>0</v>
      </c>
      <c r="N13" s="94">
        <f t="shared" si="1"/>
        <v>0</v>
      </c>
      <c r="O13" s="94">
        <f t="shared" si="2"/>
        <v>0</v>
      </c>
      <c r="P13" s="94">
        <f t="shared" si="3"/>
        <v>0</v>
      </c>
      <c r="Q13" s="94">
        <f t="shared" si="4"/>
        <v>0</v>
      </c>
      <c r="R13" s="94">
        <f t="shared" si="5"/>
        <v>0</v>
      </c>
      <c r="S13" s="94">
        <f t="shared" si="6"/>
        <v>0</v>
      </c>
      <c r="T13" s="95">
        <f t="shared" si="7"/>
        <v>0</v>
      </c>
      <c r="U13" s="95">
        <f t="shared" si="8"/>
        <v>0</v>
      </c>
      <c r="V13" s="96">
        <f>(IF((OR((P13="&gt;21"),(Q13="&gt;21"))),2,(IF(((T13+U13)=(P13+Q13)),0,1))))</f>
        <v>0</v>
      </c>
      <c r="W13" s="97">
        <f t="shared" si="25"/>
        <v>0</v>
      </c>
      <c r="X13" s="120">
        <f t="shared" ref="X13:X30" si="30">(ROUND( (IF((AND((T13=0),(U13=0))),D13,(IF((V13=2),S13,(IF((W13&lt;&gt;$AJ$7),(P13+Q13-W13),P13)))))),1))</f>
        <v>0</v>
      </c>
      <c r="Y13" s="95">
        <f t="shared" ref="Y13:Y23" si="31">(IF((AND((T13=0),(U13=0))),E13,(IF((W13&lt;&gt;$AJ$7),0,Q13))))</f>
        <v>0</v>
      </c>
      <c r="Z13" s="98">
        <f t="shared" si="9"/>
        <v>0</v>
      </c>
      <c r="AA13" s="99">
        <f t="shared" si="10"/>
        <v>0</v>
      </c>
      <c r="AB13" s="100">
        <f>IF(X13=0,0,VLOOKUP(X13,FREQUENCIAS!$1:$1048576,(IF(($A13=FREQUENCIAS!$F$1),6,"ERRO")),FREQUENCIAS!$1:$1048576))</f>
        <v>0</v>
      </c>
      <c r="AC13" s="100">
        <f>IF(Y13=0,0,VLOOKUP(Y13,FREQUENCIAS!$1:$1048576,(IF(($A13=FREQUENCIAS!$F$1),6,"ERRO")),FREQUENCIAS!$1:$1048576))</f>
        <v>0</v>
      </c>
      <c r="AD13" s="100"/>
      <c r="AE13" s="100"/>
      <c r="AF13" s="100"/>
      <c r="AG13" s="101">
        <f>(IF((A13="ERRO-FT"),"11",((IF((AND(($Z13=0),($AA13=0),($AX$32="N"))),0,(IF((AND(($Z13=0),($AA13=0),(AX$32="S"))),1,(IF((AB13+AC13+AD13+AE13+AF13)&lt;=$AI$7,$AI$7,(AB13+AC13+AD13+AE13+AF13))))))))))</f>
        <v>0</v>
      </c>
      <c r="AH13" s="102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3">
        <f t="shared" si="11"/>
        <v>0</v>
      </c>
      <c r="AJ13" s="104" t="s">
        <v>163</v>
      </c>
      <c r="AK13" s="276">
        <f t="shared" si="12"/>
        <v>1</v>
      </c>
      <c r="AL13" s="104"/>
      <c r="AM13" s="106" t="str">
        <f t="shared" si="13"/>
        <v>EXCLUI</v>
      </c>
      <c r="AN13" s="97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1">
        <f t="shared" si="16"/>
        <v>0</v>
      </c>
      <c r="BD13" s="2">
        <f t="shared" si="27"/>
        <v>1</v>
      </c>
      <c r="BF13" s="53">
        <v>12</v>
      </c>
      <c r="BG13" s="53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7" t="str">
        <f t="shared" si="17"/>
        <v/>
      </c>
      <c r="BJ13" s="57">
        <f t="shared" si="18"/>
        <v>0</v>
      </c>
      <c r="BK13" s="57">
        <f t="shared" si="19"/>
        <v>0</v>
      </c>
      <c r="BL13" s="60" t="str">
        <f t="shared" si="20"/>
        <v/>
      </c>
      <c r="BM13" s="60">
        <f t="shared" si="21"/>
        <v>0</v>
      </c>
      <c r="BN13" s="60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 x14ac:dyDescent="0.3">
      <c r="A14" s="272" t="s">
        <v>219</v>
      </c>
      <c r="B14" s="273">
        <f>'PD0101'!B14</f>
        <v>0</v>
      </c>
      <c r="C14" s="273">
        <f>'PD0101'!C14</f>
        <v>0</v>
      </c>
      <c r="D14" s="273">
        <f>'PD0101'!F14</f>
        <v>0</v>
      </c>
      <c r="E14" s="273">
        <f>'PD0101'!G14</f>
        <v>0</v>
      </c>
      <c r="F14" s="273">
        <f>'PD0101'!D14</f>
        <v>0</v>
      </c>
      <c r="G14" s="273">
        <f>'PD0101'!E14</f>
        <v>0</v>
      </c>
      <c r="H14" s="93">
        <f t="shared" si="0"/>
        <v>0</v>
      </c>
      <c r="I14" s="93">
        <f t="shared" si="0"/>
        <v>0</v>
      </c>
      <c r="J14" s="93">
        <f t="shared" si="0"/>
        <v>0</v>
      </c>
      <c r="K14" s="93">
        <f t="shared" si="0"/>
        <v>0</v>
      </c>
      <c r="L14" s="93">
        <f t="shared" si="0"/>
        <v>0</v>
      </c>
      <c r="M14" s="93">
        <f t="shared" si="0"/>
        <v>0</v>
      </c>
      <c r="N14" s="94">
        <f t="shared" si="1"/>
        <v>0</v>
      </c>
      <c r="O14" s="94">
        <f t="shared" si="2"/>
        <v>0</v>
      </c>
      <c r="P14" s="94">
        <f t="shared" si="3"/>
        <v>0</v>
      </c>
      <c r="Q14" s="94">
        <f t="shared" si="4"/>
        <v>0</v>
      </c>
      <c r="R14" s="94">
        <f t="shared" si="5"/>
        <v>0</v>
      </c>
      <c r="S14" s="94">
        <f t="shared" si="6"/>
        <v>0</v>
      </c>
      <c r="T14" s="95">
        <f t="shared" si="7"/>
        <v>0</v>
      </c>
      <c r="U14" s="95">
        <f t="shared" si="8"/>
        <v>0</v>
      </c>
      <c r="V14" s="96">
        <f>(IF((OR((P14="&gt;20"),(Q14="&gt;20"))),2,(IF(((T14+U14)=(P14+Q14)),0,1))))</f>
        <v>0</v>
      </c>
      <c r="W14" s="97">
        <f t="shared" si="25"/>
        <v>0</v>
      </c>
      <c r="X14" s="120">
        <f t="shared" si="30"/>
        <v>0</v>
      </c>
      <c r="Y14" s="95">
        <f t="shared" si="31"/>
        <v>0</v>
      </c>
      <c r="Z14" s="98">
        <f t="shared" si="9"/>
        <v>0</v>
      </c>
      <c r="AA14" s="99">
        <f t="shared" si="10"/>
        <v>0</v>
      </c>
      <c r="AB14" s="100">
        <f>IF(X14=0,0,VLOOKUP(X14,FREQUENCIAS!$1:$1048576,(IF(($A14=FREQUENCIAS!$G$1),7,"ERRO")),FREQUENCIAS!$1:$1048576))</f>
        <v>0</v>
      </c>
      <c r="AC14" s="100">
        <f>IF(Y14=0,0,VLOOKUP(Y14,FREQUENCIAS!$1:$1048576,(IF(($A14=FREQUENCIAS!$G$1),7,"ERRO")),FREQUENCIAS!$1:$1048576))</f>
        <v>0</v>
      </c>
      <c r="AD14" s="100"/>
      <c r="AE14" s="100"/>
      <c r="AF14" s="100"/>
      <c r="AG14" s="101">
        <f>(IF((A14="ERRO-FT"),"4",((IF((AND(($Z14=0),($AA14=0),($AX$32="N"))),0,(IF((AND(($Z14=0),($AA14=0),(AX$32="S"))),1,(IF((AB14+AC14+AD14+AE14+AF14)&lt;=$AI$7,$AI$7,(AB14+AC14+AD14+AE14+AF14))))))))))</f>
        <v>0</v>
      </c>
      <c r="AH14" s="102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3">
        <f t="shared" si="11"/>
        <v>0</v>
      </c>
      <c r="AJ14" s="104"/>
      <c r="AK14" s="105">
        <f t="shared" si="12"/>
        <v>1</v>
      </c>
      <c r="AL14" s="104"/>
      <c r="AM14" s="106" t="str">
        <f t="shared" si="13"/>
        <v>EXCLUI</v>
      </c>
      <c r="AN14" s="97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1">
        <f t="shared" si="16"/>
        <v>0</v>
      </c>
      <c r="BD14" s="2">
        <f t="shared" si="27"/>
        <v>1</v>
      </c>
      <c r="BF14" s="53">
        <v>4</v>
      </c>
      <c r="BG14" s="53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7" t="str">
        <f t="shared" si="17"/>
        <v/>
      </c>
      <c r="BJ14" s="57">
        <f t="shared" si="18"/>
        <v>0</v>
      </c>
      <c r="BK14" s="57">
        <f t="shared" si="19"/>
        <v>0</v>
      </c>
      <c r="BL14" s="60" t="str">
        <f t="shared" si="20"/>
        <v/>
      </c>
      <c r="BM14" s="60">
        <f t="shared" si="21"/>
        <v>0</v>
      </c>
      <c r="BN14" s="60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 x14ac:dyDescent="0.3">
      <c r="A15" s="272" t="s">
        <v>159</v>
      </c>
      <c r="B15" s="273">
        <f>'PD0101'!B15</f>
        <v>0</v>
      </c>
      <c r="C15" s="273">
        <f>'PD0101'!C15</f>
        <v>0</v>
      </c>
      <c r="D15" s="273">
        <f>'PD0101'!F15</f>
        <v>0</v>
      </c>
      <c r="E15" s="273">
        <f>'PD0101'!G15</f>
        <v>0</v>
      </c>
      <c r="F15" s="273">
        <f>'PD0101'!D15</f>
        <v>0</v>
      </c>
      <c r="G15" s="273">
        <f>'PD0101'!E15</f>
        <v>0</v>
      </c>
      <c r="H15" s="93">
        <f t="shared" si="0"/>
        <v>0</v>
      </c>
      <c r="I15" s="93">
        <f t="shared" si="0"/>
        <v>0</v>
      </c>
      <c r="J15" s="93">
        <f t="shared" si="0"/>
        <v>0</v>
      </c>
      <c r="K15" s="93">
        <f t="shared" si="0"/>
        <v>0</v>
      </c>
      <c r="L15" s="93">
        <f t="shared" si="0"/>
        <v>0</v>
      </c>
      <c r="M15" s="93">
        <f t="shared" si="0"/>
        <v>0</v>
      </c>
      <c r="N15" s="94">
        <f t="shared" si="1"/>
        <v>0</v>
      </c>
      <c r="O15" s="94">
        <f t="shared" si="2"/>
        <v>0</v>
      </c>
      <c r="P15" s="94">
        <f t="shared" si="3"/>
        <v>0</v>
      </c>
      <c r="Q15" s="94">
        <f t="shared" si="4"/>
        <v>0</v>
      </c>
      <c r="R15" s="94">
        <f t="shared" si="5"/>
        <v>0</v>
      </c>
      <c r="S15" s="94">
        <f t="shared" si="6"/>
        <v>0</v>
      </c>
      <c r="T15" s="95">
        <f t="shared" si="7"/>
        <v>0</v>
      </c>
      <c r="U15" s="95">
        <f t="shared" si="8"/>
        <v>0</v>
      </c>
      <c r="V15" s="96">
        <f>(IF((OR((P15="&gt;23"),(Q15="&gt;23"))),2,(IF(((T15+U15)=(P15+Q15)),0,1))))</f>
        <v>0</v>
      </c>
      <c r="W15" s="97">
        <f t="shared" si="25"/>
        <v>0</v>
      </c>
      <c r="X15" s="120">
        <f t="shared" si="30"/>
        <v>0</v>
      </c>
      <c r="Y15" s="95">
        <f t="shared" si="31"/>
        <v>0</v>
      </c>
      <c r="Z15" s="98">
        <f t="shared" si="9"/>
        <v>0</v>
      </c>
      <c r="AA15" s="99">
        <f t="shared" si="10"/>
        <v>0</v>
      </c>
      <c r="AB15" s="100">
        <f>IF(X15=0,0,VLOOKUP(X15,FREQUENCIAS!$1:$1048576,(IF(($A15=FREQUENCIAS!$H$1),8,"ERRO")),FREQUENCIAS!$1:$1048576))</f>
        <v>0</v>
      </c>
      <c r="AC15" s="100">
        <f>IF(Y15=0,0,VLOOKUP(Y15,FREQUENCIAS!$1:$1048576,(IF(($A15=FREQUENCIAS!$H$1),8,"ERRO")),FREQUENCIAS!$1:$1048576))</f>
        <v>0</v>
      </c>
      <c r="AD15" s="100"/>
      <c r="AE15" s="100"/>
      <c r="AF15" s="100"/>
      <c r="AG15" s="101">
        <f>(IF((A15="ERRO-FT"),"8",((IF((AND(($Z15=0),($AA15=0),($AX$32="N"))),0,(IF((AND(($Z15=0),($AA15=0),(AX$32="S"))),1,(IF((AB15+AC15+AD15+AE15+AF15)&lt;=$AI$7,$AI$7,(AB15+AC15+AD15+AE15+AF15))))))))))</f>
        <v>0</v>
      </c>
      <c r="AH15" s="102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3">
        <f t="shared" si="11"/>
        <v>0</v>
      </c>
      <c r="AJ15" s="104"/>
      <c r="AK15" s="105">
        <f t="shared" si="12"/>
        <v>1</v>
      </c>
      <c r="AL15" s="104"/>
      <c r="AM15" s="106" t="str">
        <f t="shared" si="13"/>
        <v>EXCLUI</v>
      </c>
      <c r="AN15" s="97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1">
        <f t="shared" si="16"/>
        <v>0</v>
      </c>
      <c r="BD15" s="2">
        <f t="shared" si="27"/>
        <v>1</v>
      </c>
      <c r="BF15" s="53">
        <v>8</v>
      </c>
      <c r="BG15" s="53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7" t="str">
        <f t="shared" si="17"/>
        <v/>
      </c>
      <c r="BJ15" s="57">
        <f t="shared" si="18"/>
        <v>0</v>
      </c>
      <c r="BK15" s="57">
        <f t="shared" si="19"/>
        <v>0</v>
      </c>
      <c r="BL15" s="60" t="str">
        <f t="shared" si="20"/>
        <v/>
      </c>
      <c r="BM15" s="60">
        <f t="shared" si="21"/>
        <v>0</v>
      </c>
      <c r="BN15" s="60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 x14ac:dyDescent="0.3">
      <c r="A16" s="272" t="s">
        <v>155</v>
      </c>
      <c r="B16" s="273">
        <f>'PD0101'!B16</f>
        <v>0</v>
      </c>
      <c r="C16" s="273">
        <f>'PD0101'!C16</f>
        <v>0</v>
      </c>
      <c r="D16" s="273">
        <f>'PD0101'!F16</f>
        <v>0</v>
      </c>
      <c r="E16" s="273">
        <f>'PD0101'!G16</f>
        <v>0</v>
      </c>
      <c r="F16" s="273">
        <f>'PD0101'!D16</f>
        <v>0</v>
      </c>
      <c r="G16" s="273">
        <f>'PD0101'!E16</f>
        <v>0</v>
      </c>
      <c r="H16" s="93">
        <f t="shared" si="0"/>
        <v>0</v>
      </c>
      <c r="I16" s="93">
        <f t="shared" si="0"/>
        <v>0</v>
      </c>
      <c r="J16" s="93">
        <f t="shared" si="0"/>
        <v>0</v>
      </c>
      <c r="K16" s="93">
        <f t="shared" si="0"/>
        <v>0</v>
      </c>
      <c r="L16" s="93">
        <f t="shared" si="0"/>
        <v>0</v>
      </c>
      <c r="M16" s="93">
        <f t="shared" si="0"/>
        <v>0</v>
      </c>
      <c r="N16" s="94">
        <f t="shared" si="1"/>
        <v>0</v>
      </c>
      <c r="O16" s="94">
        <f t="shared" si="2"/>
        <v>0</v>
      </c>
      <c r="P16" s="94">
        <f t="shared" si="3"/>
        <v>0</v>
      </c>
      <c r="Q16" s="94">
        <f t="shared" si="4"/>
        <v>0</v>
      </c>
      <c r="R16" s="94">
        <f t="shared" si="5"/>
        <v>0</v>
      </c>
      <c r="S16" s="94">
        <f t="shared" si="6"/>
        <v>0</v>
      </c>
      <c r="T16" s="95">
        <f t="shared" si="7"/>
        <v>0</v>
      </c>
      <c r="U16" s="95">
        <f t="shared" si="8"/>
        <v>0</v>
      </c>
      <c r="V16" s="96">
        <f>(IF((OR((P16="&gt;22"),(Q16="&gt;22"))),2,(IF(((T16+U16)=(P16+Q16)),0,1))))</f>
        <v>0</v>
      </c>
      <c r="W16" s="97">
        <f t="shared" si="25"/>
        <v>0</v>
      </c>
      <c r="X16" s="120">
        <f t="shared" si="30"/>
        <v>0</v>
      </c>
      <c r="Y16" s="95">
        <f t="shared" si="31"/>
        <v>0</v>
      </c>
      <c r="Z16" s="98">
        <f t="shared" si="9"/>
        <v>0</v>
      </c>
      <c r="AA16" s="99">
        <f t="shared" si="10"/>
        <v>0</v>
      </c>
      <c r="AB16" s="100">
        <f>IF(X16=0,0,VLOOKUP(X16,FREQUENCIAS!$1:$1048576,(IF(($A16=FREQUENCIAS!$I$1),9,"ERRO")),FREQUENCIAS!$1:$1048576))</f>
        <v>0</v>
      </c>
      <c r="AC16" s="100">
        <f>IF(Y16=0,0,VLOOKUP(Y16,FREQUENCIAS!$1:$1048576,(IF(($A16=FREQUENCIAS!$I$1),9,"ERRO")),FREQUENCIAS!$1:$1048576))</f>
        <v>0</v>
      </c>
      <c r="AD16" s="100"/>
      <c r="AE16" s="100"/>
      <c r="AF16" s="100"/>
      <c r="AG16" s="101">
        <f>(IF((A16="ERRO-FT"),"5",((IF((AND(($Z16=0),($AA16=0),($AX$32="N"))),0,(IF((AND(($Z16=0),($AA16=0),(AX$32="S"))),1,(IF((AB16+AC16+AD16+AE16+AF16)&lt;=$AI$7,$AI$7,(AB16+AC16+AD16+AE16+AF16))))))))))</f>
        <v>0</v>
      </c>
      <c r="AH16" s="102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3">
        <f t="shared" si="11"/>
        <v>0</v>
      </c>
      <c r="AJ16" s="104"/>
      <c r="AK16" s="105">
        <f t="shared" si="12"/>
        <v>1</v>
      </c>
      <c r="AL16" s="104"/>
      <c r="AM16" s="106" t="str">
        <f t="shared" si="13"/>
        <v>EXCLUI</v>
      </c>
      <c r="AN16" s="97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1">
        <f t="shared" si="16"/>
        <v>0</v>
      </c>
      <c r="BD16" s="2">
        <f t="shared" si="27"/>
        <v>1</v>
      </c>
      <c r="BF16" s="53">
        <v>5</v>
      </c>
      <c r="BG16" s="53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7" t="str">
        <f t="shared" si="17"/>
        <v/>
      </c>
      <c r="BJ16" s="57">
        <f t="shared" si="18"/>
        <v>0</v>
      </c>
      <c r="BK16" s="57">
        <f t="shared" si="19"/>
        <v>0</v>
      </c>
      <c r="BL16" s="60" t="str">
        <f t="shared" si="20"/>
        <v/>
      </c>
      <c r="BM16" s="60">
        <f t="shared" si="21"/>
        <v>0</v>
      </c>
      <c r="BN16" s="60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 x14ac:dyDescent="0.3">
      <c r="A17" s="272" t="s">
        <v>51</v>
      </c>
      <c r="B17" s="273">
        <f>'PD0101'!B17</f>
        <v>0</v>
      </c>
      <c r="C17" s="273">
        <f>'PD0101'!C17</f>
        <v>0</v>
      </c>
      <c r="D17" s="273">
        <f>'PD0101'!F17</f>
        <v>0</v>
      </c>
      <c r="E17" s="273">
        <f>'PD0101'!G17</f>
        <v>0</v>
      </c>
      <c r="F17" s="273">
        <f>'PD0101'!D17</f>
        <v>0</v>
      </c>
      <c r="G17" s="273">
        <f>'PD0101'!E17</f>
        <v>0</v>
      </c>
      <c r="H17" s="93">
        <f t="shared" si="0"/>
        <v>0</v>
      </c>
      <c r="I17" s="93">
        <f t="shared" si="0"/>
        <v>0</v>
      </c>
      <c r="J17" s="93">
        <f t="shared" si="0"/>
        <v>0</v>
      </c>
      <c r="K17" s="93">
        <f t="shared" si="0"/>
        <v>0</v>
      </c>
      <c r="L17" s="93">
        <f t="shared" si="0"/>
        <v>0</v>
      </c>
      <c r="M17" s="93">
        <f t="shared" si="0"/>
        <v>0</v>
      </c>
      <c r="N17" s="94">
        <f t="shared" si="1"/>
        <v>0</v>
      </c>
      <c r="O17" s="94">
        <f t="shared" si="2"/>
        <v>0</v>
      </c>
      <c r="P17" s="94">
        <f t="shared" si="3"/>
        <v>0</v>
      </c>
      <c r="Q17" s="94">
        <f t="shared" si="4"/>
        <v>0</v>
      </c>
      <c r="R17" s="94">
        <f t="shared" si="5"/>
        <v>0</v>
      </c>
      <c r="S17" s="94">
        <f t="shared" si="6"/>
        <v>0</v>
      </c>
      <c r="T17" s="95">
        <f t="shared" si="7"/>
        <v>0</v>
      </c>
      <c r="U17" s="95">
        <f t="shared" si="8"/>
        <v>0</v>
      </c>
      <c r="V17" s="96">
        <f>(IF((OR((P17="&gt;28"),(Q17="&gt;28"))),2,(IF(((T17+U17)=(P17+Q17)),0,1))))</f>
        <v>0</v>
      </c>
      <c r="W17" s="97">
        <f t="shared" si="25"/>
        <v>0</v>
      </c>
      <c r="X17" s="120">
        <f t="shared" si="30"/>
        <v>0</v>
      </c>
      <c r="Y17" s="95">
        <f t="shared" si="31"/>
        <v>0</v>
      </c>
      <c r="Z17" s="98">
        <f t="shared" si="9"/>
        <v>0</v>
      </c>
      <c r="AA17" s="99">
        <f t="shared" si="10"/>
        <v>0</v>
      </c>
      <c r="AB17" s="100">
        <f>IF(X17=0,0,VLOOKUP(X17,FREQUENCIAS!$1:$1048576,(IF(($A17=FREQUENCIAS!$J$1),10,"ERRO")),FREQUENCIAS!$1:$1048576))</f>
        <v>0</v>
      </c>
      <c r="AC17" s="100">
        <f>IF(Y17=0,0,VLOOKUP(Y17,FREQUENCIAS!$1:$1048576,(IF(($A17=FREQUENCIAS!$J$1),10,"ERRO")),FREQUENCIAS!$1:$1048576))</f>
        <v>0</v>
      </c>
      <c r="AD17" s="100"/>
      <c r="AE17" s="100"/>
      <c r="AF17" s="100"/>
      <c r="AG17" s="101">
        <f>(IF((A17="ERRO-FT"),"15",((IF((AND(($Z17=0),($AA17=0),($AX$32="N"))),0,(IF((AND(($Z17=0),($AA17=0),(AX$32="S"))),1,(IF((AB17+AC17+AD17+AE17+AF17)&lt;=$AI$7,$AI$7,(AB17+AC17+AD17+AE17+AF17))))))))))</f>
        <v>0</v>
      </c>
      <c r="AH17" s="102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3">
        <f t="shared" si="11"/>
        <v>0</v>
      </c>
      <c r="AJ17" s="104" t="s">
        <v>173</v>
      </c>
      <c r="AK17" s="105">
        <f t="shared" si="12"/>
        <v>1</v>
      </c>
      <c r="AL17" s="104"/>
      <c r="AM17" s="106" t="str">
        <f t="shared" si="13"/>
        <v>EXCLUI</v>
      </c>
      <c r="AN17" s="97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1">
        <f t="shared" si="16"/>
        <v>0</v>
      </c>
      <c r="BD17" s="2">
        <f t="shared" si="27"/>
        <v>1</v>
      </c>
      <c r="BF17" s="53">
        <v>15</v>
      </c>
      <c r="BG17" s="53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7" t="str">
        <f t="shared" si="17"/>
        <v/>
      </c>
      <c r="BJ17" s="57">
        <f t="shared" si="18"/>
        <v>0</v>
      </c>
      <c r="BK17" s="57">
        <f t="shared" si="19"/>
        <v>0</v>
      </c>
      <c r="BL17" s="60" t="str">
        <f t="shared" si="20"/>
        <v/>
      </c>
      <c r="BM17" s="60">
        <f t="shared" si="21"/>
        <v>0</v>
      </c>
      <c r="BN17" s="60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 x14ac:dyDescent="0.3">
      <c r="A18" s="272" t="s">
        <v>132</v>
      </c>
      <c r="B18" s="273">
        <f>'PD0101'!B18</f>
        <v>0</v>
      </c>
      <c r="C18" s="273">
        <f>'PD0101'!C18</f>
        <v>0</v>
      </c>
      <c r="D18" s="273">
        <f>'PD0101'!F18</f>
        <v>0</v>
      </c>
      <c r="E18" s="273">
        <f>'PD0101'!G18</f>
        <v>0</v>
      </c>
      <c r="F18" s="273">
        <f>'PD0101'!D18</f>
        <v>0</v>
      </c>
      <c r="G18" s="273">
        <f>'PD0101'!E18</f>
        <v>0</v>
      </c>
      <c r="H18" s="93">
        <f t="shared" si="0"/>
        <v>0</v>
      </c>
      <c r="I18" s="93">
        <f t="shared" si="0"/>
        <v>0</v>
      </c>
      <c r="J18" s="93">
        <f t="shared" si="0"/>
        <v>0</v>
      </c>
      <c r="K18" s="93">
        <f t="shared" si="0"/>
        <v>0</v>
      </c>
      <c r="L18" s="93">
        <f t="shared" si="0"/>
        <v>0</v>
      </c>
      <c r="M18" s="93">
        <f t="shared" si="0"/>
        <v>0</v>
      </c>
      <c r="N18" s="94">
        <f t="shared" si="1"/>
        <v>0</v>
      </c>
      <c r="O18" s="94">
        <f t="shared" si="2"/>
        <v>0</v>
      </c>
      <c r="P18" s="94">
        <f t="shared" si="3"/>
        <v>0</v>
      </c>
      <c r="Q18" s="94">
        <f t="shared" si="4"/>
        <v>0</v>
      </c>
      <c r="R18" s="94">
        <f t="shared" si="5"/>
        <v>0</v>
      </c>
      <c r="S18" s="94">
        <f t="shared" si="6"/>
        <v>0</v>
      </c>
      <c r="T18" s="95">
        <f t="shared" si="7"/>
        <v>0</v>
      </c>
      <c r="U18" s="95">
        <f t="shared" si="8"/>
        <v>0</v>
      </c>
      <c r="V18" s="96">
        <f>(IF((OR((P18="&gt;17,2"),(Q18="&gt;17,2"))),2,(IF(((T18+U18)=(P18+Q18)),0,1))))</f>
        <v>0</v>
      </c>
      <c r="W18" s="97">
        <f t="shared" si="25"/>
        <v>0</v>
      </c>
      <c r="X18" s="120">
        <f t="shared" si="30"/>
        <v>0</v>
      </c>
      <c r="Y18" s="95">
        <f t="shared" si="31"/>
        <v>0</v>
      </c>
      <c r="Z18" s="98">
        <f t="shared" si="9"/>
        <v>0</v>
      </c>
      <c r="AA18" s="99">
        <f t="shared" si="10"/>
        <v>0</v>
      </c>
      <c r="AB18" s="100">
        <f>IF(X18=0,0,VLOOKUP(X18,FREQUENCIAS!$1:$1048576,(IF(($A18=FREQUENCIAS!$K$1),11,"ERRO")),FREQUENCIAS!$1:$1048576))</f>
        <v>0</v>
      </c>
      <c r="AC18" s="100">
        <f>IF(Y18=0,0,VLOOKUP(Y18,FREQUENCIAS!$1:$1048576,(IF(($A18=FREQUENCIAS!$K$1),11,"ERRO")),FREQUENCIAS!$1:$1048576))</f>
        <v>0</v>
      </c>
      <c r="AD18" s="100"/>
      <c r="AE18" s="100"/>
      <c r="AF18" s="100"/>
      <c r="AG18" s="101">
        <f>(IF((A18="ERRO-FT"),"9",((IF((AND(($Z18=0),($AA18=0),($AX$32="N"))),0,(IF((AND(($Z18=0),($AA18=0),(AX$32="S"))),1,(IF((AB18+AC18+AD18+AE18+AF18)&lt;=$AI$7,$AI$7,(AB18+AC18+AD18+AE18+AF18))))))))))</f>
        <v>0</v>
      </c>
      <c r="AH18" s="102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3">
        <f t="shared" si="11"/>
        <v>0</v>
      </c>
      <c r="AJ18" s="104"/>
      <c r="AK18" s="105">
        <f t="shared" si="12"/>
        <v>1</v>
      </c>
      <c r="AL18" s="104"/>
      <c r="AM18" s="106" t="str">
        <f t="shared" si="13"/>
        <v>EXCLUI</v>
      </c>
      <c r="AN18" s="97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1">
        <f t="shared" si="16"/>
        <v>0</v>
      </c>
      <c r="BD18" s="2">
        <f t="shared" si="27"/>
        <v>1</v>
      </c>
      <c r="BF18" s="53">
        <v>9</v>
      </c>
      <c r="BG18" s="53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7" t="str">
        <f t="shared" si="17"/>
        <v/>
      </c>
      <c r="BJ18" s="57">
        <f t="shared" si="18"/>
        <v>0</v>
      </c>
      <c r="BK18" s="57">
        <f t="shared" si="19"/>
        <v>0</v>
      </c>
      <c r="BL18" s="60" t="str">
        <f t="shared" si="20"/>
        <v/>
      </c>
      <c r="BM18" s="60">
        <f t="shared" si="21"/>
        <v>0</v>
      </c>
      <c r="BN18" s="60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 x14ac:dyDescent="0.3">
      <c r="A19" s="272" t="s">
        <v>220</v>
      </c>
      <c r="B19" s="273">
        <f>'PD0101'!B19</f>
        <v>0</v>
      </c>
      <c r="C19" s="273">
        <f>'PD0101'!C19</f>
        <v>0</v>
      </c>
      <c r="D19" s="273">
        <f>'PD0101'!F19</f>
        <v>0</v>
      </c>
      <c r="E19" s="273">
        <f>'PD0101'!G19</f>
        <v>0</v>
      </c>
      <c r="F19" s="273">
        <f>'PD0101'!D19</f>
        <v>0</v>
      </c>
      <c r="G19" s="273">
        <f>'PD0101'!E19</f>
        <v>0</v>
      </c>
      <c r="H19" s="93">
        <f t="shared" si="0"/>
        <v>0</v>
      </c>
      <c r="I19" s="93">
        <f t="shared" si="0"/>
        <v>0</v>
      </c>
      <c r="J19" s="93">
        <f t="shared" si="0"/>
        <v>0</v>
      </c>
      <c r="K19" s="93">
        <f t="shared" si="0"/>
        <v>0</v>
      </c>
      <c r="L19" s="93">
        <f t="shared" si="0"/>
        <v>0</v>
      </c>
      <c r="M19" s="93">
        <f t="shared" si="0"/>
        <v>0</v>
      </c>
      <c r="N19" s="94">
        <f t="shared" si="1"/>
        <v>0</v>
      </c>
      <c r="O19" s="94">
        <f t="shared" si="2"/>
        <v>0</v>
      </c>
      <c r="P19" s="94">
        <f t="shared" si="3"/>
        <v>0</v>
      </c>
      <c r="Q19" s="94">
        <f t="shared" si="4"/>
        <v>0</v>
      </c>
      <c r="R19" s="94">
        <f t="shared" si="5"/>
        <v>0</v>
      </c>
      <c r="S19" s="94">
        <f t="shared" si="6"/>
        <v>0</v>
      </c>
      <c r="T19" s="95">
        <f t="shared" si="7"/>
        <v>0</v>
      </c>
      <c r="U19" s="95">
        <f t="shared" si="8"/>
        <v>0</v>
      </c>
      <c r="V19" s="96">
        <f>(IF((OR((P19="&gt;21"),(Q19="&gt;21"))),2,(IF(((T19+U19)=(P19+Q19)),0,1))))</f>
        <v>0</v>
      </c>
      <c r="W19" s="97">
        <f t="shared" si="25"/>
        <v>0</v>
      </c>
      <c r="X19" s="120">
        <f t="shared" si="30"/>
        <v>0</v>
      </c>
      <c r="Y19" s="95">
        <f t="shared" si="31"/>
        <v>0</v>
      </c>
      <c r="Z19" s="98">
        <f t="shared" si="9"/>
        <v>0</v>
      </c>
      <c r="AA19" s="99">
        <f t="shared" si="10"/>
        <v>0</v>
      </c>
      <c r="AB19" s="100">
        <f>IF(X19=0,0,VLOOKUP(X19,FREQUENCIAS!$1:$1048576,(IF(($A19=FREQUENCIAS!$L$1),12,"ERRO")),FREQUENCIAS!$1:$1048576))</f>
        <v>0</v>
      </c>
      <c r="AC19" s="100">
        <f>IF(Y19=0,0,VLOOKUP(Y19,FREQUENCIAS!$1:$1048576,(IF(($A19=FREQUENCIAS!$L$1),12,"ERRO")),FREQUENCIAS!$1:$1048576))</f>
        <v>0</v>
      </c>
      <c r="AD19" s="100"/>
      <c r="AE19" s="100"/>
      <c r="AF19" s="100"/>
      <c r="AG19" s="101">
        <f>(IF((A19="ERRO-FT"),"11",((IF((AND(($Z19=0),($AA19=0),($AX$32="N"))),0,(IF((AND(($Z19=0),($AA19=0),(AX$32="S"))),1,(IF((AB19+AC19+AD19+AE19+AF19)&lt;=$AI$7,$AI$7,(AB19+AC19+AD19+AE19+AF19))))))))))</f>
        <v>0</v>
      </c>
      <c r="AH19" s="102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3">
        <f t="shared" si="11"/>
        <v>0</v>
      </c>
      <c r="AJ19" s="104" t="s">
        <v>164</v>
      </c>
      <c r="AK19" s="105">
        <f t="shared" si="12"/>
        <v>1</v>
      </c>
      <c r="AL19" s="104"/>
      <c r="AM19" s="106" t="str">
        <f t="shared" si="13"/>
        <v>EXCLUI</v>
      </c>
      <c r="AN19" s="97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1">
        <f t="shared" si="16"/>
        <v>0</v>
      </c>
      <c r="BD19" s="2">
        <f t="shared" si="27"/>
        <v>1</v>
      </c>
      <c r="BF19" s="53">
        <v>11</v>
      </c>
      <c r="BG19" s="53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7" t="str">
        <f t="shared" si="17"/>
        <v/>
      </c>
      <c r="BJ19" s="57">
        <f t="shared" si="18"/>
        <v>0</v>
      </c>
      <c r="BK19" s="57">
        <f t="shared" si="19"/>
        <v>0</v>
      </c>
      <c r="BL19" s="60" t="str">
        <f t="shared" si="20"/>
        <v/>
      </c>
      <c r="BM19" s="60">
        <f t="shared" si="21"/>
        <v>0</v>
      </c>
      <c r="BN19" s="60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 x14ac:dyDescent="0.3">
      <c r="A20" s="272" t="s">
        <v>144</v>
      </c>
      <c r="B20" s="273">
        <f>'PD0101'!B20</f>
        <v>0</v>
      </c>
      <c r="C20" s="273">
        <f>'PD0101'!C20</f>
        <v>0</v>
      </c>
      <c r="D20" s="273">
        <f>'PD0101'!F20</f>
        <v>0</v>
      </c>
      <c r="E20" s="273">
        <f>'PD0101'!G20</f>
        <v>0</v>
      </c>
      <c r="F20" s="273">
        <f>'PD0101'!D20</f>
        <v>0</v>
      </c>
      <c r="G20" s="273">
        <f>'PD0101'!E20</f>
        <v>0</v>
      </c>
      <c r="H20" s="93">
        <f t="shared" si="0"/>
        <v>0</v>
      </c>
      <c r="I20" s="93">
        <f t="shared" si="0"/>
        <v>0</v>
      </c>
      <c r="J20" s="93">
        <f t="shared" si="0"/>
        <v>0</v>
      </c>
      <c r="K20" s="93">
        <f t="shared" si="0"/>
        <v>0</v>
      </c>
      <c r="L20" s="93">
        <f t="shared" si="0"/>
        <v>0</v>
      </c>
      <c r="M20" s="93">
        <f t="shared" si="0"/>
        <v>0</v>
      </c>
      <c r="N20" s="94">
        <f t="shared" si="1"/>
        <v>0</v>
      </c>
      <c r="O20" s="94">
        <f t="shared" si="2"/>
        <v>0</v>
      </c>
      <c r="P20" s="94">
        <f t="shared" si="3"/>
        <v>0</v>
      </c>
      <c r="Q20" s="94">
        <f t="shared" si="4"/>
        <v>0</v>
      </c>
      <c r="R20" s="94">
        <f t="shared" si="5"/>
        <v>0</v>
      </c>
      <c r="S20" s="94">
        <f t="shared" si="6"/>
        <v>0</v>
      </c>
      <c r="T20" s="95">
        <f t="shared" si="7"/>
        <v>0</v>
      </c>
      <c r="U20" s="95">
        <f t="shared" si="8"/>
        <v>0</v>
      </c>
      <c r="V20" s="96">
        <f>(IF((OR((P20="&gt;20"),(Q20="&gt;20"))),2,(IF(((T20+U20)=(P20+Q20)),0,1))))</f>
        <v>0</v>
      </c>
      <c r="W20" s="97">
        <f t="shared" si="25"/>
        <v>0</v>
      </c>
      <c r="X20" s="120">
        <f t="shared" si="30"/>
        <v>0</v>
      </c>
      <c r="Y20" s="95">
        <f t="shared" si="31"/>
        <v>0</v>
      </c>
      <c r="Z20" s="98">
        <f t="shared" si="9"/>
        <v>0</v>
      </c>
      <c r="AA20" s="99">
        <f t="shared" si="10"/>
        <v>0</v>
      </c>
      <c r="AB20" s="100">
        <f>IF(X20=0,0,VLOOKUP(X20,FREQUENCIAS!$1:$1048576,(IF(($A20=FREQUENCIAS!$M$1),13,"ERRO")),FREQUENCIAS!$1:$1048576))</f>
        <v>0</v>
      </c>
      <c r="AC20" s="100">
        <f>IF(Y20=0,0,VLOOKUP(Y20,FREQUENCIAS!$1:$1048576,(IF(($A20=FREQUENCIAS!$M$1),13,"ERRO")),FREQUENCIAS!$1:$1048576))</f>
        <v>0</v>
      </c>
      <c r="AD20" s="100"/>
      <c r="AE20" s="100"/>
      <c r="AF20" s="100"/>
      <c r="AG20" s="101">
        <f>(IF((A20="ERRO-FT"),"5",((IF((AND(($Z20=0),($AA20=0),($AX$32="N"))),0,(IF((AND(($Z20=0),($AA20=0),(AX$32="S"))),1,(IF((AB20+AC20+AD20+AE20+AF20)&lt;=$AI$7,$AI$7,(AB20+AC20+AD20+AE20+AF20))))))))))</f>
        <v>0</v>
      </c>
      <c r="AH20" s="102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3">
        <f t="shared" si="11"/>
        <v>0</v>
      </c>
      <c r="AJ20" s="104"/>
      <c r="AK20" s="105">
        <f t="shared" si="12"/>
        <v>1</v>
      </c>
      <c r="AL20" s="104"/>
      <c r="AM20" s="106" t="str">
        <f t="shared" si="13"/>
        <v>EXCLUI</v>
      </c>
      <c r="AN20" s="97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1">
        <f t="shared" si="16"/>
        <v>0</v>
      </c>
      <c r="BD20" s="2">
        <f t="shared" si="27"/>
        <v>1</v>
      </c>
      <c r="BF20" s="53">
        <v>5</v>
      </c>
      <c r="BG20" s="53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7" t="str">
        <f t="shared" si="17"/>
        <v/>
      </c>
      <c r="BJ20" s="57">
        <f t="shared" si="18"/>
        <v>0</v>
      </c>
      <c r="BK20" s="57">
        <f t="shared" si="19"/>
        <v>0</v>
      </c>
      <c r="BL20" s="60" t="str">
        <f t="shared" si="20"/>
        <v/>
      </c>
      <c r="BM20" s="60">
        <f t="shared" si="21"/>
        <v>0</v>
      </c>
      <c r="BN20" s="60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 x14ac:dyDescent="0.3">
      <c r="A21" s="272" t="s">
        <v>179</v>
      </c>
      <c r="B21" s="273">
        <f>'PD0101'!B21</f>
        <v>0</v>
      </c>
      <c r="C21" s="273">
        <f>'PD0101'!C21</f>
        <v>0</v>
      </c>
      <c r="D21" s="273">
        <f>'PD0101'!F21</f>
        <v>0</v>
      </c>
      <c r="E21" s="273">
        <f>'PD0101'!G21</f>
        <v>0</v>
      </c>
      <c r="F21" s="273">
        <f>'PD0101'!D21</f>
        <v>0</v>
      </c>
      <c r="G21" s="273">
        <f>'PD0101'!E21</f>
        <v>0</v>
      </c>
      <c r="H21" s="93">
        <f t="shared" si="0"/>
        <v>0</v>
      </c>
      <c r="I21" s="93">
        <f t="shared" si="0"/>
        <v>0</v>
      </c>
      <c r="J21" s="93">
        <f t="shared" si="0"/>
        <v>0</v>
      </c>
      <c r="K21" s="93">
        <f t="shared" si="0"/>
        <v>0</v>
      </c>
      <c r="L21" s="93">
        <f t="shared" si="0"/>
        <v>0</v>
      </c>
      <c r="M21" s="93">
        <f t="shared" si="0"/>
        <v>0</v>
      </c>
      <c r="N21" s="94">
        <f t="shared" si="1"/>
        <v>0</v>
      </c>
      <c r="O21" s="94">
        <f t="shared" si="2"/>
        <v>0</v>
      </c>
      <c r="P21" s="94">
        <f t="shared" si="3"/>
        <v>0</v>
      </c>
      <c r="Q21" s="94">
        <f t="shared" si="4"/>
        <v>0</v>
      </c>
      <c r="R21" s="94">
        <f t="shared" si="5"/>
        <v>0</v>
      </c>
      <c r="S21" s="94">
        <f t="shared" si="6"/>
        <v>0</v>
      </c>
      <c r="T21" s="95">
        <f t="shared" si="7"/>
        <v>0</v>
      </c>
      <c r="U21" s="95">
        <f t="shared" si="8"/>
        <v>0</v>
      </c>
      <c r="V21" s="96">
        <f>(IF((OR((P21="&gt;24"),(Q21="&gt;24"))),2,(IF(((T21+U21)=(P21+Q21)),0,1))))</f>
        <v>0</v>
      </c>
      <c r="W21" s="97">
        <f t="shared" si="25"/>
        <v>0</v>
      </c>
      <c r="X21" s="120">
        <f t="shared" si="30"/>
        <v>0</v>
      </c>
      <c r="Y21" s="95">
        <f t="shared" si="31"/>
        <v>0</v>
      </c>
      <c r="Z21" s="98">
        <f t="shared" si="9"/>
        <v>0</v>
      </c>
      <c r="AA21" s="99">
        <f t="shared" si="10"/>
        <v>0</v>
      </c>
      <c r="AB21" s="100">
        <f>IF(X21=0,0,VLOOKUP(X21,FREQUENCIAS!$1:$1048576,(IF(($A21=FREQUENCIAS!$N$1),14,"ERRO")),FREQUENCIAS!$1:$1048576))</f>
        <v>0</v>
      </c>
      <c r="AC21" s="100">
        <f>IF(Y21=0,0,VLOOKUP(Y21,FREQUENCIAS!$1:$1048576,(IF(($A21=FREQUENCIAS!$N$1),14,"ERRO")),FREQUENCIAS!$1:$1048576))</f>
        <v>0</v>
      </c>
      <c r="AD21" s="100"/>
      <c r="AE21" s="100"/>
      <c r="AF21" s="100"/>
      <c r="AG21" s="101">
        <f>(IF((A21="ERRO-FT"),"7",((IF((AND(($Z21=0),($AA21=0),($AX$32="N"))),0,(IF((AND(($Z21=0),($AA21=0),(AX$32="S"))),1,(IF((AB21+AC21+AD21+AE21+AF21)&lt;=$AI$7,$AI$7,(AB21+AC21+AD21+AE21+AF21))))))))))</f>
        <v>0</v>
      </c>
      <c r="AH21" s="102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3">
        <f t="shared" si="11"/>
        <v>0</v>
      </c>
      <c r="AJ21" s="104"/>
      <c r="AK21" s="105">
        <f t="shared" si="12"/>
        <v>1</v>
      </c>
      <c r="AL21" s="104"/>
      <c r="AM21" s="106" t="str">
        <f t="shared" si="13"/>
        <v>EXCLUI</v>
      </c>
      <c r="AN21" s="97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1">
        <f t="shared" si="16"/>
        <v>0</v>
      </c>
      <c r="BD21" s="2">
        <f t="shared" si="27"/>
        <v>1</v>
      </c>
      <c r="BF21" s="53">
        <v>7</v>
      </c>
      <c r="BG21" s="53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7" t="str">
        <f t="shared" si="17"/>
        <v/>
      </c>
      <c r="BJ21" s="57">
        <f t="shared" si="18"/>
        <v>0</v>
      </c>
      <c r="BK21" s="57">
        <f t="shared" si="19"/>
        <v>0</v>
      </c>
      <c r="BL21" s="60" t="str">
        <f t="shared" si="20"/>
        <v/>
      </c>
      <c r="BM21" s="60">
        <f t="shared" si="21"/>
        <v>0</v>
      </c>
      <c r="BN21" s="60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 x14ac:dyDescent="0.3">
      <c r="A22" s="272" t="s">
        <v>154</v>
      </c>
      <c r="B22" s="273">
        <f>'PD0101'!B22</f>
        <v>0</v>
      </c>
      <c r="C22" s="273">
        <f>'PD0101'!C22</f>
        <v>0</v>
      </c>
      <c r="D22" s="273">
        <f>'PD0101'!F22</f>
        <v>0</v>
      </c>
      <c r="E22" s="273">
        <f>'PD0101'!G22</f>
        <v>0</v>
      </c>
      <c r="F22" s="273">
        <f>'PD0101'!D22</f>
        <v>0</v>
      </c>
      <c r="G22" s="273">
        <f>'PD0101'!E22</f>
        <v>0</v>
      </c>
      <c r="H22" s="93">
        <f t="shared" si="0"/>
        <v>0</v>
      </c>
      <c r="I22" s="93">
        <f t="shared" si="0"/>
        <v>0</v>
      </c>
      <c r="J22" s="93">
        <f t="shared" si="0"/>
        <v>0</v>
      </c>
      <c r="K22" s="93">
        <f t="shared" si="0"/>
        <v>0</v>
      </c>
      <c r="L22" s="93">
        <f t="shared" si="0"/>
        <v>0</v>
      </c>
      <c r="M22" s="93">
        <f t="shared" si="0"/>
        <v>0</v>
      </c>
      <c r="N22" s="94">
        <f t="shared" si="1"/>
        <v>0</v>
      </c>
      <c r="O22" s="94">
        <f t="shared" si="2"/>
        <v>0</v>
      </c>
      <c r="P22" s="94">
        <f t="shared" si="3"/>
        <v>0</v>
      </c>
      <c r="Q22" s="94">
        <f t="shared" si="4"/>
        <v>0</v>
      </c>
      <c r="R22" s="94">
        <f t="shared" si="5"/>
        <v>0</v>
      </c>
      <c r="S22" s="94">
        <f t="shared" si="6"/>
        <v>0</v>
      </c>
      <c r="T22" s="95">
        <f t="shared" si="7"/>
        <v>0</v>
      </c>
      <c r="U22" s="95">
        <f t="shared" si="8"/>
        <v>0</v>
      </c>
      <c r="V22" s="96">
        <f>(IF((OR((P22="&gt;22"),(Q22="&gt;22"))),2,(IF(((T22+U22)=(P22+Q22)),0,1))))</f>
        <v>0</v>
      </c>
      <c r="W22" s="97">
        <f t="shared" si="25"/>
        <v>0</v>
      </c>
      <c r="X22" s="120">
        <f t="shared" si="30"/>
        <v>0</v>
      </c>
      <c r="Y22" s="95">
        <f t="shared" si="31"/>
        <v>0</v>
      </c>
      <c r="Z22" s="98">
        <f t="shared" si="9"/>
        <v>0</v>
      </c>
      <c r="AA22" s="99">
        <f t="shared" si="10"/>
        <v>0</v>
      </c>
      <c r="AB22" s="100">
        <f>IF(X22=0,0,VLOOKUP(X22,FREQUENCIAS!$1:$1048576,(IF(($A22=FREQUENCIAS!$O$1),15,"ERRO")),FREQUENCIAS!$1:$1048576))</f>
        <v>0</v>
      </c>
      <c r="AC22" s="100">
        <f>IF(Y22=0,0,VLOOKUP(Y22,FREQUENCIAS!$1:$1048576,(IF(($A22=FREQUENCIAS!$O$1),15,"ERRO")),FREQUENCIAS!$1:$1048576))</f>
        <v>0</v>
      </c>
      <c r="AD22" s="100"/>
      <c r="AE22" s="100"/>
      <c r="AF22" s="100"/>
      <c r="AG22" s="101">
        <f>(IF((A22="ERRO-FT"),"7",((IF((AND(($Z22=0),($AA22=0),($AX$32="N"))),0,(IF((AND(($Z22=0),($AA22=0),(AX$32="S"))),1,(IF((AB22+AC22+AD22+AE22+AF22)&lt;=$AI$7,$AI$7,(AB22+AC22+AD22+AE22+AF22))))))))))</f>
        <v>0</v>
      </c>
      <c r="AH22" s="102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3">
        <f t="shared" si="11"/>
        <v>0</v>
      </c>
      <c r="AJ22" s="104"/>
      <c r="AK22" s="105">
        <f t="shared" si="12"/>
        <v>1</v>
      </c>
      <c r="AL22" s="104"/>
      <c r="AM22" s="106" t="str">
        <f t="shared" si="13"/>
        <v>EXCLUI</v>
      </c>
      <c r="AN22" s="97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1">
        <f t="shared" si="16"/>
        <v>0</v>
      </c>
      <c r="BD22" s="2">
        <f t="shared" si="27"/>
        <v>1</v>
      </c>
      <c r="BF22" s="53">
        <v>7</v>
      </c>
      <c r="BG22" s="53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7" t="str">
        <f t="shared" si="17"/>
        <v/>
      </c>
      <c r="BJ22" s="57">
        <f t="shared" si="18"/>
        <v>0</v>
      </c>
      <c r="BK22" s="57">
        <f t="shared" si="19"/>
        <v>0</v>
      </c>
      <c r="BL22" s="60" t="str">
        <f t="shared" si="20"/>
        <v/>
      </c>
      <c r="BM22" s="60">
        <f t="shared" si="21"/>
        <v>0</v>
      </c>
      <c r="BN22" s="60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 x14ac:dyDescent="0.3">
      <c r="A23" s="272" t="s">
        <v>158</v>
      </c>
      <c r="B23" s="273">
        <f>'PD0101'!B23</f>
        <v>0</v>
      </c>
      <c r="C23" s="273">
        <f>'PD0101'!C23</f>
        <v>0</v>
      </c>
      <c r="D23" s="273">
        <f>'PD0101'!F23</f>
        <v>0</v>
      </c>
      <c r="E23" s="273">
        <f>'PD0101'!G23</f>
        <v>0</v>
      </c>
      <c r="F23" s="273">
        <f>'PD0101'!D23</f>
        <v>0</v>
      </c>
      <c r="G23" s="273">
        <f>'PD0101'!E23</f>
        <v>0</v>
      </c>
      <c r="H23" s="93">
        <f t="shared" si="0"/>
        <v>0</v>
      </c>
      <c r="I23" s="93">
        <f t="shared" si="0"/>
        <v>0</v>
      </c>
      <c r="J23" s="93">
        <f t="shared" si="0"/>
        <v>0</v>
      </c>
      <c r="K23" s="93">
        <f t="shared" si="0"/>
        <v>0</v>
      </c>
      <c r="L23" s="93">
        <f t="shared" si="0"/>
        <v>0</v>
      </c>
      <c r="M23" s="93">
        <f t="shared" si="0"/>
        <v>0</v>
      </c>
      <c r="N23" s="94">
        <f t="shared" si="1"/>
        <v>0</v>
      </c>
      <c r="O23" s="94">
        <f t="shared" si="2"/>
        <v>0</v>
      </c>
      <c r="P23" s="94">
        <f t="shared" si="3"/>
        <v>0</v>
      </c>
      <c r="Q23" s="94">
        <f t="shared" si="4"/>
        <v>0</v>
      </c>
      <c r="R23" s="94">
        <f t="shared" si="5"/>
        <v>0</v>
      </c>
      <c r="S23" s="94">
        <f t="shared" si="6"/>
        <v>0</v>
      </c>
      <c r="T23" s="95">
        <f t="shared" si="7"/>
        <v>0</v>
      </c>
      <c r="U23" s="95">
        <f t="shared" si="8"/>
        <v>0</v>
      </c>
      <c r="V23" s="96">
        <f>(IF((OR((P23="&gt;32"),(Q23="&gt;32"))),2,(IF(((T23+U23)=(P23+Q23)),0,1))))</f>
        <v>0</v>
      </c>
      <c r="W23" s="97">
        <f t="shared" si="25"/>
        <v>0</v>
      </c>
      <c r="X23" s="120">
        <f t="shared" si="30"/>
        <v>0</v>
      </c>
      <c r="Y23" s="95">
        <f t="shared" si="31"/>
        <v>0</v>
      </c>
      <c r="Z23" s="98">
        <f t="shared" si="9"/>
        <v>0</v>
      </c>
      <c r="AA23" s="99">
        <f t="shared" si="10"/>
        <v>0</v>
      </c>
      <c r="AB23" s="100">
        <f>IF(X23=0,0,VLOOKUP(X23,FREQUENCIAS!$1:$1048576,(IF(($A23=FREQUENCIAS!$P$1),16,"ERRO")),FREQUENCIAS!$1:$1048576))</f>
        <v>0</v>
      </c>
      <c r="AC23" s="100">
        <f>IF(Y23=0,0,VLOOKUP(Y23,FREQUENCIAS!$1:$1048576,(IF(($A23=FREQUENCIAS!$P$1),16,"ERRO")),FREQUENCIAS!$1:$1048576))</f>
        <v>0</v>
      </c>
      <c r="AD23" s="100"/>
      <c r="AE23" s="100"/>
      <c r="AF23" s="100"/>
      <c r="AG23" s="101">
        <f>(IF((A23="ERRO-FT"),"16",((IF((AND(($Z23=0),($AA23=0),($AX$32="N"))),0,(IF((AND(($Z23=0),($AA23=0),(AX$32="S"))),1,(IF((AB23+AC23+AD23+AE23+AF23)&lt;=$AI$7,$AI$7,(AB23+AC23+AD23+AE23+AF23))))))))))</f>
        <v>0</v>
      </c>
      <c r="AH23" s="102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3">
        <f t="shared" si="11"/>
        <v>0</v>
      </c>
      <c r="AJ23" s="104" t="s">
        <v>173</v>
      </c>
      <c r="AK23" s="105">
        <f t="shared" si="12"/>
        <v>1</v>
      </c>
      <c r="AL23" s="104"/>
      <c r="AM23" s="106" t="str">
        <f t="shared" si="13"/>
        <v>EXCLUI</v>
      </c>
      <c r="AN23" s="97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1">
        <f t="shared" si="16"/>
        <v>0</v>
      </c>
      <c r="BD23" s="2">
        <f t="shared" si="27"/>
        <v>1</v>
      </c>
      <c r="BF23" s="53">
        <v>17</v>
      </c>
      <c r="BG23" s="53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4" t="str">
        <f t="shared" si="20"/>
        <v/>
      </c>
      <c r="BM23" s="64">
        <f t="shared" si="21"/>
        <v>0</v>
      </c>
      <c r="BN23" s="64">
        <f t="shared" si="22"/>
        <v>0</v>
      </c>
      <c r="BO23" s="65" t="str">
        <f t="shared" si="28"/>
        <v/>
      </c>
      <c r="BP23" s="65">
        <f t="shared" si="23"/>
        <v>0</v>
      </c>
      <c r="BQ23" s="65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 x14ac:dyDescent="0.3">
      <c r="A24" s="272" t="s">
        <v>156</v>
      </c>
      <c r="B24" s="273">
        <f>'PD0101'!B24</f>
        <v>0</v>
      </c>
      <c r="C24" s="273">
        <f>'PD0101'!C24</f>
        <v>0</v>
      </c>
      <c r="D24" s="273">
        <f>'PD0101'!F24</f>
        <v>0</v>
      </c>
      <c r="E24" s="273">
        <f>'PD0101'!G24</f>
        <v>0</v>
      </c>
      <c r="F24" s="273">
        <f>'PD0101'!D24</f>
        <v>0</v>
      </c>
      <c r="G24" s="273">
        <f>'PD0101'!E24</f>
        <v>0</v>
      </c>
      <c r="H24" s="93">
        <f t="shared" si="0"/>
        <v>0</v>
      </c>
      <c r="I24" s="93">
        <f t="shared" si="0"/>
        <v>0</v>
      </c>
      <c r="J24" s="93">
        <f t="shared" si="0"/>
        <v>0</v>
      </c>
      <c r="K24" s="93">
        <f t="shared" si="0"/>
        <v>0</v>
      </c>
      <c r="L24" s="93">
        <f t="shared" si="0"/>
        <v>0</v>
      </c>
      <c r="M24" s="93">
        <f t="shared" si="0"/>
        <v>0</v>
      </c>
      <c r="N24" s="94">
        <f t="shared" si="1"/>
        <v>0</v>
      </c>
      <c r="O24" s="94">
        <f t="shared" si="2"/>
        <v>0</v>
      </c>
      <c r="P24" s="94">
        <f t="shared" si="3"/>
        <v>0</v>
      </c>
      <c r="Q24" s="94">
        <f t="shared" si="4"/>
        <v>0</v>
      </c>
      <c r="R24" s="94">
        <f t="shared" si="5"/>
        <v>0</v>
      </c>
      <c r="S24" s="94">
        <f t="shared" si="6"/>
        <v>0</v>
      </c>
      <c r="T24" s="95">
        <f t="shared" si="7"/>
        <v>0</v>
      </c>
      <c r="U24" s="95">
        <f t="shared" si="8"/>
        <v>0</v>
      </c>
      <c r="V24" s="96">
        <f>(IF((OR((P24="&gt;18"),(Q24="&gt;18"))),2,(IF(((T24+U24)=(P24+Q24)),0,1))))</f>
        <v>0</v>
      </c>
      <c r="W24" s="97">
        <f>IF(OR(($T24=$U24),($U24=0)),$T24,(IF(AND(($T24=0),($U24&lt;&gt;0)),$U24,$AJ$7)))</f>
        <v>0</v>
      </c>
      <c r="X24" s="120">
        <f t="shared" si="30"/>
        <v>0</v>
      </c>
      <c r="Y24" s="95">
        <f>(IF((AND(($T24=0),($U24=0))),$E24,(IF(($W24&lt;&gt;$AJ$7),0,$Q24))))</f>
        <v>0</v>
      </c>
      <c r="Z24" s="98">
        <f t="shared" si="9"/>
        <v>0</v>
      </c>
      <c r="AA24" s="99">
        <f t="shared" si="10"/>
        <v>0</v>
      </c>
      <c r="AB24" s="100">
        <f>IF(X24=0,0,VLOOKUP(X24,FREQUENCIAS!$1:$1048576,(IF(($A24=FREQUENCIAS!$Q$1),17,"ERRO")),FREQUENCIAS!$1:$1048576))</f>
        <v>0</v>
      </c>
      <c r="AC24" s="100">
        <f>IF(Y24=0,0,VLOOKUP(Y24,FREQUENCIAS!$1:$1048576,(IF(($A24=FREQUENCIAS!$Q$1),17,"ERRO")),FREQUENCIAS!$1:$1048576))</f>
        <v>0</v>
      </c>
      <c r="AD24" s="100"/>
      <c r="AE24" s="100"/>
      <c r="AF24" s="100"/>
      <c r="AG24" s="101">
        <f>(IF((A24="ERRO-FT"),"8",((IF((AND(($Z24=0),($AA24=0),($AX$32="N"))),0,(IF((AND(($Z24=0),($AA24=0),(AX$32="S"))),1,(IF((AB24+AC24+AD24+AE24+AF24)&lt;=$AI$7,$AI$7,(AB24+AC24+AD24+AE24+AF24))))))))))</f>
        <v>0</v>
      </c>
      <c r="AH24" s="102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3">
        <f t="shared" si="11"/>
        <v>0</v>
      </c>
      <c r="AJ24" s="104"/>
      <c r="AK24" s="105">
        <f t="shared" si="12"/>
        <v>1</v>
      </c>
      <c r="AL24" s="104"/>
      <c r="AM24" s="106" t="str">
        <f t="shared" si="13"/>
        <v>EXCLUI</v>
      </c>
      <c r="AN24" s="97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1">
        <f t="shared" si="16"/>
        <v>0</v>
      </c>
      <c r="BD24" s="2">
        <f>IF((W24=0),1,0)</f>
        <v>1</v>
      </c>
      <c r="BE24" s="68"/>
      <c r="BF24" s="52">
        <v>8</v>
      </c>
      <c r="BG24" s="52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7" t="str">
        <f t="shared" si="17"/>
        <v/>
      </c>
      <c r="BJ24" s="57">
        <f t="shared" si="18"/>
        <v>0</v>
      </c>
      <c r="BK24" s="57">
        <f t="shared" si="19"/>
        <v>0</v>
      </c>
      <c r="BL24" s="60" t="str">
        <f t="shared" si="20"/>
        <v/>
      </c>
      <c r="BM24" s="60">
        <f t="shared" si="21"/>
        <v>0</v>
      </c>
      <c r="BN24" s="60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 x14ac:dyDescent="0.3">
      <c r="A25" s="272" t="s">
        <v>142</v>
      </c>
      <c r="B25" s="273">
        <f>'PD0101'!B25</f>
        <v>0</v>
      </c>
      <c r="C25" s="273">
        <f>'PD0101'!C25</f>
        <v>0</v>
      </c>
      <c r="D25" s="273">
        <f>'PD0101'!F25</f>
        <v>0</v>
      </c>
      <c r="E25" s="273">
        <f>'PD0101'!G25</f>
        <v>0</v>
      </c>
      <c r="F25" s="273">
        <f>'PD0101'!D25</f>
        <v>0</v>
      </c>
      <c r="G25" s="273">
        <f>'PD0101'!E25</f>
        <v>0</v>
      </c>
      <c r="H25" s="93">
        <f t="shared" ref="H25:M30" si="33">(IF(CODE(B25)=(60),($BF25-1),(IF(CODE(B25)=(62),($BG25+1),B25))))</f>
        <v>0</v>
      </c>
      <c r="I25" s="93">
        <f t="shared" si="33"/>
        <v>0</v>
      </c>
      <c r="J25" s="93">
        <f t="shared" si="33"/>
        <v>0</v>
      </c>
      <c r="K25" s="93">
        <f t="shared" si="33"/>
        <v>0</v>
      </c>
      <c r="L25" s="93">
        <f t="shared" si="33"/>
        <v>0</v>
      </c>
      <c r="M25" s="93">
        <f t="shared" si="33"/>
        <v>0</v>
      </c>
      <c r="N25" s="94">
        <f t="shared" si="1"/>
        <v>0</v>
      </c>
      <c r="O25" s="94">
        <f t="shared" si="2"/>
        <v>0</v>
      </c>
      <c r="P25" s="94">
        <f t="shared" si="3"/>
        <v>0</v>
      </c>
      <c r="Q25" s="94">
        <f t="shared" si="4"/>
        <v>0</v>
      </c>
      <c r="R25" s="94">
        <f t="shared" si="5"/>
        <v>0</v>
      </c>
      <c r="S25" s="94">
        <f t="shared" si="6"/>
        <v>0</v>
      </c>
      <c r="T25" s="95">
        <f t="shared" si="7"/>
        <v>0</v>
      </c>
      <c r="U25" s="95">
        <f t="shared" si="8"/>
        <v>0</v>
      </c>
      <c r="V25" s="96">
        <f>(IF((OR((P25="&gt;36"),(Q25="&gt;36"))),2,(IF(((T25+U25)=(P25+Q25)),0,1))))</f>
        <v>0</v>
      </c>
      <c r="W25" s="97">
        <f t="shared" ref="W25:W30" si="34">IF(OR((T25=U25),(U25=0)),T25,(IF(AND((T25=0),(U25&lt;&gt;0)),U25,$AJ$7)))</f>
        <v>0</v>
      </c>
      <c r="X25" s="120">
        <f t="shared" si="30"/>
        <v>0</v>
      </c>
      <c r="Y25" s="95">
        <f>(IF((AND((T25=0),(U25=0))),E25,(IF((W25&lt;&gt;$AJ$7),0,Q25))))</f>
        <v>0</v>
      </c>
      <c r="Z25" s="98">
        <f t="shared" si="9"/>
        <v>0</v>
      </c>
      <c r="AA25" s="99">
        <f t="shared" si="10"/>
        <v>0</v>
      </c>
      <c r="AB25" s="100">
        <f>IF(X25=0,0,VLOOKUP(X25,FREQUENCIAS!$1:$1048576,(IF(($A25=FREQUENCIAS!$R$1),18,"ERRO")),FREQUENCIAS!$1:$1048576))</f>
        <v>0</v>
      </c>
      <c r="AC25" s="100">
        <f>IF(Y25=0,0,VLOOKUP(Y25,FREQUENCIAS!$1:$1048576,(IF(($A25=FREQUENCIAS!$R$1),18,"ERRO")),FREQUENCIAS!$1:$1048576))</f>
        <v>0</v>
      </c>
      <c r="AD25" s="100"/>
      <c r="AE25" s="100"/>
      <c r="AF25" s="100"/>
      <c r="AG25" s="101">
        <f>(IF((A25="ERRO-FT"),"24",((IF((AND(($Z25=0),($AA25=0),($AX$32="N"))),0,(IF((AND(($Z25=0),($AA25=0),(AX$32="S"))),1,(IF((AB25+AC25+AD25+AE25+AF25)&lt;=$AI$7,$AI$7,(AB25+AC25+AD25+AE25+AF25))))))))))</f>
        <v>0</v>
      </c>
      <c r="AH25" s="102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3">
        <f t="shared" si="11"/>
        <v>0</v>
      </c>
      <c r="AJ25" s="104"/>
      <c r="AK25" s="105">
        <f t="shared" si="12"/>
        <v>1</v>
      </c>
      <c r="AL25" s="104"/>
      <c r="AM25" s="106" t="str">
        <f t="shared" si="13"/>
        <v>EXCLUI</v>
      </c>
      <c r="AN25" s="97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1">
        <f t="shared" si="16"/>
        <v>0</v>
      </c>
      <c r="BD25" s="2">
        <f t="shared" ref="BD25:BD30" si="35">IF((W25=0),1,0)</f>
        <v>1</v>
      </c>
      <c r="BF25" s="53">
        <v>24</v>
      </c>
      <c r="BG25" s="53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7" t="str">
        <f t="shared" si="17"/>
        <v/>
      </c>
      <c r="BJ25" s="57">
        <f t="shared" si="18"/>
        <v>0</v>
      </c>
      <c r="BK25" s="57">
        <f t="shared" si="19"/>
        <v>0</v>
      </c>
      <c r="BL25" s="60" t="str">
        <f t="shared" si="20"/>
        <v/>
      </c>
      <c r="BM25" s="66">
        <f t="shared" si="21"/>
        <v>0</v>
      </c>
      <c r="BN25" s="60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 x14ac:dyDescent="0.3">
      <c r="A26" s="272" t="s">
        <v>153</v>
      </c>
      <c r="B26" s="273">
        <f>'PD0101'!B26</f>
        <v>0</v>
      </c>
      <c r="C26" s="273">
        <f>'PD0101'!C26</f>
        <v>0</v>
      </c>
      <c r="D26" s="273">
        <f>'PD0101'!F26</f>
        <v>0</v>
      </c>
      <c r="E26" s="273">
        <f>'PD0101'!G26</f>
        <v>0</v>
      </c>
      <c r="F26" s="273">
        <f>'PD0101'!D26</f>
        <v>0</v>
      </c>
      <c r="G26" s="273">
        <f>'PD0101'!E26</f>
        <v>0</v>
      </c>
      <c r="H26" s="93">
        <f t="shared" si="33"/>
        <v>0</v>
      </c>
      <c r="I26" s="93">
        <f t="shared" si="33"/>
        <v>0</v>
      </c>
      <c r="J26" s="93">
        <f t="shared" si="33"/>
        <v>0</v>
      </c>
      <c r="K26" s="93">
        <f t="shared" si="33"/>
        <v>0</v>
      </c>
      <c r="L26" s="93">
        <f t="shared" si="33"/>
        <v>0</v>
      </c>
      <c r="M26" s="93">
        <f t="shared" si="33"/>
        <v>0</v>
      </c>
      <c r="N26" s="94">
        <f t="shared" si="1"/>
        <v>0</v>
      </c>
      <c r="O26" s="94">
        <f t="shared" si="2"/>
        <v>0</v>
      </c>
      <c r="P26" s="94">
        <f t="shared" si="3"/>
        <v>0</v>
      </c>
      <c r="Q26" s="94">
        <f t="shared" si="4"/>
        <v>0</v>
      </c>
      <c r="R26" s="94">
        <f t="shared" si="5"/>
        <v>0</v>
      </c>
      <c r="S26" s="94">
        <f t="shared" si="6"/>
        <v>0</v>
      </c>
      <c r="T26" s="95">
        <f t="shared" si="7"/>
        <v>0</v>
      </c>
      <c r="U26" s="95">
        <f t="shared" si="8"/>
        <v>0</v>
      </c>
      <c r="V26" s="96">
        <f>(IF((OR((P26="&gt;21"),(Q26="&gt;21"))),2,(IF(((T26+U26)=(P26+Q26)),0,1))))</f>
        <v>0</v>
      </c>
      <c r="W26" s="95">
        <f t="shared" si="34"/>
        <v>0</v>
      </c>
      <c r="X26" s="120">
        <f t="shared" si="30"/>
        <v>0</v>
      </c>
      <c r="Y26" s="95">
        <f xml:space="preserve"> (IF((AND((T26=0),(U26=0))),E26,(IF((W26&lt;&gt;$AJ$7),0,Q26))))</f>
        <v>0</v>
      </c>
      <c r="Z26" s="98">
        <f t="shared" si="9"/>
        <v>0</v>
      </c>
      <c r="AA26" s="99">
        <f t="shared" si="10"/>
        <v>0</v>
      </c>
      <c r="AB26" s="100">
        <f>IF(X26=0,0,VLOOKUP(X26,FREQUENCIAS!$1:$1048576,(IF(($A26=FREQUENCIAS!$S$1),19,"ERRO")),FREQUENCIAS!$1:$1048576))</f>
        <v>0</v>
      </c>
      <c r="AC26" s="100">
        <f>IF(Y26=0,0,VLOOKUP(Y26,FREQUENCIAS!$1:$1048576,(IF(($A26=FREQUENCIAS!$S$1),19,"ERRO")),FREQUENCIAS!$1:$1048576))</f>
        <v>0</v>
      </c>
      <c r="AD26" s="100"/>
      <c r="AE26" s="100"/>
      <c r="AF26" s="100"/>
      <c r="AG26" s="101">
        <f>(IF((A26="ERRO-FT"),"6",((IF((AND(($Z26=0),($AA26=0),($AX$32="N"))),0,(IF((AND(($Z26=0),($AA26=0),(AX$32="S"))),1,(IF((AB26+AC26+AD26+AE26+AF26)&lt;=$AI$7,$AI$7,(AB26+AC26+AD26+AE26+AF26))))))))))</f>
        <v>0</v>
      </c>
      <c r="AH26" s="102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3">
        <f t="shared" si="11"/>
        <v>0</v>
      </c>
      <c r="AJ26" s="104" t="s">
        <v>140</v>
      </c>
      <c r="AK26" s="105">
        <f t="shared" si="12"/>
        <v>1</v>
      </c>
      <c r="AL26" s="104"/>
      <c r="AM26" s="106" t="str">
        <f t="shared" si="13"/>
        <v>EXCLUI</v>
      </c>
      <c r="AN26" s="97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1">
        <f t="shared" si="16"/>
        <v>0</v>
      </c>
      <c r="BD26" s="2">
        <f t="shared" si="35"/>
        <v>1</v>
      </c>
      <c r="BF26" s="53">
        <v>6</v>
      </c>
      <c r="BG26" s="53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7" t="str">
        <f t="shared" si="17"/>
        <v/>
      </c>
      <c r="BJ26" s="57">
        <f t="shared" si="18"/>
        <v>0</v>
      </c>
      <c r="BK26" s="57">
        <f t="shared" si="19"/>
        <v>0</v>
      </c>
      <c r="BL26" s="60" t="str">
        <f t="shared" si="20"/>
        <v/>
      </c>
      <c r="BM26" s="60">
        <f t="shared" si="21"/>
        <v>0</v>
      </c>
      <c r="BN26" s="60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 x14ac:dyDescent="0.3">
      <c r="A27" s="272" t="s">
        <v>217</v>
      </c>
      <c r="B27" s="273">
        <f>'PD0101'!B27</f>
        <v>0</v>
      </c>
      <c r="C27" s="273">
        <f>'PD0101'!C27</f>
        <v>0</v>
      </c>
      <c r="D27" s="273">
        <f>'PD0101'!F27</f>
        <v>0</v>
      </c>
      <c r="E27" s="273">
        <f>'PD0101'!G27</f>
        <v>0</v>
      </c>
      <c r="F27" s="273">
        <f>'PD0101'!D27</f>
        <v>0</v>
      </c>
      <c r="G27" s="273">
        <f>'PD0101'!E27</f>
        <v>0</v>
      </c>
      <c r="H27" s="93">
        <f t="shared" si="33"/>
        <v>0</v>
      </c>
      <c r="I27" s="93">
        <f t="shared" si="33"/>
        <v>0</v>
      </c>
      <c r="J27" s="93">
        <f t="shared" si="33"/>
        <v>0</v>
      </c>
      <c r="K27" s="93">
        <f t="shared" si="33"/>
        <v>0</v>
      </c>
      <c r="L27" s="93">
        <f t="shared" si="33"/>
        <v>0</v>
      </c>
      <c r="M27" s="93">
        <f t="shared" si="33"/>
        <v>0</v>
      </c>
      <c r="N27" s="94">
        <f t="shared" si="1"/>
        <v>0</v>
      </c>
      <c r="O27" s="94">
        <f t="shared" si="2"/>
        <v>0</v>
      </c>
      <c r="P27" s="94">
        <f t="shared" si="3"/>
        <v>0</v>
      </c>
      <c r="Q27" s="94">
        <f t="shared" si="4"/>
        <v>0</v>
      </c>
      <c r="R27" s="94">
        <f t="shared" si="5"/>
        <v>0</v>
      </c>
      <c r="S27" s="94">
        <f t="shared" si="6"/>
        <v>0</v>
      </c>
      <c r="T27" s="95">
        <f t="shared" si="7"/>
        <v>0</v>
      </c>
      <c r="U27" s="95">
        <f t="shared" si="8"/>
        <v>0</v>
      </c>
      <c r="V27" s="96">
        <f>(IF((OR((P27="&gt;21"),(Q27="&gt;21"))),2,(IF(((T27+U27)=(P27+Q27)),0,1))))</f>
        <v>0</v>
      </c>
      <c r="W27" s="97">
        <f t="shared" si="34"/>
        <v>0</v>
      </c>
      <c r="X27" s="120">
        <f t="shared" si="30"/>
        <v>0</v>
      </c>
      <c r="Y27" s="95">
        <f>(IF((AND((T27=0),(U27=0))),E27,(IF((W27&lt;&gt;$AJ$7),0,Q27))))</f>
        <v>0</v>
      </c>
      <c r="Z27" s="98">
        <f t="shared" si="9"/>
        <v>0</v>
      </c>
      <c r="AA27" s="99">
        <f t="shared" si="10"/>
        <v>0</v>
      </c>
      <c r="AB27" s="100">
        <f>IF(X27=0,0,VLOOKUP(X27,FREQUENCIAS!$1:$1048576,(IF(($A27=FREQUENCIAS!$T$1),20,"ERRO")),FREQUENCIAS!$1:$1048576))</f>
        <v>0</v>
      </c>
      <c r="AC27" s="100">
        <f>IF(Y27=0,0,VLOOKUP(Y27,FREQUENCIAS!$1:$1048576,(IF(($A27=FREQUENCIAS!$T$1),20,"ERRO")),FREQUENCIAS!$1:$1048576))</f>
        <v>0</v>
      </c>
      <c r="AD27" s="100"/>
      <c r="AE27" s="100"/>
      <c r="AF27" s="100"/>
      <c r="AG27" s="101">
        <f>(IF((A27="ERRO-FT"),"11",((IF((AND(($Z27=0),($AA27=0),($AX$32="N"))),0,(IF((AND(($Z27=0),($AA27=0),(AX$32="S"))),1,(IF((AB27+AC27+AD27+AE27+AF27)&lt;=$AI$7,$AI$7,(AB27+AC27+AD27+AE27+AF27))))))))))</f>
        <v>0</v>
      </c>
      <c r="AH27" s="102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3">
        <f t="shared" si="11"/>
        <v>0</v>
      </c>
      <c r="AJ27" s="104" t="s">
        <v>163</v>
      </c>
      <c r="AK27" s="276">
        <f t="shared" si="12"/>
        <v>1</v>
      </c>
      <c r="AL27" s="104"/>
      <c r="AM27" s="106" t="str">
        <f t="shared" si="13"/>
        <v>EXCLUI</v>
      </c>
      <c r="AN27" s="97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0</v>
      </c>
      <c r="BC27" s="41">
        <f t="shared" si="16"/>
        <v>0</v>
      </c>
      <c r="BD27" s="2">
        <f t="shared" si="35"/>
        <v>1</v>
      </c>
      <c r="BF27" s="53">
        <v>12</v>
      </c>
      <c r="BG27" s="53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7" t="str">
        <f t="shared" si="17"/>
        <v/>
      </c>
      <c r="BJ27" s="57">
        <f t="shared" si="18"/>
        <v>0</v>
      </c>
      <c r="BK27" s="57">
        <f t="shared" si="19"/>
        <v>0</v>
      </c>
      <c r="BL27" s="60" t="str">
        <f t="shared" si="20"/>
        <v/>
      </c>
      <c r="BM27" s="60">
        <f t="shared" si="21"/>
        <v>0</v>
      </c>
      <c r="BN27" s="60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 x14ac:dyDescent="0.3">
      <c r="A28" s="272" t="s">
        <v>52</v>
      </c>
      <c r="B28" s="273">
        <f>'PD0101'!B28</f>
        <v>0</v>
      </c>
      <c r="C28" s="273">
        <f>'PD0101'!C28</f>
        <v>0</v>
      </c>
      <c r="D28" s="273">
        <f>'PD0101'!F28</f>
        <v>0</v>
      </c>
      <c r="E28" s="273">
        <f>'PD0101'!G28</f>
        <v>0</v>
      </c>
      <c r="F28" s="273">
        <f>'PD0101'!D28</f>
        <v>0</v>
      </c>
      <c r="G28" s="273">
        <f>'PD0101'!E28</f>
        <v>0</v>
      </c>
      <c r="H28" s="93">
        <f t="shared" si="33"/>
        <v>0</v>
      </c>
      <c r="I28" s="93">
        <f t="shared" si="33"/>
        <v>0</v>
      </c>
      <c r="J28" s="93">
        <f t="shared" si="33"/>
        <v>0</v>
      </c>
      <c r="K28" s="93">
        <f t="shared" si="33"/>
        <v>0</v>
      </c>
      <c r="L28" s="93">
        <f t="shared" si="33"/>
        <v>0</v>
      </c>
      <c r="M28" s="93">
        <f t="shared" si="33"/>
        <v>0</v>
      </c>
      <c r="N28" s="94">
        <f t="shared" si="1"/>
        <v>0</v>
      </c>
      <c r="O28" s="94">
        <f t="shared" si="2"/>
        <v>0</v>
      </c>
      <c r="P28" s="94">
        <f t="shared" si="3"/>
        <v>0</v>
      </c>
      <c r="Q28" s="94">
        <f t="shared" si="4"/>
        <v>0</v>
      </c>
      <c r="R28" s="94">
        <f t="shared" si="5"/>
        <v>0</v>
      </c>
      <c r="S28" s="94">
        <f t="shared" si="6"/>
        <v>0</v>
      </c>
      <c r="T28" s="95">
        <f t="shared" si="7"/>
        <v>0</v>
      </c>
      <c r="U28" s="95">
        <f t="shared" si="8"/>
        <v>0</v>
      </c>
      <c r="V28" s="96">
        <f>(IF((OR((P28="&gt;20"),(Q28="&gt;20"))),2,(IF(((T28+U28)=(P28+Q28)),0,1))))</f>
        <v>0</v>
      </c>
      <c r="W28" s="97">
        <f t="shared" si="34"/>
        <v>0</v>
      </c>
      <c r="X28" s="120">
        <f t="shared" si="30"/>
        <v>0</v>
      </c>
      <c r="Y28" s="95">
        <f>(IF((AND((T28=0),(U28=0))),E28,(IF((W28&lt;&gt;$AJ$7),0,Q28))))</f>
        <v>0</v>
      </c>
      <c r="Z28" s="98">
        <f t="shared" si="9"/>
        <v>0</v>
      </c>
      <c r="AA28" s="99">
        <f t="shared" si="10"/>
        <v>0</v>
      </c>
      <c r="AB28" s="100">
        <f>IF(X28=0,0,VLOOKUP(X28,FREQUENCIAS!$1:$1048576,(IF(($A28=FREQUENCIAS!$U$1),21,"ERRO")),FREQUENCIAS!$1:$1048576))</f>
        <v>0</v>
      </c>
      <c r="AC28" s="100">
        <f>IF(Y28=0,0,VLOOKUP(Y28,FREQUENCIAS!$1:$1048576,(IF(($A28=FREQUENCIAS!$U$1),21,"ERRO")),FREQUENCIAS!$1:$1048576))</f>
        <v>0</v>
      </c>
      <c r="AD28" s="100"/>
      <c r="AE28" s="100"/>
      <c r="AF28" s="100"/>
      <c r="AG28" s="101">
        <f>(IF((A28="ERRO-FT"),"4",((IF((AND(($Z28=0),($AA28=0),($AX$32="N"))),0,(IF((AND(($Z28=0),($AA28=0),(AX$32="S"))),1,(IF((AB28+AC28+AD28+AE28+AF28)&lt;=$AI$7,$AI$7,(AB28+AC28+AD28+AE28+AF28))))))))))</f>
        <v>0</v>
      </c>
      <c r="AH28" s="102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3">
        <f t="shared" si="11"/>
        <v>0</v>
      </c>
      <c r="AJ28" s="104"/>
      <c r="AK28" s="105">
        <f t="shared" si="12"/>
        <v>1</v>
      </c>
      <c r="AL28" s="104"/>
      <c r="AM28" s="106" t="str">
        <f t="shared" si="13"/>
        <v>EXCLUI</v>
      </c>
      <c r="AN28" s="97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1">
        <f t="shared" si="16"/>
        <v>0</v>
      </c>
      <c r="BD28" s="2">
        <f t="shared" si="35"/>
        <v>1</v>
      </c>
      <c r="BF28" s="53">
        <v>4</v>
      </c>
      <c r="BG28" s="53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7" t="str">
        <f t="shared" si="17"/>
        <v/>
      </c>
      <c r="BJ28" s="57">
        <f t="shared" si="18"/>
        <v>0</v>
      </c>
      <c r="BK28" s="57">
        <f t="shared" si="19"/>
        <v>0</v>
      </c>
      <c r="BL28" s="60" t="str">
        <f t="shared" si="20"/>
        <v/>
      </c>
      <c r="BM28" s="60">
        <f t="shared" si="21"/>
        <v>0</v>
      </c>
      <c r="BN28" s="60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 x14ac:dyDescent="0.3">
      <c r="A29" s="272" t="s">
        <v>152</v>
      </c>
      <c r="B29" s="273">
        <f>'PD0101'!B29</f>
        <v>0</v>
      </c>
      <c r="C29" s="273">
        <f>'PD0101'!C29</f>
        <v>0</v>
      </c>
      <c r="D29" s="273">
        <f>'PD0101'!F29</f>
        <v>0</v>
      </c>
      <c r="E29" s="273">
        <f>'PD0101'!G29</f>
        <v>0</v>
      </c>
      <c r="F29" s="273">
        <f>'PD0101'!D29</f>
        <v>0</v>
      </c>
      <c r="G29" s="273">
        <f>'PD0101'!E29</f>
        <v>0</v>
      </c>
      <c r="H29" s="93">
        <f t="shared" si="33"/>
        <v>0</v>
      </c>
      <c r="I29" s="93">
        <f t="shared" si="33"/>
        <v>0</v>
      </c>
      <c r="J29" s="93">
        <f t="shared" si="33"/>
        <v>0</v>
      </c>
      <c r="K29" s="93">
        <f t="shared" si="33"/>
        <v>0</v>
      </c>
      <c r="L29" s="93">
        <f t="shared" si="33"/>
        <v>0</v>
      </c>
      <c r="M29" s="93">
        <f t="shared" si="33"/>
        <v>0</v>
      </c>
      <c r="N29" s="94">
        <f t="shared" si="1"/>
        <v>0</v>
      </c>
      <c r="O29" s="94">
        <f t="shared" si="2"/>
        <v>0</v>
      </c>
      <c r="P29" s="94">
        <f t="shared" si="3"/>
        <v>0</v>
      </c>
      <c r="Q29" s="94">
        <f t="shared" si="4"/>
        <v>0</v>
      </c>
      <c r="R29" s="94">
        <f t="shared" si="5"/>
        <v>0</v>
      </c>
      <c r="S29" s="94">
        <f t="shared" si="6"/>
        <v>0</v>
      </c>
      <c r="T29" s="95">
        <f t="shared" si="7"/>
        <v>0</v>
      </c>
      <c r="U29" s="95">
        <f t="shared" si="8"/>
        <v>0</v>
      </c>
      <c r="V29" s="96">
        <f>(IF((OR((P29="&gt;23"),(Q29="&gt;23"))),2,(IF(((T29+U29)=(P29+Q29)),0,1))))</f>
        <v>0</v>
      </c>
      <c r="W29" s="97">
        <f t="shared" si="34"/>
        <v>0</v>
      </c>
      <c r="X29" s="120">
        <f t="shared" si="30"/>
        <v>0</v>
      </c>
      <c r="Y29" s="95">
        <f>(IF((AND((T29=0),(U29=0))),E29,(IF((W29&lt;&gt;$AJ$7),0,Q29))))</f>
        <v>0</v>
      </c>
      <c r="Z29" s="98">
        <f t="shared" si="9"/>
        <v>0</v>
      </c>
      <c r="AA29" s="99">
        <f t="shared" si="10"/>
        <v>0</v>
      </c>
      <c r="AB29" s="100">
        <f>IF(X29=0,0,VLOOKUP(X29,FREQUENCIAS!$1:$1048576,(IF(($A29=FREQUENCIAS!$V$1),22,"ERRO")),FREQUENCIAS!$1:$1048576))</f>
        <v>0</v>
      </c>
      <c r="AC29" s="100">
        <f>IF(Y29=0,0,VLOOKUP(Y29,FREQUENCIAS!$1:$1048576,(IF(($A29=FREQUENCIAS!$V$1),22,"ERRO")),FREQUENCIAS!$1:$1048576))</f>
        <v>0</v>
      </c>
      <c r="AD29" s="100"/>
      <c r="AE29" s="100"/>
      <c r="AF29" s="100"/>
      <c r="AG29" s="101">
        <f>(IF((A29="ERRO-FT"),"8",((IF((AND(($Z29=0),($AA29=0),($AX$32="N"))),0,(IF((AND(($Z29=0),($AA29=0),(AX$32="S"))),1,(IF((AB29+AC29+AD29+AE29+AF29)&lt;=$AI$7,$AI$7,(AB29+AC29+AD29+AE29+AF29))))))))))</f>
        <v>0</v>
      </c>
      <c r="AH29" s="102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3">
        <f t="shared" si="11"/>
        <v>0</v>
      </c>
      <c r="AJ29" s="104"/>
      <c r="AK29" s="105">
        <f t="shared" si="12"/>
        <v>1</v>
      </c>
      <c r="AL29" s="104"/>
      <c r="AM29" s="106" t="str">
        <f t="shared" si="13"/>
        <v>EXCLUI</v>
      </c>
      <c r="AN29" s="97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1">
        <f t="shared" si="16"/>
        <v>0</v>
      </c>
      <c r="BD29" s="2">
        <f t="shared" si="35"/>
        <v>1</v>
      </c>
      <c r="BF29" s="53">
        <v>8</v>
      </c>
      <c r="BG29" s="53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7" t="str">
        <f t="shared" si="17"/>
        <v/>
      </c>
      <c r="BJ29" s="57">
        <f t="shared" si="18"/>
        <v>0</v>
      </c>
      <c r="BK29" s="57">
        <f t="shared" si="19"/>
        <v>0</v>
      </c>
      <c r="BL29" s="60" t="str">
        <f t="shared" si="20"/>
        <v/>
      </c>
      <c r="BM29" s="60">
        <f t="shared" si="21"/>
        <v>0</v>
      </c>
      <c r="BN29" s="60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 x14ac:dyDescent="0.3">
      <c r="A30" s="272" t="s">
        <v>218</v>
      </c>
      <c r="B30" s="273">
        <f>'PD0101'!B30</f>
        <v>0</v>
      </c>
      <c r="C30" s="273">
        <f>'PD0101'!C30</f>
        <v>0</v>
      </c>
      <c r="D30" s="273">
        <f>'PD0101'!F30</f>
        <v>0</v>
      </c>
      <c r="E30" s="273">
        <f>'PD0101'!G30</f>
        <v>0</v>
      </c>
      <c r="F30" s="273">
        <f>'PD0101'!D30</f>
        <v>0</v>
      </c>
      <c r="G30" s="273">
        <f>'PD0101'!E30</f>
        <v>0</v>
      </c>
      <c r="H30" s="93">
        <f t="shared" si="33"/>
        <v>0</v>
      </c>
      <c r="I30" s="93">
        <f t="shared" si="33"/>
        <v>0</v>
      </c>
      <c r="J30" s="93">
        <f t="shared" si="33"/>
        <v>0</v>
      </c>
      <c r="K30" s="93">
        <f t="shared" si="33"/>
        <v>0</v>
      </c>
      <c r="L30" s="93">
        <f t="shared" si="33"/>
        <v>0</v>
      </c>
      <c r="M30" s="93">
        <f t="shared" si="33"/>
        <v>0</v>
      </c>
      <c r="N30" s="94">
        <f t="shared" si="1"/>
        <v>0</v>
      </c>
      <c r="O30" s="94">
        <f t="shared" si="2"/>
        <v>0</v>
      </c>
      <c r="P30" s="94">
        <f t="shared" si="3"/>
        <v>0</v>
      </c>
      <c r="Q30" s="94">
        <f t="shared" si="4"/>
        <v>0</v>
      </c>
      <c r="R30" s="94">
        <f t="shared" si="5"/>
        <v>0</v>
      </c>
      <c r="S30" s="94">
        <f t="shared" si="6"/>
        <v>0</v>
      </c>
      <c r="T30" s="95">
        <f t="shared" si="7"/>
        <v>0</v>
      </c>
      <c r="U30" s="95">
        <f t="shared" si="8"/>
        <v>0</v>
      </c>
      <c r="V30" s="96">
        <f>(IF((OR((P30="&gt;22"),(Q30="&gt;22"))),2,(IF(((T30+U30)=(P30+Q30)),0,1))))</f>
        <v>0</v>
      </c>
      <c r="W30" s="97">
        <f t="shared" si="34"/>
        <v>0</v>
      </c>
      <c r="X30" s="120">
        <f t="shared" si="30"/>
        <v>0</v>
      </c>
      <c r="Y30" s="95">
        <f>(IF((AND((T30=0),(U30=0))),E30,(IF((W30&lt;&gt;$AJ$7),0,Q30))))</f>
        <v>0</v>
      </c>
      <c r="Z30" s="98">
        <f t="shared" si="9"/>
        <v>0</v>
      </c>
      <c r="AA30" s="99">
        <f t="shared" si="10"/>
        <v>0</v>
      </c>
      <c r="AB30" s="100">
        <f>IF(X30=0,0,VLOOKUP(X30,FREQUENCIAS!$1:$1048576,(IF(($A30=FREQUENCIAS!$W$1),23,"ERRO")),FREQUENCIAS!$1:$1048576))</f>
        <v>0</v>
      </c>
      <c r="AC30" s="100">
        <f>IF(Y30=0,0,VLOOKUP(Y30,FREQUENCIAS!$1:$1048576,(IF(($A30=FREQUENCIAS!$W$1),23,"ERRO")),FREQUENCIAS!$1:$1048576))</f>
        <v>0</v>
      </c>
      <c r="AD30" s="100"/>
      <c r="AE30" s="100"/>
      <c r="AF30" s="100"/>
      <c r="AG30" s="101">
        <f>(IF((A30="ERRO-FT"),"5",((IF((AND(($Z30=0),($AA30=0),($AX$32="N"))),0,(IF((AND(($Z30=0),($AA30=0),(AX$32="S"))),1,(IF((AB30+AC30+AD30+AE30+AF30)&lt;=$AI$7,$AI$7,(AB30+AC30+AD30+AE30+AF30))))))))))</f>
        <v>0</v>
      </c>
      <c r="AH30" s="102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3">
        <f t="shared" si="11"/>
        <v>0</v>
      </c>
      <c r="AJ30" s="104"/>
      <c r="AK30" s="105">
        <f t="shared" si="12"/>
        <v>1</v>
      </c>
      <c r="AL30" s="104"/>
      <c r="AM30" s="106" t="str">
        <f t="shared" si="13"/>
        <v>EXCLUI</v>
      </c>
      <c r="AN30" s="97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0</v>
      </c>
      <c r="BC30" s="41">
        <f t="shared" si="16"/>
        <v>0</v>
      </c>
      <c r="BD30" s="2">
        <f t="shared" si="35"/>
        <v>1</v>
      </c>
      <c r="BF30" s="53">
        <v>5</v>
      </c>
      <c r="BG30" s="53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7" t="str">
        <f t="shared" si="17"/>
        <v/>
      </c>
      <c r="BJ30" s="57">
        <f t="shared" si="18"/>
        <v>0</v>
      </c>
      <c r="BK30" s="57">
        <f t="shared" si="19"/>
        <v>0</v>
      </c>
      <c r="BL30" s="60" t="str">
        <f t="shared" si="20"/>
        <v/>
      </c>
      <c r="BM30" s="60">
        <f t="shared" si="21"/>
        <v>0</v>
      </c>
      <c r="BN30" s="60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 x14ac:dyDescent="0.25">
      <c r="A31" s="36"/>
      <c r="B31" s="16"/>
      <c r="C31" s="16"/>
      <c r="D31" s="16"/>
      <c r="E31" s="26"/>
      <c r="F31" s="26"/>
      <c r="G31" s="277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84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846"/>
      <c r="AI31" s="846"/>
      <c r="AK31" s="84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42"/>
      <c r="AM31" s="278"/>
      <c r="AN31" s="17"/>
      <c r="AX31" s="55">
        <f>SUM(AX9:AX23)</f>
        <v>15</v>
      </c>
      <c r="BC31" s="41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 x14ac:dyDescent="0.25">
      <c r="A32" s="18"/>
      <c r="B32" s="6"/>
      <c r="C32" s="6"/>
      <c r="D32" s="6"/>
      <c r="E32" s="27"/>
      <c r="F32" s="27"/>
      <c r="G32" s="73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843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843"/>
      <c r="AI32" s="843"/>
      <c r="AJ32" s="843"/>
      <c r="AK32" s="843"/>
      <c r="AL32" s="843"/>
      <c r="AM32" s="843"/>
      <c r="AN32" s="76"/>
      <c r="AR32" s="1" t="s">
        <v>102</v>
      </c>
      <c r="AS32" s="22" t="s">
        <v>139</v>
      </c>
      <c r="AX32" s="28" t="str">
        <f>IF(AH41="SIM","S",IF(AH41="NÃO","N",""))</f>
        <v>N</v>
      </c>
      <c r="AY32" s="50" t="s">
        <v>124</v>
      </c>
    </row>
    <row r="33" spans="1:74" ht="15" x14ac:dyDescent="0.25">
      <c r="A33" s="18"/>
      <c r="B33" s="6"/>
      <c r="C33" s="6"/>
      <c r="D33" s="6"/>
      <c r="E33" s="27"/>
      <c r="F33" s="27"/>
      <c r="G33" s="73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84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844"/>
      <c r="AI33" s="844"/>
      <c r="AJ33" s="844"/>
      <c r="AK33" s="844"/>
      <c r="AL33" s="844"/>
      <c r="AM33" s="844"/>
      <c r="AN33" s="75"/>
      <c r="AR33" s="1" t="s">
        <v>104</v>
      </c>
      <c r="AS33" s="22" t="s">
        <v>140</v>
      </c>
      <c r="AX33" s="29" t="s">
        <v>104</v>
      </c>
      <c r="AY33" s="50" t="s">
        <v>125</v>
      </c>
    </row>
    <row r="34" spans="1:74" ht="19.5" customHeight="1" thickBot="1" x14ac:dyDescent="0.3">
      <c r="A34" s="18"/>
      <c r="B34" s="6"/>
      <c r="C34" s="6"/>
      <c r="D34" s="6"/>
      <c r="E34" s="27"/>
      <c r="F34" s="27"/>
      <c r="G34" s="73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7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79"/>
      <c r="AI34" s="280"/>
      <c r="AM34" s="42"/>
      <c r="AN34" s="12"/>
      <c r="AX34" s="29"/>
      <c r="AY34" s="50" t="s">
        <v>96</v>
      </c>
    </row>
    <row r="35" spans="1:74" ht="13.5" thickTop="1" x14ac:dyDescent="0.2">
      <c r="A35" s="281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82"/>
      <c r="AK35" s="282"/>
      <c r="AL35" s="282"/>
      <c r="AM35" s="16"/>
      <c r="AN35" s="17"/>
    </row>
    <row r="36" spans="1:74" x14ac:dyDescent="0.2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2">
        <v>37319</v>
      </c>
      <c r="AJ36" s="43"/>
      <c r="AK36" s="43"/>
      <c r="AL36" s="43"/>
      <c r="AM36" s="6"/>
      <c r="AN36" s="7"/>
      <c r="AR36" s="283" t="s">
        <v>229</v>
      </c>
      <c r="AS36" s="284"/>
      <c r="AT36" s="284"/>
      <c r="AU36" s="284"/>
      <c r="AV36" s="284"/>
      <c r="AW36" s="284"/>
      <c r="AX36" s="284"/>
      <c r="AY36" s="284"/>
    </row>
    <row r="37" spans="1:74" ht="12.75" customHeight="1" x14ac:dyDescent="0.2">
      <c r="A37" s="285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2"/>
      <c r="AJ37" s="43"/>
      <c r="AK37" s="43"/>
      <c r="AL37" s="43"/>
      <c r="AM37" s="6"/>
      <c r="AN37" s="7"/>
      <c r="AR37" s="845" t="s">
        <v>231</v>
      </c>
      <c r="AS37" s="845"/>
      <c r="AT37" s="845"/>
      <c r="AU37" s="845"/>
      <c r="AV37" s="845"/>
      <c r="AW37" s="845"/>
      <c r="AX37" s="845"/>
      <c r="AY37" s="845"/>
    </row>
    <row r="38" spans="1:74" ht="12.75" customHeight="1" x14ac:dyDescent="0.2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2"/>
      <c r="AJ38" s="43"/>
      <c r="AK38" s="43"/>
      <c r="AL38" s="43"/>
      <c r="AM38" s="6"/>
      <c r="AN38" s="7"/>
      <c r="AR38" s="845"/>
      <c r="AS38" s="845"/>
      <c r="AT38" s="845"/>
      <c r="AU38" s="845"/>
      <c r="AV38" s="845"/>
      <c r="AW38" s="845"/>
      <c r="AX38" s="845"/>
      <c r="AY38" s="845"/>
    </row>
    <row r="39" spans="1:74" ht="13.5" thickBot="1" x14ac:dyDescent="0.25">
      <c r="A39" s="286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4"/>
      <c r="AK39" s="44"/>
      <c r="AL39" s="44"/>
      <c r="AM39" s="10"/>
      <c r="AN39" s="12"/>
      <c r="AR39" s="845"/>
      <c r="AS39" s="845"/>
      <c r="AT39" s="845"/>
      <c r="AU39" s="845"/>
      <c r="AV39" s="845"/>
      <c r="AW39" s="845"/>
      <c r="AX39" s="845"/>
      <c r="AY39" s="845"/>
    </row>
    <row r="40" spans="1:74" ht="16.5" thickTop="1" x14ac:dyDescent="0.25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6" t="s">
        <v>127</v>
      </c>
      <c r="AH40" s="287" t="s">
        <v>139</v>
      </c>
      <c r="AI40" s="72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9"/>
      <c r="AK40" s="69"/>
      <c r="AL40" s="69"/>
      <c r="AM40" s="69"/>
      <c r="AN40" s="71"/>
      <c r="AO40" s="69"/>
      <c r="AP40" s="69"/>
      <c r="AQ40" s="69"/>
      <c r="AR40" s="845" t="s">
        <v>234</v>
      </c>
      <c r="AS40" s="845"/>
      <c r="AT40" s="845"/>
      <c r="AU40" s="845"/>
      <c r="AV40" s="845"/>
      <c r="AW40" s="845"/>
      <c r="AX40" s="845"/>
      <c r="AY40" s="845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70"/>
    </row>
    <row r="41" spans="1:74" ht="12.75" customHeight="1" x14ac:dyDescent="0.25">
      <c r="A41" s="79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6" t="str">
        <f>(IF(($AX$31=1),"Estudar ocorrência de MUTAÇÃO?",(IF(($AX$31=2),"Estudar ocorrência de MUTAÇÃO?",(IF(($AX$32="S"),"Estudar ocorrência de MUTAÇÃO?"," "))))))</f>
        <v xml:space="preserve"> </v>
      </c>
      <c r="AH41" s="288" t="s">
        <v>140</v>
      </c>
      <c r="AI41" s="289"/>
      <c r="AJ41" s="290"/>
      <c r="AK41" s="290"/>
      <c r="AL41" s="290"/>
      <c r="AM41" s="289"/>
      <c r="AN41" s="291"/>
      <c r="AR41" s="845"/>
      <c r="AS41" s="845"/>
      <c r="AT41" s="845"/>
      <c r="AU41" s="845"/>
      <c r="AV41" s="845"/>
      <c r="AW41" s="845"/>
      <c r="AX41" s="845"/>
      <c r="AY41" s="845"/>
    </row>
    <row r="42" spans="1:74" x14ac:dyDescent="0.2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49"/>
      <c r="AH42" s="49"/>
      <c r="AI42" s="6"/>
      <c r="AJ42" s="43"/>
      <c r="AK42" s="43"/>
      <c r="AL42" s="43"/>
      <c r="AM42" s="6"/>
      <c r="AN42" s="7"/>
      <c r="AR42" s="845"/>
      <c r="AS42" s="845"/>
      <c r="AT42" s="845"/>
      <c r="AU42" s="845"/>
      <c r="AV42" s="845"/>
      <c r="AW42" s="845"/>
      <c r="AX42" s="845"/>
      <c r="AY42" s="845"/>
    </row>
    <row r="43" spans="1:74" ht="12.75" customHeight="1" x14ac:dyDescent="0.25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5"/>
      <c r="AH43" s="288"/>
      <c r="AI43" s="289"/>
      <c r="AJ43" s="290"/>
      <c r="AK43" s="290"/>
      <c r="AL43" s="290"/>
      <c r="AM43" s="289"/>
      <c r="AN43" s="291"/>
      <c r="AY43" s="48"/>
    </row>
    <row r="44" spans="1:74" ht="12.75" customHeight="1" x14ac:dyDescent="0.2">
      <c r="A44" s="83"/>
      <c r="B44" s="86"/>
      <c r="C44" s="86"/>
      <c r="D44" s="292"/>
      <c r="E44" s="85"/>
      <c r="F44" s="85" t="s">
        <v>202</v>
      </c>
      <c r="G44" s="836">
        <f ca="1">TODAY()</f>
        <v>44843</v>
      </c>
      <c r="H44" s="836"/>
      <c r="I44" s="836"/>
      <c r="J44" s="836"/>
      <c r="K44" s="836"/>
      <c r="L44" s="836"/>
      <c r="M44" s="836"/>
      <c r="N44" s="836"/>
      <c r="O44" s="836"/>
      <c r="P44" s="836"/>
      <c r="Q44" s="836"/>
      <c r="R44" s="836"/>
      <c r="S44" s="836"/>
      <c r="T44" s="836"/>
      <c r="U44" s="836"/>
      <c r="V44" s="836"/>
      <c r="W44" s="836"/>
      <c r="X44" s="836"/>
      <c r="Y44" s="836"/>
      <c r="Z44" s="836"/>
      <c r="AA44" s="836"/>
      <c r="AB44" s="836"/>
      <c r="AC44" s="836"/>
      <c r="AD44" s="836"/>
      <c r="AE44" s="836"/>
      <c r="AF44" s="836"/>
      <c r="AG44" s="836"/>
      <c r="AH44" s="836"/>
      <c r="AI44" s="836"/>
      <c r="AJ44" s="836"/>
      <c r="AK44" s="836"/>
      <c r="AL44" s="836"/>
      <c r="AM44" s="836"/>
      <c r="AN44" s="837"/>
    </row>
    <row r="45" spans="1:74" ht="13.5" customHeight="1" x14ac:dyDescent="0.2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3"/>
      <c r="AK45" s="43"/>
      <c r="AL45" s="43"/>
      <c r="AM45" s="6"/>
      <c r="AN45" s="7"/>
    </row>
    <row r="46" spans="1:74" x14ac:dyDescent="0.2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J46" s="43"/>
      <c r="AK46" s="43"/>
      <c r="AL46" s="43"/>
      <c r="AM46" s="6"/>
      <c r="AN46" s="7"/>
    </row>
    <row r="47" spans="1:74" ht="15" x14ac:dyDescent="0.2">
      <c r="A47" s="90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  <c r="AJ47" s="91"/>
      <c r="AK47" s="91"/>
      <c r="AL47" s="91"/>
      <c r="AM47" s="91"/>
      <c r="AN47" s="92"/>
    </row>
    <row r="48" spans="1:74" x14ac:dyDescent="0.2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43"/>
      <c r="AK48" s="43"/>
      <c r="AL48" s="43"/>
      <c r="AM48" s="6"/>
      <c r="AN48" s="7"/>
    </row>
    <row r="49" spans="1:59" x14ac:dyDescent="0.2">
      <c r="A49" s="838" t="s">
        <v>208</v>
      </c>
      <c r="B49" s="839"/>
      <c r="C49" s="839"/>
      <c r="D49" s="839"/>
      <c r="E49" s="839"/>
      <c r="F49" s="839"/>
      <c r="G49" s="112" t="s">
        <v>204</v>
      </c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840" t="s">
        <v>205</v>
      </c>
      <c r="AH49" s="840"/>
      <c r="AI49" s="840"/>
      <c r="AJ49" s="840"/>
      <c r="AK49" s="840"/>
      <c r="AL49" s="840"/>
      <c r="AM49" s="840"/>
      <c r="AN49" s="841"/>
    </row>
    <row r="50" spans="1:59" x14ac:dyDescent="0.2">
      <c r="A50" s="832" t="s">
        <v>209</v>
      </c>
      <c r="B50" s="833"/>
      <c r="C50" s="833"/>
      <c r="D50" s="833"/>
      <c r="E50" s="833"/>
      <c r="F50" s="833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34" t="s">
        <v>206</v>
      </c>
      <c r="AH50" s="834"/>
      <c r="AI50" s="834"/>
      <c r="AJ50" s="834"/>
      <c r="AK50" s="834"/>
      <c r="AL50" s="834"/>
      <c r="AM50" s="834"/>
      <c r="AN50" s="835"/>
    </row>
    <row r="51" spans="1:59" x14ac:dyDescent="0.2">
      <c r="A51" s="832" t="s">
        <v>210</v>
      </c>
      <c r="B51" s="833"/>
      <c r="C51" s="833"/>
      <c r="D51" s="833"/>
      <c r="E51" s="833"/>
      <c r="F51" s="833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34" t="s">
        <v>207</v>
      </c>
      <c r="AH51" s="834"/>
      <c r="AI51" s="834"/>
      <c r="AJ51" s="834"/>
      <c r="AK51" s="834"/>
      <c r="AL51" s="834"/>
      <c r="AM51" s="834"/>
      <c r="AN51" s="835"/>
    </row>
    <row r="52" spans="1:59" ht="13.5" thickBot="1" x14ac:dyDescent="0.25">
      <c r="A52" s="770" t="s">
        <v>211</v>
      </c>
      <c r="B52" s="771"/>
      <c r="C52" s="771"/>
      <c r="D52" s="771"/>
      <c r="E52" s="771"/>
      <c r="F52" s="771"/>
      <c r="G52" s="771"/>
      <c r="H52" s="771"/>
      <c r="I52" s="771"/>
      <c r="J52" s="771"/>
      <c r="K52" s="771"/>
      <c r="L52" s="771"/>
      <c r="M52" s="771"/>
      <c r="N52" s="771"/>
      <c r="O52" s="771"/>
      <c r="P52" s="771"/>
      <c r="Q52" s="771"/>
      <c r="R52" s="771"/>
      <c r="S52" s="771"/>
      <c r="T52" s="771"/>
      <c r="U52" s="771"/>
      <c r="V52" s="771"/>
      <c r="W52" s="771"/>
      <c r="X52" s="771"/>
      <c r="Y52" s="771"/>
      <c r="Z52" s="771"/>
      <c r="AA52" s="771"/>
      <c r="AB52" s="771"/>
      <c r="AC52" s="771"/>
      <c r="AD52" s="771"/>
      <c r="AE52" s="771"/>
      <c r="AF52" s="771"/>
      <c r="AG52" s="771"/>
      <c r="AH52" s="771"/>
      <c r="AI52" s="771"/>
      <c r="AJ52" s="771"/>
      <c r="AK52" s="771"/>
      <c r="AL52" s="771"/>
      <c r="AM52" s="771"/>
      <c r="AN52" s="772"/>
    </row>
    <row r="53" spans="1:59" s="107" customFormat="1" ht="26.25" thickTop="1" x14ac:dyDescent="0.5">
      <c r="A53" s="110" t="s">
        <v>195</v>
      </c>
      <c r="B53" s="110" t="s">
        <v>197</v>
      </c>
      <c r="C53" s="110" t="s">
        <v>198</v>
      </c>
      <c r="D53" s="110" t="s">
        <v>199</v>
      </c>
      <c r="E53" s="110" t="s">
        <v>200</v>
      </c>
      <c r="F53" s="110" t="s">
        <v>201</v>
      </c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M53" s="109"/>
      <c r="AN53" s="293" t="s">
        <v>195</v>
      </c>
      <c r="BF53" s="108"/>
      <c r="BG53" s="108"/>
    </row>
    <row r="54" spans="1:59" s="294" customFormat="1" x14ac:dyDescent="0.2">
      <c r="A54" s="294" t="str">
        <f>'IMPORTAÇÃO GENOTIPER'!$S$1</f>
        <v>Helder - MS</v>
      </c>
      <c r="B54" s="294" t="s">
        <v>194</v>
      </c>
      <c r="AN54" s="295" t="s">
        <v>196</v>
      </c>
      <c r="BF54" s="296"/>
      <c r="BG54" s="296"/>
    </row>
    <row r="55" spans="1:59" s="294" customFormat="1" x14ac:dyDescent="0.2">
      <c r="B55" s="294" t="s">
        <v>186</v>
      </c>
      <c r="BF55" s="296"/>
      <c r="BG55" s="296"/>
    </row>
    <row r="56" spans="1:59" s="294" customFormat="1" x14ac:dyDescent="0.2">
      <c r="B56" s="294" t="s">
        <v>188</v>
      </c>
      <c r="BF56" s="296"/>
      <c r="BG56" s="296"/>
    </row>
    <row r="57" spans="1:59" s="294" customFormat="1" x14ac:dyDescent="0.2">
      <c r="B57" s="294" t="s">
        <v>189</v>
      </c>
      <c r="BF57" s="296"/>
      <c r="BG57" s="296"/>
    </row>
    <row r="58" spans="1:59" s="294" customFormat="1" x14ac:dyDescent="0.2">
      <c r="B58" s="294" t="s">
        <v>190</v>
      </c>
      <c r="BF58" s="296"/>
      <c r="BG58" s="296"/>
    </row>
    <row r="59" spans="1:59" s="294" customFormat="1" x14ac:dyDescent="0.2">
      <c r="B59" s="294" t="s">
        <v>191</v>
      </c>
      <c r="BF59" s="296"/>
      <c r="BG59" s="296"/>
    </row>
    <row r="60" spans="1:59" s="294" customFormat="1" x14ac:dyDescent="0.2">
      <c r="B60" s="294" t="s">
        <v>192</v>
      </c>
      <c r="BF60" s="296"/>
      <c r="BG60" s="296"/>
    </row>
    <row r="61" spans="1:59" s="294" customFormat="1" x14ac:dyDescent="0.2">
      <c r="B61" s="294" t="s">
        <v>193</v>
      </c>
      <c r="BF61" s="296"/>
      <c r="BG61" s="296"/>
    </row>
    <row r="63" spans="1:59" x14ac:dyDescent="0.2">
      <c r="AM63" s="20"/>
    </row>
  </sheetData>
  <mergeCells count="33">
    <mergeCell ref="L8:M8"/>
    <mergeCell ref="R8:S8"/>
    <mergeCell ref="A1:AN1"/>
    <mergeCell ref="B3:G3"/>
    <mergeCell ref="B8:C8"/>
    <mergeCell ref="D8:E8"/>
    <mergeCell ref="F8:G8"/>
    <mergeCell ref="H8:I8"/>
    <mergeCell ref="J8:K8"/>
    <mergeCell ref="AZ6:BA6"/>
    <mergeCell ref="AQ7:AV8"/>
    <mergeCell ref="AZ7:BB7"/>
    <mergeCell ref="BI7:BK7"/>
    <mergeCell ref="BL7:BN7"/>
    <mergeCell ref="BO7:BQ7"/>
    <mergeCell ref="N8:O8"/>
    <mergeCell ref="P8:Q8"/>
    <mergeCell ref="X8:Y8"/>
    <mergeCell ref="Z8:AA8"/>
    <mergeCell ref="AK31:AL31"/>
    <mergeCell ref="AG32:AM32"/>
    <mergeCell ref="AG33:AM33"/>
    <mergeCell ref="AR37:AY39"/>
    <mergeCell ref="AR40:AY42"/>
    <mergeCell ref="AG31:AI31"/>
    <mergeCell ref="A51:F51"/>
    <mergeCell ref="AG51:AN51"/>
    <mergeCell ref="A52:AN52"/>
    <mergeCell ref="G44:AN44"/>
    <mergeCell ref="A49:F49"/>
    <mergeCell ref="AG49:AN49"/>
    <mergeCell ref="A50:F50"/>
    <mergeCell ref="AG50:AN50"/>
  </mergeCells>
  <conditionalFormatting sqref="AH9:AH23">
    <cfRule type="cellIs" dxfId="158" priority="45" stopIfTrue="1" operator="equal">
      <formula>"FT"</formula>
    </cfRule>
  </conditionalFormatting>
  <conditionalFormatting sqref="B9:C23">
    <cfRule type="cellIs" dxfId="157" priority="46" stopIfTrue="1" operator="equal">
      <formula>$T$9</formula>
    </cfRule>
    <cfRule type="cellIs" dxfId="156" priority="47" stopIfTrue="1" operator="equal">
      <formula>$U$9</formula>
    </cfRule>
  </conditionalFormatting>
  <conditionalFormatting sqref="D9:G23">
    <cfRule type="cellIs" dxfId="155" priority="48" stopIfTrue="1" operator="equal">
      <formula>$T9</formula>
    </cfRule>
    <cfRule type="cellIs" dxfId="154" priority="49" stopIfTrue="1" operator="equal">
      <formula>$U9</formula>
    </cfRule>
  </conditionalFormatting>
  <conditionalFormatting sqref="AH24:AH30">
    <cfRule type="cellIs" dxfId="153" priority="40" stopIfTrue="1" operator="equal">
      <formula>"FT"</formula>
    </cfRule>
  </conditionalFormatting>
  <conditionalFormatting sqref="B24:C30">
    <cfRule type="cellIs" dxfId="152" priority="41" stopIfTrue="1" operator="equal">
      <formula>$T$9</formula>
    </cfRule>
    <cfRule type="cellIs" dxfId="151" priority="42" stopIfTrue="1" operator="equal">
      <formula>$U$9</formula>
    </cfRule>
  </conditionalFormatting>
  <conditionalFormatting sqref="D24:G30">
    <cfRule type="cellIs" dxfId="150" priority="43" stopIfTrue="1" operator="equal">
      <formula>$T24</formula>
    </cfRule>
    <cfRule type="cellIs" dxfId="149" priority="44" stopIfTrue="1" operator="equal">
      <formula>$U24</formula>
    </cfRule>
  </conditionalFormatting>
  <conditionalFormatting sqref="AH9:AH23">
    <cfRule type="cellIs" dxfId="148" priority="39" stopIfTrue="1" operator="equal">
      <formula>"FT"</formula>
    </cfRule>
  </conditionalFormatting>
  <conditionalFormatting sqref="AA9">
    <cfRule type="cellIs" dxfId="147" priority="38" stopIfTrue="1" operator="equal">
      <formula>1</formula>
    </cfRule>
  </conditionalFormatting>
  <conditionalFormatting sqref="AG9">
    <cfRule type="cellIs" dxfId="146" priority="36" stopIfTrue="1" operator="equal">
      <formula>"EXCLUI"</formula>
    </cfRule>
    <cfRule type="cellIs" dxfId="145" priority="37" stopIfTrue="1" operator="equal">
      <formula>"MUTAÇÃO"</formula>
    </cfRule>
  </conditionalFormatting>
  <conditionalFormatting sqref="D9:E23">
    <cfRule type="cellIs" dxfId="144" priority="34" stopIfTrue="1" operator="equal">
      <formula>$T$9</formula>
    </cfRule>
    <cfRule type="cellIs" dxfId="143" priority="35" stopIfTrue="1" operator="equal">
      <formula>$U$9</formula>
    </cfRule>
  </conditionalFormatting>
  <conditionalFormatting sqref="F9:G23">
    <cfRule type="cellIs" dxfId="142" priority="32" stopIfTrue="1" operator="equal">
      <formula>$T9</formula>
    </cfRule>
    <cfRule type="cellIs" dxfId="141" priority="33" stopIfTrue="1" operator="equal">
      <formula>$U9</formula>
    </cfRule>
  </conditionalFormatting>
  <conditionalFormatting sqref="AB9">
    <cfRule type="cellIs" dxfId="140" priority="30" stopIfTrue="1" operator="equal">
      <formula>0</formula>
    </cfRule>
    <cfRule type="cellIs" dxfId="139" priority="31" stopIfTrue="1" operator="equal">
      <formula>$AS$13</formula>
    </cfRule>
  </conditionalFormatting>
  <conditionalFormatting sqref="AH24:AH30">
    <cfRule type="cellIs" dxfId="138" priority="29" stopIfTrue="1" operator="equal">
      <formula>"FT"</formula>
    </cfRule>
  </conditionalFormatting>
  <conditionalFormatting sqref="D24:E30">
    <cfRule type="cellIs" dxfId="137" priority="27" stopIfTrue="1" operator="equal">
      <formula>$T$9</formula>
    </cfRule>
    <cfRule type="cellIs" dxfId="136" priority="28" stopIfTrue="1" operator="equal">
      <formula>$U$9</formula>
    </cfRule>
  </conditionalFormatting>
  <conditionalFormatting sqref="F24:G30">
    <cfRule type="cellIs" dxfId="135" priority="25" stopIfTrue="1" operator="equal">
      <formula>$T24</formula>
    </cfRule>
    <cfRule type="cellIs" dxfId="134" priority="26" stopIfTrue="1" operator="equal">
      <formula>$U24</formula>
    </cfRule>
  </conditionalFormatting>
  <conditionalFormatting sqref="H9:M30">
    <cfRule type="cellIs" dxfId="133" priority="23" stopIfTrue="1" operator="equal">
      <formula>$Z9</formula>
    </cfRule>
    <cfRule type="cellIs" dxfId="132" priority="24" stopIfTrue="1" operator="equal">
      <formula>$AA9</formula>
    </cfRule>
  </conditionalFormatting>
  <conditionalFormatting sqref="AG43">
    <cfRule type="cellIs" dxfId="131" priority="21" stopIfTrue="1" operator="greaterThanOrEqual">
      <formula>1</formula>
    </cfRule>
    <cfRule type="cellIs" dxfId="130" priority="22" stopIfTrue="1" operator="lessThanOrEqual">
      <formula>2</formula>
    </cfRule>
  </conditionalFormatting>
  <conditionalFormatting sqref="AM9:AM30">
    <cfRule type="cellIs" dxfId="129" priority="19" stopIfTrue="1" operator="equal">
      <formula>"EXCLUI"</formula>
    </cfRule>
    <cfRule type="cellIs" dxfId="128" priority="20" stopIfTrue="1" operator="equal">
      <formula>"MUTAÇÃO"</formula>
    </cfRule>
  </conditionalFormatting>
  <conditionalFormatting sqref="BI9:BQ30">
    <cfRule type="cellIs" dxfId="127" priority="18" stopIfTrue="1" operator="equal">
      <formula>$BF9-1</formula>
    </cfRule>
  </conditionalFormatting>
  <conditionalFormatting sqref="BT9:BU30">
    <cfRule type="cellIs" dxfId="126" priority="16" stopIfTrue="1" operator="equal">
      <formula>$BN9</formula>
    </cfRule>
    <cfRule type="cellIs" dxfId="125" priority="17" stopIfTrue="1" operator="equal">
      <formula>$BQ9</formula>
    </cfRule>
  </conditionalFormatting>
  <conditionalFormatting sqref="A9:A30">
    <cfRule type="cellIs" dxfId="124" priority="15" stopIfTrue="1" operator="equal">
      <formula>"ERRO-FT"</formula>
    </cfRule>
  </conditionalFormatting>
  <conditionalFormatting sqref="AH8">
    <cfRule type="cellIs" dxfId="123" priority="14" stopIfTrue="1" operator="equal">
      <formula>"AL.SUP."</formula>
    </cfRule>
  </conditionalFormatting>
  <conditionalFormatting sqref="AG8">
    <cfRule type="cellIs" dxfId="122" priority="13" stopIfTrue="1" operator="equal">
      <formula>"AL.INF."</formula>
    </cfRule>
  </conditionalFormatting>
  <conditionalFormatting sqref="AG9:AG30">
    <cfRule type="expression" dxfId="121" priority="12" stopIfTrue="1">
      <formula>(A9="ERRO-FT")</formula>
    </cfRule>
  </conditionalFormatting>
  <conditionalFormatting sqref="AH9:AH30">
    <cfRule type="cellIs" dxfId="120" priority="9" stopIfTrue="1" operator="equal">
      <formula>0</formula>
    </cfRule>
    <cfRule type="cellIs" dxfId="119" priority="10" stopIfTrue="1" operator="equal">
      <formula>$AY9</formula>
    </cfRule>
    <cfRule type="expression" dxfId="118" priority="11" stopIfTrue="1">
      <formula>(A9="ERRO-FT")</formula>
    </cfRule>
  </conditionalFormatting>
  <conditionalFormatting sqref="AG31:AI31">
    <cfRule type="cellIs" dxfId="117" priority="8" stopIfTrue="1" operator="equal">
      <formula>"VERIFICAR ALELOS"</formula>
    </cfRule>
  </conditionalFormatting>
  <conditionalFormatting sqref="AG32:AM32">
    <cfRule type="cellIs" dxfId="116" priority="7" stopIfTrue="1" operator="equal">
      <formula>"OCORRÊNCIA DE 'OUT LADDER'"</formula>
    </cfRule>
  </conditionalFormatting>
  <conditionalFormatting sqref="AG33:AN33">
    <cfRule type="cellIs" dxfId="115" priority="5" stopIfTrue="1" operator="equal">
      <formula>"CÁLCULO COM OMISSÃO DE LOCUS"</formula>
    </cfRule>
    <cfRule type="cellIs" dxfId="114" priority="6" stopIfTrue="1" operator="equal">
      <formula>"ANALISAR DIGITAÇÃO"</formula>
    </cfRule>
  </conditionalFormatting>
  <conditionalFormatting sqref="AG46:AH46">
    <cfRule type="expression" dxfId="113" priority="3" stopIfTrue="1">
      <formula>($AH$46="SIM")</formula>
    </cfRule>
    <cfRule type="expression" dxfId="112" priority="4" stopIfTrue="1">
      <formula>($AH$46&lt;&gt;"SIM")</formula>
    </cfRule>
  </conditionalFormatting>
  <conditionalFormatting sqref="AN9:AN30">
    <cfRule type="cellIs" dxfId="111" priority="1" stopIfTrue="1" operator="equal">
      <formula>"EM"</formula>
    </cfRule>
    <cfRule type="cellIs" dxfId="110" priority="2" stopIfTrue="1" operator="equal">
      <formula>"MT"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B9" sqref="B9:E30"/>
    </sheetView>
  </sheetViews>
  <sheetFormatPr defaultRowHeight="12.75" x14ac:dyDescent="0.2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40"/>
    <col min="16164" max="16384" width="9.140625" style="1"/>
  </cols>
  <sheetData>
    <row r="1" spans="1:80" s="1" customFormat="1" ht="17.25" thickTop="1" thickBot="1" x14ac:dyDescent="0.25">
      <c r="A1" s="807" t="s">
        <v>203</v>
      </c>
      <c r="B1" s="808"/>
      <c r="C1" s="808"/>
      <c r="D1" s="808"/>
      <c r="E1" s="808"/>
      <c r="F1" s="808"/>
      <c r="G1" s="808"/>
      <c r="H1" s="808"/>
      <c r="I1" s="808"/>
      <c r="J1" s="808"/>
      <c r="K1" s="808"/>
      <c r="L1" s="808"/>
      <c r="M1" s="808"/>
      <c r="N1" s="808"/>
      <c r="O1" s="808"/>
      <c r="P1" s="808"/>
      <c r="Q1" s="808"/>
      <c r="R1" s="808"/>
      <c r="S1" s="808"/>
      <c r="T1" s="808"/>
      <c r="U1" s="808"/>
      <c r="V1" s="808"/>
      <c r="W1" s="808"/>
      <c r="X1" s="808"/>
      <c r="Y1" s="808"/>
      <c r="Z1" s="808"/>
      <c r="AA1" s="808"/>
      <c r="AB1" s="808"/>
      <c r="AC1" s="808"/>
      <c r="AD1" s="808"/>
      <c r="AE1" s="808"/>
      <c r="AF1" s="808"/>
      <c r="AG1" s="808"/>
      <c r="AH1" s="808"/>
      <c r="AI1" s="808"/>
      <c r="AJ1" s="808"/>
      <c r="AK1" s="808"/>
      <c r="AL1" s="808"/>
      <c r="AM1" s="808"/>
      <c r="AN1" s="809"/>
      <c r="AO1" s="20"/>
      <c r="AP1" s="21"/>
      <c r="BF1" s="2"/>
      <c r="BG1" s="2"/>
    </row>
    <row r="2" spans="1:80" s="1" customFormat="1" ht="10.5" customHeight="1" thickTop="1" x14ac:dyDescent="0.2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 x14ac:dyDescent="0.25">
      <c r="A3" s="252" t="s">
        <v>81</v>
      </c>
      <c r="B3" s="859"/>
      <c r="C3" s="859"/>
      <c r="D3" s="859"/>
      <c r="E3" s="859"/>
      <c r="F3" s="859"/>
      <c r="G3" s="859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53" t="s">
        <v>0</v>
      </c>
      <c r="AI3" s="6"/>
      <c r="AM3" s="254" t="s">
        <v>224</v>
      </c>
      <c r="AN3" s="255"/>
      <c r="BF3" s="2"/>
      <c r="BG3" s="2"/>
    </row>
    <row r="4" spans="1:80" s="1" customFormat="1" ht="15.75" x14ac:dyDescent="0.25">
      <c r="A4" s="252" t="s">
        <v>161</v>
      </c>
      <c r="B4" s="25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57" t="str">
        <f>(IF(('IMPORTAÇÃO GENOTIPER'!AA4="X"),"XX",(IF(('IMPORTAÇÃO GENOTIPER'!AA4&lt;&gt;"X"),"ERRO"))))</f>
        <v>ERRO</v>
      </c>
      <c r="AM4" s="258" t="str">
        <f>IF(('SUPERVISÃO 1'!$AB$34="EVIDÊNCIA DE TROCA"),"VERIFICAR","OK")</f>
        <v>OK</v>
      </c>
      <c r="AN4" s="259"/>
      <c r="BF4" s="2"/>
      <c r="BG4" s="2"/>
    </row>
    <row r="5" spans="1:80" s="1" customFormat="1" ht="16.5" thickBot="1" x14ac:dyDescent="0.3">
      <c r="A5" s="252" t="s">
        <v>92</v>
      </c>
      <c r="B5" s="25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60"/>
      <c r="Y5" s="260"/>
      <c r="Z5" s="260"/>
      <c r="AA5" s="260"/>
      <c r="AB5" s="260"/>
      <c r="AC5" s="260"/>
      <c r="AD5" s="260"/>
      <c r="AE5" s="6"/>
      <c r="AF5" s="6"/>
      <c r="AG5" s="6"/>
      <c r="AH5" s="6"/>
      <c r="AI5" s="261" t="str">
        <f>(IF(('IMPORTAÇÃO GENOTIPER'!AQ4="Y"),"XY",(IF(('IMPORTAÇÃO GENOTIPER'!AQ4="X"),"XX","ERRO"))))</f>
        <v>ERRO</v>
      </c>
      <c r="AM5" s="258" t="str">
        <f>IF(('SUPERVISÃO 2'!$AB$34="EVIDÊNCIA DE TROCA"),"VERIFICAR","OK")</f>
        <v>OK</v>
      </c>
      <c r="AN5" s="259"/>
      <c r="BF5" s="2"/>
      <c r="BG5" s="2"/>
    </row>
    <row r="6" spans="1:80" s="1" customFormat="1" ht="17.25" thickTop="1" thickBot="1" x14ac:dyDescent="0.3">
      <c r="A6" s="252" t="s">
        <v>93</v>
      </c>
      <c r="B6" s="25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62" t="str">
        <f>(IF(('IMPORTAÇÃO GENOTIPER'!BG4="Y"),"XY",(IF(('IMPORTAÇÃO GENOTIPER'!BG4&lt;&gt;"Y"),"ERRO"))))</f>
        <v>ERRO</v>
      </c>
      <c r="AJ6" s="1" t="s">
        <v>149</v>
      </c>
      <c r="AM6" s="258" t="str">
        <f>IF(('SUPERVISÃO 3'!$AB$34="TROCA POSSÍVEL"),"VERIFICAR","OK")</f>
        <v>OK</v>
      </c>
      <c r="AN6" s="259"/>
      <c r="AO6" s="22"/>
      <c r="AZ6" s="811" t="s">
        <v>88</v>
      </c>
      <c r="BA6" s="812"/>
      <c r="BB6" s="31">
        <v>1E-3</v>
      </c>
      <c r="BF6" s="2"/>
      <c r="BG6" s="2"/>
      <c r="BH6" s="67"/>
      <c r="BI6" s="56"/>
      <c r="BJ6" s="56"/>
      <c r="BK6" s="56"/>
      <c r="BL6" s="56"/>
    </row>
    <row r="7" spans="1:80" s="1" customFormat="1" ht="24" customHeight="1" thickTop="1" thickBot="1" x14ac:dyDescent="0.35">
      <c r="A7" s="263" t="s">
        <v>225</v>
      </c>
      <c r="B7" s="264"/>
      <c r="C7" s="10"/>
      <c r="D7" s="10"/>
      <c r="E7" s="10"/>
      <c r="F7" s="265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14" t="str">
        <f>IF(('SUPERVISÃO 4'!$AG$34="VERIFICAR"),"VERIFICAR","OK")</f>
        <v>VERIFICAR</v>
      </c>
      <c r="AN7" s="74"/>
      <c r="AO7" s="1" t="s">
        <v>78</v>
      </c>
      <c r="AQ7" s="854" t="s">
        <v>226</v>
      </c>
      <c r="AR7" s="854"/>
      <c r="AS7" s="854"/>
      <c r="AT7" s="854"/>
      <c r="AU7" s="854"/>
      <c r="AV7" s="854"/>
      <c r="AZ7" s="811" t="s">
        <v>87</v>
      </c>
      <c r="BA7" s="812"/>
      <c r="BB7" s="855"/>
      <c r="BF7" s="2"/>
      <c r="BG7" s="2"/>
      <c r="BI7" s="811" t="s">
        <v>108</v>
      </c>
      <c r="BJ7" s="812"/>
      <c r="BK7" s="855"/>
      <c r="BL7" s="856" t="s">
        <v>109</v>
      </c>
      <c r="BM7" s="857"/>
      <c r="BN7" s="858"/>
      <c r="BO7" s="847" t="s">
        <v>111</v>
      </c>
      <c r="BP7" s="848"/>
      <c r="BQ7" s="849"/>
    </row>
    <row r="8" spans="1:80" s="1" customFormat="1" ht="16.5" thickTop="1" thickBot="1" x14ac:dyDescent="0.3">
      <c r="A8" s="266" t="s">
        <v>50</v>
      </c>
      <c r="B8" s="850" t="s">
        <v>54</v>
      </c>
      <c r="C8" s="851"/>
      <c r="D8" s="850" t="s">
        <v>55</v>
      </c>
      <c r="E8" s="851"/>
      <c r="F8" s="850" t="s">
        <v>133</v>
      </c>
      <c r="G8" s="851"/>
      <c r="H8" s="850" t="s">
        <v>97</v>
      </c>
      <c r="I8" s="851"/>
      <c r="J8" s="850" t="s">
        <v>98</v>
      </c>
      <c r="K8" s="851"/>
      <c r="L8" s="850" t="s">
        <v>99</v>
      </c>
      <c r="M8" s="851"/>
      <c r="N8" s="850" t="s">
        <v>165</v>
      </c>
      <c r="O8" s="851"/>
      <c r="P8" s="850" t="s">
        <v>166</v>
      </c>
      <c r="Q8" s="851"/>
      <c r="R8" s="850" t="s">
        <v>167</v>
      </c>
      <c r="S8" s="851"/>
      <c r="T8" s="267" t="s">
        <v>135</v>
      </c>
      <c r="U8" s="267" t="s">
        <v>136</v>
      </c>
      <c r="V8" s="267" t="s">
        <v>137</v>
      </c>
      <c r="W8" s="268" t="s">
        <v>134</v>
      </c>
      <c r="X8" s="852" t="s">
        <v>138</v>
      </c>
      <c r="Y8" s="853"/>
      <c r="Z8" s="852" t="s">
        <v>141</v>
      </c>
      <c r="AA8" s="853"/>
      <c r="AB8" s="267" t="s">
        <v>145</v>
      </c>
      <c r="AC8" s="267" t="s">
        <v>147</v>
      </c>
      <c r="AD8" s="267" t="s">
        <v>146</v>
      </c>
      <c r="AE8" s="267" t="s">
        <v>148</v>
      </c>
      <c r="AF8" s="267" t="s">
        <v>160</v>
      </c>
      <c r="AG8" s="2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6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70" t="s">
        <v>143</v>
      </c>
      <c r="AJ8" s="271" t="s">
        <v>139</v>
      </c>
      <c r="AK8" s="271"/>
      <c r="AL8" s="271"/>
      <c r="AM8" s="270" t="s">
        <v>176</v>
      </c>
      <c r="AN8" s="270" t="s">
        <v>129</v>
      </c>
      <c r="AQ8" s="854"/>
      <c r="AR8" s="854"/>
      <c r="AS8" s="854"/>
      <c r="AT8" s="854"/>
      <c r="AU8" s="854"/>
      <c r="AV8" s="854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51" t="s">
        <v>100</v>
      </c>
      <c r="BG8" s="51" t="s">
        <v>101</v>
      </c>
      <c r="BI8" s="13" t="s">
        <v>105</v>
      </c>
      <c r="BJ8" s="54" t="s">
        <v>106</v>
      </c>
      <c r="BK8" s="54" t="s">
        <v>107</v>
      </c>
      <c r="BL8" s="58" t="s">
        <v>105</v>
      </c>
      <c r="BM8" s="59" t="s">
        <v>112</v>
      </c>
      <c r="BN8" s="59" t="s">
        <v>110</v>
      </c>
      <c r="BO8" s="61" t="s">
        <v>105</v>
      </c>
      <c r="BP8" s="62" t="s">
        <v>113</v>
      </c>
      <c r="BQ8" s="63" t="s">
        <v>114</v>
      </c>
    </row>
    <row r="9" spans="1:80" s="1" customFormat="1" ht="16.5" thickTop="1" thickBot="1" x14ac:dyDescent="0.3">
      <c r="A9" s="272" t="s">
        <v>151</v>
      </c>
      <c r="B9" s="273">
        <f>'PD0101'!D9</f>
        <v>0</v>
      </c>
      <c r="C9" s="273">
        <f>'PD0101'!E9</f>
        <v>0</v>
      </c>
      <c r="D9" s="273">
        <f>'PD0101'!B9</f>
        <v>0</v>
      </c>
      <c r="E9" s="273">
        <f>'PD0101'!C9</f>
        <v>0</v>
      </c>
      <c r="F9" s="273">
        <f>'IMPORTAÇÃO GENOTIPER'!AY5</f>
        <v>0</v>
      </c>
      <c r="G9" s="273">
        <f>'IMPORTAÇÃO GENOTIPER'!BG5</f>
        <v>0</v>
      </c>
      <c r="H9" s="93">
        <f t="shared" ref="H9:M24" si="0">(IF(CODE(B9)=(60),($BF9-1),(IF(CODE(B9)=(62),($BG9+1),B9))))</f>
        <v>0</v>
      </c>
      <c r="I9" s="93">
        <f t="shared" si="0"/>
        <v>0</v>
      </c>
      <c r="J9" s="93">
        <f t="shared" si="0"/>
        <v>0</v>
      </c>
      <c r="K9" s="93">
        <f t="shared" si="0"/>
        <v>0</v>
      </c>
      <c r="L9" s="93">
        <f t="shared" si="0"/>
        <v>0</v>
      </c>
      <c r="M9" s="93">
        <f t="shared" si="0"/>
        <v>0</v>
      </c>
      <c r="N9" s="94">
        <f t="shared" ref="N9:N30" si="1">IF((H9&gt;I9),I9,H9)</f>
        <v>0</v>
      </c>
      <c r="O9" s="94">
        <f t="shared" ref="O9:O30" si="2">IF((I9&gt;H9),I9,H9)</f>
        <v>0</v>
      </c>
      <c r="P9" s="94">
        <f t="shared" ref="P9:P30" si="3">IF((J9&gt;K9),K9,J9)</f>
        <v>0</v>
      </c>
      <c r="Q9" s="94">
        <f t="shared" ref="Q9:Q30" si="4">IF((K9&gt;J9),K9,J9)</f>
        <v>0</v>
      </c>
      <c r="R9" s="94">
        <f t="shared" ref="R9:R30" si="5">IF((L9&gt;M9),M9,L9)</f>
        <v>0</v>
      </c>
      <c r="S9" s="94">
        <f t="shared" ref="S9:S30" si="6">IF((M9&gt;L9),M9,L9)</f>
        <v>0</v>
      </c>
      <c r="T9" s="95">
        <f t="shared" ref="T9:T30" si="7">IF((P9=N9),P9,(IF((P9=O9),P9,0)))</f>
        <v>0</v>
      </c>
      <c r="U9" s="95">
        <f t="shared" ref="U9:U30" si="8">IF((Q9=N9),Q9,(IF((Q9=O9),Q9,0)))</f>
        <v>0</v>
      </c>
      <c r="V9" s="96">
        <f>(IF((OR((P9="&gt;18"),(Q9="&gt;18"))),2,(IF(((T9+U9)=(P9+Q9)),0,1))))</f>
        <v>0</v>
      </c>
      <c r="W9" s="97">
        <f>IF(OR(($T9=$U9),($U9=0)),$T9,(IF(AND(($T9=0),($U9&lt;&gt;0)),$U9,$AJ$7)))</f>
        <v>0</v>
      </c>
      <c r="X9" s="120">
        <f>(ROUND( (IF((AND((T9=0),(U9=0))),D9,(IF((V9=2),S9,(IF((W9&lt;&gt;$AJ$7),(P9+Q9-W9),P9)))))),1))</f>
        <v>0</v>
      </c>
      <c r="Y9" s="95">
        <f>(IF((AND(($T9=0),($U9=0))),$E9,(IF(($W9&lt;&gt;$AJ$7),0,$Q9))))</f>
        <v>0</v>
      </c>
      <c r="Z9" s="98">
        <f t="shared" ref="Z9:Z30" si="9">(IF(OR((X9=R9),(X9=S9)),X9,0))</f>
        <v>0</v>
      </c>
      <c r="AA9" s="99">
        <f t="shared" ref="AA9:AA30" si="10">(IF(AND((V9=0),(Z9=0),(OR((S9=T9),(S9=U9)))),Y9,(IF((Y9&lt;&gt;0),(IF(OR((Y9=R9),(Y9=S9)),Y9,0)),0))))</f>
        <v>0</v>
      </c>
      <c r="AB9" s="100">
        <f>IF(X9=0,0,VLOOKUP(X9,FREQUENCIAS!$1:$1048576,(IF(($A9=FREQUENCIAS!$B$1),2,"ERRO")),FREQUENCIAS!$1:$1048576))</f>
        <v>0</v>
      </c>
      <c r="AC9" s="100">
        <f>IF(Y9=0,0,VLOOKUP(Y9,FREQUENCIAS!$1:$1048576,(IF(($A9=FREQUENCIAS!$B$1),2,"ERRO")),FREQUENCIAS!$1:$1048576))</f>
        <v>0</v>
      </c>
      <c r="AD9" s="100"/>
      <c r="AE9" s="100"/>
      <c r="AF9" s="100"/>
      <c r="AG9" s="101">
        <f>(IF((A9="ERRO-FT"),"8",((IF((AND(($Z9=0),($AA9=0),($AX$32="N"))),0,(IF((AND(($Z9=0),($AA9=0),(AX$32="S"))),1,(IF((AB9+AC9+AD9+AE9+AF9)&lt;=$AI$7,$AI$7,(AB9+AC9+AD9+AE9+AF9))))))))))</f>
        <v>0</v>
      </c>
      <c r="AH9" s="102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3">
        <f t="shared" ref="AI9:AI30" si="11">(IF((AH9=0),0,(AH9/(AH9+1))))</f>
        <v>0</v>
      </c>
      <c r="AJ9" s="104"/>
      <c r="AK9" s="105">
        <f t="shared" ref="AK9:AK30" si="12">(1-AG9)^2</f>
        <v>1</v>
      </c>
      <c r="AL9" s="104"/>
      <c r="AM9" s="106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7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1">
        <f t="shared" ref="BC9:BC30" si="16">(IF((AND(($AX$32="N"),($AX$34="O"),($AX9=1))),1,$AH9))</f>
        <v>0</v>
      </c>
      <c r="BD9" s="2">
        <f>IF((W9=0),1,0)</f>
        <v>1</v>
      </c>
      <c r="BE9" s="68"/>
      <c r="BF9" s="52">
        <v>8</v>
      </c>
      <c r="BG9" s="52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7" t="str">
        <f t="shared" ref="BI9:BI30" si="17">IF(($W9=($BF9-1)),"&lt;",IF(($W9=($BG9+1)),"&gt;",""))</f>
        <v/>
      </c>
      <c r="BJ9" s="57">
        <f t="shared" ref="BJ9:BJ30" si="18">IF(($W9=($BF9-1)),$BF9,IF(($W9=($BG9-1)),$BG9,$W9))</f>
        <v>0</v>
      </c>
      <c r="BK9" s="57">
        <f t="shared" ref="BK9:BK30" si="19">(IF((OR(($W9=($BF9-1)),($W9=($BG9+1)))),(CONCATENATE((BI9),(BJ9))),$W9))</f>
        <v>0</v>
      </c>
      <c r="BL9" s="60" t="str">
        <f t="shared" ref="BL9:BL30" si="20">IF(($Z9=($BF9-1)),"&lt;",IF(($Z9=($BG9+1)),"&gt;",""))</f>
        <v/>
      </c>
      <c r="BM9" s="60">
        <f t="shared" ref="BM9:BM30" si="21">IF(($Z9=($BF9-1)),$BF9,IF(($Z9=($BG9+1)),$BG9,$Z9))</f>
        <v>0</v>
      </c>
      <c r="BN9" s="60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 x14ac:dyDescent="0.3">
      <c r="A10" s="272" t="s">
        <v>214</v>
      </c>
      <c r="B10" s="273">
        <f>'PD0101'!D10</f>
        <v>0</v>
      </c>
      <c r="C10" s="273">
        <f>'PD0101'!E10</f>
        <v>0</v>
      </c>
      <c r="D10" s="273">
        <f>'PD0101'!B10</f>
        <v>0</v>
      </c>
      <c r="E10" s="273">
        <f>'PD0101'!C10</f>
        <v>0</v>
      </c>
      <c r="F10" s="273">
        <f>'IMPORTAÇÃO GENOTIPER'!AY6</f>
        <v>0</v>
      </c>
      <c r="G10" s="273">
        <f>'IMPORTAÇÃO GENOTIPER'!BG6</f>
        <v>0</v>
      </c>
      <c r="H10" s="93">
        <f t="shared" si="0"/>
        <v>0</v>
      </c>
      <c r="I10" s="93">
        <f t="shared" si="0"/>
        <v>0</v>
      </c>
      <c r="J10" s="93">
        <f t="shared" si="0"/>
        <v>0</v>
      </c>
      <c r="K10" s="93">
        <f t="shared" si="0"/>
        <v>0</v>
      </c>
      <c r="L10" s="93">
        <f t="shared" si="0"/>
        <v>0</v>
      </c>
      <c r="M10" s="93">
        <f t="shared" si="0"/>
        <v>0</v>
      </c>
      <c r="N10" s="94">
        <f t="shared" si="1"/>
        <v>0</v>
      </c>
      <c r="O10" s="94">
        <f t="shared" si="2"/>
        <v>0</v>
      </c>
      <c r="P10" s="94">
        <f t="shared" si="3"/>
        <v>0</v>
      </c>
      <c r="Q10" s="94">
        <f t="shared" si="4"/>
        <v>0</v>
      </c>
      <c r="R10" s="94">
        <f t="shared" si="5"/>
        <v>0</v>
      </c>
      <c r="S10" s="94">
        <f t="shared" si="6"/>
        <v>0</v>
      </c>
      <c r="T10" s="95">
        <f t="shared" si="7"/>
        <v>0</v>
      </c>
      <c r="U10" s="95">
        <f t="shared" si="8"/>
        <v>0</v>
      </c>
      <c r="V10" s="96">
        <f>(IF((OR((P10="&gt;36"),(Q10="&gt;36"))),2,(IF(((T10+U10)=(P10+Q10)),0,1))))</f>
        <v>0</v>
      </c>
      <c r="W10" s="97">
        <f t="shared" ref="W10:W23" si="25">IF(OR((T10=U10),(U10=0)),T10,(IF(AND((T10=0),(U10&lt;&gt;0)),U10,$AJ$7)))</f>
        <v>0</v>
      </c>
      <c r="X10" s="120">
        <f>(ROUND( (IF((AND((T10=0),(U10=0))),D10,(IF((V10=2),S10,(IF((W10&lt;&gt;$AJ$7),(P10+Q10-W10),P10)))))),1))</f>
        <v>0</v>
      </c>
      <c r="Y10" s="95">
        <f>(IF((AND((T10=0),(U10=0))),E10,(IF((W10&lt;&gt;$AJ$7),0,Q10))))</f>
        <v>0</v>
      </c>
      <c r="Z10" s="98">
        <f t="shared" si="9"/>
        <v>0</v>
      </c>
      <c r="AA10" s="99">
        <f t="shared" si="10"/>
        <v>0</v>
      </c>
      <c r="AB10" s="100">
        <f>IF(X10=0,0,VLOOKUP(X10,FREQUENCIAS!$1:$1048576,(IF(($A10=FREQUENCIAS!$C$1),3,"ERRO")),FREQUENCIAS!$1:$1048576))</f>
        <v>0</v>
      </c>
      <c r="AC10" s="100">
        <f>IF(Y10=0,0,VLOOKUP(Y10,FREQUENCIAS!$1:$1048576,(IF(($A10=FREQUENCIAS!$C$1),3,"ERRO")),FREQUENCIAS!$1:$1048576))</f>
        <v>0</v>
      </c>
      <c r="AD10" s="100"/>
      <c r="AE10" s="100"/>
      <c r="AF10" s="100"/>
      <c r="AG10" s="101">
        <f>(IF((A10="ERRO-FT"),"24",((IF((AND(($Z10=0),($AA10=0),($AX$32="N"))),0,(IF((AND(($Z10=0),($AA10=0),(AX$32="S"))),1,(IF((AB10+AC10+AD10+AE10+AF10)&lt;=$AI$7,$AI$7,(AB10+AC10+AD10+AE10+AF10))))))))))</f>
        <v>0</v>
      </c>
      <c r="AH10" s="102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3">
        <f t="shared" si="11"/>
        <v>0</v>
      </c>
      <c r="AJ10" s="104"/>
      <c r="AK10" s="105">
        <f t="shared" si="12"/>
        <v>1</v>
      </c>
      <c r="AL10" s="104"/>
      <c r="AM10" s="106" t="str">
        <f t="shared" si="13"/>
        <v>EXCLUI</v>
      </c>
      <c r="AN10" s="97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0</v>
      </c>
      <c r="BC10" s="41">
        <f t="shared" si="16"/>
        <v>0</v>
      </c>
      <c r="BD10" s="2">
        <f t="shared" ref="BD10:BD23" si="27">IF((W10=0),1,0)</f>
        <v>1</v>
      </c>
      <c r="BF10" s="53">
        <v>24</v>
      </c>
      <c r="BG10" s="53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7" t="str">
        <f t="shared" si="17"/>
        <v/>
      </c>
      <c r="BJ10" s="57">
        <f t="shared" si="18"/>
        <v>0</v>
      </c>
      <c r="BK10" s="57">
        <f t="shared" si="19"/>
        <v>0</v>
      </c>
      <c r="BL10" s="60" t="str">
        <f t="shared" si="20"/>
        <v/>
      </c>
      <c r="BM10" s="66">
        <f t="shared" si="21"/>
        <v>0</v>
      </c>
      <c r="BN10" s="60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 x14ac:dyDescent="0.3">
      <c r="A11" s="272" t="s">
        <v>215</v>
      </c>
      <c r="B11" s="273">
        <f>'PD0101'!D11</f>
        <v>0</v>
      </c>
      <c r="C11" s="273">
        <f>'PD0101'!E11</f>
        <v>0</v>
      </c>
      <c r="D11" s="273">
        <f>'PD0101'!B11</f>
        <v>0</v>
      </c>
      <c r="E11" s="273">
        <f>'PD0101'!C11</f>
        <v>0</v>
      </c>
      <c r="F11" s="273">
        <f>'IMPORTAÇÃO GENOTIPER'!AY7</f>
        <v>0</v>
      </c>
      <c r="G11" s="273">
        <f>'IMPORTAÇÃO GENOTIPER'!BG7</f>
        <v>0</v>
      </c>
      <c r="H11" s="93">
        <f t="shared" si="0"/>
        <v>0</v>
      </c>
      <c r="I11" s="93">
        <f t="shared" si="0"/>
        <v>0</v>
      </c>
      <c r="J11" s="93">
        <f t="shared" si="0"/>
        <v>0</v>
      </c>
      <c r="K11" s="93">
        <f t="shared" si="0"/>
        <v>0</v>
      </c>
      <c r="L11" s="93">
        <f t="shared" si="0"/>
        <v>0</v>
      </c>
      <c r="M11" s="93">
        <f t="shared" si="0"/>
        <v>0</v>
      </c>
      <c r="N11" s="94">
        <f t="shared" si="1"/>
        <v>0</v>
      </c>
      <c r="O11" s="94">
        <f t="shared" si="2"/>
        <v>0</v>
      </c>
      <c r="P11" s="94">
        <f t="shared" si="3"/>
        <v>0</v>
      </c>
      <c r="Q11" s="94">
        <f t="shared" si="4"/>
        <v>0</v>
      </c>
      <c r="R11" s="94">
        <f t="shared" si="5"/>
        <v>0</v>
      </c>
      <c r="S11" s="94">
        <f t="shared" si="6"/>
        <v>0</v>
      </c>
      <c r="T11" s="95">
        <f t="shared" si="7"/>
        <v>0</v>
      </c>
      <c r="U11" s="95">
        <f t="shared" si="8"/>
        <v>0</v>
      </c>
      <c r="V11" s="96">
        <f>(IF((OR((P11="&gt;22"),(Q11="&gt;22"))),2,(IF(((T11+U11)=(P11+Q11)),0,1))))</f>
        <v>0</v>
      </c>
      <c r="W11" s="97">
        <f t="shared" si="25"/>
        <v>0</v>
      </c>
      <c r="X11" s="120">
        <f>(ROUND( (IF((AND((T11=0),(U11=0))),D11,(IF((V11=2),S11,(IF((W11&lt;&gt;$AJ$7),(P11+Q11-W11),P11)))))),1))</f>
        <v>0</v>
      </c>
      <c r="Y11" s="95">
        <f>(ROUND( (IF((AND((T11=0),(U11=0))),E11,(IF((W11&lt;&gt;$AJ$7),0,Q11)))),1))</f>
        <v>0</v>
      </c>
      <c r="Z11" s="98">
        <f t="shared" si="9"/>
        <v>0</v>
      </c>
      <c r="AA11" s="99">
        <f t="shared" si="10"/>
        <v>0</v>
      </c>
      <c r="AB11" s="100">
        <f>IF(X11=0,0,VLOOKUP(X11,FREQUENCIAS!$1:$1048576,(IF(($A11=FREQUENCIAS!$D$1),4,"ERRO")),FREQUENCIAS!$1:$1048576))</f>
        <v>0</v>
      </c>
      <c r="AC11" s="100">
        <f>IF(Y11=0,0,VLOOKUP(Y11,FREQUENCIAS!$1:$1048576,(IF(($A11=FREQUENCIAS!$D$1),4,"ERRO")),FREQUENCIAS!$1:$1048576))</f>
        <v>0</v>
      </c>
      <c r="AD11" s="100"/>
      <c r="AE11" s="100"/>
      <c r="AF11" s="100"/>
      <c r="AG11" s="101">
        <f>(IF((A11="ERRO-FT"),"6",((IF((AND(($Z11=0),($AA11=0),($AX$32="N"))),0,(IF((AND(($Z11=0),($AA11=0),(AX$32="S"))),1,(IF((AB11+AC11+AD11+AE11+AF11)&lt;=$AI$7,$AI$7,(AB11+AC11+AD11+AE11+AF11))))))))))</f>
        <v>0</v>
      </c>
      <c r="AH11" s="102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3">
        <f t="shared" si="11"/>
        <v>0</v>
      </c>
      <c r="AJ11" s="104"/>
      <c r="AK11" s="105">
        <f t="shared" si="12"/>
        <v>1</v>
      </c>
      <c r="AL11" s="104"/>
      <c r="AM11" s="106" t="str">
        <f t="shared" si="13"/>
        <v>EXCLUI</v>
      </c>
      <c r="AN11" s="97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0</v>
      </c>
      <c r="BC11" s="41">
        <f t="shared" si="16"/>
        <v>0</v>
      </c>
      <c r="BD11" s="2">
        <f t="shared" si="27"/>
        <v>1</v>
      </c>
      <c r="BF11" s="53">
        <v>6</v>
      </c>
      <c r="BG11" s="53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7" t="str">
        <f t="shared" si="17"/>
        <v/>
      </c>
      <c r="BJ11" s="57">
        <f t="shared" si="18"/>
        <v>0</v>
      </c>
      <c r="BK11" s="57">
        <f t="shared" si="19"/>
        <v>0</v>
      </c>
      <c r="BL11" s="60" t="str">
        <f t="shared" si="20"/>
        <v/>
      </c>
      <c r="BM11" s="60">
        <f t="shared" si="21"/>
        <v>0</v>
      </c>
      <c r="BN11" s="60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31" customFormat="1" ht="16.5" thickTop="1" thickBot="1" x14ac:dyDescent="0.3">
      <c r="A12" s="274" t="s">
        <v>216</v>
      </c>
      <c r="B12" s="275">
        <f>'PD0101'!D12</f>
        <v>0</v>
      </c>
      <c r="C12" s="275">
        <f>'PD0101'!E12</f>
        <v>0</v>
      </c>
      <c r="D12" s="275">
        <f>'PD0101'!B12</f>
        <v>0</v>
      </c>
      <c r="E12" s="275">
        <f>'PD0101'!C12</f>
        <v>0</v>
      </c>
      <c r="F12" s="275">
        <f>'IMPORTAÇÃO GENOTIPER'!AY8</f>
        <v>0</v>
      </c>
      <c r="G12" s="275">
        <f>'IMPORTAÇÃO GENOTIPER'!BG8</f>
        <v>0</v>
      </c>
      <c r="H12" s="116">
        <f t="shared" si="0"/>
        <v>0</v>
      </c>
      <c r="I12" s="116">
        <f t="shared" si="0"/>
        <v>0</v>
      </c>
      <c r="J12" s="116">
        <f t="shared" si="0"/>
        <v>0</v>
      </c>
      <c r="K12" s="116">
        <f t="shared" si="0"/>
        <v>0</v>
      </c>
      <c r="L12" s="116">
        <f t="shared" si="0"/>
        <v>0</v>
      </c>
      <c r="M12" s="116">
        <f t="shared" si="0"/>
        <v>0</v>
      </c>
      <c r="N12" s="117">
        <f t="shared" si="1"/>
        <v>0</v>
      </c>
      <c r="O12" s="117">
        <f t="shared" si="2"/>
        <v>0</v>
      </c>
      <c r="P12" s="117">
        <f t="shared" si="3"/>
        <v>0</v>
      </c>
      <c r="Q12" s="117">
        <f t="shared" si="4"/>
        <v>0</v>
      </c>
      <c r="R12" s="117">
        <f t="shared" si="5"/>
        <v>0</v>
      </c>
      <c r="S12" s="117">
        <f t="shared" si="6"/>
        <v>0</v>
      </c>
      <c r="T12" s="118">
        <f t="shared" si="7"/>
        <v>0</v>
      </c>
      <c r="U12" s="118">
        <f t="shared" si="8"/>
        <v>0</v>
      </c>
      <c r="V12" s="119">
        <f>(IF((OR((P12="&gt;21"),(Q12="&gt;21"))),2,(IF(((T12+U12)=(P12+Q12)),0,1))))</f>
        <v>0</v>
      </c>
      <c r="W12" s="118">
        <f t="shared" si="25"/>
        <v>0</v>
      </c>
      <c r="X12" s="120">
        <f>(ROUND( (IF((AND((T12=0),(U12=0))),D12,(IF((V12=2),S12,(IF((W12&lt;&gt;$AJ$7),(P12+Q12-W12),P12)))))),1))</f>
        <v>0</v>
      </c>
      <c r="Y12" s="118">
        <f xml:space="preserve"> (IF((AND((T12=0),(U12=0))),E12,(IF((W12&lt;&gt;$AJ$7),0,Q12))))</f>
        <v>0</v>
      </c>
      <c r="Z12" s="121">
        <f t="shared" si="9"/>
        <v>0</v>
      </c>
      <c r="AA12" s="122">
        <f t="shared" si="10"/>
        <v>0</v>
      </c>
      <c r="AB12" s="123">
        <f>IF(X12=0,0,VLOOKUP(X12,FREQUENCIAS!$1:$1048576,(IF(($A12=FREQUENCIAS!$E$1),5,"ERRO")),FREQUENCIAS!$1:$1048576))</f>
        <v>0</v>
      </c>
      <c r="AC12" s="123">
        <f>IF(Y12=0,0,VLOOKUP(Y12,FREQUENCIAS!$1:$1048576,(IF(($A12=FREQUENCIAS!$E$1),5,"ERRO")),FREQUENCIAS!$1:$1048576))</f>
        <v>0</v>
      </c>
      <c r="AD12" s="123"/>
      <c r="AE12" s="123"/>
      <c r="AF12" s="123"/>
      <c r="AG12" s="124">
        <f>(IF((A12="ERRO-FT"),"6",((IF((AND(($Z12=0),($AA12=0),($AX$32="N"))),0,(IF((AND(($Z12=0),($AA12=0),(AX$32="S"))),1,(IF((AB12+AC12+AD12+AE12+AF12)&lt;=$AI$7,$AI$7,(AB12+AC12+AD12+AE12+AF12))))))))))</f>
        <v>0</v>
      </c>
      <c r="AH12" s="125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6">
        <f t="shared" si="11"/>
        <v>0</v>
      </c>
      <c r="AJ12" s="127" t="s">
        <v>140</v>
      </c>
      <c r="AK12" s="128">
        <f t="shared" si="12"/>
        <v>1</v>
      </c>
      <c r="AL12" s="127"/>
      <c r="AM12" s="129" t="str">
        <f t="shared" si="13"/>
        <v>EXCLUI</v>
      </c>
      <c r="AN12" s="130" t="str">
        <f t="shared" si="14"/>
        <v>EM</v>
      </c>
      <c r="AQ12" s="131" t="e">
        <f>(IF(OR((B12="&lt;6"),(B12="&gt;15"),(B12=11.3),(B12=15),(B12=#REF!),(B12=#REF!),(B12=#REF!),(B12=#REF!),(B12=#REF!),(B12=#REF!),(B12=#REF!),(B12=#REF!),(B12=#REF!)),1,0))</f>
        <v>#REF!</v>
      </c>
      <c r="AR12" s="131" t="e">
        <f>(IF(OR((C12="&lt;6"),(C12="&gt;15"),(C12=11.3),(C12=15),(C12=#REF!),(C12=#REF!),(C12=#REF!),(C12=#REF!),(C12=#REF!),(C12=#REF!),(C12=#REF!),(C12=#REF!),(C12=#REF!)),1,0))</f>
        <v>#REF!</v>
      </c>
      <c r="AS12" s="131" t="e">
        <f>(IF(OR((D12="&lt;6"),(D12="&gt;15"),(D12=11.3),(D12=15),(D12=#REF!),(D12=#REF!),(D12=#REF!),(D12=#REF!),(D12=#REF!),(D12=#REF!),(D12=#REF!),(D12=#REF!),(D12=#REF!)),1,0))</f>
        <v>#REF!</v>
      </c>
      <c r="AT12" s="131" t="e">
        <f>(IF(OR((E12="&lt;6"),(E12="&gt;15"),(E12=11.3),(E12=15),(E12=#REF!),(E12=#REF!),(E12=#REF!),(E12=#REF!),(E12=#REF!),(E12=#REF!),(E12=#REF!),(E12=#REF!),(E12=#REF!)),1,0))</f>
        <v>#REF!</v>
      </c>
      <c r="AU12" s="131" t="e">
        <f>(IF(OR((F12="&lt;6"),(F12="&gt;15"),(F12=11.3),(F12=15),(F12=#REF!),(F12=#REF!),(F12=#REF!),(F12=#REF!),(F12=#REF!),(F12=#REF!),(F12=#REF!),(F12=#REF!),(F12=#REF!)),1,0))</f>
        <v>#REF!</v>
      </c>
      <c r="AV12" s="131" t="e">
        <f>(IF(OR((G12="&lt;6"),(G12="&gt;15"),(G12=11.3),(G12=15),(G12=#REF!),(G12=#REF!),(G12=#REF!),(G12=#REF!),(G12=#REF!),(G12=#REF!),(G12=#REF!),(G12=#REF!),(G12=#REF!)),1,0))</f>
        <v>#REF!</v>
      </c>
      <c r="AX12" s="132">
        <f t="shared" si="26"/>
        <v>1</v>
      </c>
      <c r="AY12" s="133">
        <f t="shared" si="15"/>
        <v>0</v>
      </c>
      <c r="AZ12" s="134"/>
      <c r="BA12" s="40">
        <f>IF($A12=FREQUENCIAS!$E$1,FREQUENCIAS!$E$2,"ERRO NO PE")</f>
        <v>0.54300000000000004</v>
      </c>
      <c r="BB12" s="40">
        <f>IF($A12=FREQUENCIAS!$E$1,FREQUENCIAS!$E$3,"ERRO NA MUT")</f>
        <v>0</v>
      </c>
      <c r="BC12" s="135">
        <f t="shared" si="16"/>
        <v>0</v>
      </c>
      <c r="BD12" s="136">
        <f t="shared" si="27"/>
        <v>1</v>
      </c>
      <c r="BF12" s="137">
        <v>6</v>
      </c>
      <c r="BG12" s="137">
        <v>15</v>
      </c>
      <c r="BH12" s="131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8" t="str">
        <f t="shared" si="17"/>
        <v/>
      </c>
      <c r="BJ12" s="118">
        <f t="shared" si="18"/>
        <v>0</v>
      </c>
      <c r="BK12" s="118">
        <f t="shared" si="19"/>
        <v>0</v>
      </c>
      <c r="BL12" s="118" t="str">
        <f t="shared" si="20"/>
        <v/>
      </c>
      <c r="BM12" s="118">
        <f t="shared" si="21"/>
        <v>0</v>
      </c>
      <c r="BN12" s="118">
        <f t="shared" si="22"/>
        <v>0</v>
      </c>
      <c r="BO12" s="118" t="str">
        <f t="shared" si="28"/>
        <v/>
      </c>
      <c r="BP12" s="118">
        <f t="shared" si="23"/>
        <v>0</v>
      </c>
      <c r="BQ12" s="118">
        <f t="shared" si="24"/>
        <v>0</v>
      </c>
      <c r="BT12" s="138">
        <v>9</v>
      </c>
      <c r="BU12" s="139">
        <v>12</v>
      </c>
    </row>
    <row r="13" spans="1:80" s="1" customFormat="1" ht="16.5" thickTop="1" thickBot="1" x14ac:dyDescent="0.3">
      <c r="A13" s="272" t="s">
        <v>157</v>
      </c>
      <c r="B13" s="273">
        <f>'PD0101'!D13</f>
        <v>0</v>
      </c>
      <c r="C13" s="273">
        <f>'PD0101'!E13</f>
        <v>0</v>
      </c>
      <c r="D13" s="273">
        <f>'PD0101'!B13</f>
        <v>0</v>
      </c>
      <c r="E13" s="273">
        <f>'PD0101'!C13</f>
        <v>0</v>
      </c>
      <c r="F13" s="273">
        <f>'IMPORTAÇÃO GENOTIPER'!AY9</f>
        <v>0</v>
      </c>
      <c r="G13" s="273">
        <f>'IMPORTAÇÃO GENOTIPER'!BG9</f>
        <v>0</v>
      </c>
      <c r="H13" s="93">
        <f t="shared" si="0"/>
        <v>0</v>
      </c>
      <c r="I13" s="93">
        <f t="shared" si="0"/>
        <v>0</v>
      </c>
      <c r="J13" s="93">
        <f t="shared" si="0"/>
        <v>0</v>
      </c>
      <c r="K13" s="93">
        <f t="shared" si="0"/>
        <v>0</v>
      </c>
      <c r="L13" s="93">
        <f t="shared" si="0"/>
        <v>0</v>
      </c>
      <c r="M13" s="93">
        <f t="shared" si="0"/>
        <v>0</v>
      </c>
      <c r="N13" s="94">
        <f t="shared" si="1"/>
        <v>0</v>
      </c>
      <c r="O13" s="94">
        <f t="shared" si="2"/>
        <v>0</v>
      </c>
      <c r="P13" s="94">
        <f t="shared" si="3"/>
        <v>0</v>
      </c>
      <c r="Q13" s="94">
        <f t="shared" si="4"/>
        <v>0</v>
      </c>
      <c r="R13" s="94">
        <f t="shared" si="5"/>
        <v>0</v>
      </c>
      <c r="S13" s="94">
        <f t="shared" si="6"/>
        <v>0</v>
      </c>
      <c r="T13" s="95">
        <f t="shared" si="7"/>
        <v>0</v>
      </c>
      <c r="U13" s="95">
        <f t="shared" si="8"/>
        <v>0</v>
      </c>
      <c r="V13" s="96">
        <f>(IF((OR((P13="&gt;21"),(Q13="&gt;21"))),2,(IF(((T13+U13)=(P13+Q13)),0,1))))</f>
        <v>0</v>
      </c>
      <c r="W13" s="97">
        <f t="shared" si="25"/>
        <v>0</v>
      </c>
      <c r="X13" s="120">
        <f t="shared" ref="X13:X30" si="30">(ROUND( (IF((AND((T13=0),(U13=0))),D13,(IF((V13=2),S13,(IF((W13&lt;&gt;$AJ$7),(P13+Q13-W13),P13)))))),1))</f>
        <v>0</v>
      </c>
      <c r="Y13" s="95">
        <f t="shared" ref="Y13:Y23" si="31">(IF((AND((T13=0),(U13=0))),E13,(IF((W13&lt;&gt;$AJ$7),0,Q13))))</f>
        <v>0</v>
      </c>
      <c r="Z13" s="98">
        <f t="shared" si="9"/>
        <v>0</v>
      </c>
      <c r="AA13" s="99">
        <f t="shared" si="10"/>
        <v>0</v>
      </c>
      <c r="AB13" s="100">
        <f>IF(X13=0,0,VLOOKUP(X13,FREQUENCIAS!$1:$1048576,(IF(($A13=FREQUENCIAS!$F$1),6,"ERRO")),FREQUENCIAS!$1:$1048576))</f>
        <v>0</v>
      </c>
      <c r="AC13" s="100">
        <f>IF(Y13=0,0,VLOOKUP(Y13,FREQUENCIAS!$1:$1048576,(IF(($A13=FREQUENCIAS!$F$1),6,"ERRO")),FREQUENCIAS!$1:$1048576))</f>
        <v>0</v>
      </c>
      <c r="AD13" s="100"/>
      <c r="AE13" s="100"/>
      <c r="AF13" s="100"/>
      <c r="AG13" s="101">
        <f>(IF((A13="ERRO-FT"),"11",((IF((AND(($Z13=0),($AA13=0),($AX$32="N"))),0,(IF((AND(($Z13=0),($AA13=0),(AX$32="S"))),1,(IF((AB13+AC13+AD13+AE13+AF13)&lt;=$AI$7,$AI$7,(AB13+AC13+AD13+AE13+AF13))))))))))</f>
        <v>0</v>
      </c>
      <c r="AH13" s="102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3">
        <f t="shared" si="11"/>
        <v>0</v>
      </c>
      <c r="AJ13" s="104" t="s">
        <v>163</v>
      </c>
      <c r="AK13" s="276">
        <f t="shared" si="12"/>
        <v>1</v>
      </c>
      <c r="AL13" s="104"/>
      <c r="AM13" s="106" t="str">
        <f t="shared" si="13"/>
        <v>EXCLUI</v>
      </c>
      <c r="AN13" s="97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1">
        <f t="shared" si="16"/>
        <v>0</v>
      </c>
      <c r="BD13" s="2">
        <f t="shared" si="27"/>
        <v>1</v>
      </c>
      <c r="BF13" s="53">
        <v>12</v>
      </c>
      <c r="BG13" s="53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7" t="str">
        <f t="shared" si="17"/>
        <v/>
      </c>
      <c r="BJ13" s="57">
        <f t="shared" si="18"/>
        <v>0</v>
      </c>
      <c r="BK13" s="57">
        <f t="shared" si="19"/>
        <v>0</v>
      </c>
      <c r="BL13" s="60" t="str">
        <f t="shared" si="20"/>
        <v/>
      </c>
      <c r="BM13" s="60">
        <f t="shared" si="21"/>
        <v>0</v>
      </c>
      <c r="BN13" s="60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 x14ac:dyDescent="0.3">
      <c r="A14" s="272" t="s">
        <v>219</v>
      </c>
      <c r="B14" s="273">
        <f>'PD0101'!D14</f>
        <v>0</v>
      </c>
      <c r="C14" s="273">
        <f>'PD0101'!E14</f>
        <v>0</v>
      </c>
      <c r="D14" s="273">
        <f>'PD0101'!B14</f>
        <v>0</v>
      </c>
      <c r="E14" s="273">
        <f>'PD0101'!C14</f>
        <v>0</v>
      </c>
      <c r="F14" s="273">
        <f>'IMPORTAÇÃO GENOTIPER'!AY10</f>
        <v>0</v>
      </c>
      <c r="G14" s="273">
        <f>'IMPORTAÇÃO GENOTIPER'!BG10</f>
        <v>0</v>
      </c>
      <c r="H14" s="93">
        <f t="shared" si="0"/>
        <v>0</v>
      </c>
      <c r="I14" s="93">
        <f t="shared" si="0"/>
        <v>0</v>
      </c>
      <c r="J14" s="93">
        <f t="shared" si="0"/>
        <v>0</v>
      </c>
      <c r="K14" s="93">
        <f t="shared" si="0"/>
        <v>0</v>
      </c>
      <c r="L14" s="93">
        <f t="shared" si="0"/>
        <v>0</v>
      </c>
      <c r="M14" s="93">
        <f t="shared" si="0"/>
        <v>0</v>
      </c>
      <c r="N14" s="94">
        <f t="shared" si="1"/>
        <v>0</v>
      </c>
      <c r="O14" s="94">
        <f t="shared" si="2"/>
        <v>0</v>
      </c>
      <c r="P14" s="94">
        <f t="shared" si="3"/>
        <v>0</v>
      </c>
      <c r="Q14" s="94">
        <f t="shared" si="4"/>
        <v>0</v>
      </c>
      <c r="R14" s="94">
        <f t="shared" si="5"/>
        <v>0</v>
      </c>
      <c r="S14" s="94">
        <f t="shared" si="6"/>
        <v>0</v>
      </c>
      <c r="T14" s="95">
        <f t="shared" si="7"/>
        <v>0</v>
      </c>
      <c r="U14" s="95">
        <f t="shared" si="8"/>
        <v>0</v>
      </c>
      <c r="V14" s="96">
        <f>(IF((OR((P14="&gt;20"),(Q14="&gt;20"))),2,(IF(((T14+U14)=(P14+Q14)),0,1))))</f>
        <v>0</v>
      </c>
      <c r="W14" s="97">
        <f t="shared" si="25"/>
        <v>0</v>
      </c>
      <c r="X14" s="120">
        <f t="shared" si="30"/>
        <v>0</v>
      </c>
      <c r="Y14" s="95">
        <f t="shared" si="31"/>
        <v>0</v>
      </c>
      <c r="Z14" s="98">
        <f t="shared" si="9"/>
        <v>0</v>
      </c>
      <c r="AA14" s="99">
        <f t="shared" si="10"/>
        <v>0</v>
      </c>
      <c r="AB14" s="100">
        <f>IF(X14=0,0,VLOOKUP(X14,FREQUENCIAS!$1:$1048576,(IF(($A14=FREQUENCIAS!$G$1),7,"ERRO")),FREQUENCIAS!$1:$1048576))</f>
        <v>0</v>
      </c>
      <c r="AC14" s="100">
        <f>IF(Y14=0,0,VLOOKUP(Y14,FREQUENCIAS!$1:$1048576,(IF(($A14=FREQUENCIAS!$G$1),7,"ERRO")),FREQUENCIAS!$1:$1048576))</f>
        <v>0</v>
      </c>
      <c r="AD14" s="100"/>
      <c r="AE14" s="100"/>
      <c r="AF14" s="100"/>
      <c r="AG14" s="101">
        <f>(IF((A14="ERRO-FT"),"4",((IF((AND(($Z14=0),($AA14=0),($AX$32="N"))),0,(IF((AND(($Z14=0),($AA14=0),(AX$32="S"))),1,(IF((AB14+AC14+AD14+AE14+AF14)&lt;=$AI$7,$AI$7,(AB14+AC14+AD14+AE14+AF14))))))))))</f>
        <v>0</v>
      </c>
      <c r="AH14" s="102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3">
        <f t="shared" si="11"/>
        <v>0</v>
      </c>
      <c r="AJ14" s="104"/>
      <c r="AK14" s="105">
        <f t="shared" si="12"/>
        <v>1</v>
      </c>
      <c r="AL14" s="104"/>
      <c r="AM14" s="106" t="str">
        <f t="shared" si="13"/>
        <v>EXCLUI</v>
      </c>
      <c r="AN14" s="97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1">
        <f t="shared" si="16"/>
        <v>0</v>
      </c>
      <c r="BD14" s="2">
        <f t="shared" si="27"/>
        <v>1</v>
      </c>
      <c r="BF14" s="53">
        <v>4</v>
      </c>
      <c r="BG14" s="53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7" t="str">
        <f t="shared" si="17"/>
        <v/>
      </c>
      <c r="BJ14" s="57">
        <f t="shared" si="18"/>
        <v>0</v>
      </c>
      <c r="BK14" s="57">
        <f t="shared" si="19"/>
        <v>0</v>
      </c>
      <c r="BL14" s="60" t="str">
        <f t="shared" si="20"/>
        <v/>
      </c>
      <c r="BM14" s="60">
        <f t="shared" si="21"/>
        <v>0</v>
      </c>
      <c r="BN14" s="60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 x14ac:dyDescent="0.3">
      <c r="A15" s="272" t="s">
        <v>159</v>
      </c>
      <c r="B15" s="273">
        <f>'PD0101'!D15</f>
        <v>0</v>
      </c>
      <c r="C15" s="273">
        <f>'PD0101'!E15</f>
        <v>0</v>
      </c>
      <c r="D15" s="273">
        <f>'PD0101'!B15</f>
        <v>0</v>
      </c>
      <c r="E15" s="273">
        <f>'PD0101'!C15</f>
        <v>0</v>
      </c>
      <c r="F15" s="273">
        <f>'IMPORTAÇÃO GENOTIPER'!AY11</f>
        <v>0</v>
      </c>
      <c r="G15" s="273">
        <f>'IMPORTAÇÃO GENOTIPER'!BG11</f>
        <v>0</v>
      </c>
      <c r="H15" s="93">
        <f t="shared" si="0"/>
        <v>0</v>
      </c>
      <c r="I15" s="93">
        <f t="shared" si="0"/>
        <v>0</v>
      </c>
      <c r="J15" s="93">
        <f t="shared" si="0"/>
        <v>0</v>
      </c>
      <c r="K15" s="93">
        <f t="shared" si="0"/>
        <v>0</v>
      </c>
      <c r="L15" s="93">
        <f t="shared" si="0"/>
        <v>0</v>
      </c>
      <c r="M15" s="93">
        <f t="shared" si="0"/>
        <v>0</v>
      </c>
      <c r="N15" s="94">
        <f t="shared" si="1"/>
        <v>0</v>
      </c>
      <c r="O15" s="94">
        <f t="shared" si="2"/>
        <v>0</v>
      </c>
      <c r="P15" s="94">
        <f t="shared" si="3"/>
        <v>0</v>
      </c>
      <c r="Q15" s="94">
        <f t="shared" si="4"/>
        <v>0</v>
      </c>
      <c r="R15" s="94">
        <f t="shared" si="5"/>
        <v>0</v>
      </c>
      <c r="S15" s="94">
        <f t="shared" si="6"/>
        <v>0</v>
      </c>
      <c r="T15" s="95">
        <f t="shared" si="7"/>
        <v>0</v>
      </c>
      <c r="U15" s="95">
        <f t="shared" si="8"/>
        <v>0</v>
      </c>
      <c r="V15" s="96">
        <f>(IF((OR((P15="&gt;23"),(Q15="&gt;23"))),2,(IF(((T15+U15)=(P15+Q15)),0,1))))</f>
        <v>0</v>
      </c>
      <c r="W15" s="97">
        <f t="shared" si="25"/>
        <v>0</v>
      </c>
      <c r="X15" s="120">
        <f t="shared" si="30"/>
        <v>0</v>
      </c>
      <c r="Y15" s="95">
        <f t="shared" si="31"/>
        <v>0</v>
      </c>
      <c r="Z15" s="98">
        <f t="shared" si="9"/>
        <v>0</v>
      </c>
      <c r="AA15" s="99">
        <f t="shared" si="10"/>
        <v>0</v>
      </c>
      <c r="AB15" s="100">
        <f>IF(X15=0,0,VLOOKUP(X15,FREQUENCIAS!$1:$1048576,(IF(($A15=FREQUENCIAS!$H$1),8,"ERRO")),FREQUENCIAS!$1:$1048576))</f>
        <v>0</v>
      </c>
      <c r="AC15" s="100">
        <f>IF(Y15=0,0,VLOOKUP(Y15,FREQUENCIAS!$1:$1048576,(IF(($A15=FREQUENCIAS!$H$1),8,"ERRO")),FREQUENCIAS!$1:$1048576))</f>
        <v>0</v>
      </c>
      <c r="AD15" s="100"/>
      <c r="AE15" s="100"/>
      <c r="AF15" s="100"/>
      <c r="AG15" s="101">
        <f>(IF((A15="ERRO-FT"),"8",((IF((AND(($Z15=0),($AA15=0),($AX$32="N"))),0,(IF((AND(($Z15=0),($AA15=0),(AX$32="S"))),1,(IF((AB15+AC15+AD15+AE15+AF15)&lt;=$AI$7,$AI$7,(AB15+AC15+AD15+AE15+AF15))))))))))</f>
        <v>0</v>
      </c>
      <c r="AH15" s="102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3">
        <f t="shared" si="11"/>
        <v>0</v>
      </c>
      <c r="AJ15" s="104"/>
      <c r="AK15" s="105">
        <f t="shared" si="12"/>
        <v>1</v>
      </c>
      <c r="AL15" s="104"/>
      <c r="AM15" s="106" t="str">
        <f t="shared" si="13"/>
        <v>EXCLUI</v>
      </c>
      <c r="AN15" s="97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1">
        <f t="shared" si="16"/>
        <v>0</v>
      </c>
      <c r="BD15" s="2">
        <f t="shared" si="27"/>
        <v>1</v>
      </c>
      <c r="BF15" s="53">
        <v>8</v>
      </c>
      <c r="BG15" s="53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7" t="str">
        <f t="shared" si="17"/>
        <v/>
      </c>
      <c r="BJ15" s="57">
        <f t="shared" si="18"/>
        <v>0</v>
      </c>
      <c r="BK15" s="57">
        <f t="shared" si="19"/>
        <v>0</v>
      </c>
      <c r="BL15" s="60" t="str">
        <f t="shared" si="20"/>
        <v/>
      </c>
      <c r="BM15" s="60">
        <f t="shared" si="21"/>
        <v>0</v>
      </c>
      <c r="BN15" s="60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 x14ac:dyDescent="0.3">
      <c r="A16" s="272" t="s">
        <v>155</v>
      </c>
      <c r="B16" s="273">
        <f>'PD0101'!D16</f>
        <v>0</v>
      </c>
      <c r="C16" s="273">
        <f>'PD0101'!E16</f>
        <v>0</v>
      </c>
      <c r="D16" s="273">
        <f>'PD0101'!B16</f>
        <v>0</v>
      </c>
      <c r="E16" s="273">
        <f>'PD0101'!C16</f>
        <v>0</v>
      </c>
      <c r="F16" s="273">
        <f>'IMPORTAÇÃO GENOTIPER'!AY12</f>
        <v>0</v>
      </c>
      <c r="G16" s="273">
        <f>'IMPORTAÇÃO GENOTIPER'!BG12</f>
        <v>0</v>
      </c>
      <c r="H16" s="93">
        <f t="shared" si="0"/>
        <v>0</v>
      </c>
      <c r="I16" s="93">
        <f t="shared" si="0"/>
        <v>0</v>
      </c>
      <c r="J16" s="93">
        <f t="shared" si="0"/>
        <v>0</v>
      </c>
      <c r="K16" s="93">
        <f t="shared" si="0"/>
        <v>0</v>
      </c>
      <c r="L16" s="93">
        <f t="shared" si="0"/>
        <v>0</v>
      </c>
      <c r="M16" s="93">
        <f t="shared" si="0"/>
        <v>0</v>
      </c>
      <c r="N16" s="94">
        <f t="shared" si="1"/>
        <v>0</v>
      </c>
      <c r="O16" s="94">
        <f t="shared" si="2"/>
        <v>0</v>
      </c>
      <c r="P16" s="94">
        <f t="shared" si="3"/>
        <v>0</v>
      </c>
      <c r="Q16" s="94">
        <f t="shared" si="4"/>
        <v>0</v>
      </c>
      <c r="R16" s="94">
        <f t="shared" si="5"/>
        <v>0</v>
      </c>
      <c r="S16" s="94">
        <f t="shared" si="6"/>
        <v>0</v>
      </c>
      <c r="T16" s="95">
        <f t="shared" si="7"/>
        <v>0</v>
      </c>
      <c r="U16" s="95">
        <f t="shared" si="8"/>
        <v>0</v>
      </c>
      <c r="V16" s="96">
        <f>(IF((OR((P16="&gt;22"),(Q16="&gt;22"))),2,(IF(((T16+U16)=(P16+Q16)),0,1))))</f>
        <v>0</v>
      </c>
      <c r="W16" s="97">
        <f t="shared" si="25"/>
        <v>0</v>
      </c>
      <c r="X16" s="120">
        <f t="shared" si="30"/>
        <v>0</v>
      </c>
      <c r="Y16" s="95">
        <f t="shared" si="31"/>
        <v>0</v>
      </c>
      <c r="Z16" s="98">
        <f t="shared" si="9"/>
        <v>0</v>
      </c>
      <c r="AA16" s="99">
        <f t="shared" si="10"/>
        <v>0</v>
      </c>
      <c r="AB16" s="100">
        <f>IF(X16=0,0,VLOOKUP(X16,FREQUENCIAS!$1:$1048576,(IF(($A16=FREQUENCIAS!$I$1),9,"ERRO")),FREQUENCIAS!$1:$1048576))</f>
        <v>0</v>
      </c>
      <c r="AC16" s="100">
        <f>IF(Y16=0,0,VLOOKUP(Y16,FREQUENCIAS!$1:$1048576,(IF(($A16=FREQUENCIAS!$I$1),9,"ERRO")),FREQUENCIAS!$1:$1048576))</f>
        <v>0</v>
      </c>
      <c r="AD16" s="100"/>
      <c r="AE16" s="100"/>
      <c r="AF16" s="100"/>
      <c r="AG16" s="101">
        <f>(IF((A16="ERRO-FT"),"5",((IF((AND(($Z16=0),($AA16=0),($AX$32="N"))),0,(IF((AND(($Z16=0),($AA16=0),(AX$32="S"))),1,(IF((AB16+AC16+AD16+AE16+AF16)&lt;=$AI$7,$AI$7,(AB16+AC16+AD16+AE16+AF16))))))))))</f>
        <v>0</v>
      </c>
      <c r="AH16" s="102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3">
        <f t="shared" si="11"/>
        <v>0</v>
      </c>
      <c r="AJ16" s="104"/>
      <c r="AK16" s="105">
        <f t="shared" si="12"/>
        <v>1</v>
      </c>
      <c r="AL16" s="104"/>
      <c r="AM16" s="106" t="str">
        <f t="shared" si="13"/>
        <v>EXCLUI</v>
      </c>
      <c r="AN16" s="97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1">
        <f t="shared" si="16"/>
        <v>0</v>
      </c>
      <c r="BD16" s="2">
        <f t="shared" si="27"/>
        <v>1</v>
      </c>
      <c r="BF16" s="53">
        <v>5</v>
      </c>
      <c r="BG16" s="53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7" t="str">
        <f t="shared" si="17"/>
        <v/>
      </c>
      <c r="BJ16" s="57">
        <f t="shared" si="18"/>
        <v>0</v>
      </c>
      <c r="BK16" s="57">
        <f t="shared" si="19"/>
        <v>0</v>
      </c>
      <c r="BL16" s="60" t="str">
        <f t="shared" si="20"/>
        <v/>
      </c>
      <c r="BM16" s="60">
        <f t="shared" si="21"/>
        <v>0</v>
      </c>
      <c r="BN16" s="60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 x14ac:dyDescent="0.3">
      <c r="A17" s="272" t="s">
        <v>51</v>
      </c>
      <c r="B17" s="273">
        <f>'PD0101'!D17</f>
        <v>0</v>
      </c>
      <c r="C17" s="273">
        <f>'PD0101'!E17</f>
        <v>0</v>
      </c>
      <c r="D17" s="273">
        <f>'PD0101'!B17</f>
        <v>0</v>
      </c>
      <c r="E17" s="273">
        <f>'PD0101'!C17</f>
        <v>0</v>
      </c>
      <c r="F17" s="273">
        <f>'IMPORTAÇÃO GENOTIPER'!AY13</f>
        <v>0</v>
      </c>
      <c r="G17" s="273">
        <f>'IMPORTAÇÃO GENOTIPER'!BG13</f>
        <v>0</v>
      </c>
      <c r="H17" s="93">
        <f t="shared" si="0"/>
        <v>0</v>
      </c>
      <c r="I17" s="93">
        <f t="shared" si="0"/>
        <v>0</v>
      </c>
      <c r="J17" s="93">
        <f t="shared" si="0"/>
        <v>0</v>
      </c>
      <c r="K17" s="93">
        <f t="shared" si="0"/>
        <v>0</v>
      </c>
      <c r="L17" s="93">
        <f t="shared" si="0"/>
        <v>0</v>
      </c>
      <c r="M17" s="93">
        <f t="shared" si="0"/>
        <v>0</v>
      </c>
      <c r="N17" s="94">
        <f t="shared" si="1"/>
        <v>0</v>
      </c>
      <c r="O17" s="94">
        <f t="shared" si="2"/>
        <v>0</v>
      </c>
      <c r="P17" s="94">
        <f t="shared" si="3"/>
        <v>0</v>
      </c>
      <c r="Q17" s="94">
        <f t="shared" si="4"/>
        <v>0</v>
      </c>
      <c r="R17" s="94">
        <f t="shared" si="5"/>
        <v>0</v>
      </c>
      <c r="S17" s="94">
        <f t="shared" si="6"/>
        <v>0</v>
      </c>
      <c r="T17" s="95">
        <f t="shared" si="7"/>
        <v>0</v>
      </c>
      <c r="U17" s="95">
        <f t="shared" si="8"/>
        <v>0</v>
      </c>
      <c r="V17" s="96">
        <f>(IF((OR((P17="&gt;28"),(Q17="&gt;28"))),2,(IF(((T17+U17)=(P17+Q17)),0,1))))</f>
        <v>0</v>
      </c>
      <c r="W17" s="97">
        <f t="shared" si="25"/>
        <v>0</v>
      </c>
      <c r="X17" s="120">
        <f t="shared" si="30"/>
        <v>0</v>
      </c>
      <c r="Y17" s="95">
        <f t="shared" si="31"/>
        <v>0</v>
      </c>
      <c r="Z17" s="98">
        <f t="shared" si="9"/>
        <v>0</v>
      </c>
      <c r="AA17" s="99">
        <f t="shared" si="10"/>
        <v>0</v>
      </c>
      <c r="AB17" s="100">
        <f>IF(X17=0,0,VLOOKUP(X17,FREQUENCIAS!$1:$1048576,(IF(($A17=FREQUENCIAS!$J$1),10,"ERRO")),FREQUENCIAS!$1:$1048576))</f>
        <v>0</v>
      </c>
      <c r="AC17" s="100">
        <f>IF(Y17=0,0,VLOOKUP(Y17,FREQUENCIAS!$1:$1048576,(IF(($A17=FREQUENCIAS!$J$1),10,"ERRO")),FREQUENCIAS!$1:$1048576))</f>
        <v>0</v>
      </c>
      <c r="AD17" s="100"/>
      <c r="AE17" s="100"/>
      <c r="AF17" s="100"/>
      <c r="AG17" s="101">
        <f>(IF((A17="ERRO-FT"),"15",((IF((AND(($Z17=0),($AA17=0),($AX$32="N"))),0,(IF((AND(($Z17=0),($AA17=0),(AX$32="S"))),1,(IF((AB17+AC17+AD17+AE17+AF17)&lt;=$AI$7,$AI$7,(AB17+AC17+AD17+AE17+AF17))))))))))</f>
        <v>0</v>
      </c>
      <c r="AH17" s="102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3">
        <f t="shared" si="11"/>
        <v>0</v>
      </c>
      <c r="AJ17" s="104" t="s">
        <v>173</v>
      </c>
      <c r="AK17" s="105">
        <f t="shared" si="12"/>
        <v>1</v>
      </c>
      <c r="AL17" s="104"/>
      <c r="AM17" s="106" t="str">
        <f t="shared" si="13"/>
        <v>EXCLUI</v>
      </c>
      <c r="AN17" s="97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1">
        <f t="shared" si="16"/>
        <v>0</v>
      </c>
      <c r="BD17" s="2">
        <f t="shared" si="27"/>
        <v>1</v>
      </c>
      <c r="BF17" s="53">
        <v>15</v>
      </c>
      <c r="BG17" s="53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7" t="str">
        <f t="shared" si="17"/>
        <v/>
      </c>
      <c r="BJ17" s="57">
        <f t="shared" si="18"/>
        <v>0</v>
      </c>
      <c r="BK17" s="57">
        <f t="shared" si="19"/>
        <v>0</v>
      </c>
      <c r="BL17" s="60" t="str">
        <f t="shared" si="20"/>
        <v/>
      </c>
      <c r="BM17" s="60">
        <f t="shared" si="21"/>
        <v>0</v>
      </c>
      <c r="BN17" s="60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 x14ac:dyDescent="0.3">
      <c r="A18" s="272" t="s">
        <v>132</v>
      </c>
      <c r="B18" s="273">
        <f>'PD0101'!D18</f>
        <v>0</v>
      </c>
      <c r="C18" s="273">
        <f>'PD0101'!E18</f>
        <v>0</v>
      </c>
      <c r="D18" s="273">
        <f>'PD0101'!B18</f>
        <v>0</v>
      </c>
      <c r="E18" s="273">
        <f>'PD0101'!C18</f>
        <v>0</v>
      </c>
      <c r="F18" s="273">
        <f>'IMPORTAÇÃO GENOTIPER'!AY14</f>
        <v>0</v>
      </c>
      <c r="G18" s="273">
        <f>'IMPORTAÇÃO GENOTIPER'!BG14</f>
        <v>0</v>
      </c>
      <c r="H18" s="93">
        <f t="shared" si="0"/>
        <v>0</v>
      </c>
      <c r="I18" s="93">
        <f t="shared" si="0"/>
        <v>0</v>
      </c>
      <c r="J18" s="93">
        <f t="shared" si="0"/>
        <v>0</v>
      </c>
      <c r="K18" s="93">
        <f t="shared" si="0"/>
        <v>0</v>
      </c>
      <c r="L18" s="93">
        <f t="shared" si="0"/>
        <v>0</v>
      </c>
      <c r="M18" s="93">
        <f t="shared" si="0"/>
        <v>0</v>
      </c>
      <c r="N18" s="94">
        <f t="shared" si="1"/>
        <v>0</v>
      </c>
      <c r="O18" s="94">
        <f t="shared" si="2"/>
        <v>0</v>
      </c>
      <c r="P18" s="94">
        <f t="shared" si="3"/>
        <v>0</v>
      </c>
      <c r="Q18" s="94">
        <f t="shared" si="4"/>
        <v>0</v>
      </c>
      <c r="R18" s="94">
        <f t="shared" si="5"/>
        <v>0</v>
      </c>
      <c r="S18" s="94">
        <f t="shared" si="6"/>
        <v>0</v>
      </c>
      <c r="T18" s="95">
        <f t="shared" si="7"/>
        <v>0</v>
      </c>
      <c r="U18" s="95">
        <f t="shared" si="8"/>
        <v>0</v>
      </c>
      <c r="V18" s="96">
        <f>(IF((OR((P18="&gt;17,2"),(Q18="&gt;17,2"))),2,(IF(((T18+U18)=(P18+Q18)),0,1))))</f>
        <v>0</v>
      </c>
      <c r="W18" s="97">
        <f t="shared" si="25"/>
        <v>0</v>
      </c>
      <c r="X18" s="120">
        <f t="shared" si="30"/>
        <v>0</v>
      </c>
      <c r="Y18" s="95">
        <f t="shared" si="31"/>
        <v>0</v>
      </c>
      <c r="Z18" s="98">
        <f t="shared" si="9"/>
        <v>0</v>
      </c>
      <c r="AA18" s="99">
        <f t="shared" si="10"/>
        <v>0</v>
      </c>
      <c r="AB18" s="100">
        <f>IF(X18=0,0,VLOOKUP(X18,FREQUENCIAS!$1:$1048576,(IF(($A18=FREQUENCIAS!$K$1),11,"ERRO")),FREQUENCIAS!$1:$1048576))</f>
        <v>0</v>
      </c>
      <c r="AC18" s="100">
        <f>IF(Y18=0,0,VLOOKUP(Y18,FREQUENCIAS!$1:$1048576,(IF(($A18=FREQUENCIAS!$K$1),11,"ERRO")),FREQUENCIAS!$1:$1048576))</f>
        <v>0</v>
      </c>
      <c r="AD18" s="100"/>
      <c r="AE18" s="100"/>
      <c r="AF18" s="100"/>
      <c r="AG18" s="101">
        <f>(IF((A18="ERRO-FT"),"9",((IF((AND(($Z18=0),($AA18=0),($AX$32="N"))),0,(IF((AND(($Z18=0),($AA18=0),(AX$32="S"))),1,(IF((AB18+AC18+AD18+AE18+AF18)&lt;=$AI$7,$AI$7,(AB18+AC18+AD18+AE18+AF18))))))))))</f>
        <v>0</v>
      </c>
      <c r="AH18" s="102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3">
        <f t="shared" si="11"/>
        <v>0</v>
      </c>
      <c r="AJ18" s="104"/>
      <c r="AK18" s="105">
        <f t="shared" si="12"/>
        <v>1</v>
      </c>
      <c r="AL18" s="104"/>
      <c r="AM18" s="106" t="str">
        <f t="shared" si="13"/>
        <v>EXCLUI</v>
      </c>
      <c r="AN18" s="97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1">
        <f t="shared" si="16"/>
        <v>0</v>
      </c>
      <c r="BD18" s="2">
        <f t="shared" si="27"/>
        <v>1</v>
      </c>
      <c r="BF18" s="53">
        <v>9</v>
      </c>
      <c r="BG18" s="53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7" t="str">
        <f t="shared" si="17"/>
        <v/>
      </c>
      <c r="BJ18" s="57">
        <f t="shared" si="18"/>
        <v>0</v>
      </c>
      <c r="BK18" s="57">
        <f t="shared" si="19"/>
        <v>0</v>
      </c>
      <c r="BL18" s="60" t="str">
        <f t="shared" si="20"/>
        <v/>
      </c>
      <c r="BM18" s="60">
        <f t="shared" si="21"/>
        <v>0</v>
      </c>
      <c r="BN18" s="60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 x14ac:dyDescent="0.3">
      <c r="A19" s="272" t="s">
        <v>220</v>
      </c>
      <c r="B19" s="273">
        <f>'PD0101'!D19</f>
        <v>0</v>
      </c>
      <c r="C19" s="273">
        <f>'PD0101'!E19</f>
        <v>0</v>
      </c>
      <c r="D19" s="273">
        <f>'PD0101'!B19</f>
        <v>0</v>
      </c>
      <c r="E19" s="273">
        <f>'PD0101'!C19</f>
        <v>0</v>
      </c>
      <c r="F19" s="273">
        <f>'IMPORTAÇÃO GENOTIPER'!AY15</f>
        <v>0</v>
      </c>
      <c r="G19" s="273">
        <f>'IMPORTAÇÃO GENOTIPER'!BG15</f>
        <v>0</v>
      </c>
      <c r="H19" s="93">
        <f t="shared" si="0"/>
        <v>0</v>
      </c>
      <c r="I19" s="93">
        <f t="shared" si="0"/>
        <v>0</v>
      </c>
      <c r="J19" s="93">
        <f t="shared" si="0"/>
        <v>0</v>
      </c>
      <c r="K19" s="93">
        <f t="shared" si="0"/>
        <v>0</v>
      </c>
      <c r="L19" s="93">
        <f t="shared" si="0"/>
        <v>0</v>
      </c>
      <c r="M19" s="93">
        <f t="shared" si="0"/>
        <v>0</v>
      </c>
      <c r="N19" s="94">
        <f t="shared" si="1"/>
        <v>0</v>
      </c>
      <c r="O19" s="94">
        <f t="shared" si="2"/>
        <v>0</v>
      </c>
      <c r="P19" s="94">
        <f t="shared" si="3"/>
        <v>0</v>
      </c>
      <c r="Q19" s="94">
        <f t="shared" si="4"/>
        <v>0</v>
      </c>
      <c r="R19" s="94">
        <f t="shared" si="5"/>
        <v>0</v>
      </c>
      <c r="S19" s="94">
        <f t="shared" si="6"/>
        <v>0</v>
      </c>
      <c r="T19" s="95">
        <f t="shared" si="7"/>
        <v>0</v>
      </c>
      <c r="U19" s="95">
        <f t="shared" si="8"/>
        <v>0</v>
      </c>
      <c r="V19" s="96">
        <f>(IF((OR((P19="&gt;21"),(Q19="&gt;21"))),2,(IF(((T19+U19)=(P19+Q19)),0,1))))</f>
        <v>0</v>
      </c>
      <c r="W19" s="97">
        <f t="shared" si="25"/>
        <v>0</v>
      </c>
      <c r="X19" s="120">
        <f t="shared" si="30"/>
        <v>0</v>
      </c>
      <c r="Y19" s="95">
        <f t="shared" si="31"/>
        <v>0</v>
      </c>
      <c r="Z19" s="98">
        <f t="shared" si="9"/>
        <v>0</v>
      </c>
      <c r="AA19" s="99">
        <f t="shared" si="10"/>
        <v>0</v>
      </c>
      <c r="AB19" s="100">
        <f>IF(X19=0,0,VLOOKUP(X19,FREQUENCIAS!$1:$1048576,(IF(($A19=FREQUENCIAS!$L$1),12,"ERRO")),FREQUENCIAS!$1:$1048576))</f>
        <v>0</v>
      </c>
      <c r="AC19" s="100">
        <f>IF(Y19=0,0,VLOOKUP(Y19,FREQUENCIAS!$1:$1048576,(IF(($A19=FREQUENCIAS!$L$1),12,"ERRO")),FREQUENCIAS!$1:$1048576))</f>
        <v>0</v>
      </c>
      <c r="AD19" s="100"/>
      <c r="AE19" s="100"/>
      <c r="AF19" s="100"/>
      <c r="AG19" s="101">
        <f>(IF((A19="ERRO-FT"),"11",((IF((AND(($Z19=0),($AA19=0),($AX$32="N"))),0,(IF((AND(($Z19=0),($AA19=0),(AX$32="S"))),1,(IF((AB19+AC19+AD19+AE19+AF19)&lt;=$AI$7,$AI$7,(AB19+AC19+AD19+AE19+AF19))))))))))</f>
        <v>0</v>
      </c>
      <c r="AH19" s="102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3">
        <f t="shared" si="11"/>
        <v>0</v>
      </c>
      <c r="AJ19" s="104" t="s">
        <v>164</v>
      </c>
      <c r="AK19" s="105">
        <f t="shared" si="12"/>
        <v>1</v>
      </c>
      <c r="AL19" s="104"/>
      <c r="AM19" s="106" t="str">
        <f t="shared" si="13"/>
        <v>EXCLUI</v>
      </c>
      <c r="AN19" s="97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1">
        <f t="shared" si="16"/>
        <v>0</v>
      </c>
      <c r="BD19" s="2">
        <f t="shared" si="27"/>
        <v>1</v>
      </c>
      <c r="BF19" s="53">
        <v>11</v>
      </c>
      <c r="BG19" s="53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7" t="str">
        <f t="shared" si="17"/>
        <v/>
      </c>
      <c r="BJ19" s="57">
        <f t="shared" si="18"/>
        <v>0</v>
      </c>
      <c r="BK19" s="57">
        <f t="shared" si="19"/>
        <v>0</v>
      </c>
      <c r="BL19" s="60" t="str">
        <f t="shared" si="20"/>
        <v/>
      </c>
      <c r="BM19" s="60">
        <f t="shared" si="21"/>
        <v>0</v>
      </c>
      <c r="BN19" s="60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 x14ac:dyDescent="0.3">
      <c r="A20" s="272" t="s">
        <v>144</v>
      </c>
      <c r="B20" s="273">
        <f>'PD0101'!D20</f>
        <v>0</v>
      </c>
      <c r="C20" s="273">
        <f>'PD0101'!E20</f>
        <v>0</v>
      </c>
      <c r="D20" s="273">
        <f>'PD0101'!B20</f>
        <v>0</v>
      </c>
      <c r="E20" s="273">
        <f>'PD0101'!C20</f>
        <v>0</v>
      </c>
      <c r="F20" s="273">
        <f>'IMPORTAÇÃO GENOTIPER'!AY16</f>
        <v>0</v>
      </c>
      <c r="G20" s="273">
        <f>'IMPORTAÇÃO GENOTIPER'!BG16</f>
        <v>0</v>
      </c>
      <c r="H20" s="93">
        <f t="shared" si="0"/>
        <v>0</v>
      </c>
      <c r="I20" s="93">
        <f t="shared" si="0"/>
        <v>0</v>
      </c>
      <c r="J20" s="93">
        <f t="shared" si="0"/>
        <v>0</v>
      </c>
      <c r="K20" s="93">
        <f t="shared" si="0"/>
        <v>0</v>
      </c>
      <c r="L20" s="93">
        <f t="shared" si="0"/>
        <v>0</v>
      </c>
      <c r="M20" s="93">
        <f t="shared" si="0"/>
        <v>0</v>
      </c>
      <c r="N20" s="94">
        <f t="shared" si="1"/>
        <v>0</v>
      </c>
      <c r="O20" s="94">
        <f t="shared" si="2"/>
        <v>0</v>
      </c>
      <c r="P20" s="94">
        <f t="shared" si="3"/>
        <v>0</v>
      </c>
      <c r="Q20" s="94">
        <f t="shared" si="4"/>
        <v>0</v>
      </c>
      <c r="R20" s="94">
        <f t="shared" si="5"/>
        <v>0</v>
      </c>
      <c r="S20" s="94">
        <f t="shared" si="6"/>
        <v>0</v>
      </c>
      <c r="T20" s="95">
        <f t="shared" si="7"/>
        <v>0</v>
      </c>
      <c r="U20" s="95">
        <f t="shared" si="8"/>
        <v>0</v>
      </c>
      <c r="V20" s="96">
        <f>(IF((OR((P20="&gt;20"),(Q20="&gt;20"))),2,(IF(((T20+U20)=(P20+Q20)),0,1))))</f>
        <v>0</v>
      </c>
      <c r="W20" s="97">
        <f t="shared" si="25"/>
        <v>0</v>
      </c>
      <c r="X20" s="120">
        <f t="shared" si="30"/>
        <v>0</v>
      </c>
      <c r="Y20" s="95">
        <f t="shared" si="31"/>
        <v>0</v>
      </c>
      <c r="Z20" s="98">
        <f t="shared" si="9"/>
        <v>0</v>
      </c>
      <c r="AA20" s="99">
        <f t="shared" si="10"/>
        <v>0</v>
      </c>
      <c r="AB20" s="100">
        <f>IF(X20=0,0,VLOOKUP(X20,FREQUENCIAS!$1:$1048576,(IF(($A20=FREQUENCIAS!$M$1),13,"ERRO")),FREQUENCIAS!$1:$1048576))</f>
        <v>0</v>
      </c>
      <c r="AC20" s="100">
        <f>IF(Y20=0,0,VLOOKUP(Y20,FREQUENCIAS!$1:$1048576,(IF(($A20=FREQUENCIAS!$M$1),13,"ERRO")),FREQUENCIAS!$1:$1048576))</f>
        <v>0</v>
      </c>
      <c r="AD20" s="100"/>
      <c r="AE20" s="100"/>
      <c r="AF20" s="100"/>
      <c r="AG20" s="101">
        <f>(IF((A20="ERRO-FT"),"5",((IF((AND(($Z20=0),($AA20=0),($AX$32="N"))),0,(IF((AND(($Z20=0),($AA20=0),(AX$32="S"))),1,(IF((AB20+AC20+AD20+AE20+AF20)&lt;=$AI$7,$AI$7,(AB20+AC20+AD20+AE20+AF20))))))))))</f>
        <v>0</v>
      </c>
      <c r="AH20" s="102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3">
        <f t="shared" si="11"/>
        <v>0</v>
      </c>
      <c r="AJ20" s="104"/>
      <c r="AK20" s="105">
        <f t="shared" si="12"/>
        <v>1</v>
      </c>
      <c r="AL20" s="104"/>
      <c r="AM20" s="106" t="str">
        <f t="shared" si="13"/>
        <v>EXCLUI</v>
      </c>
      <c r="AN20" s="97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1">
        <f t="shared" si="16"/>
        <v>0</v>
      </c>
      <c r="BD20" s="2">
        <f t="shared" si="27"/>
        <v>1</v>
      </c>
      <c r="BF20" s="53">
        <v>5</v>
      </c>
      <c r="BG20" s="53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7" t="str">
        <f t="shared" si="17"/>
        <v/>
      </c>
      <c r="BJ20" s="57">
        <f t="shared" si="18"/>
        <v>0</v>
      </c>
      <c r="BK20" s="57">
        <f t="shared" si="19"/>
        <v>0</v>
      </c>
      <c r="BL20" s="60" t="str">
        <f t="shared" si="20"/>
        <v/>
      </c>
      <c r="BM20" s="60">
        <f t="shared" si="21"/>
        <v>0</v>
      </c>
      <c r="BN20" s="60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 x14ac:dyDescent="0.3">
      <c r="A21" s="272" t="s">
        <v>179</v>
      </c>
      <c r="B21" s="273">
        <f>'PD0101'!D21</f>
        <v>0</v>
      </c>
      <c r="C21" s="273">
        <f>'PD0101'!E21</f>
        <v>0</v>
      </c>
      <c r="D21" s="273">
        <f>'PD0101'!B21</f>
        <v>0</v>
      </c>
      <c r="E21" s="273">
        <f>'PD0101'!C21</f>
        <v>0</v>
      </c>
      <c r="F21" s="273">
        <f>'IMPORTAÇÃO GENOTIPER'!AY17</f>
        <v>0</v>
      </c>
      <c r="G21" s="273">
        <f>'IMPORTAÇÃO GENOTIPER'!BG17</f>
        <v>0</v>
      </c>
      <c r="H21" s="93">
        <f t="shared" si="0"/>
        <v>0</v>
      </c>
      <c r="I21" s="93">
        <f t="shared" si="0"/>
        <v>0</v>
      </c>
      <c r="J21" s="93">
        <f t="shared" si="0"/>
        <v>0</v>
      </c>
      <c r="K21" s="93">
        <f t="shared" si="0"/>
        <v>0</v>
      </c>
      <c r="L21" s="93">
        <f t="shared" si="0"/>
        <v>0</v>
      </c>
      <c r="M21" s="93">
        <f t="shared" si="0"/>
        <v>0</v>
      </c>
      <c r="N21" s="94">
        <f t="shared" si="1"/>
        <v>0</v>
      </c>
      <c r="O21" s="94">
        <f t="shared" si="2"/>
        <v>0</v>
      </c>
      <c r="P21" s="94">
        <f t="shared" si="3"/>
        <v>0</v>
      </c>
      <c r="Q21" s="94">
        <f t="shared" si="4"/>
        <v>0</v>
      </c>
      <c r="R21" s="94">
        <f t="shared" si="5"/>
        <v>0</v>
      </c>
      <c r="S21" s="94">
        <f t="shared" si="6"/>
        <v>0</v>
      </c>
      <c r="T21" s="95">
        <f t="shared" si="7"/>
        <v>0</v>
      </c>
      <c r="U21" s="95">
        <f t="shared" si="8"/>
        <v>0</v>
      </c>
      <c r="V21" s="96">
        <f>(IF((OR((P21="&gt;24"),(Q21="&gt;24"))),2,(IF(((T21+U21)=(P21+Q21)),0,1))))</f>
        <v>0</v>
      </c>
      <c r="W21" s="97">
        <f t="shared" si="25"/>
        <v>0</v>
      </c>
      <c r="X21" s="120">
        <f t="shared" si="30"/>
        <v>0</v>
      </c>
      <c r="Y21" s="95">
        <f t="shared" si="31"/>
        <v>0</v>
      </c>
      <c r="Z21" s="98">
        <f t="shared" si="9"/>
        <v>0</v>
      </c>
      <c r="AA21" s="99">
        <f t="shared" si="10"/>
        <v>0</v>
      </c>
      <c r="AB21" s="100">
        <f>IF(X21=0,0,VLOOKUP(X21,FREQUENCIAS!$1:$1048576,(IF(($A21=FREQUENCIAS!$N$1),14,"ERRO")),FREQUENCIAS!$1:$1048576))</f>
        <v>0</v>
      </c>
      <c r="AC21" s="100">
        <f>IF(Y21=0,0,VLOOKUP(Y21,FREQUENCIAS!$1:$1048576,(IF(($A21=FREQUENCIAS!$N$1),14,"ERRO")),FREQUENCIAS!$1:$1048576))</f>
        <v>0</v>
      </c>
      <c r="AD21" s="100"/>
      <c r="AE21" s="100"/>
      <c r="AF21" s="100"/>
      <c r="AG21" s="101">
        <f>(IF((A21="ERRO-FT"),"7",((IF((AND(($Z21=0),($AA21=0),($AX$32="N"))),0,(IF((AND(($Z21=0),($AA21=0),(AX$32="S"))),1,(IF((AB21+AC21+AD21+AE21+AF21)&lt;=$AI$7,$AI$7,(AB21+AC21+AD21+AE21+AF21))))))))))</f>
        <v>0</v>
      </c>
      <c r="AH21" s="102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3">
        <f t="shared" si="11"/>
        <v>0</v>
      </c>
      <c r="AJ21" s="104"/>
      <c r="AK21" s="105">
        <f t="shared" si="12"/>
        <v>1</v>
      </c>
      <c r="AL21" s="104"/>
      <c r="AM21" s="106" t="str">
        <f t="shared" si="13"/>
        <v>EXCLUI</v>
      </c>
      <c r="AN21" s="97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1">
        <f t="shared" si="16"/>
        <v>0</v>
      </c>
      <c r="BD21" s="2">
        <f t="shared" si="27"/>
        <v>1</v>
      </c>
      <c r="BF21" s="53">
        <v>7</v>
      </c>
      <c r="BG21" s="53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7" t="str">
        <f t="shared" si="17"/>
        <v/>
      </c>
      <c r="BJ21" s="57">
        <f t="shared" si="18"/>
        <v>0</v>
      </c>
      <c r="BK21" s="57">
        <f t="shared" si="19"/>
        <v>0</v>
      </c>
      <c r="BL21" s="60" t="str">
        <f t="shared" si="20"/>
        <v/>
      </c>
      <c r="BM21" s="60">
        <f t="shared" si="21"/>
        <v>0</v>
      </c>
      <c r="BN21" s="60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 x14ac:dyDescent="0.3">
      <c r="A22" s="272" t="s">
        <v>154</v>
      </c>
      <c r="B22" s="273">
        <f>'PD0101'!D22</f>
        <v>0</v>
      </c>
      <c r="C22" s="273">
        <f>'PD0101'!E22</f>
        <v>0</v>
      </c>
      <c r="D22" s="273">
        <f>'PD0101'!B22</f>
        <v>0</v>
      </c>
      <c r="E22" s="273">
        <f>'PD0101'!C22</f>
        <v>0</v>
      </c>
      <c r="F22" s="273">
        <f>'IMPORTAÇÃO GENOTIPER'!AY18</f>
        <v>0</v>
      </c>
      <c r="G22" s="273">
        <f>'IMPORTAÇÃO GENOTIPER'!BG18</f>
        <v>0</v>
      </c>
      <c r="H22" s="93">
        <f t="shared" si="0"/>
        <v>0</v>
      </c>
      <c r="I22" s="93">
        <f t="shared" si="0"/>
        <v>0</v>
      </c>
      <c r="J22" s="93">
        <f t="shared" si="0"/>
        <v>0</v>
      </c>
      <c r="K22" s="93">
        <f t="shared" si="0"/>
        <v>0</v>
      </c>
      <c r="L22" s="93">
        <f t="shared" si="0"/>
        <v>0</v>
      </c>
      <c r="M22" s="93">
        <f t="shared" si="0"/>
        <v>0</v>
      </c>
      <c r="N22" s="94">
        <f t="shared" si="1"/>
        <v>0</v>
      </c>
      <c r="O22" s="94">
        <f t="shared" si="2"/>
        <v>0</v>
      </c>
      <c r="P22" s="94">
        <f t="shared" si="3"/>
        <v>0</v>
      </c>
      <c r="Q22" s="94">
        <f t="shared" si="4"/>
        <v>0</v>
      </c>
      <c r="R22" s="94">
        <f t="shared" si="5"/>
        <v>0</v>
      </c>
      <c r="S22" s="94">
        <f t="shared" si="6"/>
        <v>0</v>
      </c>
      <c r="T22" s="95">
        <f t="shared" si="7"/>
        <v>0</v>
      </c>
      <c r="U22" s="95">
        <f t="shared" si="8"/>
        <v>0</v>
      </c>
      <c r="V22" s="96">
        <f>(IF((OR((P22="&gt;22"),(Q22="&gt;22"))),2,(IF(((T22+U22)=(P22+Q22)),0,1))))</f>
        <v>0</v>
      </c>
      <c r="W22" s="97">
        <f t="shared" si="25"/>
        <v>0</v>
      </c>
      <c r="X22" s="120">
        <f t="shared" si="30"/>
        <v>0</v>
      </c>
      <c r="Y22" s="95">
        <f t="shared" si="31"/>
        <v>0</v>
      </c>
      <c r="Z22" s="98">
        <f t="shared" si="9"/>
        <v>0</v>
      </c>
      <c r="AA22" s="99">
        <f t="shared" si="10"/>
        <v>0</v>
      </c>
      <c r="AB22" s="100">
        <f>IF(X22=0,0,VLOOKUP(X22,FREQUENCIAS!$1:$1048576,(IF(($A22=FREQUENCIAS!$O$1),15,"ERRO")),FREQUENCIAS!$1:$1048576))</f>
        <v>0</v>
      </c>
      <c r="AC22" s="100">
        <f>IF(Y22=0,0,VLOOKUP(Y22,FREQUENCIAS!$1:$1048576,(IF(($A22=FREQUENCIAS!$O$1),15,"ERRO")),FREQUENCIAS!$1:$1048576))</f>
        <v>0</v>
      </c>
      <c r="AD22" s="100"/>
      <c r="AE22" s="100"/>
      <c r="AF22" s="100"/>
      <c r="AG22" s="101">
        <f>(IF((A22="ERRO-FT"),"7",((IF((AND(($Z22=0),($AA22=0),($AX$32="N"))),0,(IF((AND(($Z22=0),($AA22=0),(AX$32="S"))),1,(IF((AB22+AC22+AD22+AE22+AF22)&lt;=$AI$7,$AI$7,(AB22+AC22+AD22+AE22+AF22))))))))))</f>
        <v>0</v>
      </c>
      <c r="AH22" s="102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3">
        <f t="shared" si="11"/>
        <v>0</v>
      </c>
      <c r="AJ22" s="104"/>
      <c r="AK22" s="105">
        <f t="shared" si="12"/>
        <v>1</v>
      </c>
      <c r="AL22" s="104"/>
      <c r="AM22" s="106" t="str">
        <f t="shared" si="13"/>
        <v>EXCLUI</v>
      </c>
      <c r="AN22" s="97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1">
        <f t="shared" si="16"/>
        <v>0</v>
      </c>
      <c r="BD22" s="2">
        <f t="shared" si="27"/>
        <v>1</v>
      </c>
      <c r="BF22" s="53">
        <v>7</v>
      </c>
      <c r="BG22" s="53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7" t="str">
        <f t="shared" si="17"/>
        <v/>
      </c>
      <c r="BJ22" s="57">
        <f t="shared" si="18"/>
        <v>0</v>
      </c>
      <c r="BK22" s="57">
        <f t="shared" si="19"/>
        <v>0</v>
      </c>
      <c r="BL22" s="60" t="str">
        <f t="shared" si="20"/>
        <v/>
      </c>
      <c r="BM22" s="60">
        <f t="shared" si="21"/>
        <v>0</v>
      </c>
      <c r="BN22" s="60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 x14ac:dyDescent="0.3">
      <c r="A23" s="272" t="s">
        <v>158</v>
      </c>
      <c r="B23" s="273">
        <f>'PD0101'!D23</f>
        <v>0</v>
      </c>
      <c r="C23" s="273">
        <f>'PD0101'!E23</f>
        <v>0</v>
      </c>
      <c r="D23" s="273">
        <f>'PD0101'!B23</f>
        <v>0</v>
      </c>
      <c r="E23" s="273">
        <f>'PD0101'!C23</f>
        <v>0</v>
      </c>
      <c r="F23" s="273">
        <f>'IMPORTAÇÃO GENOTIPER'!AY19</f>
        <v>0</v>
      </c>
      <c r="G23" s="273">
        <f>'IMPORTAÇÃO GENOTIPER'!BG19</f>
        <v>0</v>
      </c>
      <c r="H23" s="93">
        <f t="shared" si="0"/>
        <v>0</v>
      </c>
      <c r="I23" s="93">
        <f t="shared" si="0"/>
        <v>0</v>
      </c>
      <c r="J23" s="93">
        <f t="shared" si="0"/>
        <v>0</v>
      </c>
      <c r="K23" s="93">
        <f t="shared" si="0"/>
        <v>0</v>
      </c>
      <c r="L23" s="93">
        <f t="shared" si="0"/>
        <v>0</v>
      </c>
      <c r="M23" s="93">
        <f t="shared" si="0"/>
        <v>0</v>
      </c>
      <c r="N23" s="94">
        <f t="shared" si="1"/>
        <v>0</v>
      </c>
      <c r="O23" s="94">
        <f t="shared" si="2"/>
        <v>0</v>
      </c>
      <c r="P23" s="94">
        <f t="shared" si="3"/>
        <v>0</v>
      </c>
      <c r="Q23" s="94">
        <f t="shared" si="4"/>
        <v>0</v>
      </c>
      <c r="R23" s="94">
        <f t="shared" si="5"/>
        <v>0</v>
      </c>
      <c r="S23" s="94">
        <f t="shared" si="6"/>
        <v>0</v>
      </c>
      <c r="T23" s="95">
        <f t="shared" si="7"/>
        <v>0</v>
      </c>
      <c r="U23" s="95">
        <f t="shared" si="8"/>
        <v>0</v>
      </c>
      <c r="V23" s="96">
        <f>(IF((OR((P23="&gt;32"),(Q23="&gt;32"))),2,(IF(((T23+U23)=(P23+Q23)),0,1))))</f>
        <v>0</v>
      </c>
      <c r="W23" s="97">
        <f t="shared" si="25"/>
        <v>0</v>
      </c>
      <c r="X23" s="120">
        <f t="shared" si="30"/>
        <v>0</v>
      </c>
      <c r="Y23" s="95">
        <f t="shared" si="31"/>
        <v>0</v>
      </c>
      <c r="Z23" s="98">
        <f t="shared" si="9"/>
        <v>0</v>
      </c>
      <c r="AA23" s="99">
        <f t="shared" si="10"/>
        <v>0</v>
      </c>
      <c r="AB23" s="100">
        <f>IF(X23=0,0,VLOOKUP(X23,FREQUENCIAS!$1:$1048576,(IF(($A23=FREQUENCIAS!$P$1),16,"ERRO")),FREQUENCIAS!$1:$1048576))</f>
        <v>0</v>
      </c>
      <c r="AC23" s="100">
        <f>IF(Y23=0,0,VLOOKUP(Y23,FREQUENCIAS!$1:$1048576,(IF(($A23=FREQUENCIAS!$P$1),16,"ERRO")),FREQUENCIAS!$1:$1048576))</f>
        <v>0</v>
      </c>
      <c r="AD23" s="100"/>
      <c r="AE23" s="100"/>
      <c r="AF23" s="100"/>
      <c r="AG23" s="101">
        <f>(IF((A23="ERRO-FT"),"16",((IF((AND(($Z23=0),($AA23=0),($AX$32="N"))),0,(IF((AND(($Z23=0),($AA23=0),(AX$32="S"))),1,(IF((AB23+AC23+AD23+AE23+AF23)&lt;=$AI$7,$AI$7,(AB23+AC23+AD23+AE23+AF23))))))))))</f>
        <v>0</v>
      </c>
      <c r="AH23" s="102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3">
        <f t="shared" si="11"/>
        <v>0</v>
      </c>
      <c r="AJ23" s="104" t="s">
        <v>173</v>
      </c>
      <c r="AK23" s="105">
        <f t="shared" si="12"/>
        <v>1</v>
      </c>
      <c r="AL23" s="104"/>
      <c r="AM23" s="106" t="str">
        <f t="shared" si="13"/>
        <v>EXCLUI</v>
      </c>
      <c r="AN23" s="97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1">
        <f t="shared" si="16"/>
        <v>0</v>
      </c>
      <c r="BD23" s="2">
        <f t="shared" si="27"/>
        <v>1</v>
      </c>
      <c r="BF23" s="53">
        <v>17</v>
      </c>
      <c r="BG23" s="53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4" t="str">
        <f t="shared" si="20"/>
        <v/>
      </c>
      <c r="BM23" s="64">
        <f t="shared" si="21"/>
        <v>0</v>
      </c>
      <c r="BN23" s="64">
        <f t="shared" si="22"/>
        <v>0</v>
      </c>
      <c r="BO23" s="65" t="str">
        <f t="shared" si="28"/>
        <v/>
      </c>
      <c r="BP23" s="65">
        <f t="shared" si="23"/>
        <v>0</v>
      </c>
      <c r="BQ23" s="65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 x14ac:dyDescent="0.3">
      <c r="A24" s="272" t="s">
        <v>156</v>
      </c>
      <c r="B24" s="273">
        <f>'PD0101'!D24</f>
        <v>0</v>
      </c>
      <c r="C24" s="273">
        <f>'PD0101'!E24</f>
        <v>0</v>
      </c>
      <c r="D24" s="273">
        <f>'PD0101'!B24</f>
        <v>0</v>
      </c>
      <c r="E24" s="273">
        <f>'PD0101'!C24</f>
        <v>0</v>
      </c>
      <c r="F24" s="273">
        <f>'IMPORTAÇÃO GENOTIPER'!AY20</f>
        <v>0</v>
      </c>
      <c r="G24" s="273">
        <f>'IMPORTAÇÃO GENOTIPER'!BG20</f>
        <v>0</v>
      </c>
      <c r="H24" s="93">
        <f t="shared" si="0"/>
        <v>0</v>
      </c>
      <c r="I24" s="93">
        <f t="shared" si="0"/>
        <v>0</v>
      </c>
      <c r="J24" s="93">
        <f t="shared" si="0"/>
        <v>0</v>
      </c>
      <c r="K24" s="93">
        <f t="shared" si="0"/>
        <v>0</v>
      </c>
      <c r="L24" s="93">
        <f t="shared" si="0"/>
        <v>0</v>
      </c>
      <c r="M24" s="93">
        <f t="shared" si="0"/>
        <v>0</v>
      </c>
      <c r="N24" s="94">
        <f t="shared" si="1"/>
        <v>0</v>
      </c>
      <c r="O24" s="94">
        <f t="shared" si="2"/>
        <v>0</v>
      </c>
      <c r="P24" s="94">
        <f t="shared" si="3"/>
        <v>0</v>
      </c>
      <c r="Q24" s="94">
        <f t="shared" si="4"/>
        <v>0</v>
      </c>
      <c r="R24" s="94">
        <f t="shared" si="5"/>
        <v>0</v>
      </c>
      <c r="S24" s="94">
        <f t="shared" si="6"/>
        <v>0</v>
      </c>
      <c r="T24" s="95">
        <f t="shared" si="7"/>
        <v>0</v>
      </c>
      <c r="U24" s="95">
        <f t="shared" si="8"/>
        <v>0</v>
      </c>
      <c r="V24" s="96">
        <f>(IF((OR((P24="&gt;18"),(Q24="&gt;18"))),2,(IF(((T24+U24)=(P24+Q24)),0,1))))</f>
        <v>0</v>
      </c>
      <c r="W24" s="97">
        <f>IF(OR(($T24=$U24),($U24=0)),$T24,(IF(AND(($T24=0),($U24&lt;&gt;0)),$U24,$AJ$7)))</f>
        <v>0</v>
      </c>
      <c r="X24" s="120">
        <f t="shared" si="30"/>
        <v>0</v>
      </c>
      <c r="Y24" s="95">
        <f>(IF((AND(($T24=0),($U24=0))),$E24,(IF(($W24&lt;&gt;$AJ$7),0,$Q24))))</f>
        <v>0</v>
      </c>
      <c r="Z24" s="98">
        <f t="shared" si="9"/>
        <v>0</v>
      </c>
      <c r="AA24" s="99">
        <f t="shared" si="10"/>
        <v>0</v>
      </c>
      <c r="AB24" s="100">
        <f>IF(X24=0,0,VLOOKUP(X24,FREQUENCIAS!$1:$1048576,(IF(($A24=FREQUENCIAS!$Q$1),17,"ERRO")),FREQUENCIAS!$1:$1048576))</f>
        <v>0</v>
      </c>
      <c r="AC24" s="100">
        <f>IF(Y24=0,0,VLOOKUP(Y24,FREQUENCIAS!$1:$1048576,(IF(($A24=FREQUENCIAS!$Q$1),17,"ERRO")),FREQUENCIAS!$1:$1048576))</f>
        <v>0</v>
      </c>
      <c r="AD24" s="100"/>
      <c r="AE24" s="100"/>
      <c r="AF24" s="100"/>
      <c r="AG24" s="101">
        <f>(IF((A24="ERRO-FT"),"8",((IF((AND(($Z24=0),($AA24=0),($AX$32="N"))),0,(IF((AND(($Z24=0),($AA24=0),(AX$32="S"))),1,(IF((AB24+AC24+AD24+AE24+AF24)&lt;=$AI$7,$AI$7,(AB24+AC24+AD24+AE24+AF24))))))))))</f>
        <v>0</v>
      </c>
      <c r="AH24" s="102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3">
        <f t="shared" si="11"/>
        <v>0</v>
      </c>
      <c r="AJ24" s="104"/>
      <c r="AK24" s="105">
        <f t="shared" si="12"/>
        <v>1</v>
      </c>
      <c r="AL24" s="104"/>
      <c r="AM24" s="106" t="str">
        <f t="shared" si="13"/>
        <v>EXCLUI</v>
      </c>
      <c r="AN24" s="97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1">
        <f t="shared" si="16"/>
        <v>0</v>
      </c>
      <c r="BD24" s="2">
        <f>IF((W24=0),1,0)</f>
        <v>1</v>
      </c>
      <c r="BE24" s="68"/>
      <c r="BF24" s="52">
        <v>8</v>
      </c>
      <c r="BG24" s="52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7" t="str">
        <f t="shared" si="17"/>
        <v/>
      </c>
      <c r="BJ24" s="57">
        <f t="shared" si="18"/>
        <v>0</v>
      </c>
      <c r="BK24" s="57">
        <f t="shared" si="19"/>
        <v>0</v>
      </c>
      <c r="BL24" s="60" t="str">
        <f t="shared" si="20"/>
        <v/>
      </c>
      <c r="BM24" s="60">
        <f t="shared" si="21"/>
        <v>0</v>
      </c>
      <c r="BN24" s="60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 x14ac:dyDescent="0.3">
      <c r="A25" s="272" t="s">
        <v>142</v>
      </c>
      <c r="B25" s="273">
        <f>'PD0101'!D25</f>
        <v>0</v>
      </c>
      <c r="C25" s="273">
        <f>'PD0101'!E25</f>
        <v>0</v>
      </c>
      <c r="D25" s="273">
        <f>'PD0101'!B25</f>
        <v>0</v>
      </c>
      <c r="E25" s="273">
        <f>'PD0101'!C25</f>
        <v>0</v>
      </c>
      <c r="F25" s="273">
        <f>'IMPORTAÇÃO GENOTIPER'!AY21</f>
        <v>0</v>
      </c>
      <c r="G25" s="273">
        <f>'IMPORTAÇÃO GENOTIPER'!BG21</f>
        <v>0</v>
      </c>
      <c r="H25" s="93">
        <f t="shared" ref="H25:M30" si="33">(IF(CODE(B25)=(60),($BF25-1),(IF(CODE(B25)=(62),($BG25+1),B25))))</f>
        <v>0</v>
      </c>
      <c r="I25" s="93">
        <f t="shared" si="33"/>
        <v>0</v>
      </c>
      <c r="J25" s="93">
        <f t="shared" si="33"/>
        <v>0</v>
      </c>
      <c r="K25" s="93">
        <f t="shared" si="33"/>
        <v>0</v>
      </c>
      <c r="L25" s="93">
        <f t="shared" si="33"/>
        <v>0</v>
      </c>
      <c r="M25" s="93">
        <f t="shared" si="33"/>
        <v>0</v>
      </c>
      <c r="N25" s="94">
        <f t="shared" si="1"/>
        <v>0</v>
      </c>
      <c r="O25" s="94">
        <f t="shared" si="2"/>
        <v>0</v>
      </c>
      <c r="P25" s="94">
        <f t="shared" si="3"/>
        <v>0</v>
      </c>
      <c r="Q25" s="94">
        <f t="shared" si="4"/>
        <v>0</v>
      </c>
      <c r="R25" s="94">
        <f t="shared" si="5"/>
        <v>0</v>
      </c>
      <c r="S25" s="94">
        <f t="shared" si="6"/>
        <v>0</v>
      </c>
      <c r="T25" s="95">
        <f t="shared" si="7"/>
        <v>0</v>
      </c>
      <c r="U25" s="95">
        <f t="shared" si="8"/>
        <v>0</v>
      </c>
      <c r="V25" s="96">
        <f>(IF((OR((P25="&gt;36"),(Q25="&gt;36"))),2,(IF(((T25+U25)=(P25+Q25)),0,1))))</f>
        <v>0</v>
      </c>
      <c r="W25" s="97">
        <f t="shared" ref="W25:W30" si="34">IF(OR((T25=U25),(U25=0)),T25,(IF(AND((T25=0),(U25&lt;&gt;0)),U25,$AJ$7)))</f>
        <v>0</v>
      </c>
      <c r="X25" s="120">
        <f t="shared" si="30"/>
        <v>0</v>
      </c>
      <c r="Y25" s="95">
        <f>(IF((AND((T25=0),(U25=0))),E25,(IF((W25&lt;&gt;$AJ$7),0,Q25))))</f>
        <v>0</v>
      </c>
      <c r="Z25" s="98">
        <f t="shared" si="9"/>
        <v>0</v>
      </c>
      <c r="AA25" s="99">
        <f t="shared" si="10"/>
        <v>0</v>
      </c>
      <c r="AB25" s="100">
        <f>IF(X25=0,0,VLOOKUP(X25,FREQUENCIAS!$1:$1048576,(IF(($A25=FREQUENCIAS!$R$1),18,"ERRO")),FREQUENCIAS!$1:$1048576))</f>
        <v>0</v>
      </c>
      <c r="AC25" s="100">
        <f>IF(Y25=0,0,VLOOKUP(Y25,FREQUENCIAS!$1:$1048576,(IF(($A25=FREQUENCIAS!$R$1),18,"ERRO")),FREQUENCIAS!$1:$1048576))</f>
        <v>0</v>
      </c>
      <c r="AD25" s="100"/>
      <c r="AE25" s="100"/>
      <c r="AF25" s="100"/>
      <c r="AG25" s="101">
        <f>(IF((A25="ERRO-FT"),"24",((IF((AND(($Z25=0),($AA25=0),($AX$32="N"))),0,(IF((AND(($Z25=0),($AA25=0),(AX$32="S"))),1,(IF((AB25+AC25+AD25+AE25+AF25)&lt;=$AI$7,$AI$7,(AB25+AC25+AD25+AE25+AF25))))))))))</f>
        <v>0</v>
      </c>
      <c r="AH25" s="102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3">
        <f t="shared" si="11"/>
        <v>0</v>
      </c>
      <c r="AJ25" s="104"/>
      <c r="AK25" s="105">
        <f t="shared" si="12"/>
        <v>1</v>
      </c>
      <c r="AL25" s="104"/>
      <c r="AM25" s="106" t="str">
        <f t="shared" si="13"/>
        <v>EXCLUI</v>
      </c>
      <c r="AN25" s="97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1">
        <f t="shared" si="16"/>
        <v>0</v>
      </c>
      <c r="BD25" s="2">
        <f t="shared" ref="BD25:BD30" si="35">IF((W25=0),1,0)</f>
        <v>1</v>
      </c>
      <c r="BF25" s="53">
        <v>24</v>
      </c>
      <c r="BG25" s="53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7" t="str">
        <f t="shared" si="17"/>
        <v/>
      </c>
      <c r="BJ25" s="57">
        <f t="shared" si="18"/>
        <v>0</v>
      </c>
      <c r="BK25" s="57">
        <f t="shared" si="19"/>
        <v>0</v>
      </c>
      <c r="BL25" s="60" t="str">
        <f t="shared" si="20"/>
        <v/>
      </c>
      <c r="BM25" s="66">
        <f t="shared" si="21"/>
        <v>0</v>
      </c>
      <c r="BN25" s="60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 x14ac:dyDescent="0.3">
      <c r="A26" s="272" t="s">
        <v>153</v>
      </c>
      <c r="B26" s="273">
        <f>'PD0101'!D26</f>
        <v>0</v>
      </c>
      <c r="C26" s="273">
        <f>'PD0101'!E26</f>
        <v>0</v>
      </c>
      <c r="D26" s="273">
        <f>'PD0101'!B26</f>
        <v>0</v>
      </c>
      <c r="E26" s="273">
        <f>'PD0101'!C26</f>
        <v>0</v>
      </c>
      <c r="F26" s="273">
        <f>'IMPORTAÇÃO GENOTIPER'!AY22</f>
        <v>0</v>
      </c>
      <c r="G26" s="273">
        <f>'IMPORTAÇÃO GENOTIPER'!BG22</f>
        <v>0</v>
      </c>
      <c r="H26" s="93">
        <f t="shared" si="33"/>
        <v>0</v>
      </c>
      <c r="I26" s="93">
        <f t="shared" si="33"/>
        <v>0</v>
      </c>
      <c r="J26" s="93">
        <f t="shared" si="33"/>
        <v>0</v>
      </c>
      <c r="K26" s="93">
        <f t="shared" si="33"/>
        <v>0</v>
      </c>
      <c r="L26" s="93">
        <f t="shared" si="33"/>
        <v>0</v>
      </c>
      <c r="M26" s="93">
        <f t="shared" si="33"/>
        <v>0</v>
      </c>
      <c r="N26" s="94">
        <f t="shared" si="1"/>
        <v>0</v>
      </c>
      <c r="O26" s="94">
        <f t="shared" si="2"/>
        <v>0</v>
      </c>
      <c r="P26" s="94">
        <f t="shared" si="3"/>
        <v>0</v>
      </c>
      <c r="Q26" s="94">
        <f t="shared" si="4"/>
        <v>0</v>
      </c>
      <c r="R26" s="94">
        <f t="shared" si="5"/>
        <v>0</v>
      </c>
      <c r="S26" s="94">
        <f t="shared" si="6"/>
        <v>0</v>
      </c>
      <c r="T26" s="95">
        <f t="shared" si="7"/>
        <v>0</v>
      </c>
      <c r="U26" s="95">
        <f t="shared" si="8"/>
        <v>0</v>
      </c>
      <c r="V26" s="96">
        <f>(IF((OR((P26="&gt;21"),(Q26="&gt;21"))),2,(IF(((T26+U26)=(P26+Q26)),0,1))))</f>
        <v>0</v>
      </c>
      <c r="W26" s="95">
        <f t="shared" si="34"/>
        <v>0</v>
      </c>
      <c r="X26" s="120">
        <f t="shared" si="30"/>
        <v>0</v>
      </c>
      <c r="Y26" s="95">
        <f xml:space="preserve"> (IF((AND((T26=0),(U26=0))),E26,(IF((W26&lt;&gt;$AJ$7),0,Q26))))</f>
        <v>0</v>
      </c>
      <c r="Z26" s="98">
        <f t="shared" si="9"/>
        <v>0</v>
      </c>
      <c r="AA26" s="99">
        <f t="shared" si="10"/>
        <v>0</v>
      </c>
      <c r="AB26" s="100">
        <f>IF(X26=0,0,VLOOKUP(X26,FREQUENCIAS!$1:$1048576,(IF(($A26=FREQUENCIAS!$S$1),19,"ERRO")),FREQUENCIAS!$1:$1048576))</f>
        <v>0</v>
      </c>
      <c r="AC26" s="100">
        <f>IF(Y26=0,0,VLOOKUP(Y26,FREQUENCIAS!$1:$1048576,(IF(($A26=FREQUENCIAS!$S$1),19,"ERRO")),FREQUENCIAS!$1:$1048576))</f>
        <v>0</v>
      </c>
      <c r="AD26" s="100"/>
      <c r="AE26" s="100"/>
      <c r="AF26" s="100"/>
      <c r="AG26" s="101">
        <f>(IF((A26="ERRO-FT"),"6",((IF((AND(($Z26=0),($AA26=0),($AX$32="N"))),0,(IF((AND(($Z26=0),($AA26=0),(AX$32="S"))),1,(IF((AB26+AC26+AD26+AE26+AF26)&lt;=$AI$7,$AI$7,(AB26+AC26+AD26+AE26+AF26))))))))))</f>
        <v>0</v>
      </c>
      <c r="AH26" s="102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3">
        <f t="shared" si="11"/>
        <v>0</v>
      </c>
      <c r="AJ26" s="104" t="s">
        <v>140</v>
      </c>
      <c r="AK26" s="105">
        <f t="shared" si="12"/>
        <v>1</v>
      </c>
      <c r="AL26" s="104"/>
      <c r="AM26" s="106" t="str">
        <f t="shared" si="13"/>
        <v>EXCLUI</v>
      </c>
      <c r="AN26" s="97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1">
        <f t="shared" si="16"/>
        <v>0</v>
      </c>
      <c r="BD26" s="2">
        <f t="shared" si="35"/>
        <v>1</v>
      </c>
      <c r="BF26" s="53">
        <v>6</v>
      </c>
      <c r="BG26" s="53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7" t="str">
        <f t="shared" si="17"/>
        <v/>
      </c>
      <c r="BJ26" s="57">
        <f t="shared" si="18"/>
        <v>0</v>
      </c>
      <c r="BK26" s="57">
        <f t="shared" si="19"/>
        <v>0</v>
      </c>
      <c r="BL26" s="60" t="str">
        <f t="shared" si="20"/>
        <v/>
      </c>
      <c r="BM26" s="60">
        <f t="shared" si="21"/>
        <v>0</v>
      </c>
      <c r="BN26" s="60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 x14ac:dyDescent="0.3">
      <c r="A27" s="272" t="s">
        <v>217</v>
      </c>
      <c r="B27" s="273">
        <f>'PD0101'!D27</f>
        <v>0</v>
      </c>
      <c r="C27" s="273">
        <f>'PD0101'!E27</f>
        <v>0</v>
      </c>
      <c r="D27" s="273">
        <f>'PD0101'!B27</f>
        <v>0</v>
      </c>
      <c r="E27" s="273">
        <f>'PD0101'!C27</f>
        <v>0</v>
      </c>
      <c r="F27" s="273">
        <f>'IMPORTAÇÃO GENOTIPER'!AY23</f>
        <v>0</v>
      </c>
      <c r="G27" s="273">
        <f>'IMPORTAÇÃO GENOTIPER'!BG23</f>
        <v>0</v>
      </c>
      <c r="H27" s="93">
        <f t="shared" si="33"/>
        <v>0</v>
      </c>
      <c r="I27" s="93">
        <f t="shared" si="33"/>
        <v>0</v>
      </c>
      <c r="J27" s="93">
        <f t="shared" si="33"/>
        <v>0</v>
      </c>
      <c r="K27" s="93">
        <f t="shared" si="33"/>
        <v>0</v>
      </c>
      <c r="L27" s="93">
        <f t="shared" si="33"/>
        <v>0</v>
      </c>
      <c r="M27" s="93">
        <f t="shared" si="33"/>
        <v>0</v>
      </c>
      <c r="N27" s="94">
        <f t="shared" si="1"/>
        <v>0</v>
      </c>
      <c r="O27" s="94">
        <f t="shared" si="2"/>
        <v>0</v>
      </c>
      <c r="P27" s="94">
        <f t="shared" si="3"/>
        <v>0</v>
      </c>
      <c r="Q27" s="94">
        <f t="shared" si="4"/>
        <v>0</v>
      </c>
      <c r="R27" s="94">
        <f t="shared" si="5"/>
        <v>0</v>
      </c>
      <c r="S27" s="94">
        <f t="shared" si="6"/>
        <v>0</v>
      </c>
      <c r="T27" s="95">
        <f t="shared" si="7"/>
        <v>0</v>
      </c>
      <c r="U27" s="95">
        <f t="shared" si="8"/>
        <v>0</v>
      </c>
      <c r="V27" s="96">
        <f>(IF((OR((P27="&gt;21"),(Q27="&gt;21"))),2,(IF(((T27+U27)=(P27+Q27)),0,1))))</f>
        <v>0</v>
      </c>
      <c r="W27" s="97">
        <f t="shared" si="34"/>
        <v>0</v>
      </c>
      <c r="X27" s="120">
        <f t="shared" si="30"/>
        <v>0</v>
      </c>
      <c r="Y27" s="95">
        <f>(IF((AND((T27=0),(U27=0))),E27,(IF((W27&lt;&gt;$AJ$7),0,Q27))))</f>
        <v>0</v>
      </c>
      <c r="Z27" s="98">
        <f t="shared" si="9"/>
        <v>0</v>
      </c>
      <c r="AA27" s="99">
        <f t="shared" si="10"/>
        <v>0</v>
      </c>
      <c r="AB27" s="100">
        <f>IF(X27=0,0,VLOOKUP(X27,FREQUENCIAS!$1:$1048576,(IF(($A27=FREQUENCIAS!$T$1),20,"ERRO")),FREQUENCIAS!$1:$1048576))</f>
        <v>0</v>
      </c>
      <c r="AC27" s="100">
        <f>IF(Y27=0,0,VLOOKUP(Y27,FREQUENCIAS!$1:$1048576,(IF(($A27=FREQUENCIAS!$T$1),20,"ERRO")),FREQUENCIAS!$1:$1048576))</f>
        <v>0</v>
      </c>
      <c r="AD27" s="100"/>
      <c r="AE27" s="100"/>
      <c r="AF27" s="100"/>
      <c r="AG27" s="101">
        <f>(IF((A27="ERRO-FT"),"11",((IF((AND(($Z27=0),($AA27=0),($AX$32="N"))),0,(IF((AND(($Z27=0),($AA27=0),(AX$32="S"))),1,(IF((AB27+AC27+AD27+AE27+AF27)&lt;=$AI$7,$AI$7,(AB27+AC27+AD27+AE27+AF27))))))))))</f>
        <v>0</v>
      </c>
      <c r="AH27" s="102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3">
        <f t="shared" si="11"/>
        <v>0</v>
      </c>
      <c r="AJ27" s="104" t="s">
        <v>163</v>
      </c>
      <c r="AK27" s="276">
        <f t="shared" si="12"/>
        <v>1</v>
      </c>
      <c r="AL27" s="104"/>
      <c r="AM27" s="106" t="str">
        <f t="shared" si="13"/>
        <v>EXCLUI</v>
      </c>
      <c r="AN27" s="97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0</v>
      </c>
      <c r="BC27" s="41">
        <f t="shared" si="16"/>
        <v>0</v>
      </c>
      <c r="BD27" s="2">
        <f t="shared" si="35"/>
        <v>1</v>
      </c>
      <c r="BF27" s="53">
        <v>12</v>
      </c>
      <c r="BG27" s="53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7" t="str">
        <f t="shared" si="17"/>
        <v/>
      </c>
      <c r="BJ27" s="57">
        <f t="shared" si="18"/>
        <v>0</v>
      </c>
      <c r="BK27" s="57">
        <f t="shared" si="19"/>
        <v>0</v>
      </c>
      <c r="BL27" s="60" t="str">
        <f t="shared" si="20"/>
        <v/>
      </c>
      <c r="BM27" s="60">
        <f t="shared" si="21"/>
        <v>0</v>
      </c>
      <c r="BN27" s="60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 x14ac:dyDescent="0.3">
      <c r="A28" s="272" t="s">
        <v>52</v>
      </c>
      <c r="B28" s="273">
        <f>'PD0101'!D28</f>
        <v>0</v>
      </c>
      <c r="C28" s="273">
        <f>'PD0101'!E28</f>
        <v>0</v>
      </c>
      <c r="D28" s="273">
        <f>'PD0101'!B28</f>
        <v>0</v>
      </c>
      <c r="E28" s="273">
        <f>'PD0101'!C28</f>
        <v>0</v>
      </c>
      <c r="F28" s="273">
        <f>'IMPORTAÇÃO GENOTIPER'!AY24</f>
        <v>0</v>
      </c>
      <c r="G28" s="273">
        <f>'IMPORTAÇÃO GENOTIPER'!BG24</f>
        <v>0</v>
      </c>
      <c r="H28" s="93">
        <f t="shared" si="33"/>
        <v>0</v>
      </c>
      <c r="I28" s="93">
        <f t="shared" si="33"/>
        <v>0</v>
      </c>
      <c r="J28" s="93">
        <f t="shared" si="33"/>
        <v>0</v>
      </c>
      <c r="K28" s="93">
        <f t="shared" si="33"/>
        <v>0</v>
      </c>
      <c r="L28" s="93">
        <f t="shared" si="33"/>
        <v>0</v>
      </c>
      <c r="M28" s="93">
        <f t="shared" si="33"/>
        <v>0</v>
      </c>
      <c r="N28" s="94">
        <f t="shared" si="1"/>
        <v>0</v>
      </c>
      <c r="O28" s="94">
        <f t="shared" si="2"/>
        <v>0</v>
      </c>
      <c r="P28" s="94">
        <f t="shared" si="3"/>
        <v>0</v>
      </c>
      <c r="Q28" s="94">
        <f t="shared" si="4"/>
        <v>0</v>
      </c>
      <c r="R28" s="94">
        <f t="shared" si="5"/>
        <v>0</v>
      </c>
      <c r="S28" s="94">
        <f t="shared" si="6"/>
        <v>0</v>
      </c>
      <c r="T28" s="95">
        <f t="shared" si="7"/>
        <v>0</v>
      </c>
      <c r="U28" s="95">
        <f t="shared" si="8"/>
        <v>0</v>
      </c>
      <c r="V28" s="96">
        <f>(IF((OR((P28="&gt;20"),(Q28="&gt;20"))),2,(IF(((T28+U28)=(P28+Q28)),0,1))))</f>
        <v>0</v>
      </c>
      <c r="W28" s="97">
        <f t="shared" si="34"/>
        <v>0</v>
      </c>
      <c r="X28" s="120">
        <f t="shared" si="30"/>
        <v>0</v>
      </c>
      <c r="Y28" s="95">
        <f>(IF((AND((T28=0),(U28=0))),E28,(IF((W28&lt;&gt;$AJ$7),0,Q28))))</f>
        <v>0</v>
      </c>
      <c r="Z28" s="98">
        <f t="shared" si="9"/>
        <v>0</v>
      </c>
      <c r="AA28" s="99">
        <f t="shared" si="10"/>
        <v>0</v>
      </c>
      <c r="AB28" s="100">
        <f>IF(X28=0,0,VLOOKUP(X28,FREQUENCIAS!$1:$1048576,(IF(($A28=FREQUENCIAS!$U$1),21,"ERRO")),FREQUENCIAS!$1:$1048576))</f>
        <v>0</v>
      </c>
      <c r="AC28" s="100">
        <f>IF(Y28=0,0,VLOOKUP(Y28,FREQUENCIAS!$1:$1048576,(IF(($A28=FREQUENCIAS!$U$1),21,"ERRO")),FREQUENCIAS!$1:$1048576))</f>
        <v>0</v>
      </c>
      <c r="AD28" s="100"/>
      <c r="AE28" s="100"/>
      <c r="AF28" s="100"/>
      <c r="AG28" s="101">
        <f>(IF((A28="ERRO-FT"),"4",((IF((AND(($Z28=0),($AA28=0),($AX$32="N"))),0,(IF((AND(($Z28=0),($AA28=0),(AX$32="S"))),1,(IF((AB28+AC28+AD28+AE28+AF28)&lt;=$AI$7,$AI$7,(AB28+AC28+AD28+AE28+AF28))))))))))</f>
        <v>0</v>
      </c>
      <c r="AH28" s="102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3">
        <f t="shared" si="11"/>
        <v>0</v>
      </c>
      <c r="AJ28" s="104"/>
      <c r="AK28" s="105">
        <f t="shared" si="12"/>
        <v>1</v>
      </c>
      <c r="AL28" s="104"/>
      <c r="AM28" s="106" t="str">
        <f t="shared" si="13"/>
        <v>EXCLUI</v>
      </c>
      <c r="AN28" s="97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1">
        <f t="shared" si="16"/>
        <v>0</v>
      </c>
      <c r="BD28" s="2">
        <f t="shared" si="35"/>
        <v>1</v>
      </c>
      <c r="BF28" s="53">
        <v>4</v>
      </c>
      <c r="BG28" s="53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7" t="str">
        <f t="shared" si="17"/>
        <v/>
      </c>
      <c r="BJ28" s="57">
        <f t="shared" si="18"/>
        <v>0</v>
      </c>
      <c r="BK28" s="57">
        <f t="shared" si="19"/>
        <v>0</v>
      </c>
      <c r="BL28" s="60" t="str">
        <f t="shared" si="20"/>
        <v/>
      </c>
      <c r="BM28" s="60">
        <f t="shared" si="21"/>
        <v>0</v>
      </c>
      <c r="BN28" s="60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 x14ac:dyDescent="0.3">
      <c r="A29" s="272" t="s">
        <v>152</v>
      </c>
      <c r="B29" s="273">
        <f>'PD0101'!D29</f>
        <v>0</v>
      </c>
      <c r="C29" s="273">
        <f>'PD0101'!E29</f>
        <v>0</v>
      </c>
      <c r="D29" s="273">
        <f>'PD0101'!B29</f>
        <v>0</v>
      </c>
      <c r="E29" s="273">
        <f>'PD0101'!C29</f>
        <v>0</v>
      </c>
      <c r="F29" s="273">
        <f>'IMPORTAÇÃO GENOTIPER'!AY25</f>
        <v>0</v>
      </c>
      <c r="G29" s="273">
        <f>'IMPORTAÇÃO GENOTIPER'!BG25</f>
        <v>0</v>
      </c>
      <c r="H29" s="93">
        <f t="shared" si="33"/>
        <v>0</v>
      </c>
      <c r="I29" s="93">
        <f t="shared" si="33"/>
        <v>0</v>
      </c>
      <c r="J29" s="93">
        <f t="shared" si="33"/>
        <v>0</v>
      </c>
      <c r="K29" s="93">
        <f t="shared" si="33"/>
        <v>0</v>
      </c>
      <c r="L29" s="93">
        <f t="shared" si="33"/>
        <v>0</v>
      </c>
      <c r="M29" s="93">
        <f t="shared" si="33"/>
        <v>0</v>
      </c>
      <c r="N29" s="94">
        <f t="shared" si="1"/>
        <v>0</v>
      </c>
      <c r="O29" s="94">
        <f t="shared" si="2"/>
        <v>0</v>
      </c>
      <c r="P29" s="94">
        <f t="shared" si="3"/>
        <v>0</v>
      </c>
      <c r="Q29" s="94">
        <f t="shared" si="4"/>
        <v>0</v>
      </c>
      <c r="R29" s="94">
        <f t="shared" si="5"/>
        <v>0</v>
      </c>
      <c r="S29" s="94">
        <f t="shared" si="6"/>
        <v>0</v>
      </c>
      <c r="T29" s="95">
        <f t="shared" si="7"/>
        <v>0</v>
      </c>
      <c r="U29" s="95">
        <f t="shared" si="8"/>
        <v>0</v>
      </c>
      <c r="V29" s="96">
        <f>(IF((OR((P29="&gt;23"),(Q29="&gt;23"))),2,(IF(((T29+U29)=(P29+Q29)),0,1))))</f>
        <v>0</v>
      </c>
      <c r="W29" s="97">
        <f t="shared" si="34"/>
        <v>0</v>
      </c>
      <c r="X29" s="120">
        <f t="shared" si="30"/>
        <v>0</v>
      </c>
      <c r="Y29" s="95">
        <f>(IF((AND((T29=0),(U29=0))),E29,(IF((W29&lt;&gt;$AJ$7),0,Q29))))</f>
        <v>0</v>
      </c>
      <c r="Z29" s="98">
        <f t="shared" si="9"/>
        <v>0</v>
      </c>
      <c r="AA29" s="99">
        <f t="shared" si="10"/>
        <v>0</v>
      </c>
      <c r="AB29" s="100">
        <f>IF(X29=0,0,VLOOKUP(X29,FREQUENCIAS!$1:$1048576,(IF(($A29=FREQUENCIAS!$V$1),22,"ERRO")),FREQUENCIAS!$1:$1048576))</f>
        <v>0</v>
      </c>
      <c r="AC29" s="100">
        <f>IF(Y29=0,0,VLOOKUP(Y29,FREQUENCIAS!$1:$1048576,(IF(($A29=FREQUENCIAS!$V$1),22,"ERRO")),FREQUENCIAS!$1:$1048576))</f>
        <v>0</v>
      </c>
      <c r="AD29" s="100"/>
      <c r="AE29" s="100"/>
      <c r="AF29" s="100"/>
      <c r="AG29" s="101">
        <f>(IF((A29="ERRO-FT"),"8",((IF((AND(($Z29=0),($AA29=0),($AX$32="N"))),0,(IF((AND(($Z29=0),($AA29=0),(AX$32="S"))),1,(IF((AB29+AC29+AD29+AE29+AF29)&lt;=$AI$7,$AI$7,(AB29+AC29+AD29+AE29+AF29))))))))))</f>
        <v>0</v>
      </c>
      <c r="AH29" s="102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3">
        <f t="shared" si="11"/>
        <v>0</v>
      </c>
      <c r="AJ29" s="104"/>
      <c r="AK29" s="105">
        <f t="shared" si="12"/>
        <v>1</v>
      </c>
      <c r="AL29" s="104"/>
      <c r="AM29" s="106" t="str">
        <f t="shared" si="13"/>
        <v>EXCLUI</v>
      </c>
      <c r="AN29" s="97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1">
        <f t="shared" si="16"/>
        <v>0</v>
      </c>
      <c r="BD29" s="2">
        <f t="shared" si="35"/>
        <v>1</v>
      </c>
      <c r="BF29" s="53">
        <v>8</v>
      </c>
      <c r="BG29" s="53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7" t="str">
        <f t="shared" si="17"/>
        <v/>
      </c>
      <c r="BJ29" s="57">
        <f t="shared" si="18"/>
        <v>0</v>
      </c>
      <c r="BK29" s="57">
        <f t="shared" si="19"/>
        <v>0</v>
      </c>
      <c r="BL29" s="60" t="str">
        <f t="shared" si="20"/>
        <v/>
      </c>
      <c r="BM29" s="60">
        <f t="shared" si="21"/>
        <v>0</v>
      </c>
      <c r="BN29" s="60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 x14ac:dyDescent="0.3">
      <c r="A30" s="272" t="s">
        <v>218</v>
      </c>
      <c r="B30" s="273">
        <f>'PD0101'!D30</f>
        <v>0</v>
      </c>
      <c r="C30" s="273">
        <f>'PD0101'!E30</f>
        <v>0</v>
      </c>
      <c r="D30" s="273">
        <f>'PD0101'!B30</f>
        <v>0</v>
      </c>
      <c r="E30" s="273">
        <f>'PD0101'!C30</f>
        <v>0</v>
      </c>
      <c r="F30" s="273">
        <f>'IMPORTAÇÃO GENOTIPER'!AY26</f>
        <v>0</v>
      </c>
      <c r="G30" s="273">
        <f>'IMPORTAÇÃO GENOTIPER'!BG26</f>
        <v>0</v>
      </c>
      <c r="H30" s="93">
        <f t="shared" si="33"/>
        <v>0</v>
      </c>
      <c r="I30" s="93">
        <f t="shared" si="33"/>
        <v>0</v>
      </c>
      <c r="J30" s="93">
        <f t="shared" si="33"/>
        <v>0</v>
      </c>
      <c r="K30" s="93">
        <f t="shared" si="33"/>
        <v>0</v>
      </c>
      <c r="L30" s="93">
        <f t="shared" si="33"/>
        <v>0</v>
      </c>
      <c r="M30" s="93">
        <f t="shared" si="33"/>
        <v>0</v>
      </c>
      <c r="N30" s="94">
        <f t="shared" si="1"/>
        <v>0</v>
      </c>
      <c r="O30" s="94">
        <f t="shared" si="2"/>
        <v>0</v>
      </c>
      <c r="P30" s="94">
        <f t="shared" si="3"/>
        <v>0</v>
      </c>
      <c r="Q30" s="94">
        <f t="shared" si="4"/>
        <v>0</v>
      </c>
      <c r="R30" s="94">
        <f t="shared" si="5"/>
        <v>0</v>
      </c>
      <c r="S30" s="94">
        <f t="shared" si="6"/>
        <v>0</v>
      </c>
      <c r="T30" s="95">
        <f t="shared" si="7"/>
        <v>0</v>
      </c>
      <c r="U30" s="95">
        <f t="shared" si="8"/>
        <v>0</v>
      </c>
      <c r="V30" s="96">
        <f>(IF((OR((P30="&gt;22"),(Q30="&gt;22"))),2,(IF(((T30+U30)=(P30+Q30)),0,1))))</f>
        <v>0</v>
      </c>
      <c r="W30" s="97">
        <f t="shared" si="34"/>
        <v>0</v>
      </c>
      <c r="X30" s="120">
        <f t="shared" si="30"/>
        <v>0</v>
      </c>
      <c r="Y30" s="95">
        <f>(IF((AND((T30=0),(U30=0))),E30,(IF((W30&lt;&gt;$AJ$7),0,Q30))))</f>
        <v>0</v>
      </c>
      <c r="Z30" s="98">
        <f t="shared" si="9"/>
        <v>0</v>
      </c>
      <c r="AA30" s="99">
        <f t="shared" si="10"/>
        <v>0</v>
      </c>
      <c r="AB30" s="100">
        <f>IF(X30=0,0,VLOOKUP(X30,FREQUENCIAS!$1:$1048576,(IF(($A30=FREQUENCIAS!$W$1),23,"ERRO")),FREQUENCIAS!$1:$1048576))</f>
        <v>0</v>
      </c>
      <c r="AC30" s="100">
        <f>IF(Y30=0,0,VLOOKUP(Y30,FREQUENCIAS!$1:$1048576,(IF(($A30=FREQUENCIAS!$W$1),23,"ERRO")),FREQUENCIAS!$1:$1048576))</f>
        <v>0</v>
      </c>
      <c r="AD30" s="100"/>
      <c r="AE30" s="100"/>
      <c r="AF30" s="100"/>
      <c r="AG30" s="101">
        <f>(IF((A30="ERRO-FT"),"5",((IF((AND(($Z30=0),($AA30=0),($AX$32="N"))),0,(IF((AND(($Z30=0),($AA30=0),(AX$32="S"))),1,(IF((AB30+AC30+AD30+AE30+AF30)&lt;=$AI$7,$AI$7,(AB30+AC30+AD30+AE30+AF30))))))))))</f>
        <v>0</v>
      </c>
      <c r="AH30" s="102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3">
        <f t="shared" si="11"/>
        <v>0</v>
      </c>
      <c r="AJ30" s="104"/>
      <c r="AK30" s="105">
        <f t="shared" si="12"/>
        <v>1</v>
      </c>
      <c r="AL30" s="104"/>
      <c r="AM30" s="106" t="str">
        <f t="shared" si="13"/>
        <v>EXCLUI</v>
      </c>
      <c r="AN30" s="97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0</v>
      </c>
      <c r="BC30" s="41">
        <f t="shared" si="16"/>
        <v>0</v>
      </c>
      <c r="BD30" s="2">
        <f t="shared" si="35"/>
        <v>1</v>
      </c>
      <c r="BF30" s="53">
        <v>5</v>
      </c>
      <c r="BG30" s="53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7" t="str">
        <f t="shared" si="17"/>
        <v/>
      </c>
      <c r="BJ30" s="57">
        <f t="shared" si="18"/>
        <v>0</v>
      </c>
      <c r="BK30" s="57">
        <f t="shared" si="19"/>
        <v>0</v>
      </c>
      <c r="BL30" s="60" t="str">
        <f t="shared" si="20"/>
        <v/>
      </c>
      <c r="BM30" s="60">
        <f t="shared" si="21"/>
        <v>0</v>
      </c>
      <c r="BN30" s="60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 x14ac:dyDescent="0.25">
      <c r="A31" s="36"/>
      <c r="B31" s="16"/>
      <c r="C31" s="16"/>
      <c r="D31" s="16"/>
      <c r="E31" s="26"/>
      <c r="F31" s="26"/>
      <c r="G31" s="277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84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846"/>
      <c r="AI31" s="846"/>
      <c r="AK31" s="84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42"/>
      <c r="AM31" s="278"/>
      <c r="AN31" s="17"/>
      <c r="AX31" s="55">
        <f>SUM(AX9:AX23)</f>
        <v>15</v>
      </c>
      <c r="BC31" s="41">
        <f>(IF((AND(($AX$32="N"),($AX$34="O"))),(BC9*BC10*BC11*BC12*BC13*BC14*BC15*BC16*BC17*BC18*BC19*BC20*BC21*BC22*BC23),0))</f>
        <v>0</v>
      </c>
      <c r="BD31" s="35">
        <f>SUM(BD9:BD23)</f>
        <v>15</v>
      </c>
      <c r="BF31" s="2"/>
      <c r="BG31" s="2"/>
    </row>
    <row r="32" spans="1:80" s="1" customFormat="1" ht="15" x14ac:dyDescent="0.25">
      <c r="A32" s="18"/>
      <c r="B32" s="6"/>
      <c r="C32" s="6"/>
      <c r="D32" s="6"/>
      <c r="E32" s="27"/>
      <c r="F32" s="27"/>
      <c r="G32" s="73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843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843"/>
      <c r="AI32" s="843"/>
      <c r="AJ32" s="843"/>
      <c r="AK32" s="843"/>
      <c r="AL32" s="843"/>
      <c r="AM32" s="843"/>
      <c r="AN32" s="76"/>
      <c r="AR32" s="1" t="s">
        <v>102</v>
      </c>
      <c r="AS32" s="22" t="s">
        <v>139</v>
      </c>
      <c r="AX32" s="28" t="str">
        <f>IF(AH41="SIM","S",IF(AH41="NÃO","N",""))</f>
        <v>N</v>
      </c>
      <c r="AY32" s="50" t="s">
        <v>124</v>
      </c>
      <c r="BF32" s="2"/>
      <c r="BG32" s="2"/>
    </row>
    <row r="33" spans="1:74" s="1" customFormat="1" ht="15" x14ac:dyDescent="0.25">
      <c r="A33" s="18"/>
      <c r="B33" s="6"/>
      <c r="C33" s="6"/>
      <c r="D33" s="6"/>
      <c r="E33" s="27"/>
      <c r="F33" s="27"/>
      <c r="G33" s="73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84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844"/>
      <c r="AI33" s="844"/>
      <c r="AJ33" s="844"/>
      <c r="AK33" s="844"/>
      <c r="AL33" s="844"/>
      <c r="AM33" s="844"/>
      <c r="AN33" s="75"/>
      <c r="AR33" s="1" t="s">
        <v>104</v>
      </c>
      <c r="AS33" s="22" t="s">
        <v>140</v>
      </c>
      <c r="AX33" s="29" t="s">
        <v>104</v>
      </c>
      <c r="AY33" s="50" t="s">
        <v>125</v>
      </c>
      <c r="BF33" s="2"/>
      <c r="BG33" s="2"/>
    </row>
    <row r="34" spans="1:74" s="1" customFormat="1" ht="19.5" customHeight="1" thickBot="1" x14ac:dyDescent="0.3">
      <c r="A34" s="18"/>
      <c r="B34" s="6"/>
      <c r="C34" s="6"/>
      <c r="D34" s="6"/>
      <c r="E34" s="27"/>
      <c r="F34" s="27"/>
      <c r="G34" s="73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7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79"/>
      <c r="AI34" s="280"/>
      <c r="AM34" s="42"/>
      <c r="AN34" s="12"/>
      <c r="AX34" s="29"/>
      <c r="AY34" s="50" t="s">
        <v>96</v>
      </c>
      <c r="BF34" s="2"/>
      <c r="BG34" s="2"/>
    </row>
    <row r="35" spans="1:74" s="1" customFormat="1" ht="13.5" thickTop="1" x14ac:dyDescent="0.2">
      <c r="A35" s="281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82"/>
      <c r="AK35" s="282"/>
      <c r="AL35" s="282"/>
      <c r="AM35" s="16"/>
      <c r="AN35" s="17"/>
      <c r="BF35" s="2"/>
      <c r="BG35" s="2"/>
    </row>
    <row r="36" spans="1:74" s="1" customFormat="1" x14ac:dyDescent="0.2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2">
        <v>37319</v>
      </c>
      <c r="AJ36" s="43"/>
      <c r="AK36" s="43"/>
      <c r="AL36" s="43"/>
      <c r="AM36" s="6"/>
      <c r="AN36" s="7"/>
      <c r="AR36" s="283" t="s">
        <v>229</v>
      </c>
      <c r="AS36" s="284"/>
      <c r="AT36" s="284"/>
      <c r="AU36" s="284"/>
      <c r="AV36" s="284"/>
      <c r="AW36" s="284"/>
      <c r="AX36" s="284"/>
      <c r="AY36" s="284"/>
      <c r="BF36" s="2"/>
      <c r="BG36" s="2"/>
    </row>
    <row r="37" spans="1:74" s="1" customFormat="1" ht="12.75" customHeight="1" x14ac:dyDescent="0.2">
      <c r="A37" s="285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2"/>
      <c r="AJ37" s="43"/>
      <c r="AK37" s="43"/>
      <c r="AL37" s="43"/>
      <c r="AM37" s="6"/>
      <c r="AN37" s="7"/>
      <c r="AR37" s="845" t="s">
        <v>237</v>
      </c>
      <c r="AS37" s="845"/>
      <c r="AT37" s="845"/>
      <c r="AU37" s="845"/>
      <c r="AV37" s="845"/>
      <c r="AW37" s="845"/>
      <c r="AX37" s="845"/>
      <c r="AY37" s="845"/>
      <c r="BF37" s="2"/>
      <c r="BG37" s="2"/>
    </row>
    <row r="38" spans="1:74" s="1" customFormat="1" ht="12.75" customHeight="1" x14ac:dyDescent="0.2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2"/>
      <c r="AJ38" s="43"/>
      <c r="AK38" s="43"/>
      <c r="AL38" s="43"/>
      <c r="AM38" s="6"/>
      <c r="AN38" s="7"/>
      <c r="AR38" s="845"/>
      <c r="AS38" s="845"/>
      <c r="AT38" s="845"/>
      <c r="AU38" s="845"/>
      <c r="AV38" s="845"/>
      <c r="AW38" s="845"/>
      <c r="AX38" s="845"/>
      <c r="AY38" s="845"/>
      <c r="BF38" s="2"/>
      <c r="BG38" s="2"/>
    </row>
    <row r="39" spans="1:74" s="1" customFormat="1" ht="13.5" thickBot="1" x14ac:dyDescent="0.25">
      <c r="A39" s="286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4"/>
      <c r="AK39" s="44"/>
      <c r="AL39" s="44"/>
      <c r="AM39" s="10"/>
      <c r="AN39" s="12"/>
      <c r="AR39" s="845"/>
      <c r="AS39" s="845"/>
      <c r="AT39" s="845"/>
      <c r="AU39" s="845"/>
      <c r="AV39" s="845"/>
      <c r="AW39" s="845"/>
      <c r="AX39" s="845"/>
      <c r="AY39" s="845"/>
      <c r="BF39" s="2"/>
      <c r="BG39" s="2"/>
    </row>
    <row r="40" spans="1:74" s="1" customFormat="1" ht="16.5" thickTop="1" x14ac:dyDescent="0.25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6" t="s">
        <v>127</v>
      </c>
      <c r="AH40" s="287" t="s">
        <v>139</v>
      </c>
      <c r="AI40" s="72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/>
      </c>
      <c r="AJ40" s="69"/>
      <c r="AK40" s="69"/>
      <c r="AL40" s="69"/>
      <c r="AM40" s="69"/>
      <c r="AN40" s="71"/>
      <c r="AO40" s="69"/>
      <c r="AP40" s="69"/>
      <c r="AQ40" s="69"/>
      <c r="AR40" s="845" t="s">
        <v>234</v>
      </c>
      <c r="AS40" s="845"/>
      <c r="AT40" s="845"/>
      <c r="AU40" s="845"/>
      <c r="AV40" s="845"/>
      <c r="AW40" s="845"/>
      <c r="AX40" s="845"/>
      <c r="AY40" s="845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70"/>
    </row>
    <row r="41" spans="1:74" s="1" customFormat="1" ht="12.75" customHeight="1" x14ac:dyDescent="0.25">
      <c r="A41" s="79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6" t="str">
        <f>(IF(($AX$31=1),"Estudar ocorrência de MUTAÇÃO?",(IF(($AX$31=2),"Estudar ocorrência de MUTAÇÃO?",(IF(($AX$32="S"),"Estudar ocorrência de MUTAÇÃO?"," "))))))</f>
        <v xml:space="preserve"> </v>
      </c>
      <c r="AH41" s="288" t="s">
        <v>140</v>
      </c>
      <c r="AI41" s="289"/>
      <c r="AJ41" s="290"/>
      <c r="AK41" s="290"/>
      <c r="AL41" s="290"/>
      <c r="AM41" s="289"/>
      <c r="AN41" s="291"/>
      <c r="AR41" s="845"/>
      <c r="AS41" s="845"/>
      <c r="AT41" s="845"/>
      <c r="AU41" s="845"/>
      <c r="AV41" s="845"/>
      <c r="AW41" s="845"/>
      <c r="AX41" s="845"/>
      <c r="AY41" s="845"/>
      <c r="BF41" s="2"/>
      <c r="BG41" s="2"/>
    </row>
    <row r="42" spans="1:74" s="1" customFormat="1" x14ac:dyDescent="0.2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49"/>
      <c r="AH42" s="49"/>
      <c r="AI42" s="6"/>
      <c r="AJ42" s="43"/>
      <c r="AK42" s="43"/>
      <c r="AL42" s="43"/>
      <c r="AM42" s="6"/>
      <c r="AN42" s="7"/>
      <c r="AR42" s="845"/>
      <c r="AS42" s="845"/>
      <c r="AT42" s="845"/>
      <c r="AU42" s="845"/>
      <c r="AV42" s="845"/>
      <c r="AW42" s="845"/>
      <c r="AX42" s="845"/>
      <c r="AY42" s="845"/>
      <c r="BF42" s="2"/>
      <c r="BG42" s="2"/>
    </row>
    <row r="43" spans="1:74" s="1" customFormat="1" ht="12.75" customHeight="1" x14ac:dyDescent="0.25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5"/>
      <c r="AH43" s="288"/>
      <c r="AI43" s="289"/>
      <c r="AJ43" s="290"/>
      <c r="AK43" s="290"/>
      <c r="AL43" s="290"/>
      <c r="AM43" s="289"/>
      <c r="AN43" s="291"/>
      <c r="AY43" s="48"/>
      <c r="BF43" s="2"/>
      <c r="BG43" s="2"/>
    </row>
    <row r="44" spans="1:74" s="1" customFormat="1" ht="12.75" customHeight="1" x14ac:dyDescent="0.2">
      <c r="A44" s="83"/>
      <c r="B44" s="86"/>
      <c r="C44" s="86"/>
      <c r="D44" s="292"/>
      <c r="E44" s="85"/>
      <c r="F44" s="85" t="s">
        <v>202</v>
      </c>
      <c r="G44" s="836">
        <f ca="1">TODAY()</f>
        <v>44843</v>
      </c>
      <c r="H44" s="836"/>
      <c r="I44" s="836"/>
      <c r="J44" s="836"/>
      <c r="K44" s="836"/>
      <c r="L44" s="836"/>
      <c r="M44" s="836"/>
      <c r="N44" s="836"/>
      <c r="O44" s="836"/>
      <c r="P44" s="836"/>
      <c r="Q44" s="836"/>
      <c r="R44" s="836"/>
      <c r="S44" s="836"/>
      <c r="T44" s="836"/>
      <c r="U44" s="836"/>
      <c r="V44" s="836"/>
      <c r="W44" s="836"/>
      <c r="X44" s="836"/>
      <c r="Y44" s="836"/>
      <c r="Z44" s="836"/>
      <c r="AA44" s="836"/>
      <c r="AB44" s="836"/>
      <c r="AC44" s="836"/>
      <c r="AD44" s="836"/>
      <c r="AE44" s="836"/>
      <c r="AF44" s="836"/>
      <c r="AG44" s="836"/>
      <c r="AH44" s="836"/>
      <c r="AI44" s="836"/>
      <c r="AJ44" s="836"/>
      <c r="AK44" s="836"/>
      <c r="AL44" s="836"/>
      <c r="AM44" s="836"/>
      <c r="AN44" s="837"/>
      <c r="BF44" s="2"/>
      <c r="BG44" s="2"/>
    </row>
    <row r="45" spans="1:74" s="1" customFormat="1" ht="13.5" customHeight="1" x14ac:dyDescent="0.2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3"/>
      <c r="AK45" s="43"/>
      <c r="AL45" s="43"/>
      <c r="AM45" s="6"/>
      <c r="AN45" s="7"/>
      <c r="BF45" s="2"/>
      <c r="BG45" s="2"/>
    </row>
    <row r="46" spans="1:74" s="1" customFormat="1" x14ac:dyDescent="0.2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J46" s="43"/>
      <c r="AK46" s="43"/>
      <c r="AL46" s="43"/>
      <c r="AM46" s="6"/>
      <c r="AN46" s="7"/>
      <c r="BF46" s="2"/>
      <c r="BG46" s="2"/>
    </row>
    <row r="47" spans="1:74" s="1" customFormat="1" ht="15" x14ac:dyDescent="0.2">
      <c r="A47" s="90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>ATENÇÃO: Verificar ocorrência de repetição alélica entre 2 pessoas genotipadas</v>
      </c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  <c r="AJ47" s="91"/>
      <c r="AK47" s="91"/>
      <c r="AL47" s="91"/>
      <c r="AM47" s="91"/>
      <c r="AN47" s="92"/>
      <c r="BF47" s="2"/>
      <c r="BG47" s="2"/>
    </row>
    <row r="48" spans="1:74" s="1" customFormat="1" x14ac:dyDescent="0.2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43"/>
      <c r="AK48" s="43"/>
      <c r="AL48" s="43"/>
      <c r="AM48" s="6"/>
      <c r="AN48" s="7"/>
      <c r="BF48" s="2"/>
      <c r="BG48" s="2"/>
    </row>
    <row r="49" spans="1:59" s="1" customFormat="1" x14ac:dyDescent="0.2">
      <c r="A49" s="838" t="s">
        <v>208</v>
      </c>
      <c r="B49" s="839"/>
      <c r="C49" s="839"/>
      <c r="D49" s="839"/>
      <c r="E49" s="839"/>
      <c r="F49" s="839"/>
      <c r="G49" s="112" t="s">
        <v>204</v>
      </c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840" t="s">
        <v>205</v>
      </c>
      <c r="AH49" s="840"/>
      <c r="AI49" s="840"/>
      <c r="AJ49" s="840"/>
      <c r="AK49" s="840"/>
      <c r="AL49" s="840"/>
      <c r="AM49" s="840"/>
      <c r="AN49" s="841"/>
      <c r="BF49" s="2"/>
      <c r="BG49" s="2"/>
    </row>
    <row r="50" spans="1:59" s="1" customFormat="1" x14ac:dyDescent="0.2">
      <c r="A50" s="832" t="s">
        <v>209</v>
      </c>
      <c r="B50" s="833"/>
      <c r="C50" s="833"/>
      <c r="D50" s="833"/>
      <c r="E50" s="833"/>
      <c r="F50" s="833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34" t="s">
        <v>206</v>
      </c>
      <c r="AH50" s="834"/>
      <c r="AI50" s="834"/>
      <c r="AJ50" s="834"/>
      <c r="AK50" s="834"/>
      <c r="AL50" s="834"/>
      <c r="AM50" s="834"/>
      <c r="AN50" s="835"/>
      <c r="BF50" s="2"/>
      <c r="BG50" s="2"/>
    </row>
    <row r="51" spans="1:59" s="1" customFormat="1" x14ac:dyDescent="0.2">
      <c r="A51" s="832" t="s">
        <v>210</v>
      </c>
      <c r="B51" s="833"/>
      <c r="C51" s="833"/>
      <c r="D51" s="833"/>
      <c r="E51" s="833"/>
      <c r="F51" s="833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34" t="s">
        <v>207</v>
      </c>
      <c r="AH51" s="834"/>
      <c r="AI51" s="834"/>
      <c r="AJ51" s="834"/>
      <c r="AK51" s="834"/>
      <c r="AL51" s="834"/>
      <c r="AM51" s="834"/>
      <c r="AN51" s="835"/>
      <c r="BF51" s="2"/>
      <c r="BG51" s="2"/>
    </row>
    <row r="52" spans="1:59" s="1" customFormat="1" ht="13.5" thickBot="1" x14ac:dyDescent="0.25">
      <c r="A52" s="770" t="s">
        <v>211</v>
      </c>
      <c r="B52" s="771"/>
      <c r="C52" s="771"/>
      <c r="D52" s="771"/>
      <c r="E52" s="771"/>
      <c r="F52" s="771"/>
      <c r="G52" s="771"/>
      <c r="H52" s="771"/>
      <c r="I52" s="771"/>
      <c r="J52" s="771"/>
      <c r="K52" s="771"/>
      <c r="L52" s="771"/>
      <c r="M52" s="771"/>
      <c r="N52" s="771"/>
      <c r="O52" s="771"/>
      <c r="P52" s="771"/>
      <c r="Q52" s="771"/>
      <c r="R52" s="771"/>
      <c r="S52" s="771"/>
      <c r="T52" s="771"/>
      <c r="U52" s="771"/>
      <c r="V52" s="771"/>
      <c r="W52" s="771"/>
      <c r="X52" s="771"/>
      <c r="Y52" s="771"/>
      <c r="Z52" s="771"/>
      <c r="AA52" s="771"/>
      <c r="AB52" s="771"/>
      <c r="AC52" s="771"/>
      <c r="AD52" s="771"/>
      <c r="AE52" s="771"/>
      <c r="AF52" s="771"/>
      <c r="AG52" s="771"/>
      <c r="AH52" s="771"/>
      <c r="AI52" s="771"/>
      <c r="AJ52" s="771"/>
      <c r="AK52" s="771"/>
      <c r="AL52" s="771"/>
      <c r="AM52" s="771"/>
      <c r="AN52" s="772"/>
      <c r="BF52" s="2"/>
      <c r="BG52" s="2"/>
    </row>
    <row r="53" spans="1:59" s="107" customFormat="1" ht="26.25" thickTop="1" x14ac:dyDescent="0.5">
      <c r="A53" s="110" t="s">
        <v>195</v>
      </c>
      <c r="B53" s="110" t="s">
        <v>197</v>
      </c>
      <c r="C53" s="110" t="s">
        <v>198</v>
      </c>
      <c r="D53" s="110" t="s">
        <v>199</v>
      </c>
      <c r="E53" s="110" t="s">
        <v>200</v>
      </c>
      <c r="F53" s="110" t="s">
        <v>201</v>
      </c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M53" s="109"/>
      <c r="AN53" s="293" t="s">
        <v>195</v>
      </c>
      <c r="BF53" s="108"/>
      <c r="BG53" s="108"/>
    </row>
    <row r="54" spans="1:59" s="294" customFormat="1" x14ac:dyDescent="0.2">
      <c r="A54" s="294" t="str">
        <f>'IMPORTAÇÃO GENOTIPER'!$S$1</f>
        <v>Helder - MS</v>
      </c>
      <c r="B54" s="294" t="s">
        <v>194</v>
      </c>
      <c r="AN54" s="295" t="s">
        <v>196</v>
      </c>
      <c r="BF54" s="296"/>
      <c r="BG54" s="296"/>
    </row>
    <row r="55" spans="1:59" s="294" customFormat="1" x14ac:dyDescent="0.2">
      <c r="B55" s="294" t="s">
        <v>186</v>
      </c>
      <c r="BF55" s="296"/>
      <c r="BG55" s="296"/>
    </row>
    <row r="56" spans="1:59" s="294" customFormat="1" x14ac:dyDescent="0.2">
      <c r="B56" s="294" t="s">
        <v>188</v>
      </c>
      <c r="BF56" s="296"/>
      <c r="BG56" s="296"/>
    </row>
    <row r="57" spans="1:59" s="294" customFormat="1" x14ac:dyDescent="0.2">
      <c r="B57" s="294" t="s">
        <v>189</v>
      </c>
      <c r="BF57" s="296"/>
      <c r="BG57" s="296"/>
    </row>
    <row r="58" spans="1:59" s="294" customFormat="1" x14ac:dyDescent="0.2">
      <c r="B58" s="294" t="s">
        <v>190</v>
      </c>
      <c r="BF58" s="296"/>
      <c r="BG58" s="296"/>
    </row>
    <row r="59" spans="1:59" s="294" customFormat="1" x14ac:dyDescent="0.2">
      <c r="B59" s="294" t="s">
        <v>191</v>
      </c>
      <c r="BF59" s="296"/>
      <c r="BG59" s="296"/>
    </row>
    <row r="60" spans="1:59" s="294" customFormat="1" x14ac:dyDescent="0.2">
      <c r="B60" s="294" t="s">
        <v>192</v>
      </c>
      <c r="BF60" s="296"/>
      <c r="BG60" s="296"/>
    </row>
    <row r="61" spans="1:59" s="294" customFormat="1" x14ac:dyDescent="0.2">
      <c r="B61" s="294" t="s">
        <v>193</v>
      </c>
      <c r="BF61" s="296"/>
      <c r="BG61" s="296"/>
    </row>
    <row r="63" spans="1:59" s="1" customFormat="1" x14ac:dyDescent="0.2">
      <c r="AM63" s="20"/>
      <c r="BF63" s="2"/>
      <c r="BG63" s="2"/>
    </row>
  </sheetData>
  <mergeCells count="33">
    <mergeCell ref="L8:M8"/>
    <mergeCell ref="R8:S8"/>
    <mergeCell ref="A1:AN1"/>
    <mergeCell ref="B3:G3"/>
    <mergeCell ref="B8:C8"/>
    <mergeCell ref="D8:E8"/>
    <mergeCell ref="F8:G8"/>
    <mergeCell ref="H8:I8"/>
    <mergeCell ref="J8:K8"/>
    <mergeCell ref="AZ6:BA6"/>
    <mergeCell ref="AQ7:AV8"/>
    <mergeCell ref="AZ7:BB7"/>
    <mergeCell ref="BI7:BK7"/>
    <mergeCell ref="BL7:BN7"/>
    <mergeCell ref="BO7:BQ7"/>
    <mergeCell ref="N8:O8"/>
    <mergeCell ref="P8:Q8"/>
    <mergeCell ref="X8:Y8"/>
    <mergeCell ref="Z8:AA8"/>
    <mergeCell ref="AK31:AL31"/>
    <mergeCell ref="AG32:AM32"/>
    <mergeCell ref="AG33:AM33"/>
    <mergeCell ref="AR37:AY39"/>
    <mergeCell ref="AR40:AY42"/>
    <mergeCell ref="AG31:AI31"/>
    <mergeCell ref="A51:F51"/>
    <mergeCell ref="AG51:AN51"/>
    <mergeCell ref="A52:AN52"/>
    <mergeCell ref="G44:AN44"/>
    <mergeCell ref="A49:F49"/>
    <mergeCell ref="AG49:AN49"/>
    <mergeCell ref="A50:F50"/>
    <mergeCell ref="AG50:AN50"/>
  </mergeCells>
  <conditionalFormatting sqref="AH9:AH23">
    <cfRule type="cellIs" dxfId="109" priority="30" stopIfTrue="1" operator="equal">
      <formula>"FT"</formula>
    </cfRule>
  </conditionalFormatting>
  <conditionalFormatting sqref="AA9">
    <cfRule type="cellIs" dxfId="108" priority="31" stopIfTrue="1" operator="equal">
      <formula>1</formula>
    </cfRule>
  </conditionalFormatting>
  <conditionalFormatting sqref="AG9">
    <cfRule type="cellIs" dxfId="107" priority="32" stopIfTrue="1" operator="equal">
      <formula>"EXCLUI"</formula>
    </cfRule>
    <cfRule type="cellIs" dxfId="106" priority="33" stopIfTrue="1" operator="equal">
      <formula>"MUTAÇÃO"</formula>
    </cfRule>
  </conditionalFormatting>
  <conditionalFormatting sqref="D9:E23">
    <cfRule type="cellIs" dxfId="105" priority="34" stopIfTrue="1" operator="equal">
      <formula>$T$9</formula>
    </cfRule>
    <cfRule type="cellIs" dxfId="104" priority="35" stopIfTrue="1" operator="equal">
      <formula>$U$9</formula>
    </cfRule>
  </conditionalFormatting>
  <conditionalFormatting sqref="F9:G23">
    <cfRule type="cellIs" dxfId="103" priority="36" stopIfTrue="1" operator="equal">
      <formula>$T9</formula>
    </cfRule>
    <cfRule type="cellIs" dxfId="102" priority="37" stopIfTrue="1" operator="equal">
      <formula>$U9</formula>
    </cfRule>
  </conditionalFormatting>
  <conditionalFormatting sqref="AB9">
    <cfRule type="cellIs" dxfId="101" priority="38" stopIfTrue="1" operator="equal">
      <formula>0</formula>
    </cfRule>
    <cfRule type="cellIs" dxfId="100" priority="39" stopIfTrue="1" operator="equal">
      <formula>$AS$13</formula>
    </cfRule>
  </conditionalFormatting>
  <conditionalFormatting sqref="AH24:AH30">
    <cfRule type="cellIs" dxfId="99" priority="25" stopIfTrue="1" operator="equal">
      <formula>"FT"</formula>
    </cfRule>
  </conditionalFormatting>
  <conditionalFormatting sqref="D24:E30">
    <cfRule type="cellIs" dxfId="98" priority="26" stopIfTrue="1" operator="equal">
      <formula>$T$9</formula>
    </cfRule>
    <cfRule type="cellIs" dxfId="97" priority="27" stopIfTrue="1" operator="equal">
      <formula>$U$9</formula>
    </cfRule>
  </conditionalFormatting>
  <conditionalFormatting sqref="F24:G30">
    <cfRule type="cellIs" dxfId="96" priority="28" stopIfTrue="1" operator="equal">
      <formula>$T24</formula>
    </cfRule>
    <cfRule type="cellIs" dxfId="95" priority="29" stopIfTrue="1" operator="equal">
      <formula>$U24</formula>
    </cfRule>
  </conditionalFormatting>
  <conditionalFormatting sqref="H9:M30">
    <cfRule type="cellIs" dxfId="94" priority="23" stopIfTrue="1" operator="equal">
      <formula>$Z9</formula>
    </cfRule>
    <cfRule type="cellIs" dxfId="93" priority="24" stopIfTrue="1" operator="equal">
      <formula>$AA9</formula>
    </cfRule>
  </conditionalFormatting>
  <conditionalFormatting sqref="AG43">
    <cfRule type="cellIs" dxfId="92" priority="21" stopIfTrue="1" operator="greaterThanOrEqual">
      <formula>1</formula>
    </cfRule>
    <cfRule type="cellIs" dxfId="91" priority="22" stopIfTrue="1" operator="lessThanOrEqual">
      <formula>2</formula>
    </cfRule>
  </conditionalFormatting>
  <conditionalFormatting sqref="AM9:AM30">
    <cfRule type="cellIs" dxfId="90" priority="19" stopIfTrue="1" operator="equal">
      <formula>"EXCLUI"</formula>
    </cfRule>
    <cfRule type="cellIs" dxfId="89" priority="20" stopIfTrue="1" operator="equal">
      <formula>"MUTAÇÃO"</formula>
    </cfRule>
  </conditionalFormatting>
  <conditionalFormatting sqref="BI9:BQ30">
    <cfRule type="cellIs" dxfId="88" priority="18" stopIfTrue="1" operator="equal">
      <formula>$BF9-1</formula>
    </cfRule>
  </conditionalFormatting>
  <conditionalFormatting sqref="BT9:BU30">
    <cfRule type="cellIs" dxfId="87" priority="16" stopIfTrue="1" operator="equal">
      <formula>$BN9</formula>
    </cfRule>
    <cfRule type="cellIs" dxfId="86" priority="17" stopIfTrue="1" operator="equal">
      <formula>$BQ9</formula>
    </cfRule>
  </conditionalFormatting>
  <conditionalFormatting sqref="A9:A30">
    <cfRule type="cellIs" dxfId="85" priority="15" stopIfTrue="1" operator="equal">
      <formula>"ERRO-FT"</formula>
    </cfRule>
  </conditionalFormatting>
  <conditionalFormatting sqref="AH8">
    <cfRule type="cellIs" dxfId="84" priority="14" stopIfTrue="1" operator="equal">
      <formula>"AL.SUP."</formula>
    </cfRule>
  </conditionalFormatting>
  <conditionalFormatting sqref="AG8">
    <cfRule type="cellIs" dxfId="83" priority="13" stopIfTrue="1" operator="equal">
      <formula>"AL.INF."</formula>
    </cfRule>
  </conditionalFormatting>
  <conditionalFormatting sqref="AG9:AG30">
    <cfRule type="expression" dxfId="82" priority="12" stopIfTrue="1">
      <formula>(A9="ERRO-FT")</formula>
    </cfRule>
  </conditionalFormatting>
  <conditionalFormatting sqref="AH9:AH30">
    <cfRule type="cellIs" dxfId="81" priority="9" stopIfTrue="1" operator="equal">
      <formula>0</formula>
    </cfRule>
    <cfRule type="cellIs" dxfId="80" priority="10" stopIfTrue="1" operator="equal">
      <formula>$AY9</formula>
    </cfRule>
    <cfRule type="expression" dxfId="79" priority="11" stopIfTrue="1">
      <formula>(A9="ERRO-FT")</formula>
    </cfRule>
  </conditionalFormatting>
  <conditionalFormatting sqref="AG31:AI31">
    <cfRule type="cellIs" dxfId="78" priority="8" stopIfTrue="1" operator="equal">
      <formula>"VERIFICAR ALELOS"</formula>
    </cfRule>
  </conditionalFormatting>
  <conditionalFormatting sqref="AG32:AM32">
    <cfRule type="cellIs" dxfId="77" priority="7" stopIfTrue="1" operator="equal">
      <formula>"OCORRÊNCIA DE 'OUT LADDER'"</formula>
    </cfRule>
  </conditionalFormatting>
  <conditionalFormatting sqref="AG33:AN33">
    <cfRule type="cellIs" dxfId="76" priority="5" stopIfTrue="1" operator="equal">
      <formula>"CÁLCULO COM OMISSÃO DE LOCUS"</formula>
    </cfRule>
    <cfRule type="cellIs" dxfId="75" priority="6" stopIfTrue="1" operator="equal">
      <formula>"ANALISAR DIGITAÇÃO"</formula>
    </cfRule>
  </conditionalFormatting>
  <conditionalFormatting sqref="AG46:AH46">
    <cfRule type="expression" dxfId="74" priority="3" stopIfTrue="1">
      <formula>($AH$46="SIM")</formula>
    </cfRule>
    <cfRule type="expression" dxfId="73" priority="4" stopIfTrue="1">
      <formula>($AH$46&lt;&gt;"SIM")</formula>
    </cfRule>
  </conditionalFormatting>
  <conditionalFormatting sqref="AN9:AN30">
    <cfRule type="cellIs" dxfId="72" priority="1" stopIfTrue="1" operator="equal">
      <formula>"EM"</formula>
    </cfRule>
    <cfRule type="cellIs" dxfId="71" priority="2" stopIfTrue="1" operator="equal">
      <formula>"MT"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199"/>
  <sheetViews>
    <sheetView zoomScaleNormal="100" workbookViewId="0">
      <pane ySplit="1" topLeftCell="A2" activePane="bottomLeft" state="frozen"/>
      <selection activeCell="B9" sqref="B9:E30"/>
      <selection pane="bottomLeft" activeCell="B9" sqref="B9:E30"/>
    </sheetView>
  </sheetViews>
  <sheetFormatPr defaultColWidth="9.140625" defaultRowHeight="15" x14ac:dyDescent="0.2"/>
  <cols>
    <col min="1" max="1" width="6.5703125" style="114" customWidth="1"/>
    <col min="2" max="3" width="9.7109375" style="303" bestFit="1" customWidth="1"/>
    <col min="4" max="4" width="9.5703125" style="303" bestFit="1" customWidth="1"/>
    <col min="5" max="5" width="10.85546875" style="301" bestFit="1" customWidth="1"/>
    <col min="6" max="6" width="9.7109375" style="301" bestFit="1" customWidth="1"/>
    <col min="7" max="7" width="9.5703125" style="302" bestFit="1" customWidth="1"/>
    <col min="8" max="8" width="9.7109375" style="301" bestFit="1" customWidth="1"/>
    <col min="9" max="9" width="9.5703125" style="301" bestFit="1" customWidth="1"/>
    <col min="10" max="10" width="9.7109375" style="303" bestFit="1" customWidth="1"/>
    <col min="11" max="11" width="9.5703125" style="301" bestFit="1" customWidth="1"/>
    <col min="12" max="12" width="9.5703125" style="303" bestFit="1" customWidth="1"/>
    <col min="13" max="15" width="9.5703125" style="301" bestFit="1" customWidth="1"/>
    <col min="16" max="17" width="9.5703125" style="303" bestFit="1" customWidth="1"/>
    <col min="18" max="18" width="9.5703125" style="301" bestFit="1" customWidth="1"/>
    <col min="19" max="21" width="9.7109375" style="303" bestFit="1" customWidth="1"/>
    <col min="22" max="22" width="9.5703125" style="301" bestFit="1" customWidth="1"/>
    <col min="23" max="23" width="10.85546875" style="303" bestFit="1" customWidth="1"/>
    <col min="24" max="24" width="9.5703125" style="303" customWidth="1"/>
    <col min="25" max="28" width="9.5703125" style="303" bestFit="1" customWidth="1"/>
    <col min="29" max="33" width="9.5703125" style="113" bestFit="1" customWidth="1"/>
    <col min="34" max="34" width="10.7109375" style="113" bestFit="1" customWidth="1"/>
    <col min="35" max="16384" width="9.140625" style="113"/>
  </cols>
  <sheetData>
    <row r="1" spans="1:39" s="217" customFormat="1" x14ac:dyDescent="0.2">
      <c r="A1" s="216" t="s">
        <v>212</v>
      </c>
      <c r="B1" s="301" t="s">
        <v>151</v>
      </c>
      <c r="C1" s="301" t="s">
        <v>214</v>
      </c>
      <c r="D1" s="301" t="s">
        <v>215</v>
      </c>
      <c r="E1" s="301" t="s">
        <v>216</v>
      </c>
      <c r="F1" s="301" t="s">
        <v>157</v>
      </c>
      <c r="G1" s="302" t="s">
        <v>247</v>
      </c>
      <c r="H1" s="301" t="s">
        <v>159</v>
      </c>
      <c r="I1" s="301" t="s">
        <v>155</v>
      </c>
      <c r="J1" s="301" t="s">
        <v>51</v>
      </c>
      <c r="K1" s="301" t="s">
        <v>132</v>
      </c>
      <c r="L1" s="301" t="s">
        <v>248</v>
      </c>
      <c r="M1" s="301" t="s">
        <v>144</v>
      </c>
      <c r="N1" s="301" t="s">
        <v>179</v>
      </c>
      <c r="O1" s="301" t="s">
        <v>154</v>
      </c>
      <c r="P1" s="301" t="s">
        <v>158</v>
      </c>
      <c r="Q1" s="301" t="s">
        <v>156</v>
      </c>
      <c r="R1" s="301" t="s">
        <v>142</v>
      </c>
      <c r="S1" s="301" t="s">
        <v>153</v>
      </c>
      <c r="T1" s="301" t="s">
        <v>217</v>
      </c>
      <c r="U1" s="301" t="s">
        <v>52</v>
      </c>
      <c r="V1" s="301" t="s">
        <v>152</v>
      </c>
      <c r="W1" s="301" t="s">
        <v>218</v>
      </c>
      <c r="X1" s="301" t="s">
        <v>213</v>
      </c>
      <c r="Y1" s="301">
        <v>1</v>
      </c>
      <c r="Z1" s="301">
        <v>2</v>
      </c>
      <c r="AA1" s="301">
        <v>3</v>
      </c>
      <c r="AB1" s="301">
        <v>4</v>
      </c>
      <c r="AC1" s="301">
        <v>5</v>
      </c>
      <c r="AD1" s="301">
        <v>6</v>
      </c>
      <c r="AE1" s="301">
        <v>7</v>
      </c>
      <c r="AF1" s="301">
        <v>8</v>
      </c>
      <c r="AG1" s="301">
        <v>9</v>
      </c>
      <c r="AH1" s="301">
        <v>10</v>
      </c>
      <c r="AI1" s="301">
        <v>11</v>
      </c>
      <c r="AJ1" s="301"/>
      <c r="AK1" s="301"/>
      <c r="AL1" s="301"/>
      <c r="AM1" s="301"/>
    </row>
    <row r="2" spans="1:39" x14ac:dyDescent="0.2">
      <c r="A2" s="114" t="s">
        <v>86</v>
      </c>
      <c r="B2" s="303">
        <v>0.54900000000000004</v>
      </c>
      <c r="C2" s="303">
        <v>0.75900000000000001</v>
      </c>
      <c r="D2" s="303">
        <v>0.51300000000000001</v>
      </c>
      <c r="E2" s="301">
        <v>0.54300000000000004</v>
      </c>
      <c r="F2" s="301">
        <v>0.56899999999999995</v>
      </c>
      <c r="G2" s="302">
        <v>0.79</v>
      </c>
      <c r="H2" s="301">
        <v>0.754</v>
      </c>
      <c r="I2" s="301">
        <v>0.754</v>
      </c>
      <c r="J2" s="303">
        <v>0.71479999999999999</v>
      </c>
      <c r="K2" s="301">
        <v>0.46500000000000002</v>
      </c>
      <c r="L2" s="303">
        <v>0.70199999999999996</v>
      </c>
      <c r="M2" s="301">
        <v>0.58299999999999996</v>
      </c>
      <c r="N2" s="301">
        <v>0.61899999999999999</v>
      </c>
      <c r="O2" s="301">
        <v>0.68100000000000005</v>
      </c>
      <c r="P2" s="303">
        <v>0.59599999999999997</v>
      </c>
      <c r="Q2" s="303">
        <v>0.48</v>
      </c>
      <c r="R2" s="301">
        <v>0.40300000000000002</v>
      </c>
      <c r="S2" s="303">
        <v>0.61299999999999999</v>
      </c>
      <c r="T2" s="303">
        <v>0.74</v>
      </c>
      <c r="U2" s="303">
        <v>0.55600000000000005</v>
      </c>
      <c r="V2" s="301">
        <v>0.73599999999999999</v>
      </c>
      <c r="W2" s="303">
        <v>0.45400000000000001</v>
      </c>
      <c r="Y2" s="303">
        <v>0.54400000000000004</v>
      </c>
      <c r="Z2" s="303">
        <v>0.51200000000000001</v>
      </c>
      <c r="AA2" s="303">
        <v>0.42799999999999999</v>
      </c>
      <c r="AB2" s="303">
        <v>0.53300000000000003</v>
      </c>
    </row>
    <row r="3" spans="1:39" x14ac:dyDescent="0.2">
      <c r="A3" s="114" t="s">
        <v>222</v>
      </c>
      <c r="B3" s="303">
        <v>1.1999999999999999E-3</v>
      </c>
      <c r="F3" s="301">
        <v>1.4E-3</v>
      </c>
      <c r="G3" s="302">
        <v>1.6000000000000001E-3</v>
      </c>
      <c r="H3" s="301">
        <v>1.1000000000000001E-3</v>
      </c>
      <c r="I3" s="301">
        <v>2.2000000000000001E-3</v>
      </c>
      <c r="J3" s="303">
        <v>1.1999999999999999E-3</v>
      </c>
      <c r="K3" s="301">
        <v>1.6000000000000001E-3</v>
      </c>
      <c r="L3" s="303">
        <v>1.4E-3</v>
      </c>
      <c r="M3" s="301">
        <v>1E-4</v>
      </c>
      <c r="N3" s="301">
        <v>1.6999999999999999E-3</v>
      </c>
      <c r="O3" s="301">
        <v>1.9E-3</v>
      </c>
      <c r="P3" s="303">
        <v>1E-3</v>
      </c>
      <c r="Q3" s="303">
        <v>1.1000000000000001E-3</v>
      </c>
      <c r="R3" s="301">
        <v>1E-4</v>
      </c>
      <c r="S3" s="303">
        <v>1.4E-3</v>
      </c>
      <c r="U3" s="303">
        <v>1.1000000000000001E-3</v>
      </c>
      <c r="V3" s="301">
        <v>2.8E-3</v>
      </c>
      <c r="X3" s="303">
        <v>6.4000000000000003E-3</v>
      </c>
    </row>
    <row r="4" spans="1:39" x14ac:dyDescent="0.2">
      <c r="A4" s="114">
        <v>1</v>
      </c>
      <c r="L4" s="303">
        <v>5.0000000000000004E-6</v>
      </c>
    </row>
    <row r="5" spans="1:39" x14ac:dyDescent="0.2">
      <c r="A5" s="114">
        <v>1.1000000000000001</v>
      </c>
    </row>
    <row r="6" spans="1:39" x14ac:dyDescent="0.2">
      <c r="A6" s="114">
        <v>1.2</v>
      </c>
    </row>
    <row r="7" spans="1:39" x14ac:dyDescent="0.2">
      <c r="A7" s="114">
        <v>1.3</v>
      </c>
    </row>
    <row r="8" spans="1:39" x14ac:dyDescent="0.2">
      <c r="A8" s="114">
        <v>2</v>
      </c>
      <c r="G8" s="302">
        <v>3.9999999999999998E-6</v>
      </c>
      <c r="H8" s="301">
        <v>3.9999999999999998E-6</v>
      </c>
    </row>
    <row r="9" spans="1:39" x14ac:dyDescent="0.2">
      <c r="A9" s="114">
        <v>2.1</v>
      </c>
    </row>
    <row r="10" spans="1:39" x14ac:dyDescent="0.2">
      <c r="A10" s="114">
        <v>2.2000000000000002</v>
      </c>
      <c r="L10" s="303">
        <v>3.3499000000000001E-2</v>
      </c>
    </row>
    <row r="11" spans="1:39" x14ac:dyDescent="0.2">
      <c r="A11" s="114">
        <v>2.2999999999999998</v>
      </c>
      <c r="L11" s="303">
        <v>5.0000000000000004E-6</v>
      </c>
    </row>
    <row r="12" spans="1:39" x14ac:dyDescent="0.2">
      <c r="A12" s="114">
        <v>3</v>
      </c>
      <c r="G12" s="302">
        <v>7.9999999999999996E-6</v>
      </c>
      <c r="L12" s="303">
        <v>1.8E-5</v>
      </c>
      <c r="S12" s="303">
        <v>3.9999999999999998E-6</v>
      </c>
    </row>
    <row r="13" spans="1:39" x14ac:dyDescent="0.2">
      <c r="A13" s="114">
        <v>3.1</v>
      </c>
    </row>
    <row r="14" spans="1:39" x14ac:dyDescent="0.2">
      <c r="A14" s="114">
        <v>3.2</v>
      </c>
      <c r="L14" s="303">
        <v>2.529E-3</v>
      </c>
      <c r="AB14" s="303">
        <v>8.5000000000000006E-2</v>
      </c>
    </row>
    <row r="15" spans="1:39" x14ac:dyDescent="0.2">
      <c r="A15" s="114">
        <v>3.3</v>
      </c>
    </row>
    <row r="16" spans="1:39" x14ac:dyDescent="0.2">
      <c r="A16" s="114">
        <v>4</v>
      </c>
      <c r="F16" s="301">
        <v>3.9999999999999998E-6</v>
      </c>
      <c r="G16" s="302">
        <v>3.1000000000000001E-5</v>
      </c>
      <c r="I16" s="301">
        <v>6.9999999999999999E-6</v>
      </c>
      <c r="M16" s="301">
        <v>5.8E-5</v>
      </c>
      <c r="R16" s="301">
        <v>3.9999999999999998E-6</v>
      </c>
      <c r="S16" s="303">
        <v>6.9999999999999999E-6</v>
      </c>
      <c r="AB16" s="303">
        <v>4.1000000000000002E-2</v>
      </c>
    </row>
    <row r="17" spans="1:28" s="303" customFormat="1" ht="14.25" x14ac:dyDescent="0.2">
      <c r="A17" s="114">
        <v>4.0999999999999996</v>
      </c>
      <c r="E17" s="301"/>
      <c r="F17" s="301"/>
      <c r="G17" s="302"/>
      <c r="H17" s="301"/>
      <c r="I17" s="301"/>
      <c r="K17" s="301"/>
      <c r="M17" s="301"/>
      <c r="N17" s="301"/>
      <c r="O17" s="301"/>
      <c r="R17" s="301"/>
      <c r="V17" s="301"/>
    </row>
    <row r="18" spans="1:28" s="303" customFormat="1" ht="14.25" x14ac:dyDescent="0.2">
      <c r="A18" s="114">
        <v>4.2</v>
      </c>
      <c r="E18" s="301"/>
      <c r="F18" s="301"/>
      <c r="G18" s="302"/>
      <c r="H18" s="301"/>
      <c r="I18" s="301"/>
      <c r="K18" s="301"/>
      <c r="M18" s="301"/>
      <c r="N18" s="301"/>
      <c r="O18" s="301"/>
      <c r="R18" s="301"/>
      <c r="V18" s="301"/>
    </row>
    <row r="19" spans="1:28" s="303" customFormat="1" ht="14.25" x14ac:dyDescent="0.2">
      <c r="A19" s="114">
        <v>4.3</v>
      </c>
      <c r="E19" s="301"/>
      <c r="F19" s="301"/>
      <c r="G19" s="302"/>
      <c r="H19" s="301"/>
      <c r="I19" s="301"/>
      <c r="K19" s="301"/>
      <c r="M19" s="301"/>
      <c r="N19" s="301"/>
      <c r="O19" s="301"/>
      <c r="R19" s="301"/>
      <c r="V19" s="301"/>
    </row>
    <row r="20" spans="1:28" s="303" customFormat="1" ht="14.25" x14ac:dyDescent="0.2">
      <c r="A20" s="114">
        <v>5</v>
      </c>
      <c r="E20" s="301"/>
      <c r="F20" s="301">
        <v>1.1E-5</v>
      </c>
      <c r="G20" s="302">
        <v>6.0622000000000002E-2</v>
      </c>
      <c r="H20" s="301">
        <v>5.1099999999999995E-4</v>
      </c>
      <c r="I20" s="301">
        <v>6.9999999999999999E-6</v>
      </c>
      <c r="K20" s="301">
        <v>2.1999999999999999E-5</v>
      </c>
      <c r="L20" s="303">
        <v>1.2716E-2</v>
      </c>
      <c r="M20" s="301">
        <v>1.562E-3</v>
      </c>
      <c r="N20" s="301"/>
      <c r="O20" s="301"/>
      <c r="P20" s="303">
        <v>2.5999999999999998E-5</v>
      </c>
      <c r="Q20" s="303">
        <v>3.9999999999999998E-6</v>
      </c>
      <c r="R20" s="301">
        <v>5.5199999999999997E-4</v>
      </c>
      <c r="S20" s="303">
        <v>1.1E-5</v>
      </c>
      <c r="V20" s="301"/>
      <c r="AB20" s="303">
        <v>0.20799999999999999</v>
      </c>
    </row>
    <row r="21" spans="1:28" s="303" customFormat="1" ht="14.25" x14ac:dyDescent="0.2">
      <c r="A21" s="114">
        <v>5.0999999999999996</v>
      </c>
      <c r="E21" s="301"/>
      <c r="F21" s="301"/>
      <c r="G21" s="302"/>
      <c r="H21" s="301"/>
      <c r="I21" s="301"/>
      <c r="K21" s="301"/>
      <c r="M21" s="301"/>
      <c r="N21" s="301"/>
      <c r="O21" s="301"/>
      <c r="R21" s="301"/>
      <c r="V21" s="301"/>
    </row>
    <row r="22" spans="1:28" s="303" customFormat="1" ht="14.25" x14ac:dyDescent="0.2">
      <c r="A22" s="114">
        <v>5.2</v>
      </c>
      <c r="E22" s="301"/>
      <c r="F22" s="301"/>
      <c r="G22" s="302"/>
      <c r="H22" s="301"/>
      <c r="I22" s="301"/>
      <c r="K22" s="301"/>
      <c r="L22" s="303">
        <v>5.0000000000000004E-6</v>
      </c>
      <c r="M22" s="301"/>
      <c r="N22" s="301"/>
      <c r="O22" s="301"/>
      <c r="R22" s="301"/>
      <c r="V22" s="301"/>
    </row>
    <row r="23" spans="1:28" s="303" customFormat="1" ht="14.25" x14ac:dyDescent="0.2">
      <c r="A23" s="114">
        <v>5.3</v>
      </c>
      <c r="E23" s="301"/>
      <c r="F23" s="301"/>
      <c r="G23" s="302"/>
      <c r="H23" s="301"/>
      <c r="I23" s="301"/>
      <c r="K23" s="301"/>
      <c r="M23" s="301"/>
      <c r="N23" s="301"/>
      <c r="O23" s="301"/>
      <c r="R23" s="301"/>
      <c r="V23" s="301"/>
    </row>
    <row r="24" spans="1:28" s="303" customFormat="1" ht="14.25" x14ac:dyDescent="0.2">
      <c r="A24" s="114">
        <v>6</v>
      </c>
      <c r="B24" s="303">
        <v>1.9000000000000001E-5</v>
      </c>
      <c r="E24" s="301"/>
      <c r="F24" s="301">
        <v>5.8E-5</v>
      </c>
      <c r="G24" s="302">
        <v>7.6689999999999996E-3</v>
      </c>
      <c r="H24" s="301">
        <v>2.9599999999999998E-4</v>
      </c>
      <c r="I24" s="301">
        <v>1.1E-5</v>
      </c>
      <c r="K24" s="301">
        <v>8.1899999999999996E-4</v>
      </c>
      <c r="L24" s="303">
        <v>1.1559999999999999E-3</v>
      </c>
      <c r="M24" s="301">
        <v>0.21123800000000001</v>
      </c>
      <c r="N24" s="301"/>
      <c r="O24" s="301"/>
      <c r="P24" s="303">
        <v>2.7E-4</v>
      </c>
      <c r="Q24" s="303">
        <v>5.5000000000000002E-5</v>
      </c>
      <c r="R24" s="301">
        <v>1.7713E-2</v>
      </c>
      <c r="S24" s="303">
        <v>1.15E-4</v>
      </c>
      <c r="V24" s="301"/>
      <c r="Z24" s="303">
        <v>0.1</v>
      </c>
      <c r="AB24" s="303">
        <v>0.28699999999999998</v>
      </c>
    </row>
    <row r="25" spans="1:28" s="303" customFormat="1" ht="14.25" x14ac:dyDescent="0.2">
      <c r="A25" s="114">
        <v>6.1</v>
      </c>
      <c r="E25" s="301"/>
      <c r="F25" s="301"/>
      <c r="G25" s="302"/>
      <c r="H25" s="301"/>
      <c r="I25" s="301"/>
      <c r="K25" s="301"/>
      <c r="M25" s="301"/>
      <c r="N25" s="301"/>
      <c r="O25" s="301"/>
      <c r="R25" s="301"/>
      <c r="V25" s="301"/>
    </row>
    <row r="26" spans="1:28" s="303" customFormat="1" ht="14.25" x14ac:dyDescent="0.2">
      <c r="A26" s="114">
        <v>6.2</v>
      </c>
      <c r="E26" s="301"/>
      <c r="F26" s="301"/>
      <c r="G26" s="302"/>
      <c r="H26" s="301"/>
      <c r="I26" s="301"/>
      <c r="K26" s="301"/>
      <c r="M26" s="301"/>
      <c r="N26" s="301"/>
      <c r="O26" s="301"/>
      <c r="P26" s="303">
        <v>3.9999999999999998E-6</v>
      </c>
      <c r="R26" s="301"/>
      <c r="V26" s="301"/>
    </row>
    <row r="27" spans="1:28" s="303" customFormat="1" ht="14.25" x14ac:dyDescent="0.2">
      <c r="A27" s="114">
        <v>6.3</v>
      </c>
      <c r="E27" s="301"/>
      <c r="F27" s="301"/>
      <c r="G27" s="302"/>
      <c r="H27" s="301"/>
      <c r="I27" s="301"/>
      <c r="K27" s="301"/>
      <c r="M27" s="301"/>
      <c r="N27" s="301"/>
      <c r="O27" s="301"/>
      <c r="R27" s="301"/>
      <c r="V27" s="301"/>
    </row>
    <row r="28" spans="1:28" s="303" customFormat="1" ht="14.25" x14ac:dyDescent="0.2">
      <c r="A28" s="114">
        <v>7</v>
      </c>
      <c r="B28" s="303">
        <v>3.3000000000000003E-5</v>
      </c>
      <c r="E28" s="301"/>
      <c r="F28" s="301">
        <v>1.0859999999999999E-3</v>
      </c>
      <c r="G28" s="302">
        <v>0.10938299999999999</v>
      </c>
      <c r="H28" s="301">
        <v>3.8000000000000002E-4</v>
      </c>
      <c r="I28" s="301">
        <v>1.5E-5</v>
      </c>
      <c r="K28" s="301">
        <v>1.3376000000000001E-2</v>
      </c>
      <c r="L28" s="303">
        <v>1.3686E-2</v>
      </c>
      <c r="M28" s="301">
        <v>0.24045900000000001</v>
      </c>
      <c r="N28" s="301"/>
      <c r="O28" s="301"/>
      <c r="P28" s="303">
        <v>1.5032999999999999E-2</v>
      </c>
      <c r="Q28" s="303">
        <v>1.7458000000000001E-2</v>
      </c>
      <c r="R28" s="301">
        <v>8.404E-3</v>
      </c>
      <c r="S28" s="303">
        <v>3.4600000000000001E-4</v>
      </c>
      <c r="V28" s="301">
        <v>3.9999999999999998E-6</v>
      </c>
      <c r="Y28" s="303">
        <v>0</v>
      </c>
      <c r="Z28" s="303">
        <v>0.02</v>
      </c>
      <c r="AA28" s="303">
        <v>0</v>
      </c>
      <c r="AB28" s="303">
        <v>0.32900000000000001</v>
      </c>
    </row>
    <row r="29" spans="1:28" s="303" customFormat="1" ht="14.25" x14ac:dyDescent="0.2">
      <c r="A29" s="114">
        <v>7.1</v>
      </c>
      <c r="E29" s="301"/>
      <c r="F29" s="301"/>
      <c r="G29" s="302"/>
      <c r="H29" s="301"/>
      <c r="I29" s="301"/>
      <c r="K29" s="301"/>
      <c r="M29" s="301"/>
      <c r="N29" s="301"/>
      <c r="O29" s="301"/>
      <c r="R29" s="301"/>
      <c r="V29" s="301"/>
    </row>
    <row r="30" spans="1:28" s="303" customFormat="1" ht="14.25" x14ac:dyDescent="0.2">
      <c r="A30" s="114">
        <v>7.2</v>
      </c>
      <c r="E30" s="301"/>
      <c r="F30" s="301"/>
      <c r="G30" s="302"/>
      <c r="H30" s="301"/>
      <c r="I30" s="301"/>
      <c r="K30" s="301"/>
      <c r="M30" s="301"/>
      <c r="N30" s="301"/>
      <c r="O30" s="301"/>
      <c r="R30" s="301"/>
      <c r="V30" s="301"/>
    </row>
    <row r="31" spans="1:28" s="303" customFormat="1" ht="14.25" x14ac:dyDescent="0.2">
      <c r="A31" s="114">
        <v>7.3</v>
      </c>
      <c r="E31" s="301"/>
      <c r="F31" s="301"/>
      <c r="G31" s="302"/>
      <c r="H31" s="301"/>
      <c r="I31" s="301"/>
      <c r="K31" s="301"/>
      <c r="M31" s="301"/>
      <c r="N31" s="301"/>
      <c r="O31" s="301"/>
      <c r="R31" s="301"/>
      <c r="V31" s="301"/>
    </row>
    <row r="32" spans="1:28" s="303" customFormat="1" ht="14.25" x14ac:dyDescent="0.2">
      <c r="A32" s="114">
        <v>8</v>
      </c>
      <c r="B32" s="303">
        <v>2.1999999999999999E-5</v>
      </c>
      <c r="E32" s="301"/>
      <c r="F32" s="301">
        <v>9.9838999999999997E-2</v>
      </c>
      <c r="G32" s="302">
        <v>5.7986999999999997E-2</v>
      </c>
      <c r="H32" s="301">
        <v>2.4126999999999999E-2</v>
      </c>
      <c r="I32" s="301">
        <v>9.1000000000000003E-5</v>
      </c>
      <c r="K32" s="301">
        <v>2.0035000000000001E-2</v>
      </c>
      <c r="L32" s="303">
        <v>5.0805000000000003E-2</v>
      </c>
      <c r="M32" s="301">
        <v>0.14935399999999999</v>
      </c>
      <c r="N32" s="301">
        <v>7.9999999999999996E-6</v>
      </c>
      <c r="O32" s="301"/>
      <c r="P32" s="303">
        <v>0.157085</v>
      </c>
      <c r="Q32" s="303">
        <v>1.7610000000000001E-2</v>
      </c>
      <c r="R32" s="301">
        <v>0.45586199999999999</v>
      </c>
      <c r="S32" s="303">
        <v>8.2439999999999996E-3</v>
      </c>
      <c r="V32" s="301">
        <v>6.9999999999999999E-6</v>
      </c>
      <c r="Y32" s="303">
        <v>2E-3</v>
      </c>
      <c r="Z32" s="303">
        <v>0.25900000000000001</v>
      </c>
      <c r="AA32" s="303">
        <v>1.4E-2</v>
      </c>
      <c r="AB32" s="303">
        <v>1.7000000000000001E-2</v>
      </c>
    </row>
    <row r="33" spans="1:28" x14ac:dyDescent="0.2">
      <c r="A33" s="114">
        <v>8.1</v>
      </c>
    </row>
    <row r="34" spans="1:28" x14ac:dyDescent="0.2">
      <c r="A34" s="114">
        <v>8.1999999999999993</v>
      </c>
      <c r="M34" s="301">
        <v>9.0000000000000002E-6</v>
      </c>
    </row>
    <row r="35" spans="1:28" x14ac:dyDescent="0.2">
      <c r="A35" s="114">
        <v>8.3000000000000007</v>
      </c>
    </row>
    <row r="36" spans="1:28" x14ac:dyDescent="0.2">
      <c r="A36" s="114">
        <v>9</v>
      </c>
      <c r="B36" s="303">
        <v>1E-4</v>
      </c>
      <c r="C36" s="303">
        <v>5.9999999999999995E-4</v>
      </c>
      <c r="D36" s="303">
        <v>1.1999999999999999E-3</v>
      </c>
      <c r="F36" s="301">
        <v>8.1736000000000003E-2</v>
      </c>
      <c r="G36" s="302">
        <v>2.3213000000000001E-2</v>
      </c>
      <c r="H36" s="301">
        <v>0.160298</v>
      </c>
      <c r="I36" s="301">
        <v>1.199E-3</v>
      </c>
      <c r="K36" s="301">
        <v>3.286E-2</v>
      </c>
      <c r="L36" s="303">
        <v>0.18413299999999999</v>
      </c>
      <c r="M36" s="301">
        <v>0.16256300000000001</v>
      </c>
      <c r="P36" s="303">
        <v>0.12053</v>
      </c>
      <c r="Q36" s="303">
        <v>3.8122999999999997E-2</v>
      </c>
      <c r="R36" s="301">
        <v>0.12411700000000001</v>
      </c>
      <c r="S36" s="303">
        <v>9.4289999999999999E-3</v>
      </c>
      <c r="U36" s="303">
        <v>8.0000000000000004E-4</v>
      </c>
      <c r="V36" s="301">
        <v>1.8E-5</v>
      </c>
      <c r="Y36" s="303">
        <v>4.7E-2</v>
      </c>
      <c r="Z36" s="303">
        <v>0.215</v>
      </c>
      <c r="AA36" s="303">
        <v>7.0000000000000001E-3</v>
      </c>
      <c r="AB36" s="303">
        <v>0</v>
      </c>
    </row>
    <row r="37" spans="1:28" x14ac:dyDescent="0.2">
      <c r="A37" s="114">
        <v>9.1</v>
      </c>
    </row>
    <row r="38" spans="1:28" x14ac:dyDescent="0.2">
      <c r="A38" s="114">
        <v>9.1999999999999993</v>
      </c>
      <c r="H38" s="301">
        <v>6.9999999999999999E-6</v>
      </c>
      <c r="L38" s="303">
        <v>2.5799999999999998E-4</v>
      </c>
      <c r="M38" s="301">
        <v>3.9999999999999998E-6</v>
      </c>
    </row>
    <row r="39" spans="1:28" x14ac:dyDescent="0.2">
      <c r="A39" s="114">
        <v>9.3000000000000007</v>
      </c>
      <c r="G39" s="302">
        <v>7.9999999999999996E-6</v>
      </c>
      <c r="L39" s="303">
        <v>1.8E-5</v>
      </c>
      <c r="M39" s="301">
        <v>0.226159</v>
      </c>
      <c r="P39" s="303">
        <v>1.1E-5</v>
      </c>
    </row>
    <row r="40" spans="1:28" x14ac:dyDescent="0.2">
      <c r="A40" s="114">
        <v>10</v>
      </c>
      <c r="B40" s="303">
        <v>1.0399999999999999E-4</v>
      </c>
      <c r="C40" s="303">
        <v>4.7999999999999996E-3</v>
      </c>
      <c r="D40" s="303">
        <v>0.2611</v>
      </c>
      <c r="E40" s="301">
        <v>1.8E-3</v>
      </c>
      <c r="F40" s="301">
        <v>5.2623999999999997E-2</v>
      </c>
      <c r="G40" s="302">
        <v>7.2113999999999998E-2</v>
      </c>
      <c r="H40" s="301">
        <v>8.8405999999999998E-2</v>
      </c>
      <c r="I40" s="301">
        <v>9.8840000000000004E-3</v>
      </c>
      <c r="K40" s="301">
        <v>0.262376</v>
      </c>
      <c r="L40" s="303">
        <v>0.14096400000000001</v>
      </c>
      <c r="M40" s="301">
        <v>8.0389999999999993E-3</v>
      </c>
      <c r="N40" s="301">
        <v>4.3000000000000002E-5</v>
      </c>
      <c r="P40" s="303">
        <v>0.275034</v>
      </c>
      <c r="Q40" s="303">
        <v>6.1853999999999999E-2</v>
      </c>
      <c r="R40" s="301">
        <v>6.7302000000000001E-2</v>
      </c>
      <c r="S40" s="303">
        <v>6.8212999999999996E-2</v>
      </c>
      <c r="U40" s="303">
        <v>1.6000000000000001E-3</v>
      </c>
      <c r="V40" s="301">
        <v>1.8E-5</v>
      </c>
      <c r="W40" s="303">
        <v>1.7399999999999999E-2</v>
      </c>
      <c r="Y40" s="303">
        <v>0.41199999999999998</v>
      </c>
      <c r="Z40" s="303">
        <v>0.40200000000000002</v>
      </c>
      <c r="AA40" s="303">
        <v>0.28399999999999997</v>
      </c>
      <c r="AB40" s="303">
        <v>0</v>
      </c>
    </row>
    <row r="41" spans="1:28" x14ac:dyDescent="0.2">
      <c r="A41" s="114">
        <v>10.1</v>
      </c>
    </row>
    <row r="42" spans="1:28" x14ac:dyDescent="0.2">
      <c r="A42" s="114">
        <v>10.199999999999999</v>
      </c>
      <c r="H42" s="301">
        <v>3.9999999999999998E-6</v>
      </c>
      <c r="I42" s="301">
        <v>5.5900000000000004E-4</v>
      </c>
      <c r="L42" s="303">
        <v>9.0000000000000002E-6</v>
      </c>
      <c r="P42" s="303">
        <v>3.9999999999999998E-6</v>
      </c>
      <c r="U42" s="303">
        <v>0</v>
      </c>
    </row>
    <row r="43" spans="1:28" x14ac:dyDescent="0.2">
      <c r="A43" s="114">
        <v>10.3</v>
      </c>
    </row>
    <row r="44" spans="1:28" x14ac:dyDescent="0.2">
      <c r="A44" s="114">
        <v>11</v>
      </c>
      <c r="B44" s="303">
        <v>6.0700000000000001E-4</v>
      </c>
      <c r="C44" s="303">
        <v>4.2099999999999999E-2</v>
      </c>
      <c r="D44" s="303">
        <v>0.28860000000000002</v>
      </c>
      <c r="E44" s="301">
        <v>8.9999999999999993E-3</v>
      </c>
      <c r="F44" s="301">
        <v>2.95179E-2</v>
      </c>
      <c r="G44" s="302">
        <v>1.10308E-2</v>
      </c>
      <c r="H44" s="301">
        <v>0.28868100000000002</v>
      </c>
      <c r="I44" s="301">
        <v>1.0769000000000001E-2</v>
      </c>
      <c r="K44" s="301">
        <v>0.29358499999999998</v>
      </c>
      <c r="L44" s="303">
        <v>0.15679799999999999</v>
      </c>
      <c r="M44" s="301">
        <v>4.84E-4</v>
      </c>
      <c r="N44" s="301">
        <v>3.8059999999999999E-3</v>
      </c>
      <c r="P44" s="303">
        <v>0.23635999999999999</v>
      </c>
      <c r="Q44" s="303">
        <v>0.32906299999999999</v>
      </c>
      <c r="R44" s="301">
        <v>0.275532</v>
      </c>
      <c r="S44" s="303">
        <v>7.7105999999999994E-2</v>
      </c>
      <c r="U44" s="303">
        <v>1.7500000000000002E-2</v>
      </c>
      <c r="V44" s="301">
        <v>1.5E-5</v>
      </c>
      <c r="W44" s="303">
        <v>0.1012</v>
      </c>
      <c r="X44" s="303">
        <v>1E-3</v>
      </c>
      <c r="Y44" s="303">
        <v>0.28699999999999998</v>
      </c>
      <c r="Z44" s="303">
        <v>2E-3</v>
      </c>
      <c r="AA44" s="303">
        <v>0.439</v>
      </c>
      <c r="AB44" s="303">
        <v>0</v>
      </c>
    </row>
    <row r="45" spans="1:28" x14ac:dyDescent="0.2">
      <c r="A45" s="114">
        <v>11.1</v>
      </c>
    </row>
    <row r="46" spans="1:28" x14ac:dyDescent="0.2">
      <c r="A46" s="114">
        <v>11.2</v>
      </c>
      <c r="L46" s="303">
        <v>9.0000000000000002E-6</v>
      </c>
      <c r="U46" s="303">
        <v>8.0000000000000004E-4</v>
      </c>
    </row>
    <row r="47" spans="1:28" x14ac:dyDescent="0.2">
      <c r="A47" s="114">
        <v>11.3</v>
      </c>
      <c r="D47" s="303">
        <v>4.5499999999999999E-2</v>
      </c>
    </row>
    <row r="48" spans="1:28" x14ac:dyDescent="0.2">
      <c r="A48" s="114">
        <v>12</v>
      </c>
      <c r="B48" s="303">
        <v>2.4420000000000002E-3</v>
      </c>
      <c r="C48" s="303">
        <v>9.98E-2</v>
      </c>
      <c r="D48" s="303">
        <v>7.3099999999999998E-2</v>
      </c>
      <c r="E48" s="301">
        <v>6.0499999999999998E-2</v>
      </c>
      <c r="F48" s="301">
        <v>0.29337999999999997</v>
      </c>
      <c r="G48" s="302">
        <v>1.6804900000000001E-2</v>
      </c>
      <c r="H48" s="301">
        <v>0.25604300000000002</v>
      </c>
      <c r="I48" s="301">
        <v>0.121118</v>
      </c>
      <c r="K48" s="301">
        <v>0.30245100000000003</v>
      </c>
      <c r="L48" s="303">
        <v>0.16545399999999999</v>
      </c>
      <c r="M48" s="301">
        <v>9.0000000000000002E-6</v>
      </c>
      <c r="N48" s="301">
        <v>6.5499999999999998E-4</v>
      </c>
      <c r="O48" s="301">
        <v>3.9999999999999998E-6</v>
      </c>
      <c r="P48" s="303">
        <v>0.161387</v>
      </c>
      <c r="Q48" s="303">
        <v>0.34637600000000002</v>
      </c>
      <c r="R48" s="301">
        <v>4.8122999999999999E-2</v>
      </c>
      <c r="S48" s="303">
        <v>0.12992999999999999</v>
      </c>
      <c r="U48" s="303">
        <v>0.10100000000000001</v>
      </c>
      <c r="V48" s="301">
        <v>1.5E-5</v>
      </c>
      <c r="W48" s="303">
        <v>1.38E-2</v>
      </c>
      <c r="X48" s="303">
        <v>5.0000000000000001E-3</v>
      </c>
      <c r="Y48" s="303">
        <v>0.20300000000000001</v>
      </c>
      <c r="Z48" s="303">
        <v>2E-3</v>
      </c>
      <c r="AA48" s="303">
        <v>0.22500000000000001</v>
      </c>
      <c r="AB48" s="303">
        <v>2E-3</v>
      </c>
    </row>
    <row r="49" spans="1:28" x14ac:dyDescent="0.2">
      <c r="A49" s="114">
        <v>12.1</v>
      </c>
    </row>
    <row r="50" spans="1:28" x14ac:dyDescent="0.2">
      <c r="A50" s="114">
        <v>12.2</v>
      </c>
      <c r="G50" s="302">
        <v>7.9999999999999996E-6</v>
      </c>
      <c r="I50" s="301">
        <v>1.4E-5</v>
      </c>
      <c r="L50" s="303">
        <v>5.3999999999999998E-5</v>
      </c>
      <c r="U50" s="303">
        <v>9.4999999999999998E-3</v>
      </c>
    </row>
    <row r="51" spans="1:28" x14ac:dyDescent="0.2">
      <c r="A51" s="114">
        <v>12.3</v>
      </c>
      <c r="D51" s="303">
        <v>4.7999999999999996E-3</v>
      </c>
      <c r="I51" s="301">
        <v>3.9999999999999998E-6</v>
      </c>
    </row>
    <row r="52" spans="1:28" x14ac:dyDescent="0.2">
      <c r="A52" s="114">
        <v>13</v>
      </c>
      <c r="B52" s="303">
        <v>4.2180000000000004E-3</v>
      </c>
      <c r="C52" s="303">
        <v>8.5300000000000001E-2</v>
      </c>
      <c r="D52" s="303">
        <v>3.4099999999999998E-2</v>
      </c>
      <c r="E52" s="301">
        <v>0.27010000000000001</v>
      </c>
      <c r="F52" s="301">
        <v>0.12642100000000001</v>
      </c>
      <c r="G52" s="302">
        <v>0.112971</v>
      </c>
      <c r="H52" s="301">
        <v>0.15450700000000001</v>
      </c>
      <c r="I52" s="301">
        <v>0.108532</v>
      </c>
      <c r="J52" s="303">
        <v>2.3999999999999998E-3</v>
      </c>
      <c r="K52" s="301">
        <v>6.3686000000000006E-2</v>
      </c>
      <c r="L52" s="303">
        <v>0.15434600000000001</v>
      </c>
      <c r="M52" s="301">
        <v>1.8E-5</v>
      </c>
      <c r="N52" s="301">
        <v>5.7840000000000001E-3</v>
      </c>
      <c r="P52" s="303">
        <v>3.0415000000000001E-2</v>
      </c>
      <c r="Q52" s="303">
        <v>0.17447299999999999</v>
      </c>
      <c r="R52" s="301">
        <v>2.173E-3</v>
      </c>
      <c r="S52" s="303">
        <v>0.27866200000000002</v>
      </c>
      <c r="U52" s="303">
        <v>0.2369</v>
      </c>
      <c r="V52" s="301">
        <v>1.5E-5</v>
      </c>
      <c r="W52" s="303">
        <v>1.1999999999999999E-3</v>
      </c>
      <c r="X52" s="303">
        <v>1.6E-2</v>
      </c>
      <c r="Y52" s="303">
        <v>4.9000000000000002E-2</v>
      </c>
      <c r="AA52" s="303">
        <v>2.8000000000000001E-2</v>
      </c>
      <c r="AB52" s="303">
        <v>5.0000000000000001E-3</v>
      </c>
    </row>
    <row r="53" spans="1:28" x14ac:dyDescent="0.2">
      <c r="A53" s="114">
        <v>13.1</v>
      </c>
    </row>
    <row r="54" spans="1:28" x14ac:dyDescent="0.2">
      <c r="A54" s="114">
        <v>13.2</v>
      </c>
      <c r="I54" s="301">
        <v>4.7609999999999996E-3</v>
      </c>
      <c r="U54" s="303">
        <v>3.2599999999999997E-2</v>
      </c>
    </row>
    <row r="55" spans="1:28" x14ac:dyDescent="0.2">
      <c r="A55" s="114">
        <v>13.3</v>
      </c>
      <c r="D55" s="303">
        <v>1.1999999999999999E-3</v>
      </c>
      <c r="I55" s="301">
        <v>3.9999999999999998E-6</v>
      </c>
      <c r="M55" s="301">
        <v>3.9999999999999998E-6</v>
      </c>
    </row>
    <row r="56" spans="1:28" x14ac:dyDescent="0.2">
      <c r="A56" s="114">
        <v>14</v>
      </c>
      <c r="B56" s="303">
        <v>9.3156000000000003E-2</v>
      </c>
      <c r="C56" s="303">
        <v>0.1358</v>
      </c>
      <c r="D56" s="303">
        <v>0.26050000000000001</v>
      </c>
      <c r="E56" s="301">
        <v>0.30480000000000002</v>
      </c>
      <c r="F56" s="301">
        <v>4.8228E-2</v>
      </c>
      <c r="G56" s="302">
        <v>6.9455000000000003E-2</v>
      </c>
      <c r="H56" s="301">
        <v>2.4974E-2</v>
      </c>
      <c r="I56" s="301">
        <v>0.14722199999999999</v>
      </c>
      <c r="J56" s="303">
        <v>1.6000000000000001E-3</v>
      </c>
      <c r="K56" s="301">
        <v>9.5090000000000001E-3</v>
      </c>
      <c r="L56" s="303">
        <v>5.9928000000000002E-2</v>
      </c>
      <c r="M56" s="301">
        <v>1.2999999999999999E-5</v>
      </c>
      <c r="N56" s="301">
        <v>8.4447999999999995E-2</v>
      </c>
      <c r="P56" s="303">
        <v>3.7850000000000002E-3</v>
      </c>
      <c r="Q56" s="303">
        <v>1.3070999999999999E-2</v>
      </c>
      <c r="R56" s="301">
        <v>1.22E-4</v>
      </c>
      <c r="S56" s="303">
        <v>0.25086999999999998</v>
      </c>
      <c r="U56" s="303">
        <v>0.29409999999999997</v>
      </c>
      <c r="V56" s="301">
        <v>2.1999999999999999E-5</v>
      </c>
      <c r="W56" s="303">
        <v>4.8500000000000001E-2</v>
      </c>
      <c r="X56" s="303">
        <v>2.5000000000000001E-2</v>
      </c>
      <c r="Y56" s="303">
        <v>0</v>
      </c>
      <c r="AA56" s="303">
        <v>2E-3</v>
      </c>
      <c r="AB56" s="303">
        <v>1.7000000000000001E-2</v>
      </c>
    </row>
    <row r="57" spans="1:28" x14ac:dyDescent="0.2">
      <c r="A57" s="114">
        <v>14.1</v>
      </c>
      <c r="E57" s="301">
        <v>0</v>
      </c>
    </row>
    <row r="58" spans="1:28" x14ac:dyDescent="0.2">
      <c r="A58" s="114">
        <v>14.2</v>
      </c>
      <c r="I58" s="301">
        <v>1.06E-4</v>
      </c>
      <c r="U58" s="303">
        <v>3.1800000000000002E-2</v>
      </c>
      <c r="X58" s="303">
        <v>4.0000000000000001E-3</v>
      </c>
    </row>
    <row r="59" spans="1:28" x14ac:dyDescent="0.2">
      <c r="A59" s="114">
        <v>14.3</v>
      </c>
      <c r="C59" s="303">
        <v>8.9999999999999993E-3</v>
      </c>
      <c r="I59" s="301">
        <v>6.9999999999999999E-6</v>
      </c>
    </row>
    <row r="60" spans="1:28" x14ac:dyDescent="0.2">
      <c r="A60" s="114">
        <v>15</v>
      </c>
      <c r="B60" s="303">
        <v>0.290991</v>
      </c>
      <c r="C60" s="303">
        <v>0.15870000000000001</v>
      </c>
      <c r="D60" s="303">
        <v>2.69E-2</v>
      </c>
      <c r="E60" s="301">
        <v>0.2102</v>
      </c>
      <c r="F60" s="301">
        <v>1.6900000000000001E-3</v>
      </c>
      <c r="G60" s="302">
        <v>6.1957999999999999E-2</v>
      </c>
      <c r="H60" s="301">
        <v>1.6900000000000001E-3</v>
      </c>
      <c r="I60" s="301">
        <v>0.15221299999999999</v>
      </c>
      <c r="J60" s="303">
        <v>1.6000000000000001E-3</v>
      </c>
      <c r="K60" s="301">
        <v>1.2329999999999999E-3</v>
      </c>
      <c r="L60" s="303">
        <v>1.9278E-2</v>
      </c>
      <c r="M60" s="301">
        <v>3.9999999999999998E-6</v>
      </c>
      <c r="N60" s="301">
        <v>0.13799400000000001</v>
      </c>
      <c r="P60" s="303">
        <v>5.5000000000000002E-5</v>
      </c>
      <c r="Q60" s="303">
        <v>1.6459999999999999E-3</v>
      </c>
      <c r="R60" s="301">
        <v>5.3000000000000001E-5</v>
      </c>
      <c r="S60" s="303">
        <v>0.13833100000000001</v>
      </c>
      <c r="T60" s="303">
        <v>4.5600000000000002E-2</v>
      </c>
      <c r="U60" s="303">
        <v>0.15179999999999999</v>
      </c>
      <c r="V60" s="301">
        <v>2.5999999999999998E-5</v>
      </c>
      <c r="W60" s="303">
        <v>0.36049999999999999</v>
      </c>
      <c r="X60" s="303">
        <v>3.9E-2</v>
      </c>
      <c r="AB60" s="303">
        <v>0.01</v>
      </c>
    </row>
    <row r="61" spans="1:28" x14ac:dyDescent="0.2">
      <c r="A61" s="114">
        <v>15.1</v>
      </c>
      <c r="G61" s="302">
        <v>3.9999999999999998E-6</v>
      </c>
    </row>
    <row r="62" spans="1:28" x14ac:dyDescent="0.2">
      <c r="A62" s="114">
        <v>15.2</v>
      </c>
      <c r="B62" s="303">
        <v>6.9999999999999994E-5</v>
      </c>
      <c r="I62" s="301">
        <v>1.17E-4</v>
      </c>
      <c r="N62" s="301">
        <v>3.9999999999999998E-6</v>
      </c>
      <c r="U62" s="303">
        <v>5.8799999999999998E-2</v>
      </c>
    </row>
    <row r="63" spans="1:28" x14ac:dyDescent="0.2">
      <c r="A63" s="114">
        <v>15.3</v>
      </c>
      <c r="C63" s="303">
        <v>4.3900000000000002E-2</v>
      </c>
    </row>
    <row r="64" spans="1:28" x14ac:dyDescent="0.2">
      <c r="A64" s="114">
        <v>16</v>
      </c>
      <c r="B64" s="303">
        <v>0.27030799999999999</v>
      </c>
      <c r="C64" s="303">
        <v>0.1328</v>
      </c>
      <c r="D64" s="303">
        <v>3.0000000000000001E-3</v>
      </c>
      <c r="E64" s="301">
        <v>0.11559999999999999</v>
      </c>
      <c r="F64" s="301">
        <v>5.5000000000000002E-5</v>
      </c>
      <c r="G64" s="302">
        <v>4.7588999999999999E-2</v>
      </c>
      <c r="H64" s="301">
        <v>5.5000000000000002E-5</v>
      </c>
      <c r="I64" s="301">
        <v>0.144487</v>
      </c>
      <c r="J64" s="303">
        <v>4.4999999999999998E-2</v>
      </c>
      <c r="K64" s="301">
        <v>4.0000000000000003E-5</v>
      </c>
      <c r="L64" s="303">
        <v>2.9589999999999998E-3</v>
      </c>
      <c r="M64" s="301">
        <v>3.9999999999999998E-6</v>
      </c>
      <c r="N64" s="301">
        <v>0.26001999999999997</v>
      </c>
      <c r="Q64" s="303">
        <v>1.8900000000000001E-4</v>
      </c>
      <c r="R64" s="301">
        <v>2.8E-5</v>
      </c>
      <c r="S64" s="303">
        <v>3.363E-2</v>
      </c>
      <c r="T64" s="303">
        <v>3.5400000000000001E-2</v>
      </c>
      <c r="U64" s="303">
        <v>3.5000000000000003E-2</v>
      </c>
      <c r="V64" s="301">
        <v>5.4799999999999998E-4</v>
      </c>
      <c r="W64" s="303">
        <v>0.32869999999999999</v>
      </c>
      <c r="X64" s="303">
        <v>0.04</v>
      </c>
      <c r="AB64" s="303">
        <v>0</v>
      </c>
    </row>
    <row r="65" spans="1:24" x14ac:dyDescent="0.2">
      <c r="A65" s="114">
        <v>16.100000000000001</v>
      </c>
    </row>
    <row r="66" spans="1:24" x14ac:dyDescent="0.2">
      <c r="A66" s="115">
        <v>16.2</v>
      </c>
      <c r="B66" s="303">
        <v>6.9999999999999999E-6</v>
      </c>
      <c r="E66" s="304"/>
      <c r="G66" s="302">
        <v>3.9999999999999998E-6</v>
      </c>
      <c r="I66" s="301">
        <v>1.8E-5</v>
      </c>
      <c r="N66" s="301">
        <v>3.9999999999999998E-6</v>
      </c>
      <c r="U66" s="303">
        <v>2.1499999999999998E-2</v>
      </c>
      <c r="X66" s="303">
        <v>1E-3</v>
      </c>
    </row>
    <row r="67" spans="1:24" x14ac:dyDescent="0.2">
      <c r="A67" s="114">
        <v>16.3</v>
      </c>
      <c r="B67" s="303">
        <v>3.9999999999999998E-6</v>
      </c>
      <c r="C67" s="303">
        <v>5.0500000000000003E-2</v>
      </c>
    </row>
    <row r="68" spans="1:24" x14ac:dyDescent="0.2">
      <c r="A68" s="114">
        <v>17</v>
      </c>
      <c r="B68" s="303">
        <v>0.20327799999999999</v>
      </c>
      <c r="C68" s="303">
        <v>4.1500000000000002E-2</v>
      </c>
      <c r="E68" s="301">
        <v>2.46E-2</v>
      </c>
      <c r="F68" s="301">
        <v>1.8E-5</v>
      </c>
      <c r="G68" s="302">
        <v>3.9604E-2</v>
      </c>
      <c r="H68" s="301">
        <v>1.8E-5</v>
      </c>
      <c r="I68" s="301">
        <v>0.121915</v>
      </c>
      <c r="J68" s="303">
        <v>0.2077</v>
      </c>
      <c r="L68" s="303">
        <v>1.323E-3</v>
      </c>
      <c r="N68" s="301">
        <v>0.25484400000000001</v>
      </c>
      <c r="P68" s="303">
        <v>3.9999999999999998E-6</v>
      </c>
      <c r="Q68" s="303">
        <v>5.8999999999999998E-5</v>
      </c>
      <c r="R68" s="301">
        <v>7.9999999999999996E-6</v>
      </c>
      <c r="S68" s="303">
        <v>4.4260000000000002E-3</v>
      </c>
      <c r="T68" s="303">
        <v>9.6000000000000002E-2</v>
      </c>
      <c r="U68" s="303">
        <v>4.0000000000000001E-3</v>
      </c>
      <c r="V68" s="301">
        <v>1.5020000000000001E-3</v>
      </c>
      <c r="W68" s="303">
        <v>0.12039999999999999</v>
      </c>
      <c r="X68" s="303">
        <v>6.2E-2</v>
      </c>
    </row>
    <row r="69" spans="1:24" x14ac:dyDescent="0.2">
      <c r="A69" s="114">
        <v>17.100000000000001</v>
      </c>
      <c r="T69" s="303">
        <v>1.1999999999999999E-3</v>
      </c>
    </row>
    <row r="70" spans="1:24" x14ac:dyDescent="0.2">
      <c r="A70" s="114">
        <v>17.2</v>
      </c>
      <c r="N70" s="301">
        <v>3.9999999999999998E-6</v>
      </c>
      <c r="U70" s="303">
        <v>1.6000000000000001E-3</v>
      </c>
      <c r="V70" s="301">
        <v>2.5999999999999998E-5</v>
      </c>
    </row>
    <row r="71" spans="1:24" x14ac:dyDescent="0.2">
      <c r="A71" s="114">
        <v>17.3</v>
      </c>
      <c r="B71" s="303">
        <v>1.5E-5</v>
      </c>
      <c r="C71" s="303">
        <v>0.1376</v>
      </c>
      <c r="N71" s="301">
        <v>1.2E-5</v>
      </c>
      <c r="T71" s="303">
        <v>1.9199999999999998E-2</v>
      </c>
      <c r="X71" s="303">
        <v>2E-3</v>
      </c>
    </row>
    <row r="72" spans="1:24" x14ac:dyDescent="0.2">
      <c r="A72" s="114">
        <v>18</v>
      </c>
      <c r="B72" s="303">
        <v>0.12392599999999999</v>
      </c>
      <c r="C72" s="303">
        <v>6.0000000000000001E-3</v>
      </c>
      <c r="E72" s="301">
        <v>3.0000000000000001E-3</v>
      </c>
      <c r="G72" s="302">
        <v>2.2190000000000001E-2</v>
      </c>
      <c r="I72" s="301">
        <v>7.7560000000000004E-2</v>
      </c>
      <c r="J72" s="303">
        <v>7.4200000000000002E-2</v>
      </c>
      <c r="L72" s="303">
        <v>3.6000000000000001E-5</v>
      </c>
      <c r="M72" s="301">
        <v>1.2999999999999999E-5</v>
      </c>
      <c r="N72" s="301">
        <v>0.170153</v>
      </c>
      <c r="Q72" s="303">
        <v>1.5E-5</v>
      </c>
      <c r="R72" s="301">
        <v>7.9999999999999996E-6</v>
      </c>
      <c r="S72" s="303">
        <v>5.6999999999999998E-4</v>
      </c>
      <c r="T72" s="303">
        <v>0.18790000000000001</v>
      </c>
      <c r="V72" s="301">
        <v>9.3460000000000001E-3</v>
      </c>
      <c r="W72" s="303">
        <v>7.1999999999999998E-3</v>
      </c>
      <c r="X72" s="303">
        <v>7.1999999999999995E-2</v>
      </c>
    </row>
    <row r="73" spans="1:24" x14ac:dyDescent="0.2">
      <c r="A73" s="114">
        <v>18.100000000000001</v>
      </c>
    </row>
    <row r="74" spans="1:24" x14ac:dyDescent="0.2">
      <c r="A74" s="114">
        <v>18.2</v>
      </c>
      <c r="I74" s="301">
        <v>1.8E-5</v>
      </c>
      <c r="U74" s="303">
        <v>8.0000000000000004E-4</v>
      </c>
      <c r="V74" s="301">
        <v>2.359E-3</v>
      </c>
    </row>
    <row r="75" spans="1:24" x14ac:dyDescent="0.2">
      <c r="A75" s="114">
        <v>18.3</v>
      </c>
      <c r="C75" s="303">
        <v>4.5100000000000001E-2</v>
      </c>
      <c r="T75" s="303">
        <v>1.44E-2</v>
      </c>
      <c r="V75" s="301">
        <v>3.9999999999999998E-6</v>
      </c>
      <c r="X75" s="303">
        <v>1E-3</v>
      </c>
    </row>
    <row r="76" spans="1:24" x14ac:dyDescent="0.2">
      <c r="A76" s="114">
        <v>19</v>
      </c>
      <c r="B76" s="303">
        <v>9.8569999999999994E-3</v>
      </c>
      <c r="G76" s="302">
        <v>1.4130999999999999E-2</v>
      </c>
      <c r="I76" s="301">
        <v>4.8621999999999999E-2</v>
      </c>
      <c r="J76" s="303">
        <v>0.12239999999999999</v>
      </c>
      <c r="L76" s="303">
        <v>5.0000000000000004E-6</v>
      </c>
      <c r="N76" s="301">
        <v>6.5726000000000007E-2</v>
      </c>
      <c r="Q76" s="303">
        <v>3.9999999999999998E-6</v>
      </c>
      <c r="S76" s="303">
        <v>7.7999999999999999E-5</v>
      </c>
      <c r="T76" s="303">
        <v>0.1699</v>
      </c>
      <c r="V76" s="301">
        <v>7.5357999999999994E-2</v>
      </c>
      <c r="W76" s="303">
        <v>1.1999999999999999E-3</v>
      </c>
      <c r="X76" s="303">
        <v>6.6000000000000003E-2</v>
      </c>
    </row>
    <row r="77" spans="1:24" x14ac:dyDescent="0.2">
      <c r="A77" s="114">
        <v>19.100000000000001</v>
      </c>
      <c r="T77" s="303">
        <v>4.1999999999999997E-3</v>
      </c>
    </row>
    <row r="78" spans="1:24" x14ac:dyDescent="0.2">
      <c r="A78" s="114">
        <v>19.2</v>
      </c>
      <c r="I78" s="301">
        <v>1.5E-5</v>
      </c>
      <c r="V78" s="301">
        <v>5.9599999999999996E-4</v>
      </c>
      <c r="X78" s="303">
        <v>4.0000000000000001E-3</v>
      </c>
    </row>
    <row r="79" spans="1:24" x14ac:dyDescent="0.2">
      <c r="A79" s="114">
        <v>19.3</v>
      </c>
      <c r="C79" s="303">
        <v>3.5999999999999999E-3</v>
      </c>
      <c r="T79" s="303">
        <v>1.26E-2</v>
      </c>
    </row>
    <row r="80" spans="1:24" x14ac:dyDescent="0.2">
      <c r="A80" s="114">
        <v>20</v>
      </c>
      <c r="B80" s="303">
        <v>8.0699999999999999E-4</v>
      </c>
      <c r="E80" s="301">
        <v>5.9999999999999995E-4</v>
      </c>
      <c r="G80" s="302">
        <v>9.9220000000000003E-3</v>
      </c>
      <c r="I80" s="301">
        <v>2.9085E-2</v>
      </c>
      <c r="J80" s="303">
        <v>0.13669999999999999</v>
      </c>
      <c r="N80" s="301">
        <v>1.4139000000000001E-2</v>
      </c>
      <c r="S80" s="303">
        <v>1.1E-5</v>
      </c>
      <c r="T80" s="303">
        <v>0.1507</v>
      </c>
      <c r="V80" s="301">
        <v>0.11390699999999999</v>
      </c>
      <c r="X80" s="303">
        <v>5.3999999999999999E-2</v>
      </c>
    </row>
    <row r="81" spans="1:24" x14ac:dyDescent="0.2">
      <c r="A81" s="114">
        <v>20.100000000000001</v>
      </c>
    </row>
    <row r="82" spans="1:24" x14ac:dyDescent="0.2">
      <c r="A82" s="114">
        <v>20.2</v>
      </c>
      <c r="I82" s="301">
        <v>1.8E-5</v>
      </c>
      <c r="V82" s="301">
        <v>2.3900000000000001E-4</v>
      </c>
      <c r="X82" s="303">
        <v>1.0999999999999999E-2</v>
      </c>
    </row>
    <row r="83" spans="1:24" x14ac:dyDescent="0.2">
      <c r="A83" s="114">
        <v>20.3</v>
      </c>
      <c r="C83" s="303">
        <v>3.0000000000000001E-3</v>
      </c>
      <c r="T83" s="303">
        <v>1.8E-3</v>
      </c>
    </row>
    <row r="84" spans="1:24" x14ac:dyDescent="0.2">
      <c r="A84" s="114">
        <v>21</v>
      </c>
      <c r="B84" s="303">
        <v>3.3000000000000003E-5</v>
      </c>
      <c r="G84" s="302">
        <v>6.3879999999999996E-3</v>
      </c>
      <c r="I84" s="301">
        <v>1.3039E-2</v>
      </c>
      <c r="J84" s="303">
        <v>0.06</v>
      </c>
      <c r="N84" s="301">
        <v>2.1740000000000002E-3</v>
      </c>
      <c r="S84" s="303">
        <v>3.9999999999999998E-6</v>
      </c>
      <c r="T84" s="303">
        <v>8.3400000000000002E-2</v>
      </c>
      <c r="V84" s="301">
        <v>0.15107999999999999</v>
      </c>
      <c r="X84" s="303">
        <v>2.4E-2</v>
      </c>
    </row>
    <row r="85" spans="1:24" x14ac:dyDescent="0.2">
      <c r="A85" s="114">
        <v>21.1</v>
      </c>
    </row>
    <row r="86" spans="1:24" x14ac:dyDescent="0.2">
      <c r="A86" s="114">
        <v>21.2</v>
      </c>
      <c r="I86" s="301">
        <v>3.9999999999999998E-6</v>
      </c>
      <c r="V86" s="301">
        <v>1.3439999999999999E-3</v>
      </c>
    </row>
    <row r="87" spans="1:24" x14ac:dyDescent="0.2">
      <c r="A87" s="114">
        <v>21.3</v>
      </c>
    </row>
    <row r="88" spans="1:24" x14ac:dyDescent="0.2">
      <c r="A88" s="114">
        <v>22</v>
      </c>
      <c r="G88" s="302">
        <v>4.463E-3</v>
      </c>
      <c r="I88" s="301">
        <v>5.5319999999999996E-3</v>
      </c>
      <c r="J88" s="303">
        <v>8.14E-2</v>
      </c>
      <c r="K88" s="301">
        <v>3.9999999999999998E-6</v>
      </c>
      <c r="L88" s="303">
        <v>5.0000000000000004E-6</v>
      </c>
      <c r="N88" s="301">
        <v>1.7699999999999999E-4</v>
      </c>
      <c r="O88" s="301">
        <v>3.9999999999999998E-6</v>
      </c>
      <c r="S88" s="303">
        <v>1.1E-5</v>
      </c>
      <c r="T88" s="303">
        <v>6.3E-2</v>
      </c>
      <c r="V88" s="301">
        <v>0.161658</v>
      </c>
      <c r="X88" s="303">
        <v>1.4999999999999999E-2</v>
      </c>
    </row>
    <row r="89" spans="1:24" x14ac:dyDescent="0.2">
      <c r="A89" s="114">
        <v>22.1</v>
      </c>
    </row>
    <row r="90" spans="1:24" x14ac:dyDescent="0.2">
      <c r="A90" s="114">
        <v>22.2</v>
      </c>
      <c r="V90" s="301">
        <v>2.4369999999999999E-3</v>
      </c>
      <c r="X90" s="303">
        <v>3.7999999999999999E-2</v>
      </c>
    </row>
    <row r="91" spans="1:24" x14ac:dyDescent="0.2">
      <c r="A91" s="114">
        <v>22.3</v>
      </c>
    </row>
    <row r="92" spans="1:24" x14ac:dyDescent="0.2">
      <c r="A92" s="114">
        <v>23</v>
      </c>
      <c r="G92" s="302">
        <v>1.3630000000000001E-3</v>
      </c>
      <c r="I92" s="301">
        <v>1.379E-3</v>
      </c>
      <c r="J92" s="303">
        <v>0.1169</v>
      </c>
      <c r="K92" s="301">
        <v>3.9999999999999998E-6</v>
      </c>
      <c r="N92" s="301">
        <v>3.9999999999999998E-6</v>
      </c>
      <c r="O92" s="301">
        <v>3.9999999999999998E-6</v>
      </c>
      <c r="T92" s="303">
        <v>6.8400000000000002E-2</v>
      </c>
      <c r="V92" s="301">
        <v>0.149283</v>
      </c>
      <c r="X92" s="303">
        <v>2E-3</v>
      </c>
    </row>
    <row r="93" spans="1:24" x14ac:dyDescent="0.2">
      <c r="A93" s="114">
        <v>23.1</v>
      </c>
    </row>
    <row r="94" spans="1:24" x14ac:dyDescent="0.2">
      <c r="A94" s="114">
        <v>23.2</v>
      </c>
      <c r="I94" s="301">
        <v>3.9999999999999998E-6</v>
      </c>
      <c r="V94" s="301">
        <v>1.09E-3</v>
      </c>
      <c r="X94" s="303">
        <v>4.3999999999999997E-2</v>
      </c>
    </row>
    <row r="95" spans="1:24" x14ac:dyDescent="0.2">
      <c r="A95" s="114">
        <v>23.3</v>
      </c>
    </row>
    <row r="96" spans="1:24" x14ac:dyDescent="0.2">
      <c r="A96" s="114">
        <v>24</v>
      </c>
      <c r="G96" s="302">
        <v>4.6099999999999998E-4</v>
      </c>
      <c r="I96" s="301">
        <v>1.3799999999999999E-4</v>
      </c>
      <c r="J96" s="303">
        <v>7.5800000000000006E-2</v>
      </c>
      <c r="O96" s="301">
        <v>1.3799999999999999E-4</v>
      </c>
      <c r="T96" s="303">
        <v>3.4799999999999998E-2</v>
      </c>
      <c r="V96" s="301">
        <v>0.15093200000000001</v>
      </c>
      <c r="X96" s="303">
        <v>1E-3</v>
      </c>
    </row>
    <row r="97" spans="1:24" x14ac:dyDescent="0.2">
      <c r="A97" s="114">
        <v>24.1</v>
      </c>
    </row>
    <row r="98" spans="1:24" x14ac:dyDescent="0.2">
      <c r="A98" s="114">
        <v>24.2</v>
      </c>
      <c r="O98" s="301">
        <v>2.1189999999999998E-3</v>
      </c>
      <c r="V98" s="301">
        <v>3.3100000000000002E-4</v>
      </c>
      <c r="X98" s="303">
        <v>2.1999999999999999E-2</v>
      </c>
    </row>
    <row r="99" spans="1:24" x14ac:dyDescent="0.2">
      <c r="A99" s="114">
        <v>24.3</v>
      </c>
    </row>
    <row r="100" spans="1:24" x14ac:dyDescent="0.2">
      <c r="A100" s="114">
        <v>25</v>
      </c>
      <c r="G100" s="302">
        <v>7.3999999999999999E-4</v>
      </c>
      <c r="I100" s="301">
        <v>3.7300000000000001E-4</v>
      </c>
      <c r="J100" s="303">
        <v>5.5300000000000002E-2</v>
      </c>
      <c r="O100" s="301">
        <v>9.7599999999999998E-4</v>
      </c>
      <c r="T100" s="303">
        <v>8.9999999999999993E-3</v>
      </c>
      <c r="V100" s="301">
        <v>0.10340199999999999</v>
      </c>
    </row>
    <row r="101" spans="1:24" x14ac:dyDescent="0.2">
      <c r="A101" s="114">
        <v>25.1</v>
      </c>
    </row>
    <row r="102" spans="1:24" x14ac:dyDescent="0.2">
      <c r="A102" s="114">
        <v>25.2</v>
      </c>
      <c r="O102" s="301">
        <v>5.9199999999999997E-4</v>
      </c>
      <c r="V102" s="301">
        <v>2.1000000000000001E-4</v>
      </c>
      <c r="X102" s="303">
        <v>0.04</v>
      </c>
    </row>
    <row r="103" spans="1:24" x14ac:dyDescent="0.2">
      <c r="A103" s="114">
        <v>25.3</v>
      </c>
    </row>
    <row r="104" spans="1:24" x14ac:dyDescent="0.2">
      <c r="A104" s="114">
        <v>26</v>
      </c>
      <c r="G104" s="302">
        <v>1.5999999999999999E-5</v>
      </c>
      <c r="I104" s="301">
        <v>1.8599999999999999E-4</v>
      </c>
      <c r="J104" s="303">
        <v>1.7399999999999999E-2</v>
      </c>
      <c r="O104" s="301">
        <v>1.127E-3</v>
      </c>
      <c r="T104" s="303">
        <v>1.1999999999999999E-3</v>
      </c>
      <c r="V104" s="301">
        <v>4.7419999999999997E-2</v>
      </c>
    </row>
    <row r="105" spans="1:24" x14ac:dyDescent="0.2">
      <c r="A105" s="114">
        <v>26.1</v>
      </c>
    </row>
    <row r="106" spans="1:24" x14ac:dyDescent="0.2">
      <c r="A106" s="114">
        <v>26.2</v>
      </c>
      <c r="O106" s="301">
        <v>3.1000000000000001E-5</v>
      </c>
      <c r="V106" s="301">
        <v>2.9E-5</v>
      </c>
      <c r="X106" s="303">
        <v>4.3999999999999997E-2</v>
      </c>
    </row>
    <row r="107" spans="1:24" x14ac:dyDescent="0.2">
      <c r="A107" s="114">
        <v>26.3</v>
      </c>
    </row>
    <row r="108" spans="1:24" x14ac:dyDescent="0.2">
      <c r="A108" s="114">
        <v>27</v>
      </c>
      <c r="G108" s="302">
        <v>3.9999999999999998E-6</v>
      </c>
      <c r="I108" s="301">
        <v>2.8499999999999999E-4</v>
      </c>
      <c r="J108" s="303">
        <v>1.6000000000000001E-3</v>
      </c>
      <c r="O108" s="301">
        <v>3.0043E-2</v>
      </c>
      <c r="T108" s="303">
        <v>1.1999999999999999E-3</v>
      </c>
      <c r="V108" s="301">
        <v>1.5952999999999998E-2</v>
      </c>
    </row>
    <row r="109" spans="1:24" x14ac:dyDescent="0.2">
      <c r="A109" s="114">
        <v>27.1</v>
      </c>
    </row>
    <row r="110" spans="1:24" x14ac:dyDescent="0.2">
      <c r="A110" s="114">
        <v>27.2</v>
      </c>
      <c r="O110" s="301">
        <v>7.7000000000000001E-5</v>
      </c>
      <c r="X110" s="303">
        <v>9.5000000000000001E-2</v>
      </c>
    </row>
    <row r="111" spans="1:24" x14ac:dyDescent="0.2">
      <c r="A111" s="114">
        <v>27.3</v>
      </c>
    </row>
    <row r="112" spans="1:24" x14ac:dyDescent="0.2">
      <c r="A112" s="114">
        <v>28</v>
      </c>
      <c r="G112" s="302">
        <v>3.9999999999999998E-6</v>
      </c>
      <c r="I112" s="301">
        <v>2.9E-5</v>
      </c>
      <c r="O112" s="301">
        <v>0.15936700000000001</v>
      </c>
      <c r="V112" s="301">
        <v>5.0610000000000004E-3</v>
      </c>
    </row>
    <row r="113" spans="1:24" x14ac:dyDescent="0.2">
      <c r="A113" s="114">
        <v>28.1</v>
      </c>
    </row>
    <row r="114" spans="1:24" x14ac:dyDescent="0.2">
      <c r="A114" s="114">
        <v>28.2</v>
      </c>
      <c r="O114" s="301">
        <v>2.6189999999999998E-3</v>
      </c>
      <c r="V114" s="301">
        <v>6.9999999999999999E-6</v>
      </c>
      <c r="X114" s="303">
        <v>7.3999999999999996E-2</v>
      </c>
    </row>
    <row r="115" spans="1:24" x14ac:dyDescent="0.2">
      <c r="A115" s="114">
        <v>28.3</v>
      </c>
      <c r="X115" s="303">
        <v>1E-3</v>
      </c>
    </row>
    <row r="116" spans="1:24" x14ac:dyDescent="0.2">
      <c r="A116" s="114">
        <v>29</v>
      </c>
      <c r="O116" s="301">
        <v>0.20807800000000001</v>
      </c>
      <c r="V116" s="301">
        <v>1.807E-3</v>
      </c>
    </row>
    <row r="117" spans="1:24" x14ac:dyDescent="0.2">
      <c r="A117" s="114">
        <v>29.1</v>
      </c>
    </row>
    <row r="118" spans="1:24" x14ac:dyDescent="0.2">
      <c r="A118" s="114">
        <v>29.2</v>
      </c>
      <c r="O118" s="301">
        <v>4.934E-3</v>
      </c>
      <c r="V118" s="301">
        <v>2.1999999999999999E-5</v>
      </c>
      <c r="X118" s="303">
        <v>6.3E-2</v>
      </c>
    </row>
    <row r="119" spans="1:24" x14ac:dyDescent="0.2">
      <c r="A119" s="114">
        <v>29.3</v>
      </c>
    </row>
    <row r="120" spans="1:24" x14ac:dyDescent="0.2">
      <c r="A120" s="114">
        <v>30</v>
      </c>
      <c r="O120" s="301">
        <v>0.231679</v>
      </c>
      <c r="V120" s="301">
        <v>7.1000000000000002E-4</v>
      </c>
    </row>
    <row r="121" spans="1:24" x14ac:dyDescent="0.2">
      <c r="A121" s="114">
        <v>30.1</v>
      </c>
    </row>
    <row r="122" spans="1:24" x14ac:dyDescent="0.2">
      <c r="A122" s="114">
        <v>30.2</v>
      </c>
      <c r="O122" s="301">
        <v>2.8434999999999998E-2</v>
      </c>
      <c r="V122" s="301">
        <v>1.73E-4</v>
      </c>
      <c r="X122" s="303">
        <v>0.57999999999999996</v>
      </c>
    </row>
    <row r="123" spans="1:24" x14ac:dyDescent="0.2">
      <c r="A123" s="114">
        <v>30.3</v>
      </c>
    </row>
    <row r="124" spans="1:24" x14ac:dyDescent="0.2">
      <c r="A124" s="114">
        <v>31</v>
      </c>
      <c r="O124" s="301">
        <v>7.6919000000000001E-2</v>
      </c>
      <c r="V124" s="301">
        <v>1.07E-4</v>
      </c>
      <c r="X124" s="303">
        <v>2E-3</v>
      </c>
    </row>
    <row r="125" spans="1:24" x14ac:dyDescent="0.2">
      <c r="A125" s="114">
        <v>31.1</v>
      </c>
    </row>
    <row r="126" spans="1:24" x14ac:dyDescent="0.2">
      <c r="A126" s="114">
        <v>31.2</v>
      </c>
      <c r="O126" s="301">
        <v>8.9885999999999994E-2</v>
      </c>
      <c r="V126" s="301">
        <v>1.134E-3</v>
      </c>
      <c r="X126" s="303">
        <v>2.1999999999999999E-2</v>
      </c>
    </row>
    <row r="127" spans="1:24" x14ac:dyDescent="0.2">
      <c r="A127" s="114">
        <v>31.3</v>
      </c>
    </row>
    <row r="128" spans="1:24" x14ac:dyDescent="0.2">
      <c r="A128" s="114">
        <v>32</v>
      </c>
      <c r="O128" s="301">
        <v>2.8482E-2</v>
      </c>
      <c r="V128" s="301">
        <v>6.9999999999999994E-5</v>
      </c>
      <c r="X128" s="303">
        <v>1E-3</v>
      </c>
    </row>
    <row r="129" spans="1:24" x14ac:dyDescent="0.2">
      <c r="A129" s="114">
        <v>32.1</v>
      </c>
    </row>
    <row r="130" spans="1:24" x14ac:dyDescent="0.2">
      <c r="A130" s="114">
        <v>32.200000000000003</v>
      </c>
      <c r="O130" s="301">
        <v>7.5126999999999999E-2</v>
      </c>
      <c r="V130" s="301">
        <v>1.5100000000000001E-4</v>
      </c>
      <c r="X130" s="303">
        <v>1.2999999999999999E-2</v>
      </c>
    </row>
    <row r="131" spans="1:24" x14ac:dyDescent="0.2">
      <c r="A131" s="114">
        <v>32.299999999999997</v>
      </c>
    </row>
    <row r="132" spans="1:24" x14ac:dyDescent="0.2">
      <c r="A132" s="114">
        <v>33</v>
      </c>
      <c r="O132" s="301">
        <v>1.1826E-2</v>
      </c>
      <c r="V132" s="301">
        <v>3.6999999999999998E-5</v>
      </c>
      <c r="X132" s="303">
        <v>1E-3</v>
      </c>
    </row>
    <row r="133" spans="1:24" x14ac:dyDescent="0.2">
      <c r="A133" s="114">
        <v>33.1</v>
      </c>
    </row>
    <row r="134" spans="1:24" x14ac:dyDescent="0.2">
      <c r="A134" s="114">
        <v>33.200000000000003</v>
      </c>
      <c r="O134" s="301">
        <v>2.8434999999999998E-2</v>
      </c>
      <c r="V134" s="301">
        <v>1.8E-5</v>
      </c>
      <c r="X134" s="303">
        <v>5.0000000000000001E-3</v>
      </c>
    </row>
    <row r="135" spans="1:24" x14ac:dyDescent="0.2">
      <c r="A135" s="114">
        <v>33.299999999999997</v>
      </c>
      <c r="O135" s="301">
        <v>7.9999999999999996E-6</v>
      </c>
    </row>
    <row r="136" spans="1:24" x14ac:dyDescent="0.2">
      <c r="A136" s="114">
        <v>34</v>
      </c>
      <c r="O136" s="301">
        <v>4.5880000000000001E-3</v>
      </c>
      <c r="X136" s="303">
        <v>7.0000000000000001E-3</v>
      </c>
    </row>
    <row r="137" spans="1:24" x14ac:dyDescent="0.2">
      <c r="A137" s="114">
        <v>34.1</v>
      </c>
    </row>
    <row r="138" spans="1:24" x14ac:dyDescent="0.2">
      <c r="A138" s="114">
        <v>34.200000000000003</v>
      </c>
      <c r="O138" s="301">
        <v>3.7690000000000002E-3</v>
      </c>
      <c r="X138" s="303">
        <v>1E-3</v>
      </c>
    </row>
    <row r="139" spans="1:24" x14ac:dyDescent="0.2">
      <c r="A139" s="114">
        <v>34.299999999999997</v>
      </c>
    </row>
    <row r="140" spans="1:24" x14ac:dyDescent="0.2">
      <c r="A140" s="114">
        <v>35</v>
      </c>
      <c r="O140" s="301">
        <v>6.4419999999999998E-3</v>
      </c>
    </row>
    <row r="141" spans="1:24" x14ac:dyDescent="0.2">
      <c r="A141" s="114">
        <v>35.1</v>
      </c>
      <c r="O141" s="301">
        <v>3.9999999999999998E-6</v>
      </c>
    </row>
    <row r="142" spans="1:24" x14ac:dyDescent="0.2">
      <c r="A142" s="114">
        <v>35.200000000000003</v>
      </c>
      <c r="O142" s="301">
        <v>1.323E-3</v>
      </c>
    </row>
    <row r="143" spans="1:24" x14ac:dyDescent="0.2">
      <c r="A143" s="114">
        <v>35.299999999999997</v>
      </c>
    </row>
    <row r="144" spans="1:24" x14ac:dyDescent="0.2">
      <c r="A144" s="114">
        <v>36</v>
      </c>
      <c r="O144" s="301">
        <v>2.261E-3</v>
      </c>
    </row>
    <row r="145" spans="1:22" s="303" customFormat="1" ht="14.25" x14ac:dyDescent="0.2">
      <c r="A145" s="114">
        <v>36.1</v>
      </c>
      <c r="E145" s="301"/>
      <c r="F145" s="301"/>
      <c r="G145" s="302"/>
      <c r="H145" s="301"/>
      <c r="I145" s="301"/>
      <c r="K145" s="301"/>
      <c r="M145" s="301"/>
      <c r="N145" s="301"/>
      <c r="O145" s="301"/>
      <c r="R145" s="301"/>
      <c r="V145" s="301"/>
    </row>
    <row r="146" spans="1:22" s="303" customFormat="1" ht="14.25" x14ac:dyDescent="0.2">
      <c r="A146" s="114">
        <v>36.200000000000003</v>
      </c>
      <c r="E146" s="301"/>
      <c r="F146" s="301"/>
      <c r="G146" s="302"/>
      <c r="H146" s="301"/>
      <c r="I146" s="301"/>
      <c r="K146" s="301"/>
      <c r="M146" s="301"/>
      <c r="N146" s="301"/>
      <c r="O146" s="301">
        <v>2.6999999999999999E-5</v>
      </c>
      <c r="R146" s="301"/>
      <c r="V146" s="301"/>
    </row>
    <row r="147" spans="1:22" s="303" customFormat="1" ht="14.25" x14ac:dyDescent="0.2">
      <c r="A147" s="114">
        <v>36.299999999999997</v>
      </c>
      <c r="E147" s="301"/>
      <c r="F147" s="301"/>
      <c r="G147" s="302"/>
      <c r="H147" s="301"/>
      <c r="I147" s="301"/>
      <c r="K147" s="301"/>
      <c r="M147" s="301"/>
      <c r="N147" s="301"/>
      <c r="O147" s="301"/>
      <c r="R147" s="301"/>
      <c r="V147" s="301"/>
    </row>
    <row r="148" spans="1:22" s="303" customFormat="1" ht="14.25" x14ac:dyDescent="0.2">
      <c r="A148" s="114">
        <v>37</v>
      </c>
      <c r="E148" s="301"/>
      <c r="F148" s="301"/>
      <c r="G148" s="302"/>
      <c r="H148" s="301"/>
      <c r="I148" s="301"/>
      <c r="K148" s="301"/>
      <c r="M148" s="301"/>
      <c r="N148" s="301"/>
      <c r="O148" s="301">
        <v>5.6099999999999998E-4</v>
      </c>
      <c r="R148" s="301"/>
      <c r="V148" s="301"/>
    </row>
    <row r="149" spans="1:22" s="303" customFormat="1" ht="14.25" x14ac:dyDescent="0.2">
      <c r="A149" s="114">
        <v>37.1</v>
      </c>
      <c r="E149" s="301"/>
      <c r="F149" s="301"/>
      <c r="G149" s="302"/>
      <c r="H149" s="301"/>
      <c r="I149" s="301"/>
      <c r="K149" s="301"/>
      <c r="M149" s="301"/>
      <c r="N149" s="301"/>
      <c r="O149" s="301"/>
      <c r="R149" s="301"/>
      <c r="V149" s="301"/>
    </row>
    <row r="150" spans="1:22" s="303" customFormat="1" ht="14.25" x14ac:dyDescent="0.2">
      <c r="A150" s="114">
        <v>37.200000000000003</v>
      </c>
      <c r="E150" s="301"/>
      <c r="F150" s="301"/>
      <c r="G150" s="302"/>
      <c r="H150" s="301"/>
      <c r="I150" s="301"/>
      <c r="K150" s="301"/>
      <c r="M150" s="301"/>
      <c r="N150" s="301"/>
      <c r="O150" s="301"/>
      <c r="R150" s="301"/>
      <c r="V150" s="301"/>
    </row>
    <row r="151" spans="1:22" s="303" customFormat="1" ht="14.25" x14ac:dyDescent="0.2">
      <c r="A151" s="114">
        <v>37.299999999999997</v>
      </c>
      <c r="E151" s="301"/>
      <c r="F151" s="301"/>
      <c r="G151" s="302"/>
      <c r="H151" s="301"/>
      <c r="I151" s="301"/>
      <c r="K151" s="301"/>
      <c r="M151" s="301"/>
      <c r="N151" s="301"/>
      <c r="O151" s="301"/>
      <c r="R151" s="301"/>
      <c r="V151" s="301"/>
    </row>
    <row r="152" spans="1:22" s="303" customFormat="1" ht="14.25" x14ac:dyDescent="0.2">
      <c r="A152" s="114">
        <v>38</v>
      </c>
      <c r="E152" s="301"/>
      <c r="F152" s="301"/>
      <c r="G152" s="302"/>
      <c r="H152" s="301"/>
      <c r="I152" s="301"/>
      <c r="K152" s="301"/>
      <c r="M152" s="301"/>
      <c r="N152" s="301"/>
      <c r="O152" s="301">
        <v>2.6499999999999999E-4</v>
      </c>
      <c r="R152" s="301"/>
      <c r="V152" s="301"/>
    </row>
    <row r="153" spans="1:22" s="303" customFormat="1" ht="14.25" x14ac:dyDescent="0.2">
      <c r="A153" s="114">
        <v>38.1</v>
      </c>
      <c r="E153" s="301"/>
      <c r="F153" s="301"/>
      <c r="G153" s="302"/>
      <c r="H153" s="301"/>
      <c r="I153" s="301"/>
      <c r="K153" s="301"/>
      <c r="M153" s="301"/>
      <c r="N153" s="301"/>
      <c r="O153" s="301"/>
      <c r="R153" s="301"/>
      <c r="V153" s="301"/>
    </row>
    <row r="154" spans="1:22" s="303" customFormat="1" ht="14.25" x14ac:dyDescent="0.2">
      <c r="A154" s="114">
        <v>38.200000000000003</v>
      </c>
      <c r="E154" s="301"/>
      <c r="F154" s="301"/>
      <c r="G154" s="302"/>
      <c r="H154" s="301"/>
      <c r="I154" s="301"/>
      <c r="K154" s="301"/>
      <c r="M154" s="301"/>
      <c r="N154" s="301"/>
      <c r="O154" s="301"/>
      <c r="R154" s="301"/>
      <c r="V154" s="301"/>
    </row>
    <row r="155" spans="1:22" s="303" customFormat="1" ht="14.25" x14ac:dyDescent="0.2">
      <c r="A155" s="114">
        <v>38.299999999999997</v>
      </c>
      <c r="E155" s="301"/>
      <c r="F155" s="301"/>
      <c r="G155" s="302"/>
      <c r="H155" s="301"/>
      <c r="I155" s="301"/>
      <c r="K155" s="301"/>
      <c r="M155" s="301"/>
      <c r="N155" s="301"/>
      <c r="O155" s="301"/>
      <c r="R155" s="301"/>
      <c r="V155" s="301"/>
    </row>
    <row r="156" spans="1:22" s="303" customFormat="1" ht="14.25" x14ac:dyDescent="0.2">
      <c r="A156" s="114">
        <v>39</v>
      </c>
      <c r="E156" s="301"/>
      <c r="F156" s="301"/>
      <c r="G156" s="302"/>
      <c r="H156" s="301"/>
      <c r="I156" s="301"/>
      <c r="K156" s="301"/>
      <c r="M156" s="301"/>
      <c r="N156" s="301"/>
      <c r="O156" s="301">
        <v>3.1000000000000001E-5</v>
      </c>
      <c r="R156" s="301"/>
      <c r="V156" s="301"/>
    </row>
    <row r="157" spans="1:22" s="303" customFormat="1" ht="14.25" x14ac:dyDescent="0.2">
      <c r="A157" s="114">
        <v>39.1</v>
      </c>
      <c r="E157" s="301"/>
      <c r="F157" s="301"/>
      <c r="G157" s="302"/>
      <c r="H157" s="301"/>
      <c r="I157" s="301"/>
      <c r="K157" s="301"/>
      <c r="M157" s="301"/>
      <c r="N157" s="301"/>
      <c r="O157" s="301"/>
      <c r="R157" s="301"/>
      <c r="V157" s="301"/>
    </row>
    <row r="158" spans="1:22" s="303" customFormat="1" ht="14.25" x14ac:dyDescent="0.2">
      <c r="A158" s="114">
        <v>39.200000000000003</v>
      </c>
      <c r="E158" s="301"/>
      <c r="F158" s="301"/>
      <c r="G158" s="302"/>
      <c r="H158" s="301"/>
      <c r="I158" s="301"/>
      <c r="K158" s="301"/>
      <c r="M158" s="301"/>
      <c r="N158" s="301"/>
      <c r="O158" s="301"/>
      <c r="R158" s="301"/>
      <c r="V158" s="301">
        <v>3.9999999999999998E-6</v>
      </c>
    </row>
    <row r="159" spans="1:22" s="303" customFormat="1" ht="14.25" x14ac:dyDescent="0.2">
      <c r="A159" s="114">
        <v>39.299999999999997</v>
      </c>
      <c r="E159" s="301"/>
      <c r="F159" s="301"/>
      <c r="G159" s="302"/>
      <c r="H159" s="301"/>
      <c r="I159" s="301"/>
      <c r="K159" s="301"/>
      <c r="M159" s="301"/>
      <c r="N159" s="301"/>
      <c r="O159" s="301"/>
      <c r="R159" s="301"/>
      <c r="V159" s="301"/>
    </row>
    <row r="160" spans="1:22" s="303" customFormat="1" ht="14.25" x14ac:dyDescent="0.2">
      <c r="A160" s="114">
        <v>40</v>
      </c>
      <c r="E160" s="301"/>
      <c r="F160" s="301"/>
      <c r="G160" s="302"/>
      <c r="H160" s="301"/>
      <c r="I160" s="301"/>
      <c r="K160" s="301"/>
      <c r="M160" s="301"/>
      <c r="N160" s="301"/>
      <c r="O160" s="301"/>
      <c r="R160" s="301"/>
      <c r="V160" s="301">
        <v>6.9999999999999999E-6</v>
      </c>
    </row>
    <row r="161" spans="1:22" s="303" customFormat="1" ht="14.25" x14ac:dyDescent="0.2">
      <c r="A161" s="114">
        <v>40.1</v>
      </c>
      <c r="E161" s="301"/>
      <c r="F161" s="301"/>
      <c r="G161" s="302"/>
      <c r="H161" s="301"/>
      <c r="I161" s="301"/>
      <c r="K161" s="301"/>
      <c r="M161" s="301"/>
      <c r="N161" s="301"/>
      <c r="O161" s="301"/>
      <c r="R161" s="301"/>
      <c r="V161" s="301"/>
    </row>
    <row r="162" spans="1:22" s="303" customFormat="1" ht="14.25" x14ac:dyDescent="0.2">
      <c r="A162" s="114">
        <v>40.200000000000003</v>
      </c>
      <c r="E162" s="301"/>
      <c r="F162" s="301"/>
      <c r="G162" s="302"/>
      <c r="H162" s="301"/>
      <c r="I162" s="301"/>
      <c r="K162" s="301"/>
      <c r="M162" s="301"/>
      <c r="N162" s="301"/>
      <c r="O162" s="301"/>
      <c r="R162" s="301"/>
      <c r="V162" s="301"/>
    </row>
    <row r="163" spans="1:22" s="303" customFormat="1" ht="14.25" x14ac:dyDescent="0.2">
      <c r="A163" s="114">
        <v>40.299999999999997</v>
      </c>
      <c r="E163" s="301"/>
      <c r="F163" s="301"/>
      <c r="G163" s="302"/>
      <c r="H163" s="301"/>
      <c r="I163" s="301"/>
      <c r="K163" s="301"/>
      <c r="M163" s="301"/>
      <c r="N163" s="301"/>
      <c r="O163" s="301"/>
      <c r="R163" s="301"/>
      <c r="V163" s="301"/>
    </row>
    <row r="164" spans="1:22" s="303" customFormat="1" ht="14.25" x14ac:dyDescent="0.2">
      <c r="A164" s="114">
        <v>41</v>
      </c>
      <c r="E164" s="301"/>
      <c r="F164" s="301"/>
      <c r="G164" s="302"/>
      <c r="H164" s="301"/>
      <c r="I164" s="301"/>
      <c r="K164" s="301"/>
      <c r="M164" s="301"/>
      <c r="N164" s="301"/>
      <c r="O164" s="301"/>
      <c r="R164" s="301"/>
      <c r="V164" s="301"/>
    </row>
    <row r="165" spans="1:22" s="303" customFormat="1" ht="14.25" x14ac:dyDescent="0.2">
      <c r="A165" s="114">
        <v>41.1</v>
      </c>
      <c r="E165" s="301"/>
      <c r="F165" s="301"/>
      <c r="G165" s="302"/>
      <c r="H165" s="301"/>
      <c r="I165" s="301"/>
      <c r="K165" s="301"/>
      <c r="M165" s="301"/>
      <c r="N165" s="301"/>
      <c r="O165" s="301"/>
      <c r="R165" s="301"/>
      <c r="V165" s="301"/>
    </row>
    <row r="166" spans="1:22" s="303" customFormat="1" ht="14.25" x14ac:dyDescent="0.2">
      <c r="A166" s="114">
        <v>41.2</v>
      </c>
      <c r="E166" s="301"/>
      <c r="F166" s="301"/>
      <c r="G166" s="302"/>
      <c r="H166" s="301"/>
      <c r="I166" s="301"/>
      <c r="K166" s="301"/>
      <c r="M166" s="301"/>
      <c r="N166" s="301"/>
      <c r="O166" s="301"/>
      <c r="R166" s="301"/>
      <c r="V166" s="301">
        <v>3.9999999999999998E-6</v>
      </c>
    </row>
    <row r="167" spans="1:22" s="303" customFormat="1" ht="14.25" x14ac:dyDescent="0.2">
      <c r="A167" s="114">
        <v>41.3</v>
      </c>
      <c r="E167" s="301"/>
      <c r="F167" s="301"/>
      <c r="G167" s="302"/>
      <c r="H167" s="301"/>
      <c r="I167" s="301"/>
      <c r="K167" s="301"/>
      <c r="M167" s="301"/>
      <c r="N167" s="301"/>
      <c r="O167" s="301"/>
      <c r="R167" s="301"/>
      <c r="V167" s="301"/>
    </row>
    <row r="168" spans="1:22" s="303" customFormat="1" ht="14.25" x14ac:dyDescent="0.2">
      <c r="A168" s="114">
        <v>42</v>
      </c>
      <c r="E168" s="301"/>
      <c r="F168" s="301"/>
      <c r="G168" s="302"/>
      <c r="H168" s="301"/>
      <c r="I168" s="301"/>
      <c r="K168" s="301"/>
      <c r="M168" s="301"/>
      <c r="N168" s="301"/>
      <c r="O168" s="301"/>
      <c r="R168" s="301"/>
      <c r="V168" s="301">
        <v>6.9999999999999999E-6</v>
      </c>
    </row>
    <row r="169" spans="1:22" s="303" customFormat="1" ht="14.25" x14ac:dyDescent="0.2">
      <c r="A169" s="114">
        <v>42.1</v>
      </c>
      <c r="E169" s="301"/>
      <c r="F169" s="301"/>
      <c r="G169" s="302"/>
      <c r="H169" s="301"/>
      <c r="I169" s="301"/>
      <c r="K169" s="301"/>
      <c r="M169" s="301"/>
      <c r="N169" s="301"/>
      <c r="O169" s="301"/>
      <c r="R169" s="301"/>
      <c r="V169" s="301"/>
    </row>
    <row r="170" spans="1:22" s="303" customFormat="1" ht="14.25" x14ac:dyDescent="0.2">
      <c r="A170" s="114">
        <v>42.2</v>
      </c>
      <c r="E170" s="301"/>
      <c r="F170" s="301"/>
      <c r="G170" s="302"/>
      <c r="H170" s="301"/>
      <c r="I170" s="301"/>
      <c r="K170" s="301"/>
      <c r="M170" s="301"/>
      <c r="N170" s="301"/>
      <c r="O170" s="301"/>
      <c r="R170" s="301"/>
      <c r="V170" s="301">
        <v>4.8000000000000001E-5</v>
      </c>
    </row>
    <row r="171" spans="1:22" s="303" customFormat="1" ht="14.25" x14ac:dyDescent="0.2">
      <c r="A171" s="114">
        <v>42.3</v>
      </c>
      <c r="E171" s="301"/>
      <c r="F171" s="301"/>
      <c r="G171" s="302"/>
      <c r="H171" s="301"/>
      <c r="I171" s="301"/>
      <c r="K171" s="301"/>
      <c r="M171" s="301"/>
      <c r="N171" s="301"/>
      <c r="O171" s="301"/>
      <c r="R171" s="301"/>
      <c r="V171" s="301"/>
    </row>
    <row r="172" spans="1:22" s="303" customFormat="1" ht="14.25" x14ac:dyDescent="0.2">
      <c r="A172" s="114">
        <v>43</v>
      </c>
      <c r="E172" s="301"/>
      <c r="F172" s="301"/>
      <c r="G172" s="302"/>
      <c r="H172" s="301"/>
      <c r="I172" s="301"/>
      <c r="K172" s="301"/>
      <c r="M172" s="301"/>
      <c r="N172" s="301"/>
      <c r="O172" s="301"/>
      <c r="R172" s="301"/>
      <c r="V172" s="301">
        <v>3.9999999999999998E-6</v>
      </c>
    </row>
    <row r="173" spans="1:22" s="303" customFormat="1" ht="14.25" x14ac:dyDescent="0.2">
      <c r="A173" s="114">
        <v>43.1</v>
      </c>
      <c r="E173" s="301"/>
      <c r="F173" s="301"/>
      <c r="G173" s="302"/>
      <c r="H173" s="301"/>
      <c r="I173" s="301"/>
      <c r="K173" s="301"/>
      <c r="M173" s="301"/>
      <c r="N173" s="301"/>
      <c r="O173" s="301"/>
      <c r="R173" s="301"/>
      <c r="V173" s="301"/>
    </row>
    <row r="174" spans="1:22" s="303" customFormat="1" ht="14.25" x14ac:dyDescent="0.2">
      <c r="A174" s="114">
        <v>43.2</v>
      </c>
      <c r="E174" s="301"/>
      <c r="F174" s="301"/>
      <c r="G174" s="302"/>
      <c r="H174" s="301"/>
      <c r="I174" s="301"/>
      <c r="K174" s="301"/>
      <c r="M174" s="301"/>
      <c r="N174" s="301"/>
      <c r="O174" s="301"/>
      <c r="R174" s="301"/>
      <c r="V174" s="301">
        <v>5.7799999999999995E-4</v>
      </c>
    </row>
    <row r="175" spans="1:22" s="303" customFormat="1" ht="14.25" x14ac:dyDescent="0.2">
      <c r="A175" s="114">
        <v>43.3</v>
      </c>
      <c r="E175" s="301"/>
      <c r="F175" s="301"/>
      <c r="G175" s="302"/>
      <c r="H175" s="301"/>
      <c r="I175" s="301"/>
      <c r="K175" s="301"/>
      <c r="M175" s="301"/>
      <c r="N175" s="301"/>
      <c r="O175" s="301"/>
      <c r="R175" s="301"/>
      <c r="V175" s="301"/>
    </row>
    <row r="176" spans="1:22" s="303" customFormat="1" ht="14.25" x14ac:dyDescent="0.2">
      <c r="A176" s="114">
        <v>44</v>
      </c>
      <c r="E176" s="301"/>
      <c r="F176" s="301"/>
      <c r="G176" s="302"/>
      <c r="H176" s="301"/>
      <c r="I176" s="301"/>
      <c r="K176" s="301"/>
      <c r="M176" s="301"/>
      <c r="N176" s="301"/>
      <c r="O176" s="301"/>
      <c r="R176" s="301"/>
      <c r="V176" s="301"/>
    </row>
    <row r="177" spans="1:22" s="303" customFormat="1" ht="14.25" x14ac:dyDescent="0.2">
      <c r="A177" s="114">
        <v>44.1</v>
      </c>
      <c r="E177" s="301"/>
      <c r="F177" s="301"/>
      <c r="G177" s="302"/>
      <c r="H177" s="301"/>
      <c r="I177" s="301"/>
      <c r="K177" s="301"/>
      <c r="M177" s="301"/>
      <c r="N177" s="301"/>
      <c r="O177" s="301"/>
      <c r="R177" s="301"/>
      <c r="V177" s="301"/>
    </row>
    <row r="178" spans="1:22" s="303" customFormat="1" ht="14.25" x14ac:dyDescent="0.2">
      <c r="A178" s="114">
        <v>44.2</v>
      </c>
      <c r="E178" s="301"/>
      <c r="F178" s="301"/>
      <c r="G178" s="302"/>
      <c r="H178" s="301"/>
      <c r="I178" s="301"/>
      <c r="K178" s="301"/>
      <c r="M178" s="301"/>
      <c r="N178" s="301"/>
      <c r="O178" s="301"/>
      <c r="R178" s="301"/>
      <c r="V178" s="301">
        <v>2.6899999999999998E-4</v>
      </c>
    </row>
    <row r="179" spans="1:22" s="303" customFormat="1" ht="14.25" x14ac:dyDescent="0.2">
      <c r="A179" s="114">
        <v>44.3</v>
      </c>
      <c r="E179" s="301"/>
      <c r="F179" s="301"/>
      <c r="G179" s="302"/>
      <c r="H179" s="301"/>
      <c r="I179" s="301"/>
      <c r="K179" s="301"/>
      <c r="M179" s="301"/>
      <c r="N179" s="301"/>
      <c r="O179" s="301"/>
      <c r="R179" s="301"/>
      <c r="V179" s="301"/>
    </row>
    <row r="180" spans="1:22" s="303" customFormat="1" ht="14.25" x14ac:dyDescent="0.2">
      <c r="A180" s="114">
        <v>45</v>
      </c>
      <c r="E180" s="301"/>
      <c r="F180" s="301"/>
      <c r="G180" s="302"/>
      <c r="H180" s="301"/>
      <c r="I180" s="301"/>
      <c r="K180" s="301"/>
      <c r="M180" s="301"/>
      <c r="N180" s="301"/>
      <c r="O180" s="301"/>
      <c r="R180" s="301"/>
      <c r="V180" s="301"/>
    </row>
    <row r="181" spans="1:22" s="303" customFormat="1" ht="14.25" x14ac:dyDescent="0.2">
      <c r="A181" s="114">
        <v>45.1</v>
      </c>
      <c r="E181" s="301"/>
      <c r="F181" s="301"/>
      <c r="G181" s="302"/>
      <c r="H181" s="301"/>
      <c r="I181" s="301"/>
      <c r="K181" s="301"/>
      <c r="M181" s="301"/>
      <c r="N181" s="301"/>
      <c r="O181" s="301"/>
      <c r="R181" s="301"/>
      <c r="V181" s="301"/>
    </row>
    <row r="182" spans="1:22" s="303" customFormat="1" ht="14.25" x14ac:dyDescent="0.2">
      <c r="A182" s="114">
        <v>45.2</v>
      </c>
      <c r="E182" s="301"/>
      <c r="F182" s="301"/>
      <c r="G182" s="302"/>
      <c r="H182" s="301"/>
      <c r="I182" s="301"/>
      <c r="K182" s="301"/>
      <c r="M182" s="301"/>
      <c r="N182" s="301"/>
      <c r="O182" s="301"/>
      <c r="R182" s="301"/>
      <c r="V182" s="301">
        <v>2.7599999999999999E-4</v>
      </c>
    </row>
    <row r="183" spans="1:22" s="303" customFormat="1" ht="14.25" x14ac:dyDescent="0.2">
      <c r="A183" s="114">
        <v>45.3</v>
      </c>
      <c r="E183" s="301"/>
      <c r="F183" s="301"/>
      <c r="G183" s="302"/>
      <c r="H183" s="301"/>
      <c r="I183" s="301"/>
      <c r="K183" s="301"/>
      <c r="M183" s="301"/>
      <c r="N183" s="301"/>
      <c r="O183" s="301"/>
      <c r="R183" s="301"/>
      <c r="V183" s="301"/>
    </row>
    <row r="184" spans="1:22" s="303" customFormat="1" ht="14.25" x14ac:dyDescent="0.2">
      <c r="A184" s="114">
        <v>46</v>
      </c>
      <c r="E184" s="301"/>
      <c r="F184" s="301"/>
      <c r="G184" s="302"/>
      <c r="H184" s="301"/>
      <c r="I184" s="301"/>
      <c r="K184" s="301"/>
      <c r="M184" s="301"/>
      <c r="N184" s="301"/>
      <c r="O184" s="301"/>
      <c r="R184" s="301"/>
      <c r="V184" s="301"/>
    </row>
    <row r="185" spans="1:22" s="303" customFormat="1" ht="14.25" x14ac:dyDescent="0.2">
      <c r="A185" s="114">
        <v>46.1</v>
      </c>
      <c r="E185" s="301"/>
      <c r="F185" s="301"/>
      <c r="G185" s="302"/>
      <c r="H185" s="301"/>
      <c r="I185" s="301"/>
      <c r="K185" s="301"/>
      <c r="M185" s="301"/>
      <c r="N185" s="301"/>
      <c r="O185" s="301"/>
      <c r="R185" s="301"/>
      <c r="V185" s="301"/>
    </row>
    <row r="186" spans="1:22" s="303" customFormat="1" ht="14.25" x14ac:dyDescent="0.2">
      <c r="A186" s="114">
        <v>46.2</v>
      </c>
      <c r="E186" s="301"/>
      <c r="F186" s="301"/>
      <c r="G186" s="302"/>
      <c r="H186" s="301"/>
      <c r="I186" s="301"/>
      <c r="K186" s="301"/>
      <c r="M186" s="301"/>
      <c r="N186" s="301"/>
      <c r="O186" s="301"/>
      <c r="R186" s="301"/>
      <c r="V186" s="301">
        <v>2.5399999999999999E-4</v>
      </c>
    </row>
    <row r="187" spans="1:22" s="303" customFormat="1" ht="14.25" x14ac:dyDescent="0.2">
      <c r="A187" s="114">
        <v>46.3</v>
      </c>
      <c r="E187" s="301"/>
      <c r="F187" s="301"/>
      <c r="G187" s="302"/>
      <c r="H187" s="301"/>
      <c r="I187" s="301"/>
      <c r="K187" s="301"/>
      <c r="M187" s="301"/>
      <c r="N187" s="301"/>
      <c r="O187" s="301"/>
      <c r="R187" s="301"/>
      <c r="V187" s="301"/>
    </row>
    <row r="188" spans="1:22" s="303" customFormat="1" ht="14.25" x14ac:dyDescent="0.2">
      <c r="A188" s="114">
        <v>47</v>
      </c>
      <c r="E188" s="301"/>
      <c r="F188" s="301"/>
      <c r="G188" s="302"/>
      <c r="H188" s="301"/>
      <c r="I188" s="301"/>
      <c r="K188" s="301"/>
      <c r="M188" s="301"/>
      <c r="N188" s="301"/>
      <c r="O188" s="301"/>
      <c r="R188" s="301"/>
      <c r="V188" s="301">
        <v>3.9999999999999998E-6</v>
      </c>
    </row>
    <row r="189" spans="1:22" s="303" customFormat="1" ht="14.25" x14ac:dyDescent="0.2">
      <c r="A189" s="114">
        <v>47.1</v>
      </c>
      <c r="E189" s="301"/>
      <c r="F189" s="301"/>
      <c r="G189" s="302"/>
      <c r="H189" s="301"/>
      <c r="I189" s="301"/>
      <c r="K189" s="301"/>
      <c r="M189" s="301"/>
      <c r="N189" s="301"/>
      <c r="O189" s="301"/>
      <c r="R189" s="301"/>
      <c r="V189" s="301"/>
    </row>
    <row r="190" spans="1:22" s="303" customFormat="1" ht="14.25" x14ac:dyDescent="0.2">
      <c r="A190" s="114">
        <v>47.2</v>
      </c>
      <c r="E190" s="301"/>
      <c r="F190" s="301"/>
      <c r="G190" s="302"/>
      <c r="H190" s="301"/>
      <c r="I190" s="301"/>
      <c r="K190" s="301"/>
      <c r="M190" s="301"/>
      <c r="N190" s="301"/>
      <c r="O190" s="301"/>
      <c r="R190" s="301"/>
      <c r="V190" s="301">
        <v>4.0000000000000003E-5</v>
      </c>
    </row>
    <row r="191" spans="1:22" s="303" customFormat="1" ht="14.25" x14ac:dyDescent="0.2">
      <c r="A191" s="114">
        <v>47.3</v>
      </c>
      <c r="E191" s="301"/>
      <c r="F191" s="301"/>
      <c r="G191" s="302"/>
      <c r="H191" s="301"/>
      <c r="I191" s="301"/>
      <c r="K191" s="301"/>
      <c r="M191" s="301"/>
      <c r="N191" s="301"/>
      <c r="O191" s="301"/>
      <c r="R191" s="301"/>
      <c r="V191" s="301"/>
    </row>
    <row r="192" spans="1:22" s="303" customFormat="1" ht="14.25" x14ac:dyDescent="0.2">
      <c r="A192" s="114">
        <v>48</v>
      </c>
      <c r="E192" s="301"/>
      <c r="F192" s="301"/>
      <c r="G192" s="302"/>
      <c r="H192" s="301"/>
      <c r="I192" s="301"/>
      <c r="K192" s="301"/>
      <c r="M192" s="301"/>
      <c r="N192" s="301"/>
      <c r="O192" s="301"/>
      <c r="R192" s="301"/>
      <c r="V192" s="301"/>
    </row>
    <row r="193" spans="1:22" s="303" customFormat="1" ht="14.25" x14ac:dyDescent="0.2">
      <c r="A193" s="114">
        <v>48.1</v>
      </c>
      <c r="E193" s="301"/>
      <c r="F193" s="301"/>
      <c r="G193" s="302"/>
      <c r="H193" s="301"/>
      <c r="I193" s="301"/>
      <c r="K193" s="301"/>
      <c r="M193" s="301"/>
      <c r="N193" s="301"/>
      <c r="O193" s="301"/>
      <c r="R193" s="301"/>
      <c r="V193" s="301"/>
    </row>
    <row r="194" spans="1:22" s="303" customFormat="1" ht="14.25" x14ac:dyDescent="0.2">
      <c r="A194" s="114">
        <v>48.2</v>
      </c>
      <c r="E194" s="301"/>
      <c r="F194" s="301"/>
      <c r="G194" s="302"/>
      <c r="H194" s="301"/>
      <c r="I194" s="301"/>
      <c r="K194" s="301"/>
      <c r="M194" s="301"/>
      <c r="N194" s="301"/>
      <c r="O194" s="301"/>
      <c r="R194" s="301"/>
      <c r="V194" s="301">
        <v>1.5E-5</v>
      </c>
    </row>
    <row r="195" spans="1:22" s="303" customFormat="1" ht="14.25" x14ac:dyDescent="0.2">
      <c r="A195" s="114">
        <v>48.3</v>
      </c>
      <c r="E195" s="301"/>
      <c r="F195" s="301"/>
      <c r="G195" s="302"/>
      <c r="H195" s="301"/>
      <c r="I195" s="301"/>
      <c r="K195" s="301"/>
      <c r="M195" s="301"/>
      <c r="N195" s="301"/>
      <c r="O195" s="301"/>
      <c r="R195" s="301"/>
      <c r="V195" s="301"/>
    </row>
    <row r="196" spans="1:22" s="303" customFormat="1" ht="14.25" x14ac:dyDescent="0.2">
      <c r="A196" s="114">
        <v>49</v>
      </c>
      <c r="E196" s="301"/>
      <c r="F196" s="301"/>
      <c r="G196" s="302"/>
      <c r="H196" s="301"/>
      <c r="I196" s="301"/>
      <c r="K196" s="301"/>
      <c r="M196" s="301"/>
      <c r="N196" s="301"/>
      <c r="O196" s="301"/>
      <c r="R196" s="301"/>
      <c r="V196" s="301"/>
    </row>
    <row r="197" spans="1:22" s="303" customFormat="1" ht="14.25" x14ac:dyDescent="0.2">
      <c r="A197" s="114">
        <v>49.1</v>
      </c>
      <c r="E197" s="301"/>
      <c r="F197" s="301"/>
      <c r="G197" s="302"/>
      <c r="H197" s="301"/>
      <c r="I197" s="301"/>
      <c r="K197" s="301"/>
      <c r="M197" s="301"/>
      <c r="N197" s="301"/>
      <c r="O197" s="301"/>
      <c r="R197" s="301"/>
      <c r="V197" s="301"/>
    </row>
    <row r="198" spans="1:22" s="303" customFormat="1" ht="14.25" x14ac:dyDescent="0.2">
      <c r="A198" s="114">
        <v>49.2</v>
      </c>
      <c r="E198" s="301"/>
      <c r="F198" s="301"/>
      <c r="G198" s="302"/>
      <c r="H198" s="301"/>
      <c r="I198" s="301"/>
      <c r="K198" s="301"/>
      <c r="M198" s="301"/>
      <c r="N198" s="301"/>
      <c r="O198" s="301"/>
      <c r="R198" s="301"/>
      <c r="V198" s="301"/>
    </row>
    <row r="199" spans="1:22" s="303" customFormat="1" ht="14.25" x14ac:dyDescent="0.2">
      <c r="A199" s="114">
        <v>49.3</v>
      </c>
      <c r="E199" s="301"/>
      <c r="F199" s="301"/>
      <c r="G199" s="302"/>
      <c r="H199" s="301"/>
      <c r="I199" s="301"/>
      <c r="K199" s="301"/>
      <c r="M199" s="301"/>
      <c r="N199" s="301"/>
      <c r="O199" s="301"/>
      <c r="R199" s="301"/>
      <c r="V199" s="301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dimension ref="A1:CR64"/>
  <sheetViews>
    <sheetView zoomScale="95" zoomScaleNormal="95" workbookViewId="0">
      <selection activeCell="B9" sqref="B9:E30"/>
    </sheetView>
  </sheetViews>
  <sheetFormatPr defaultColWidth="9.140625" defaultRowHeight="14.25" x14ac:dyDescent="0.2"/>
  <cols>
    <col min="1" max="1" width="10.28515625" style="1" customWidth="1"/>
    <col min="2" max="2" width="5.28515625" style="1" customWidth="1"/>
    <col min="3" max="3" width="5.28515625" style="239" customWidth="1"/>
    <col min="4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4.14062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 x14ac:dyDescent="0.25">
      <c r="A1" s="807" t="s">
        <v>203</v>
      </c>
      <c r="B1" s="860"/>
      <c r="C1" s="860"/>
      <c r="D1" s="860"/>
      <c r="E1" s="860"/>
      <c r="F1" s="860"/>
      <c r="G1" s="860"/>
      <c r="H1" s="860"/>
      <c r="I1" s="860"/>
      <c r="J1" s="860"/>
      <c r="K1" s="860"/>
      <c r="L1" s="860"/>
      <c r="M1" s="860"/>
      <c r="N1" s="860"/>
      <c r="O1" s="860"/>
      <c r="P1" s="860"/>
      <c r="Q1" s="860"/>
      <c r="R1" s="860"/>
      <c r="S1" s="860"/>
      <c r="T1" s="860"/>
      <c r="U1" s="860"/>
      <c r="V1" s="860"/>
      <c r="W1" s="860"/>
      <c r="X1" s="860"/>
      <c r="Y1" s="860"/>
      <c r="Z1" s="860"/>
      <c r="AA1" s="860"/>
      <c r="AB1" s="860"/>
      <c r="AC1" s="860"/>
      <c r="AD1" s="860"/>
      <c r="AE1" s="860"/>
      <c r="AF1" s="860"/>
      <c r="AG1" s="860"/>
      <c r="AH1" s="860"/>
      <c r="AI1" s="860"/>
      <c r="AJ1" s="860"/>
      <c r="AK1" s="860"/>
      <c r="AL1" s="860"/>
      <c r="AM1" s="860"/>
      <c r="AN1" s="860"/>
      <c r="AO1" s="860"/>
      <c r="AP1" s="860"/>
      <c r="AQ1" s="860"/>
      <c r="AR1" s="860"/>
      <c r="AS1" s="860"/>
      <c r="AT1" s="861"/>
      <c r="AU1" s="20"/>
      <c r="AV1" s="21"/>
    </row>
    <row r="2" spans="1:96" ht="21.75" customHeight="1" thickTop="1" x14ac:dyDescent="0.25">
      <c r="A2" s="237" t="s">
        <v>81</v>
      </c>
      <c r="B2" s="810"/>
      <c r="C2" s="810"/>
      <c r="D2" s="810"/>
      <c r="E2" s="810"/>
      <c r="F2" s="810"/>
      <c r="G2" s="810"/>
      <c r="H2" s="49"/>
      <c r="I2" s="457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O2" s="458" t="s">
        <v>313</v>
      </c>
      <c r="AS2" s="459" t="s">
        <v>224</v>
      </c>
      <c r="AT2" s="255"/>
    </row>
    <row r="3" spans="1:96" ht="15" customHeight="1" x14ac:dyDescent="0.25">
      <c r="A3" s="237" t="s">
        <v>161</v>
      </c>
      <c r="B3" s="460"/>
      <c r="C3" s="461"/>
      <c r="D3" s="461"/>
      <c r="E3" s="461"/>
      <c r="F3" s="461"/>
      <c r="G3" s="461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62" t="str">
        <f>(IF(('[1]IMPORTAÇÃO GENOTIPER'!Y4="X"),"XX",(IF(('[1]IMPORTAÇÃO GENOTIPER'!Y4&lt;&gt;"X"),"ERRO"))))</f>
        <v>ERRO</v>
      </c>
      <c r="AS3" s="463" t="str">
        <f>IF(('[1]SUPERVISÃO 1'!$AB$27="EVIDÊNCIA DE TROCA"),"VERIFICAR","OK")</f>
        <v>OK</v>
      </c>
      <c r="AT3" s="259"/>
    </row>
    <row r="4" spans="1:96" ht="15" customHeight="1" thickBot="1" x14ac:dyDescent="0.3">
      <c r="A4" s="237" t="s">
        <v>92</v>
      </c>
      <c r="B4" s="460"/>
      <c r="C4" s="461"/>
      <c r="D4" s="461"/>
      <c r="E4" s="461"/>
      <c r="F4" s="461"/>
      <c r="G4" s="461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64"/>
      <c r="AF4" s="464"/>
      <c r="AG4" s="465"/>
      <c r="AH4" s="465"/>
      <c r="AI4" s="465"/>
      <c r="AJ4" s="465"/>
      <c r="AK4" s="49"/>
      <c r="AL4" s="49"/>
      <c r="AM4" s="49"/>
      <c r="AN4" s="49"/>
      <c r="AO4" s="466" t="str">
        <f>(IF(('[1]IMPORTAÇÃO GENOTIPER'!AO4="Y"),"XY",(IF(('[1]IMPORTAÇÃO GENOTIPER'!AO4="X"),"XX","ERRO"))))</f>
        <v>ERRO</v>
      </c>
      <c r="AS4" s="463" t="str">
        <f>IF(('[1]SUPERVISÃO 2'!$AB$27="EVIDÊNCIA DE TROCA"),"VERIFICAR","OK")</f>
        <v>OK</v>
      </c>
      <c r="AT4" s="259"/>
    </row>
    <row r="5" spans="1:96" ht="15" customHeight="1" thickTop="1" thickBot="1" x14ac:dyDescent="0.3">
      <c r="A5" s="237" t="s">
        <v>314</v>
      </c>
      <c r="B5" s="460"/>
      <c r="C5" s="461"/>
      <c r="D5" s="467"/>
      <c r="E5" s="461"/>
      <c r="F5" s="461"/>
      <c r="G5" s="461"/>
      <c r="H5" s="49"/>
      <c r="I5" s="468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68"/>
      <c r="AH5" s="49"/>
      <c r="AI5" s="49"/>
      <c r="AJ5" s="49"/>
      <c r="AK5" s="49"/>
      <c r="AL5" s="49"/>
      <c r="AM5" s="49"/>
      <c r="AN5" s="469"/>
      <c r="AO5" s="470" t="str">
        <f>(IF(('[1]IMPORTAÇÃO GENOTIPER'!BE4="Y"),"XY",(IF(('[1]IMPORTAÇÃO GENOTIPER'!BE4="X"),"XX","ERRO"))))</f>
        <v>ERRO</v>
      </c>
      <c r="AP5" s="1" t="s">
        <v>149</v>
      </c>
      <c r="AS5" s="463" t="str">
        <f>IF(('[1]SUPERVISÃO 3'!$AB$27="TROCA POSSÍVEL"),"VERIFICAR","OK")</f>
        <v>VERIFICAR</v>
      </c>
      <c r="AT5" s="259"/>
      <c r="AU5" s="345"/>
      <c r="BF5" s="811" t="s">
        <v>88</v>
      </c>
      <c r="BG5" s="812"/>
      <c r="BH5" s="31">
        <v>1E-3</v>
      </c>
      <c r="BN5" s="67"/>
      <c r="BO5" s="56"/>
      <c r="BP5" s="56"/>
      <c r="BQ5" s="56"/>
      <c r="BR5" s="56"/>
    </row>
    <row r="6" spans="1:96" ht="15" customHeight="1" thickTop="1" thickBot="1" x14ac:dyDescent="0.3">
      <c r="A6" s="237" t="s">
        <v>315</v>
      </c>
      <c r="B6" s="460"/>
      <c r="C6" s="461"/>
      <c r="D6" s="467"/>
      <c r="E6" s="461"/>
      <c r="F6" s="461"/>
      <c r="G6" s="461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69"/>
      <c r="AO6" s="462" t="str">
        <f>(IF(('[1]IMPORTAÇÃO GENOTIPER'!BU4="Y"),"XY",(IF(('[1]IMPORTAÇÃO GENOTIPER'!BU4="X"),"XX","ERRO"))))</f>
        <v>ERRO</v>
      </c>
      <c r="AP6" s="1" t="s">
        <v>149</v>
      </c>
      <c r="AS6" s="463" t="str">
        <f>IF(('[1]SUPERVISÃO 3'!$AB$27="TROCA POSSÍVEL"),"VERIFICAR","OK")</f>
        <v>VERIFICAR</v>
      </c>
      <c r="AT6" s="259"/>
      <c r="AU6" s="345"/>
      <c r="BF6" s="811" t="s">
        <v>88</v>
      </c>
      <c r="BG6" s="812"/>
      <c r="BH6" s="31">
        <v>1E-3</v>
      </c>
      <c r="BN6" s="67"/>
      <c r="BO6" s="56"/>
      <c r="BP6" s="56"/>
      <c r="BQ6" s="56"/>
      <c r="BR6" s="56"/>
    </row>
    <row r="7" spans="1:96" ht="18.75" customHeight="1" thickTop="1" thickBot="1" x14ac:dyDescent="0.3">
      <c r="A7" s="233" t="str">
        <f>IF(($BJ$43=1),"DETECTADA 1 MUTAÇÃO MATERNA",IF(($BJ$43=2),"DETECTADAS 2 MUTAÇÕES MATERNAS",IF(($BJ$43&gt;=3),"DETECTADA EXCLUSÃO DE MÃE","MATERNIDADE CONFIRMADA")))</f>
        <v>MATERNIDADE CONFIRMADA</v>
      </c>
      <c r="B7" s="234"/>
      <c r="C7" s="471"/>
      <c r="D7" s="471"/>
      <c r="E7" s="471"/>
      <c r="F7" s="472"/>
      <c r="G7" s="471"/>
      <c r="H7" s="471"/>
      <c r="I7" s="471"/>
      <c r="J7" s="473"/>
      <c r="K7" s="471"/>
      <c r="L7" s="471"/>
      <c r="M7" s="471"/>
      <c r="N7" s="471"/>
      <c r="O7" s="471"/>
      <c r="P7" s="471"/>
      <c r="Q7" s="471"/>
      <c r="R7" s="471"/>
      <c r="S7" s="471"/>
      <c r="T7" s="471"/>
      <c r="U7" s="471"/>
      <c r="V7" s="471"/>
      <c r="W7" s="471"/>
      <c r="X7" s="471"/>
      <c r="Y7" s="471"/>
      <c r="Z7" s="471"/>
      <c r="AA7" s="471"/>
      <c r="AB7" s="471"/>
      <c r="AC7" s="471"/>
      <c r="AD7" s="471"/>
      <c r="AE7" s="471"/>
      <c r="AF7" s="471"/>
      <c r="AG7" s="471"/>
      <c r="AH7" s="471" t="s">
        <v>316</v>
      </c>
      <c r="AI7" s="471" t="s">
        <v>317</v>
      </c>
      <c r="AJ7" s="471"/>
      <c r="AK7" s="471"/>
      <c r="AL7" s="471"/>
      <c r="AM7" s="471"/>
      <c r="AN7" s="11" t="s">
        <v>91</v>
      </c>
      <c r="AO7" s="474">
        <v>0.05</v>
      </c>
      <c r="AP7" s="345" t="s">
        <v>150</v>
      </c>
      <c r="AQ7" s="345"/>
      <c r="AR7" s="345"/>
      <c r="AS7" s="214" t="str">
        <f>IF(('[1]SUPERVISÃO 4'!$AG$27="VERIFICAR"),"VERIFICAR","OK")</f>
        <v>VERIFICAR</v>
      </c>
      <c r="AT7" s="74"/>
      <c r="AU7" s="1" t="s">
        <v>78</v>
      </c>
      <c r="BF7" s="811" t="s">
        <v>87</v>
      </c>
      <c r="BG7" s="812"/>
      <c r="BH7" s="855"/>
      <c r="BO7" s="811" t="s">
        <v>108</v>
      </c>
      <c r="BP7" s="812"/>
      <c r="BQ7" s="855"/>
      <c r="BR7" s="856" t="s">
        <v>109</v>
      </c>
      <c r="BS7" s="857"/>
      <c r="BT7" s="858"/>
      <c r="BU7" s="847" t="s">
        <v>111</v>
      </c>
      <c r="BV7" s="848"/>
      <c r="BW7" s="849"/>
    </row>
    <row r="8" spans="1:96" ht="14.25" customHeight="1" thickTop="1" thickBot="1" x14ac:dyDescent="0.3">
      <c r="A8" s="475" t="s">
        <v>50</v>
      </c>
      <c r="B8" s="865" t="s">
        <v>130</v>
      </c>
      <c r="C8" s="866"/>
      <c r="D8" s="865" t="s">
        <v>318</v>
      </c>
      <c r="E8" s="866"/>
      <c r="F8" s="865" t="s">
        <v>319</v>
      </c>
      <c r="G8" s="866"/>
      <c r="H8" s="865" t="s">
        <v>320</v>
      </c>
      <c r="I8" s="866"/>
      <c r="J8" s="867" t="s">
        <v>97</v>
      </c>
      <c r="K8" s="868"/>
      <c r="L8" s="867" t="s">
        <v>98</v>
      </c>
      <c r="M8" s="868"/>
      <c r="N8" s="867" t="s">
        <v>321</v>
      </c>
      <c r="O8" s="868"/>
      <c r="P8" s="867" t="s">
        <v>322</v>
      </c>
      <c r="Q8" s="868"/>
      <c r="R8" s="867" t="s">
        <v>165</v>
      </c>
      <c r="S8" s="868"/>
      <c r="T8" s="867" t="s">
        <v>166</v>
      </c>
      <c r="U8" s="868"/>
      <c r="V8" s="867" t="s">
        <v>323</v>
      </c>
      <c r="W8" s="868"/>
      <c r="X8" s="867" t="s">
        <v>324</v>
      </c>
      <c r="Y8" s="868"/>
      <c r="Z8" s="476" t="s">
        <v>135</v>
      </c>
      <c r="AA8" s="476" t="s">
        <v>136</v>
      </c>
      <c r="AB8" s="476" t="s">
        <v>137</v>
      </c>
      <c r="AC8" s="477" t="s">
        <v>134</v>
      </c>
      <c r="AD8" s="883" t="s">
        <v>138</v>
      </c>
      <c r="AE8" s="884"/>
      <c r="AF8" s="883" t="s">
        <v>141</v>
      </c>
      <c r="AG8" s="884"/>
      <c r="AH8" s="476" t="s">
        <v>145</v>
      </c>
      <c r="AI8" s="476" t="s">
        <v>147</v>
      </c>
      <c r="AJ8" s="476" t="s">
        <v>146</v>
      </c>
      <c r="AK8" s="476" t="s">
        <v>148</v>
      </c>
      <c r="AL8" s="476" t="s">
        <v>160</v>
      </c>
      <c r="AM8" s="47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7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79" t="s">
        <v>143</v>
      </c>
      <c r="AP8" s="345" t="s">
        <v>139</v>
      </c>
      <c r="AQ8" s="345"/>
      <c r="AR8" s="345"/>
      <c r="AS8" s="479" t="s">
        <v>176</v>
      </c>
      <c r="AT8" s="479" t="s">
        <v>129</v>
      </c>
      <c r="AW8" s="875" t="s">
        <v>325</v>
      </c>
      <c r="AX8" s="876"/>
      <c r="AY8" s="876"/>
      <c r="AZ8" s="876"/>
      <c r="BA8" s="876"/>
      <c r="BB8" s="876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326</v>
      </c>
      <c r="BI8" s="34" t="s">
        <v>89</v>
      </c>
      <c r="BJ8" s="35" t="s">
        <v>90</v>
      </c>
      <c r="BL8" s="51" t="s">
        <v>100</v>
      </c>
      <c r="BM8" s="51" t="s">
        <v>101</v>
      </c>
      <c r="BO8" s="13" t="s">
        <v>105</v>
      </c>
      <c r="BP8" s="54" t="s">
        <v>106</v>
      </c>
      <c r="BQ8" s="54" t="s">
        <v>107</v>
      </c>
      <c r="BR8" s="58" t="s">
        <v>105</v>
      </c>
      <c r="BS8" s="59" t="s">
        <v>112</v>
      </c>
      <c r="BT8" s="59" t="s">
        <v>110</v>
      </c>
      <c r="BU8" s="61" t="s">
        <v>105</v>
      </c>
      <c r="BV8" s="62" t="s">
        <v>113</v>
      </c>
      <c r="BW8" s="63" t="s">
        <v>114</v>
      </c>
      <c r="CJ8" s="1" t="s">
        <v>327</v>
      </c>
      <c r="CR8" s="1" t="s">
        <v>328</v>
      </c>
    </row>
    <row r="9" spans="1:96" ht="14.25" customHeight="1" thickTop="1" thickBot="1" x14ac:dyDescent="0.25">
      <c r="A9" s="232" t="str">
        <f>'IMPORTAÇÃO GENOTIPER'!A5</f>
        <v>D3S1358</v>
      </c>
      <c r="B9" s="307">
        <f>'IMPORTAÇÃO GENOTIPER'!S5</f>
        <v>0</v>
      </c>
      <c r="C9" s="307">
        <f>'IMPORTAÇÃO GENOTIPER'!AA5</f>
        <v>0</v>
      </c>
      <c r="D9" s="307">
        <f>'IMPORTAÇÃO GENOTIPER'!AI5</f>
        <v>0</v>
      </c>
      <c r="E9" s="307">
        <f>'IMPORTAÇÃO GENOTIPER'!AQ5</f>
        <v>0</v>
      </c>
      <c r="F9" s="480">
        <f>'IMPORTAÇÃO GENOTIPER'!BO5</f>
        <v>0</v>
      </c>
      <c r="G9" s="480">
        <f>'IMPORTAÇÃO GENOTIPER'!BW5</f>
        <v>0</v>
      </c>
      <c r="H9" s="480">
        <f>'IMPORTAÇÃO GENOTIPER'!CE5</f>
        <v>0</v>
      </c>
      <c r="I9" s="480">
        <f>'IMPORTAÇÃO GENOTIPER'!CM5</f>
        <v>0</v>
      </c>
      <c r="J9" s="481">
        <f>(IF(CODE(D9)=(60),($BL9-1),(IF(CODE(D9)=(62),($BM9+1),B9))))</f>
        <v>0</v>
      </c>
      <c r="K9" s="481">
        <f>(IF(CODE(E9)=(60),($BL9-1),(IF(CODE(E9)=(62),($BM9+1),C9))))</f>
        <v>0</v>
      </c>
      <c r="L9" s="481">
        <f>(IF(CODE(F9)=(60),($BL9-1),(IF(CODE(F9)=(62),($BM9+1),D9))))</f>
        <v>0</v>
      </c>
      <c r="M9" s="481">
        <f>(IF(CODE(G9)=(60),($BH9-1),(IF(CODE(G9)=(62),($BI9+1),E9))))</f>
        <v>0</v>
      </c>
      <c r="N9" s="481">
        <f>(IF(CODE(H9)=(60),($BL9-1),(IF(CODE(H9)=(62),($BM9+1),F9))))</f>
        <v>0</v>
      </c>
      <c r="O9" s="481">
        <f>(IF(CODE(I9)=(60),($BL9-1),(IF(CODE(I9)=(62),($BM9+1),G9))))</f>
        <v>0</v>
      </c>
      <c r="P9" s="481">
        <f>(IF(CODE(J9)=(60),($BL9-1),(IF(CODE(J9)=(62),($BM9+1),H9))))</f>
        <v>0</v>
      </c>
      <c r="Q9" s="481">
        <f>(IF(CODE(K9)=(60),($BL9-1),(IF(CODE(K9)=(62),($BM9+1),I9))))</f>
        <v>0</v>
      </c>
      <c r="R9" s="482">
        <f t="shared" ref="R9:T24" si="0">IF((J9&gt;K9),K9,J9)</f>
        <v>0</v>
      </c>
      <c r="S9" s="482">
        <f t="shared" ref="S9:S42" si="1">IF((K9&gt;J9),K9,J9)</f>
        <v>0</v>
      </c>
      <c r="T9" s="482">
        <f t="shared" si="0"/>
        <v>0</v>
      </c>
      <c r="U9" s="482">
        <f t="shared" ref="U9:U42" si="2">IF((M9&gt;L9),M9,L9)</f>
        <v>0</v>
      </c>
      <c r="V9" s="482">
        <f t="shared" ref="V9:V42" si="3">IF((N9&gt;O9),O9,N9)</f>
        <v>0</v>
      </c>
      <c r="W9" s="482">
        <f t="shared" ref="W9:W42" si="4">IF((O9&gt;N9),O9,N9)</f>
        <v>0</v>
      </c>
      <c r="X9" s="482">
        <f>IF((P9&gt;Q9),Q9,P9)</f>
        <v>0</v>
      </c>
      <c r="Y9" s="482">
        <f>IF((Q9&gt;P9),Q9,P9)</f>
        <v>0</v>
      </c>
      <c r="Z9" s="483">
        <f t="shared" ref="Z9:Z42" si="5">IF((T9=R9),T9,(IF((T9=S9),T9,0)))</f>
        <v>0</v>
      </c>
      <c r="AA9" s="483">
        <f t="shared" ref="AA9:AA42" si="6">IF((U9=R9),U9,(IF((U9=S9),U9,0)))</f>
        <v>0</v>
      </c>
      <c r="AB9" s="484">
        <f>(IF((OR((T9="&gt;18"),(U9="&gt;18"))),2,(IF(((Z9+AA9)=(T9+U9)),0,1))))</f>
        <v>0</v>
      </c>
      <c r="AC9" s="485">
        <f>IF(OR(($Z9=$AA9),($AA9=0)),$Z9,(IF(AND(($Z9=0),($AA9&lt;&gt;0)),$AA9,"NÃO DEF")))</f>
        <v>0</v>
      </c>
      <c r="AD9" s="486">
        <f>(IF((AC9&lt;&gt;"NÃO DEF"),(T9+U9-AC9),T9))</f>
        <v>0</v>
      </c>
      <c r="AE9" s="486">
        <f>(IF((AC9&lt;&gt;"NÃO DEF"),0,U9))</f>
        <v>0</v>
      </c>
      <c r="AF9" s="487">
        <f>(IF(OR((AD9=V9),(AD9=W9),(AD9=X9),(AD9=Y9)),AD9,0))</f>
        <v>0</v>
      </c>
      <c r="AG9" s="488">
        <f>(IF((AE9&lt;&gt;0),(IF(OR((AE9=V9),(AE9=W9),(AE9=X9),(AE9=Y9)),AE9,(IF(AND((AC9="NÃO DEF"),(OR((AE9=V9),(AE9=W9),(AE9=X9),(AE9=Y9),(AF9=V9),(AF9=W9),(AF9=X9),(AF9=Y9)))),0,0)))),0))</f>
        <v>0</v>
      </c>
      <c r="AH9" s="489">
        <f>IF(AF9=0,0,VLOOKUP(AF9,[1]FREQUENCIAS!$1:$1048576,(IF(($A9=[1]FREQUENCIAS!$B$1),2,"ERRO")),[1]FREQUENCIAS!$1:$1048576))</f>
        <v>0</v>
      </c>
      <c r="AI9" s="489">
        <f>IF(AG9=0,0,VLOOKUP(AG9,[1]FREQUENCIAS!$1:$1048576,(IF(($A9=[1]FREQUENCIAS!$B$1),2,"ERRO")),[1]FREQUENCIAS!$1:$1048576))</f>
        <v>0</v>
      </c>
      <c r="AJ9" s="490"/>
      <c r="AK9" s="490"/>
      <c r="AL9" s="490"/>
      <c r="AM9" s="124">
        <f>IF(B9=0,1,(IF((A9="ERRO-FT"),"11",(IF((AND(($AF9=0),($AG9=0),(AX$43="S"))),0,(IF(SUM(AH9:AL9)&lt;=$AO$7,$AO$7,SUM(AH9:AL9))))))))</f>
        <v>1</v>
      </c>
      <c r="AN9" s="125">
        <f t="shared" ref="AN9:AN31" si="7">IF(B9=0,1,(IF((AND((BD9=1),($BD$43=1),($AS$43="MUT"))),0.027,(IF((A9="ERRO-FT"),"19",(IF((AND(($AF9=0),($AG9=0),($BD$44="N"))),0,(IF((AND(($AF9=0),($AG9=0),(BD$44="S"))),$BE9,((CR9/(4*$AM9))))))))))))</f>
        <v>1</v>
      </c>
      <c r="AO9" s="126">
        <f t="shared" ref="AO9:AO42" si="8">(IF((A9="ERRO-FT"),"ERRO",(IF((AN9=0),0,(AN9/(AN9+1))))))</f>
        <v>0.5</v>
      </c>
      <c r="AP9" s="345"/>
      <c r="AQ9" s="491">
        <f t="shared" ref="AQ9:AQ41" si="9">(IF((AND((BD9=1),($BD$43=1),($AS$43="MUT"))),0,((1-AM9)^2)))</f>
        <v>0</v>
      </c>
      <c r="AR9" s="345"/>
      <c r="AS9" s="129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MUTAÇÃO</v>
      </c>
      <c r="AT9" s="480" t="str">
        <f>IF(B9=0,"OK",(IF((AND(($BJ$43&lt;=2),(BJ9=1))),"MT",(IF((AND(($BJ$43&gt;2),(BJ9=1))),"EM","OK")))))</f>
        <v>OK</v>
      </c>
      <c r="AW9" s="1">
        <f>(IF(OR((B9="&lt;8"),(B9="&gt;19"),(B9=19),(B9=[1]FREQUENCIAS!$J$4),(B9=[1]FREQUENCIAS!$J$5),(B9=[1]FREQUENCIAS!$J$6),(B9=[1]FREQUENCIAS!$J$7),(B9=[1]FREQUENCIAS!$J$8),(B9=[1]FREQUENCIAS!$J$9),(B9=[1]FREQUENCIAS!$J$10),(B9=[1]FREQUENCIAS!$J$11),(B9=[1]FREQUENCIAS!$J$12),(B9=[1]FREQUENCIAS!$J$13),(B9=[1]FREQUENCIAS!$J$14)),1,0))</f>
        <v>1</v>
      </c>
      <c r="AX9" s="1">
        <f>(IF(OR((C9="&lt;8"),(C9="&gt;19"),(C9=19),(C9=[1]FREQUENCIAS!$J$4),(C9=[1]FREQUENCIAS!$J$5),(C9=[1]FREQUENCIAS!$J$6),(C9=[1]FREQUENCIAS!$J$7),(C9=[1]FREQUENCIAS!$J$8),(C9=[1]FREQUENCIAS!$J$9),(C9=[1]FREQUENCIAS!$J$10),(C9=[1]FREQUENCIAS!$J$11),(C9=[1]FREQUENCIAS!$J$12),(C9=[1]FREQUENCIAS!$J$13),(C9=[1]FREQUENCIAS!$J$14)),1,0))</f>
        <v>1</v>
      </c>
      <c r="AY9" s="1">
        <f>(IF(OR((D9="&lt;8"),(D9="&gt;19"),(D9=19),(D9=[1]FREQUENCIAS!$J$4),(D9=[1]FREQUENCIAS!$J$5),(D9=[1]FREQUENCIAS!$J$6),(D9=[1]FREQUENCIAS!$J$7),(D9=[1]FREQUENCIAS!$J$8),(D9=[1]FREQUENCIAS!$J$9),(D9=[1]FREQUENCIAS!$J$10),(D9=[1]FREQUENCIAS!$J$11),(D9=[1]FREQUENCIAS!$J$12),(D9=[1]FREQUENCIAS!$J$13),(D9=[1]FREQUENCIAS!$J$14)),1,0))</f>
        <v>1</v>
      </c>
      <c r="AZ9" s="1">
        <f>(IF(OR((E9="&lt;8"),(E9="&gt;19"),(E9=19),(E9=[1]FREQUENCIAS!$J$4),(E9=[1]FREQUENCIAS!$J$5),(E9=[1]FREQUENCIAS!$J$6),(E9=[1]FREQUENCIAS!$J$7),(E9=[1]FREQUENCIAS!$J$8),(E9=[1]FREQUENCIAS!$J$9),(E9=[1]FREQUENCIAS!$J$10),(E9=[1]FREQUENCIAS!$J$11),(E9=[1]FREQUENCIAS!$J$12),(E9=[1]FREQUENCIAS!$J$13),(E9=[1]FREQUENCIAS!$J$14)),1,0))</f>
        <v>1</v>
      </c>
      <c r="BA9" s="1">
        <f>(IF(OR((F9="&lt;8"),(F9="&gt;19"),(F9=19),(F9=[1]FREQUENCIAS!$J$4),(F9=[1]FREQUENCIAS!$J$5),(F9=[1]FREQUENCIAS!$J$6),(F9=[1]FREQUENCIAS!$J$7),(F9=[1]FREQUENCIAS!$J$8),(F9=[1]FREQUENCIAS!$J$9),(F9=[1]FREQUENCIAS!$J$10),(F9=[1]FREQUENCIAS!$J$11),(F9=[1]FREQUENCIAS!$J$12),(F9=[1]FREQUENCIAS!$J$13),(F9=[1]FREQUENCIAS!$J$14)),1,0))</f>
        <v>1</v>
      </c>
      <c r="BB9" s="1">
        <f>(IF(OR((G9="&lt;8"),(G9="&gt;19"),(G9=19),(G9=[1]FREQUENCIAS!$J$4),(G9=[1]FREQUENCIAS!$J$5),(G9=[1]FREQUENCIAS!$J$6),(G9=[1]FREQUENCIAS!$J$7),(G9=[1]FREQUENCIAS!$J$8),(G9=[1]FREQUENCIAS!$J$9),(G9=[1]FREQUENCIAS!$J$10),(G9=[1]FREQUENCIAS!$J$11),(G9=[1]FREQUENCIAS!$J$12),(G9=[1]FREQUENCIAS!$J$13),(G9=[1]FREQUENCIAS!$J$14)),1,0))</f>
        <v>1</v>
      </c>
      <c r="BD9" s="492">
        <f>IF(($AM9=0),1,0)</f>
        <v>0</v>
      </c>
      <c r="BE9" s="39">
        <f>BH9/BG9</f>
        <v>2.1857923497267755E-3</v>
      </c>
      <c r="BF9" s="14"/>
      <c r="BG9" s="41">
        <f>IF($A9=[1]FREQUENCIAS!$B$1,[1]FREQUENCIAS!$B$2,"ERRO NO PE")</f>
        <v>0.54900000000000004</v>
      </c>
      <c r="BH9" s="41">
        <f>IF($A9=[1]FREQUENCIAS!$B$1,[1]FREQUENCIAS!$B$3,"ERRO NA MUT")</f>
        <v>1.1999999999999999E-3</v>
      </c>
      <c r="BI9" s="41">
        <f t="shared" ref="BI9:BI41" si="11">(IF((AND(($BD$44="N"),($BD$46="O"),($BD9=1))),1,$AN9))</f>
        <v>1</v>
      </c>
      <c r="BJ9" s="2">
        <f>IF(B9=0,0,IF((AC9=0),1,0))</f>
        <v>0</v>
      </c>
      <c r="BK9" s="68"/>
      <c r="BL9" s="52">
        <v>8</v>
      </c>
      <c r="BM9" s="52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ALELO ERRADO</v>
      </c>
      <c r="BO9" s="493" t="str">
        <f t="shared" ref="BO9:BO42" si="12">IF(($AC9=($BL9-1)),"&lt;",IF(($AC9=($BM9+1)),"&gt;",""))</f>
        <v/>
      </c>
      <c r="BP9" s="493">
        <f t="shared" ref="BP9:BP42" si="13">IF(($AC9=($BL9-1)),$BL9,IF(($AC9=($BM9-1)),$BM9,$AC9))</f>
        <v>0</v>
      </c>
      <c r="BQ9" s="493">
        <f t="shared" ref="BQ9:BQ42" si="14">(IF((OR(($AC9=($BL9-1)),($AC9=($BM9+1)))),(CONCATENATE((BO9),(BP9))),$AC9))</f>
        <v>0</v>
      </c>
      <c r="BR9" s="494" t="str">
        <f t="shared" ref="BR9:BR42" si="15">IF(($AF9=($BL9-1)),"&lt;",IF(($AF9=($BM9+1)),"&gt;",""))</f>
        <v/>
      </c>
      <c r="BS9" s="494">
        <f t="shared" ref="BS9:BS42" si="16">IF(($AF9=($BL9-1)),$BL9,IF(($AF9=($BM9+1)),$BM9,$AF9))</f>
        <v>0</v>
      </c>
      <c r="BT9" s="494">
        <f t="shared" ref="BT9:BT42" si="17">(IF((OR(($AF9=($BL9-1)),($AF9=($BM9+1)))),(CONCATENATE((BR9),(BS9))),$AF9))</f>
        <v>0</v>
      </c>
      <c r="BU9" s="486" t="str">
        <f>IF(($AG9=($BL9-1)),"&lt;",IF(($AG9=($BM9+1)),"&gt;",""))</f>
        <v/>
      </c>
      <c r="BV9" s="486">
        <f t="shared" ref="BV9:BV42" si="18">IF((AG9=($BL9-1)),BM9,IF((AG9=($BM9+1)),$BM9,AG9))</f>
        <v>0</v>
      </c>
      <c r="BW9" s="486">
        <f t="shared" ref="BW9:BW42" si="19">(IF((OR(($AG9=($BL9-1)),($AG9=($BM9+1)))),(CONCATENATE((BU9),(BV9))),$AG9))</f>
        <v>0</v>
      </c>
      <c r="BZ9" s="495">
        <v>9</v>
      </c>
      <c r="CA9" s="496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1</v>
      </c>
      <c r="CO9" s="1">
        <f t="shared" ref="CO9:CO42" si="25">IF((G9=AG9),1,0)</f>
        <v>1</v>
      </c>
      <c r="CP9" s="1">
        <f t="shared" ref="CP9:CP42" si="26">IF((H9=AG9),1,0)</f>
        <v>1</v>
      </c>
      <c r="CQ9" s="1">
        <f t="shared" ref="CQ9:CQ42" si="27">IF((I9=AG9),1,0)</f>
        <v>1</v>
      </c>
      <c r="CR9" s="1">
        <f t="shared" ref="CR9:CR22" si="28">SUM(CJ9:CQ9)</f>
        <v>8</v>
      </c>
    </row>
    <row r="10" spans="1:96" ht="14.25" customHeight="1" thickTop="1" thickBot="1" x14ac:dyDescent="0.25">
      <c r="A10" s="232" t="str">
        <f>'IMPORTAÇÃO GENOTIPER'!A6</f>
        <v>D1S1656</v>
      </c>
      <c r="B10" s="307">
        <f>'IMPORTAÇÃO GENOTIPER'!S6</f>
        <v>0</v>
      </c>
      <c r="C10" s="307">
        <f>'IMPORTAÇÃO GENOTIPER'!AA6</f>
        <v>0</v>
      </c>
      <c r="D10" s="307">
        <f>'IMPORTAÇÃO GENOTIPER'!AI6</f>
        <v>0</v>
      </c>
      <c r="E10" s="307">
        <f>'IMPORTAÇÃO GENOTIPER'!AQ6</f>
        <v>0</v>
      </c>
      <c r="F10" s="480">
        <f>'IMPORTAÇÃO GENOTIPER'!BO6</f>
        <v>0</v>
      </c>
      <c r="G10" s="480">
        <f>'IMPORTAÇÃO GENOTIPER'!BW6</f>
        <v>0</v>
      </c>
      <c r="H10" s="480">
        <f>'IMPORTAÇÃO GENOTIPER'!CE6</f>
        <v>0</v>
      </c>
      <c r="I10" s="480">
        <f>'IMPORTAÇÃO GENOTIPER'!CM6</f>
        <v>0</v>
      </c>
      <c r="J10" s="481">
        <f t="shared" ref="J10:L25" si="29">(IF(CODE(D10)=(60),($BL10-1),(IF(CODE(D10)=(62),($BM10+1),B10))))</f>
        <v>0</v>
      </c>
      <c r="K10" s="481">
        <f t="shared" si="29"/>
        <v>0</v>
      </c>
      <c r="L10" s="481">
        <f t="shared" si="29"/>
        <v>0</v>
      </c>
      <c r="M10" s="481">
        <f t="shared" ref="M10:M42" si="30">(IF(CODE(G10)=(60),($BH10-1),(IF(CODE(G10)=(62),($BI10+1),E10))))</f>
        <v>0</v>
      </c>
      <c r="N10" s="481">
        <f t="shared" ref="N10:Q25" si="31">(IF(CODE(H10)=(60),($BL10-1),(IF(CODE(H10)=(62),($BM10+1),F10))))</f>
        <v>0</v>
      </c>
      <c r="O10" s="481">
        <f t="shared" si="31"/>
        <v>0</v>
      </c>
      <c r="P10" s="481">
        <f t="shared" si="31"/>
        <v>0</v>
      </c>
      <c r="Q10" s="481">
        <f t="shared" si="31"/>
        <v>0</v>
      </c>
      <c r="R10" s="482">
        <f t="shared" si="0"/>
        <v>0</v>
      </c>
      <c r="S10" s="482">
        <f t="shared" si="1"/>
        <v>0</v>
      </c>
      <c r="T10" s="482">
        <f t="shared" si="0"/>
        <v>0</v>
      </c>
      <c r="U10" s="482">
        <f t="shared" si="2"/>
        <v>0</v>
      </c>
      <c r="V10" s="482">
        <f t="shared" si="3"/>
        <v>0</v>
      </c>
      <c r="W10" s="482">
        <f t="shared" si="4"/>
        <v>0</v>
      </c>
      <c r="X10" s="482">
        <f t="shared" ref="X10:X42" si="32">IF((P10&gt;Q10),Q10,P10)</f>
        <v>0</v>
      </c>
      <c r="Y10" s="482">
        <f t="shared" ref="Y10:Y42" si="33">IF((Q10&gt;P10),Q10,P10)</f>
        <v>0</v>
      </c>
      <c r="Z10" s="483">
        <f t="shared" si="5"/>
        <v>0</v>
      </c>
      <c r="AA10" s="483">
        <f t="shared" si="6"/>
        <v>0</v>
      </c>
      <c r="AB10" s="484">
        <f>(IF((OR((T10="&gt;36"),(U10="&gt;36"))),2,(IF(((Z10+AA10)=(T10+U10)),0,1))))</f>
        <v>0</v>
      </c>
      <c r="AC10" s="485">
        <f t="shared" ref="AC10:AC42" si="34">IF(OR((Z10=AA10),(AA10=0)),Z10,(IF(AND((Z10=0),(AA10&lt;&gt;0)),AA10,$AP$7)))</f>
        <v>0</v>
      </c>
      <c r="AD10" s="486">
        <f t="shared" ref="AD10:AD42" si="35">(IF((AC10&lt;&gt;"NÃO DEF"),(T10+U10-AC10),T10))</f>
        <v>0</v>
      </c>
      <c r="AE10" s="486">
        <f t="shared" ref="AE10:AE42" si="36">(IF((AC10&lt;&gt;"NÃO DEF"),0,U10))</f>
        <v>0</v>
      </c>
      <c r="AF10" s="487">
        <f t="shared" ref="AF10:AF42" si="37">(IF(OR((AD10=V10),(AD10=W10),(AD10=X10),(AD10=Y10)),AD10,0))</f>
        <v>0</v>
      </c>
      <c r="AG10" s="488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89">
        <f>IF(AF10=0,0,VLOOKUP(AF10,[1]FREQUENCIAS!$1:$1048576,(IF(($A10=[1]FREQUENCIAS!$C$1),3,"ERRO")),[1]FREQUENCIAS!$1:$1048576))</f>
        <v>0</v>
      </c>
      <c r="AI10" s="489">
        <f>IF(AG10=0,0,VLOOKUP(AG10,[1]FREQUENCIAS!$1:$1048576,(IF(($A10=[1]FREQUENCIAS!$C$1),3,"ERRO")),[1]FREQUENCIAS!$1:$1048576))</f>
        <v>0</v>
      </c>
      <c r="AJ10" s="490"/>
      <c r="AK10" s="490"/>
      <c r="AL10" s="490"/>
      <c r="AM10" s="124">
        <f t="shared" ref="AM10:AM42" si="39">IF(B10=0,1,(IF((A10="ERRO-FT"),"11",(IF((AND(($AF10=0),($AG10=0),(AX$43="S"))),0,(IF(SUM(AH10:AL10)&lt;=$AO$7,$AO$7,SUM(AH10:AL10))))))))</f>
        <v>1</v>
      </c>
      <c r="AN10" s="125">
        <f t="shared" si="7"/>
        <v>1</v>
      </c>
      <c r="AO10" s="126">
        <f t="shared" si="8"/>
        <v>0.5</v>
      </c>
      <c r="AP10" s="345"/>
      <c r="AQ10" s="491">
        <f t="shared" si="9"/>
        <v>0</v>
      </c>
      <c r="AR10" s="345"/>
      <c r="AS10" s="129" t="str">
        <f t="shared" si="10"/>
        <v>MUTAÇÃO</v>
      </c>
      <c r="AT10" s="480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[1]FREQUENCIAS!$M$4),(B10=[1]FREQUENCIAS!$M$5),(B10=[1]FREQUENCIAS!$M$6),(B10=[1]FREQUENCIAS!$M$7),(B10=[1]FREQUENCIAS!$M$8),(B10=[1]FREQUENCIAS!$M$9),(B10=[1]FREQUENCIAS!$M$10),(B10=[1]FREQUENCIAS!$M$11),(B10=[1]FREQUENCIAS!$M$12),(B10=[1]FREQUENCIAS!$M$13),(B10=[1]FREQUENCIAS!$M$14),(B10=[1]FREQUENCIAS!$M$15),(B10=[1]FREQUENCIAS!$M$16),(B10=[1]FREQUENCIAS!$M$17),(B10=[1]FREQUENCIAS!$M$18),(B10=[1]FREQUENCIAS!$M$19),(B10=[1]FREQUENCIAS!$M$20),(B10=[1]FREQUENCIAS!$M$21),(B10=[1]FREQUENCIAS!$M$22)),1,CC10))</f>
        <v>1</v>
      </c>
      <c r="AX10" s="1">
        <f>(IF(OR((C10="&lt;24"),(C10="&gt;38"),(C10=24),(C10=24.3),(C10=25.2),(C10=28.2),(C10=29.3),(C10=34.1),(C10=35.1),(C10=37),(C10=38),(C10=[1]FREQUENCIAS!$M$4),(C10=[1]FREQUENCIAS!$M$5),(C10=[1]FREQUENCIAS!$M$6),(C10=[1]FREQUENCIAS!$M$7),(C10=[1]FREQUENCIAS!$M$8),(C10=[1]FREQUENCIAS!$M$9),(C10=[1]FREQUENCIAS!$M$10),(C10=[1]FREQUENCIAS!$M$11),(C10=[1]FREQUENCIAS!$M$12),(C10=[1]FREQUENCIAS!$M$13),(C10=[1]FREQUENCIAS!$M$14),(C10=[1]FREQUENCIAS!$M$15),(C10=[1]FREQUENCIAS!$M$16),(C10=[1]FREQUENCIAS!$M$17),(C10=[1]FREQUENCIAS!$M$18),(C10=[1]FREQUENCIAS!$M$19),(C10=[1]FREQUENCIAS!$M$20),(C10=[1]FREQUENCIAS!$M$21),(C10=[1]FREQUENCIAS!$M$22)),1,CD10))</f>
        <v>1</v>
      </c>
      <c r="AY10" s="1">
        <f>(IF(OR((D10="&lt;24"),(D10="&gt;38"),(D10=24),(D10=24.3),(D10=25.2),(D10=28.2),(D10=29.3),(D10=34.1),(D10=35.1),(D10=37),(D10=38),(D10=[1]FREQUENCIAS!$M$4),(D10=[1]FREQUENCIAS!$M$5),(D10=[1]FREQUENCIAS!$M$6),(D10=[1]FREQUENCIAS!$M$7),(D10=[1]FREQUENCIAS!$M$8),(D10=[1]FREQUENCIAS!$M$9),(D10=[1]FREQUENCIAS!$M$10),(D10=[1]FREQUENCIAS!$M$11),(D10=[1]FREQUENCIAS!$M$12),(D10=[1]FREQUENCIAS!$M$13),(D10=[1]FREQUENCIAS!$M$14),(D10=[1]FREQUENCIAS!$M$15),(D10=[1]FREQUENCIAS!$M$16),(D10=[1]FREQUENCIAS!$M$17),(D10=[1]FREQUENCIAS!$M$18),(D10=[1]FREQUENCIAS!$M$19),(D10=[1]FREQUENCIAS!$M$20),(D10=[1]FREQUENCIAS!$M$21),(D10=[1]FREQUENCIAS!$M$22)),1,CE10))</f>
        <v>1</v>
      </c>
      <c r="AZ10" s="1">
        <f>(IF(OR((E10="&lt;24"),(E10="&gt;38"),(E10=24),(E10=24.3),(E10=25.2),(E10=28.2),(E10=29.3),(E10=34.1),(E10=35.1),(E10=37),(E10=38),(E10=[1]FREQUENCIAS!$M$4),(E10=[1]FREQUENCIAS!$M$5),(E10=[1]FREQUENCIAS!$M$6),(E10=[1]FREQUENCIAS!$M$7),(E10=[1]FREQUENCIAS!$M$8),(E10=[1]FREQUENCIAS!$M$9),(E10=[1]FREQUENCIAS!$M$10),(E10=[1]FREQUENCIAS!$M$11),(E10=[1]FREQUENCIAS!$M$12),(E10=[1]FREQUENCIAS!$M$13),(E10=[1]FREQUENCIAS!$M$14),(E10=[1]FREQUENCIAS!$M$15),(E10=[1]FREQUENCIAS!$M$16),(E10=[1]FREQUENCIAS!$M$17),(E10=[1]FREQUENCIAS!$M$18),(E10=[1]FREQUENCIAS!$M$19),(E10=[1]FREQUENCIAS!$M$20),(E10=[1]FREQUENCIAS!$M$21),(E10=[1]FREQUENCIAS!$M$22)),1,CF10))</f>
        <v>1</v>
      </c>
      <c r="BA10" s="1">
        <f>(IF(OR((F10="&lt;24"),(F10="&gt;38"),(F10=24),(F10=24.3),(F10=25.2),(F10=28.2),(F10=29.3),(F10=34.1),(F10=35.1),(F10=37),(F10=38),(F10=[1]FREQUENCIAS!$M$4),(F10=[1]FREQUENCIAS!$M$5),(F10=[1]FREQUENCIAS!$M$6),(F10=[1]FREQUENCIAS!$M$7),(F10=[1]FREQUENCIAS!$M$8),(F10=[1]FREQUENCIAS!$M$9),(F10=[1]FREQUENCIAS!$M$10),(F10=[1]FREQUENCIAS!$M$11),(F10=[1]FREQUENCIAS!$M$12),(F10=[1]FREQUENCIAS!$M$13),(F10=[1]FREQUENCIAS!$M$14),(F10=[1]FREQUENCIAS!$M$15),(F10=[1]FREQUENCIAS!$M$16),(F10=[1]FREQUENCIAS!$M$17),(F10=[1]FREQUENCIAS!$M$18),(F10=[1]FREQUENCIAS!$M$19),(F10=[1]FREQUENCIAS!$M$20),(F10=[1]FREQUENCIAS!$M$21),(F10=[1]FREQUENCIAS!$M$22)),1,CG10))</f>
        <v>1</v>
      </c>
      <c r="BB10" s="1">
        <f>(IF(OR((G10="&lt;24"),(G10="&gt;38"),(G10=24),(G10=24.3),(G10=25.2),(G10=28.2),(G10=29.3),(G10=34.1),(G10=35.1),(G10=37),(G10=38),(G10=[1]FREQUENCIAS!$M$4),(G10=[1]FREQUENCIAS!$M$5),(G10=[1]FREQUENCIAS!$M$6),(G10=[1]FREQUENCIAS!$M$7),(G10=[1]FREQUENCIAS!$M$8),(G10=[1]FREQUENCIAS!$M$9),(G10=[1]FREQUENCIAS!$M$10),(G10=[1]FREQUENCIAS!$M$11),(G10=[1]FREQUENCIAS!$M$12),(G10=[1]FREQUENCIAS!$M$13),(G10=[1]FREQUENCIAS!$M$14),(G10=[1]FREQUENCIAS!$M$15),(G10=[1]FREQUENCIAS!$M$16),(G10=[1]FREQUENCIAS!$M$17),(G10=[1]FREQUENCIAS!$M$18),(G10=[1]FREQUENCIAS!$M$19),(G10=[1]FREQUENCIAS!$M$20),(G10=[1]FREQUENCIAS!$M$21),(G10=[1]FREQUENCIAS!$M$22)),1,CH10))</f>
        <v>1</v>
      </c>
      <c r="BC10" s="1" t="s">
        <v>329</v>
      </c>
      <c r="BD10" s="492">
        <f t="shared" ref="BD10:BD42" si="41">IF(($AM10=0),1,0)</f>
        <v>0</v>
      </c>
      <c r="BE10" s="39">
        <f t="shared" ref="BE10:BE42" si="42">BH10/BG10</f>
        <v>0</v>
      </c>
      <c r="BF10" s="14"/>
      <c r="BG10" s="41">
        <f>IF($A10=[1]FREQUENCIAS!$C$1,[1]FREQUENCIAS!$C$2,"ERRO NO PE")</f>
        <v>0.75900000000000001</v>
      </c>
      <c r="BH10" s="41">
        <f>IF($A10=[1]FREQUENCIAS!$C$1,[1]FREQUENCIAS!$C$3,"ERRO NA MUT")</f>
        <v>0</v>
      </c>
      <c r="BI10" s="41">
        <f t="shared" si="11"/>
        <v>1</v>
      </c>
      <c r="BJ10" s="2">
        <f t="shared" ref="BJ10:BJ42" si="43">IF(B10=0,0,IF((AC10=0),1,0))</f>
        <v>0</v>
      </c>
      <c r="BL10" s="53">
        <v>24</v>
      </c>
      <c r="BM10" s="53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93" t="str">
        <f t="shared" si="12"/>
        <v/>
      </c>
      <c r="BP10" s="493">
        <f t="shared" si="13"/>
        <v>0</v>
      </c>
      <c r="BQ10" s="493">
        <f t="shared" si="14"/>
        <v>0</v>
      </c>
      <c r="BR10" s="494" t="str">
        <f t="shared" si="15"/>
        <v/>
      </c>
      <c r="BS10" s="497">
        <f t="shared" si="16"/>
        <v>0</v>
      </c>
      <c r="BT10" s="494">
        <f t="shared" si="17"/>
        <v>0</v>
      </c>
      <c r="BU10" s="486" t="str">
        <f t="shared" ref="BU10:BU42" si="44">IF(($AG10=($BL10-1)),"&lt;",IF(($AG10=($BM10+1)),"&gt;",""))</f>
        <v/>
      </c>
      <c r="BV10" s="486">
        <f t="shared" si="18"/>
        <v>0</v>
      </c>
      <c r="BW10" s="486">
        <f t="shared" si="19"/>
        <v>0</v>
      </c>
      <c r="BZ10" s="495">
        <v>24</v>
      </c>
      <c r="CA10" s="496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1</v>
      </c>
      <c r="CK10" s="1">
        <f t="shared" si="21"/>
        <v>1</v>
      </c>
      <c r="CL10" s="1">
        <f t="shared" si="22"/>
        <v>1</v>
      </c>
      <c r="CM10" s="1">
        <f t="shared" si="23"/>
        <v>1</v>
      </c>
      <c r="CN10" s="1">
        <f t="shared" si="24"/>
        <v>1</v>
      </c>
      <c r="CO10" s="1">
        <f t="shared" si="25"/>
        <v>1</v>
      </c>
      <c r="CP10" s="1">
        <f t="shared" si="26"/>
        <v>1</v>
      </c>
      <c r="CQ10" s="1">
        <f t="shared" si="27"/>
        <v>1</v>
      </c>
      <c r="CR10" s="1">
        <f t="shared" si="28"/>
        <v>8</v>
      </c>
    </row>
    <row r="11" spans="1:96" ht="14.25" customHeight="1" thickTop="1" thickBot="1" x14ac:dyDescent="0.25">
      <c r="A11" s="232" t="str">
        <f>'IMPORTAÇÃO GENOTIPER'!A7</f>
        <v>D2S441</v>
      </c>
      <c r="B11" s="307">
        <f>'IMPORTAÇÃO GENOTIPER'!S7</f>
        <v>0</v>
      </c>
      <c r="C11" s="307">
        <f>'IMPORTAÇÃO GENOTIPER'!AA7</f>
        <v>0</v>
      </c>
      <c r="D11" s="307">
        <f>'IMPORTAÇÃO GENOTIPER'!AI7</f>
        <v>0</v>
      </c>
      <c r="E11" s="307">
        <f>'IMPORTAÇÃO GENOTIPER'!AQ7</f>
        <v>0</v>
      </c>
      <c r="F11" s="480">
        <f>'IMPORTAÇÃO GENOTIPER'!BO7</f>
        <v>0</v>
      </c>
      <c r="G11" s="480">
        <f>'IMPORTAÇÃO GENOTIPER'!BW7</f>
        <v>0</v>
      </c>
      <c r="H11" s="480">
        <f>'IMPORTAÇÃO GENOTIPER'!CE7</f>
        <v>0</v>
      </c>
      <c r="I11" s="480">
        <f>'IMPORTAÇÃO GENOTIPER'!CM7</f>
        <v>0</v>
      </c>
      <c r="J11" s="481">
        <f t="shared" si="29"/>
        <v>0</v>
      </c>
      <c r="K11" s="481">
        <f t="shared" si="29"/>
        <v>0</v>
      </c>
      <c r="L11" s="481">
        <f t="shared" si="29"/>
        <v>0</v>
      </c>
      <c r="M11" s="481">
        <f t="shared" si="30"/>
        <v>0</v>
      </c>
      <c r="N11" s="481">
        <f t="shared" si="31"/>
        <v>0</v>
      </c>
      <c r="O11" s="481">
        <f t="shared" si="31"/>
        <v>0</v>
      </c>
      <c r="P11" s="481">
        <f t="shared" si="31"/>
        <v>0</v>
      </c>
      <c r="Q11" s="481">
        <f t="shared" si="31"/>
        <v>0</v>
      </c>
      <c r="R11" s="482">
        <f t="shared" si="0"/>
        <v>0</v>
      </c>
      <c r="S11" s="482">
        <f t="shared" si="1"/>
        <v>0</v>
      </c>
      <c r="T11" s="482">
        <f t="shared" si="0"/>
        <v>0</v>
      </c>
      <c r="U11" s="482">
        <f t="shared" si="2"/>
        <v>0</v>
      </c>
      <c r="V11" s="482">
        <f t="shared" si="3"/>
        <v>0</v>
      </c>
      <c r="W11" s="482">
        <f t="shared" si="4"/>
        <v>0</v>
      </c>
      <c r="X11" s="482">
        <f t="shared" si="32"/>
        <v>0</v>
      </c>
      <c r="Y11" s="482">
        <f t="shared" si="33"/>
        <v>0</v>
      </c>
      <c r="Z11" s="483">
        <f t="shared" si="5"/>
        <v>0</v>
      </c>
      <c r="AA11" s="483">
        <f t="shared" si="6"/>
        <v>0</v>
      </c>
      <c r="AB11" s="484">
        <f>(IF((OR((T11="&gt;22"),(U11="&gt;22"))),2,(IF(((Z11+AA11)=(T11+U11)),0,1))))</f>
        <v>0</v>
      </c>
      <c r="AC11" s="485">
        <f t="shared" si="34"/>
        <v>0</v>
      </c>
      <c r="AD11" s="486">
        <f t="shared" si="35"/>
        <v>0</v>
      </c>
      <c r="AE11" s="486">
        <f t="shared" si="36"/>
        <v>0</v>
      </c>
      <c r="AF11" s="487">
        <f t="shared" si="37"/>
        <v>0</v>
      </c>
      <c r="AG11" s="488">
        <f t="shared" si="38"/>
        <v>0</v>
      </c>
      <c r="AH11" s="489">
        <f>IF(AF11=0,0,VLOOKUP(AF11,[1]FREQUENCIAS!$1:$1048576,(IF(($A11=[1]FREQUENCIAS!$D$1),4,"ERRO")),[1]FREQUENCIAS!$1:$1048576))</f>
        <v>0</v>
      </c>
      <c r="AI11" s="489">
        <f>IF(AG11=0,0,VLOOKUP(AG11,[1]FREQUENCIAS!$1:$1048576,(IF(($A11=[1]FREQUENCIAS!$D$1),4,"ERRO")),[1]FREQUENCIAS!$1:$1048576))</f>
        <v>0</v>
      </c>
      <c r="AJ11" s="490"/>
      <c r="AK11" s="490"/>
      <c r="AL11" s="490"/>
      <c r="AM11" s="124">
        <f t="shared" si="39"/>
        <v>1</v>
      </c>
      <c r="AN11" s="125">
        <f t="shared" si="7"/>
        <v>1</v>
      </c>
      <c r="AO11" s="126">
        <f t="shared" si="8"/>
        <v>0.5</v>
      </c>
      <c r="AP11" s="345"/>
      <c r="AQ11" s="491">
        <f t="shared" si="9"/>
        <v>0</v>
      </c>
      <c r="AR11" s="345"/>
      <c r="AS11" s="129" t="str">
        <f t="shared" si="10"/>
        <v>MUTAÇÃO</v>
      </c>
      <c r="AT11" s="480" t="str">
        <f t="shared" si="40"/>
        <v>OK</v>
      </c>
      <c r="AW11" s="1">
        <f>(IF(OR((B11="&lt;6"),(B11="&gt;15"),(B11=6),(B11=15),(B11=[1]FREQUENCIAS!$D$26),(B11=[1]FREQUENCIAS!$D$27),(B11=[1]FREQUENCIAS!$D$28),(B11=[1]FREQUENCIAS!$D$29),(B11=[1]FREQUENCIAS!$D$30),(B11=[1]FREQUENCIAS!$D$31),(B11=[1]FREQUENCIAS!$D$32),(B11=[1]FREQUENCIAS!$D$33)),1,0))</f>
        <v>1</v>
      </c>
      <c r="AX11" s="1">
        <f>(IF(OR((C11="&lt;6"),(C11="&gt;15"),(C11=6),(C11=15),(C11=[1]FREQUENCIAS!$D$26),(C11=[1]FREQUENCIAS!$D$27),(C11=[1]FREQUENCIAS!$D$28),(C11=[1]FREQUENCIAS!$D$29),(C11=[1]FREQUENCIAS!$D$30),(C11=[1]FREQUENCIAS!$D$31),(C11=[1]FREQUENCIAS!$D$32),(C11=[1]FREQUENCIAS!$D$33)),1,0))</f>
        <v>1</v>
      </c>
      <c r="AY11" s="1">
        <f>(IF(OR((D11="&lt;6"),(D11="&gt;15"),(D11=6),(D11=15),(D11=[1]FREQUENCIAS!$D$26),(D11=[1]FREQUENCIAS!$D$27),(D11=[1]FREQUENCIAS!$D$28),(D11=[1]FREQUENCIAS!$D$29),(D11=[1]FREQUENCIAS!$D$30),(D11=[1]FREQUENCIAS!$D$31),(D11=[1]FREQUENCIAS!$D$32),(D11=[1]FREQUENCIAS!$D$33)),1,0))</f>
        <v>1</v>
      </c>
      <c r="AZ11" s="1">
        <f>(IF(OR((E11="&lt;6"),(E11="&gt;15"),(E11=6),(E11=15),(E11=[1]FREQUENCIAS!$D$26),(E11=[1]FREQUENCIAS!$D$27),(E11=[1]FREQUENCIAS!$D$28),(E11=[1]FREQUENCIAS!$D$29),(E11=[1]FREQUENCIAS!$D$30),(E11=[1]FREQUENCIAS!$D$31),(E11=[1]FREQUENCIAS!$D$32),(E11=[1]FREQUENCIAS!$D$33)),1,0))</f>
        <v>1</v>
      </c>
      <c r="BA11" s="1">
        <f>(IF(OR((F11="&lt;6"),(F11="&gt;15"),(F11=6),(F11=15),(F11=[1]FREQUENCIAS!$D$26),(F11=[1]FREQUENCIAS!$D$27),(F11=[1]FREQUENCIAS!$D$28),(F11=[1]FREQUENCIAS!$D$29),(F11=[1]FREQUENCIAS!$D$30),(F11=[1]FREQUENCIAS!$D$31),(F11=[1]FREQUENCIAS!$D$32),(F11=[1]FREQUENCIAS!$D$33)),1,0))</f>
        <v>1</v>
      </c>
      <c r="BB11" s="1">
        <f>(IF(OR((G11="&lt;6"),(G11="&gt;15"),(G11=6),(G11=15),(G11=[1]FREQUENCIAS!$D$26),(G11=[1]FREQUENCIAS!$D$27),(G11=[1]FREQUENCIAS!$D$28),(G11=[1]FREQUENCIAS!$D$29),(G11=[1]FREQUENCIAS!$D$30),(G11=[1]FREQUENCIAS!$D$31),(G11=[1]FREQUENCIAS!$D$32),(G11=[1]FREQUENCIAS!$D$33)),1,0))</f>
        <v>1</v>
      </c>
      <c r="BD11" s="492">
        <f t="shared" si="41"/>
        <v>0</v>
      </c>
      <c r="BE11" s="39">
        <f t="shared" si="42"/>
        <v>0</v>
      </c>
      <c r="BF11" s="14"/>
      <c r="BG11" s="41">
        <f>IF($A11=[1]FREQUENCIAS!$D$1,[1]FREQUENCIAS!$D$2,"ERRO NO PE")</f>
        <v>0.51300000000000001</v>
      </c>
      <c r="BH11" s="498">
        <f>IF($A11=[1]FREQUENCIAS!$D$1,[1]FREQUENCIAS!$D$3,"ERRO NA MUT")</f>
        <v>0</v>
      </c>
      <c r="BI11" s="41">
        <f t="shared" si="11"/>
        <v>1</v>
      </c>
      <c r="BJ11" s="2">
        <f t="shared" si="43"/>
        <v>0</v>
      </c>
      <c r="BL11" s="53">
        <v>6</v>
      </c>
      <c r="BM11" s="53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O11" s="493" t="str">
        <f t="shared" si="12"/>
        <v/>
      </c>
      <c r="BP11" s="493">
        <f t="shared" si="13"/>
        <v>0</v>
      </c>
      <c r="BQ11" s="493">
        <f t="shared" si="14"/>
        <v>0</v>
      </c>
      <c r="BR11" s="494" t="str">
        <f t="shared" si="15"/>
        <v/>
      </c>
      <c r="BS11" s="494">
        <f t="shared" si="16"/>
        <v>0</v>
      </c>
      <c r="BT11" s="494">
        <f t="shared" si="17"/>
        <v>0</v>
      </c>
      <c r="BU11" s="486" t="str">
        <f t="shared" si="44"/>
        <v/>
      </c>
      <c r="BV11" s="486">
        <f t="shared" si="18"/>
        <v>0</v>
      </c>
      <c r="BW11" s="486">
        <f t="shared" si="19"/>
        <v>0</v>
      </c>
      <c r="BZ11" s="495">
        <v>10</v>
      </c>
      <c r="CA11" s="496">
        <v>10</v>
      </c>
      <c r="CJ11" s="1">
        <f t="shared" si="20"/>
        <v>1</v>
      </c>
      <c r="CK11" s="1">
        <f t="shared" si="21"/>
        <v>1</v>
      </c>
      <c r="CL11" s="1">
        <f t="shared" si="22"/>
        <v>1</v>
      </c>
      <c r="CM11" s="1">
        <f t="shared" si="23"/>
        <v>1</v>
      </c>
      <c r="CN11" s="1">
        <f t="shared" si="24"/>
        <v>1</v>
      </c>
      <c r="CO11" s="1">
        <f t="shared" si="25"/>
        <v>1</v>
      </c>
      <c r="CP11" s="1">
        <f t="shared" si="26"/>
        <v>1</v>
      </c>
      <c r="CQ11" s="1">
        <f t="shared" si="27"/>
        <v>1</v>
      </c>
      <c r="CR11" s="1">
        <f t="shared" si="28"/>
        <v>8</v>
      </c>
    </row>
    <row r="12" spans="1:96" ht="14.25" customHeight="1" thickTop="1" thickBot="1" x14ac:dyDescent="0.25">
      <c r="A12" s="232" t="str">
        <f>'IMPORTAÇÃO GENOTIPER'!A8</f>
        <v>D10S1248</v>
      </c>
      <c r="B12" s="311">
        <f>'IMPORTAÇÃO GENOTIPER'!S8</f>
        <v>0</v>
      </c>
      <c r="C12" s="311">
        <f>'IMPORTAÇÃO GENOTIPER'!AA8</f>
        <v>0</v>
      </c>
      <c r="D12" s="311">
        <f>'IMPORTAÇÃO GENOTIPER'!AI8</f>
        <v>0</v>
      </c>
      <c r="E12" s="311">
        <f>'IMPORTAÇÃO GENOTIPER'!AQ8</f>
        <v>0</v>
      </c>
      <c r="F12" s="480">
        <f>'IMPORTAÇÃO GENOTIPER'!BO8</f>
        <v>0</v>
      </c>
      <c r="G12" s="480">
        <f>'IMPORTAÇÃO GENOTIPER'!BW8</f>
        <v>0</v>
      </c>
      <c r="H12" s="480">
        <f>'IMPORTAÇÃO GENOTIPER'!CE8</f>
        <v>0</v>
      </c>
      <c r="I12" s="480">
        <f>'IMPORTAÇÃO GENOTIPER'!CM8</f>
        <v>0</v>
      </c>
      <c r="J12" s="481">
        <f t="shared" si="29"/>
        <v>0</v>
      </c>
      <c r="K12" s="481">
        <f t="shared" si="29"/>
        <v>0</v>
      </c>
      <c r="L12" s="481">
        <f t="shared" si="29"/>
        <v>0</v>
      </c>
      <c r="M12" s="481">
        <f t="shared" si="30"/>
        <v>0</v>
      </c>
      <c r="N12" s="481">
        <f t="shared" si="31"/>
        <v>0</v>
      </c>
      <c r="O12" s="481">
        <f t="shared" si="31"/>
        <v>0</v>
      </c>
      <c r="P12" s="481">
        <f t="shared" si="31"/>
        <v>0</v>
      </c>
      <c r="Q12" s="481">
        <f t="shared" si="31"/>
        <v>0</v>
      </c>
      <c r="R12" s="482">
        <f t="shared" si="0"/>
        <v>0</v>
      </c>
      <c r="S12" s="482">
        <f t="shared" si="1"/>
        <v>0</v>
      </c>
      <c r="T12" s="482">
        <f t="shared" si="0"/>
        <v>0</v>
      </c>
      <c r="U12" s="482">
        <f t="shared" si="2"/>
        <v>0</v>
      </c>
      <c r="V12" s="482">
        <f t="shared" si="3"/>
        <v>0</v>
      </c>
      <c r="W12" s="482">
        <f t="shared" si="4"/>
        <v>0</v>
      </c>
      <c r="X12" s="482">
        <f t="shared" si="32"/>
        <v>0</v>
      </c>
      <c r="Y12" s="482">
        <f t="shared" si="33"/>
        <v>0</v>
      </c>
      <c r="Z12" s="483">
        <f t="shared" si="5"/>
        <v>0</v>
      </c>
      <c r="AA12" s="483">
        <f t="shared" si="6"/>
        <v>0</v>
      </c>
      <c r="AB12" s="484">
        <f>(IF((OR((T12="&gt;21"),(U12="&gt;21"))),2,(IF(((Z12+AA12)=(T12+U12)),0,1))))</f>
        <v>0</v>
      </c>
      <c r="AC12" s="483">
        <f t="shared" si="34"/>
        <v>0</v>
      </c>
      <c r="AD12" s="486">
        <f t="shared" si="35"/>
        <v>0</v>
      </c>
      <c r="AE12" s="486">
        <f t="shared" si="36"/>
        <v>0</v>
      </c>
      <c r="AF12" s="487">
        <f t="shared" si="37"/>
        <v>0</v>
      </c>
      <c r="AG12" s="488">
        <f t="shared" si="38"/>
        <v>0</v>
      </c>
      <c r="AH12" s="499">
        <f>IF(AF12=0,0,VLOOKUP(AF12,[1]FREQUENCIAS!$1:$1048576,(IF(($A12=[1]FREQUENCIAS!$E$1),5,"ERRO")),[1]FREQUENCIAS!$1:$1048576))</f>
        <v>0</v>
      </c>
      <c r="AI12" s="499">
        <f>IF(AG12=0,0,VLOOKUP(AG12,[1]FREQUENCIAS!$1:$1048576,(IF(($A12=[1]FREQUENCIAS!$E$1),5,"ERRO")),[1]FREQUENCIAS!$1:$1048576))</f>
        <v>0</v>
      </c>
      <c r="AJ12" s="490"/>
      <c r="AK12" s="490"/>
      <c r="AL12" s="490"/>
      <c r="AM12" s="124">
        <f t="shared" si="39"/>
        <v>1</v>
      </c>
      <c r="AN12" s="125">
        <f t="shared" si="7"/>
        <v>1</v>
      </c>
      <c r="AO12" s="126">
        <f t="shared" si="8"/>
        <v>0.5</v>
      </c>
      <c r="AP12" s="345" t="s">
        <v>140</v>
      </c>
      <c r="AQ12" s="491">
        <f t="shared" si="9"/>
        <v>0</v>
      </c>
      <c r="AR12" s="345"/>
      <c r="AS12" s="129" t="str">
        <f t="shared" si="10"/>
        <v>MUTAÇÃO</v>
      </c>
      <c r="AT12" s="480" t="str">
        <f t="shared" si="40"/>
        <v>OK</v>
      </c>
      <c r="AW12" s="1">
        <f>(IF(OR((B12="&lt;6"),(B12="&gt;15"),(B12=11.3),(B12=15),(B12=[1]FREQUENCIAS!$P$26),(B12=[1]FREQUENCIAS!$P$27),(B12=[1]FREQUENCIAS!$P$28),(B12=[1]FREQUENCIAS!$P$29),(B12=[1]FREQUENCIAS!$P$30),(B12=[1]FREQUENCIAS!$P$31),(B12=[1]FREQUENCIAS!$P$32),(B12=[1]FREQUENCIAS!$P$33),(B12=[1]FREQUENCIAS!$P$34)),1,0))</f>
        <v>1</v>
      </c>
      <c r="AX12" s="1">
        <f>(IF(OR((C12="&lt;6"),(C12="&gt;15"),(C12=11.3),(C12=15),(C12=[1]FREQUENCIAS!$P$26),(C12=[1]FREQUENCIAS!$P$27),(C12=[1]FREQUENCIAS!$P$28),(C12=[1]FREQUENCIAS!$P$29),(C12=[1]FREQUENCIAS!$P$30),(C12=[1]FREQUENCIAS!$P$31),(C12=[1]FREQUENCIAS!$P$32),(C12=[1]FREQUENCIAS!$P$33),(C12=[1]FREQUENCIAS!$P$34)),1,0))</f>
        <v>1</v>
      </c>
      <c r="AY12" s="1">
        <f>(IF(OR((D12="&lt;6"),(D12="&gt;15"),(D12=11.3),(D12=15),(D12=[1]FREQUENCIAS!$P$26),(D12=[1]FREQUENCIAS!$P$27),(D12=[1]FREQUENCIAS!$P$28),(D12=[1]FREQUENCIAS!$P$29),(D12=[1]FREQUENCIAS!$P$30),(D12=[1]FREQUENCIAS!$P$31),(D12=[1]FREQUENCIAS!$P$32),(D12=[1]FREQUENCIAS!$P$33),(D12=[1]FREQUENCIAS!$P$34)),1,0))</f>
        <v>1</v>
      </c>
      <c r="AZ12" s="1">
        <f>(IF(OR((E12="&lt;6"),(E12="&gt;15"),(E12=11.3),(E12=15),(E12=[1]FREQUENCIAS!$P$26),(E12=[1]FREQUENCIAS!$P$27),(E12=[1]FREQUENCIAS!$P$28),(E12=[1]FREQUENCIAS!$P$29),(E12=[1]FREQUENCIAS!$P$30),(E12=[1]FREQUENCIAS!$P$31),(E12=[1]FREQUENCIAS!$P$32),(E12=[1]FREQUENCIAS!$P$33),(E12=[1]FREQUENCIAS!$P$34)),1,0))</f>
        <v>1</v>
      </c>
      <c r="BA12" s="1">
        <f>(IF(OR((F12="&lt;6"),(F12="&gt;15"),(F12=11.3),(F12=15),(F12=[1]FREQUENCIAS!$P$26),(F12=[1]FREQUENCIAS!$P$27),(F12=[1]FREQUENCIAS!$P$28),(F12=[1]FREQUENCIAS!$P$29),(F12=[1]FREQUENCIAS!$P$30),(F12=[1]FREQUENCIAS!$P$31),(F12=[1]FREQUENCIAS!$P$32),(F12=[1]FREQUENCIAS!$P$33),(F12=[1]FREQUENCIAS!$P$34)),1,0))</f>
        <v>1</v>
      </c>
      <c r="BB12" s="1">
        <f>(IF(OR((G12="&lt;6"),(G12="&gt;15"),(G12=11.3),(G12=15),(G12=[1]FREQUENCIAS!$P$26),(G12=[1]FREQUENCIAS!$P$27),(G12=[1]FREQUENCIAS!$P$28),(G12=[1]FREQUENCIAS!$P$29),(G12=[1]FREQUENCIAS!$P$30),(G12=[1]FREQUENCIAS!$P$31),(G12=[1]FREQUENCIAS!$P$32),(G12=[1]FREQUENCIAS!$P$33),(G12=[1]FREQUENCIAS!$P$34)),1,0))</f>
        <v>1</v>
      </c>
      <c r="BD12" s="492">
        <f t="shared" si="41"/>
        <v>0</v>
      </c>
      <c r="BE12" s="39">
        <f t="shared" si="42"/>
        <v>0</v>
      </c>
      <c r="BF12" s="14"/>
      <c r="BG12" s="41">
        <f>IF($A12=[1]FREQUENCIAS!$E$1,[1]FREQUENCIAS!$E$2,"ERRO NO PE")</f>
        <v>0.54300000000000004</v>
      </c>
      <c r="BH12" s="498">
        <f>IF($A12=[1]FREQUENCIAS!$E$1,[1]FREQUENCIAS!$E$3,"ERRO NA MUT")</f>
        <v>0</v>
      </c>
      <c r="BI12" s="41">
        <f t="shared" si="11"/>
        <v>1</v>
      </c>
      <c r="BJ12" s="2">
        <f t="shared" si="43"/>
        <v>0</v>
      </c>
      <c r="BL12" s="53">
        <v>6</v>
      </c>
      <c r="BM12" s="53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93" t="str">
        <f t="shared" si="12"/>
        <v/>
      </c>
      <c r="BP12" s="493">
        <f t="shared" si="13"/>
        <v>0</v>
      </c>
      <c r="BQ12" s="493">
        <f t="shared" si="14"/>
        <v>0</v>
      </c>
      <c r="BR12" s="494" t="str">
        <f t="shared" si="15"/>
        <v/>
      </c>
      <c r="BS12" s="494">
        <f t="shared" si="16"/>
        <v>0</v>
      </c>
      <c r="BT12" s="494">
        <f t="shared" si="17"/>
        <v>0</v>
      </c>
      <c r="BU12" s="486" t="str">
        <f t="shared" si="44"/>
        <v/>
      </c>
      <c r="BV12" s="486">
        <f t="shared" si="18"/>
        <v>0</v>
      </c>
      <c r="BW12" s="486">
        <f t="shared" si="19"/>
        <v>0</v>
      </c>
      <c r="BZ12" s="495">
        <v>9</v>
      </c>
      <c r="CA12" s="496">
        <v>12</v>
      </c>
      <c r="CJ12" s="1">
        <f t="shared" si="20"/>
        <v>1</v>
      </c>
      <c r="CK12" s="1">
        <f t="shared" si="21"/>
        <v>1</v>
      </c>
      <c r="CL12" s="1">
        <f t="shared" si="22"/>
        <v>1</v>
      </c>
      <c r="CM12" s="1">
        <f t="shared" si="23"/>
        <v>1</v>
      </c>
      <c r="CN12" s="1">
        <f t="shared" si="24"/>
        <v>1</v>
      </c>
      <c r="CO12" s="1">
        <f t="shared" si="25"/>
        <v>1</v>
      </c>
      <c r="CP12" s="1">
        <f t="shared" si="26"/>
        <v>1</v>
      </c>
      <c r="CQ12" s="1">
        <f t="shared" si="27"/>
        <v>1</v>
      </c>
      <c r="CR12" s="1">
        <f t="shared" si="28"/>
        <v>8</v>
      </c>
    </row>
    <row r="13" spans="1:96" ht="14.25" customHeight="1" thickTop="1" thickBot="1" x14ac:dyDescent="0.25">
      <c r="A13" s="232" t="str">
        <f>'IMPORTAÇÃO GENOTIPER'!A9</f>
        <v>D13S317</v>
      </c>
      <c r="B13" s="307">
        <f>'IMPORTAÇÃO GENOTIPER'!S9</f>
        <v>0</v>
      </c>
      <c r="C13" s="307">
        <f>'IMPORTAÇÃO GENOTIPER'!AA9</f>
        <v>0</v>
      </c>
      <c r="D13" s="307">
        <f>'IMPORTAÇÃO GENOTIPER'!AI9</f>
        <v>0</v>
      </c>
      <c r="E13" s="307">
        <f>'IMPORTAÇÃO GENOTIPER'!AQ9</f>
        <v>0</v>
      </c>
      <c r="F13" s="480">
        <f>'IMPORTAÇÃO GENOTIPER'!BO9</f>
        <v>0</v>
      </c>
      <c r="G13" s="480">
        <f>'IMPORTAÇÃO GENOTIPER'!BW9</f>
        <v>0</v>
      </c>
      <c r="H13" s="480">
        <f>'IMPORTAÇÃO GENOTIPER'!CE9</f>
        <v>0</v>
      </c>
      <c r="I13" s="480">
        <f>'IMPORTAÇÃO GENOTIPER'!CM9</f>
        <v>0</v>
      </c>
      <c r="J13" s="481">
        <f t="shared" si="29"/>
        <v>0</v>
      </c>
      <c r="K13" s="481">
        <f t="shared" si="29"/>
        <v>0</v>
      </c>
      <c r="L13" s="481">
        <f t="shared" si="29"/>
        <v>0</v>
      </c>
      <c r="M13" s="481">
        <f t="shared" si="30"/>
        <v>0</v>
      </c>
      <c r="N13" s="481">
        <f t="shared" si="31"/>
        <v>0</v>
      </c>
      <c r="O13" s="481">
        <f t="shared" si="31"/>
        <v>0</v>
      </c>
      <c r="P13" s="481">
        <f t="shared" si="31"/>
        <v>0</v>
      </c>
      <c r="Q13" s="481">
        <f t="shared" si="31"/>
        <v>0</v>
      </c>
      <c r="R13" s="482">
        <f t="shared" si="0"/>
        <v>0</v>
      </c>
      <c r="S13" s="482">
        <f t="shared" si="1"/>
        <v>0</v>
      </c>
      <c r="T13" s="482">
        <f t="shared" si="0"/>
        <v>0</v>
      </c>
      <c r="U13" s="482">
        <f t="shared" si="2"/>
        <v>0</v>
      </c>
      <c r="V13" s="482">
        <f t="shared" si="3"/>
        <v>0</v>
      </c>
      <c r="W13" s="482">
        <f t="shared" si="4"/>
        <v>0</v>
      </c>
      <c r="X13" s="482">
        <f t="shared" si="32"/>
        <v>0</v>
      </c>
      <c r="Y13" s="482">
        <f t="shared" si="33"/>
        <v>0</v>
      </c>
      <c r="Z13" s="483">
        <f t="shared" si="5"/>
        <v>0</v>
      </c>
      <c r="AA13" s="483">
        <f t="shared" si="6"/>
        <v>0</v>
      </c>
      <c r="AB13" s="484">
        <f>(IF((OR((T13="&gt;21"),(U13="&gt;21"))),2,(IF(((Z13+AA13)=(T13+U13)),0,1))))</f>
        <v>0</v>
      </c>
      <c r="AC13" s="485">
        <f t="shared" si="34"/>
        <v>0</v>
      </c>
      <c r="AD13" s="486">
        <f t="shared" si="35"/>
        <v>0</v>
      </c>
      <c r="AE13" s="486">
        <f t="shared" si="36"/>
        <v>0</v>
      </c>
      <c r="AF13" s="487">
        <f t="shared" si="37"/>
        <v>0</v>
      </c>
      <c r="AG13" s="488">
        <f t="shared" si="38"/>
        <v>0</v>
      </c>
      <c r="AH13" s="489">
        <f>IF(AF13=0,0,VLOOKUP(AF13,[1]FREQUENCIAS!$1:$1048576,(IF(($A13=[1]FREQUENCIAS!$F$1),6,"ERRO")),[1]FREQUENCIAS!$1:$1048576))</f>
        <v>0</v>
      </c>
      <c r="AI13" s="489">
        <f>IF(AG13=0,0,VLOOKUP(AG13,[1]FREQUENCIAS!$1:$1048576,(IF(($A13=[1]FREQUENCIAS!$F$1),6,"ERRO")),[1]FREQUENCIAS!$1:$1048576))</f>
        <v>0</v>
      </c>
      <c r="AJ13" s="490"/>
      <c r="AK13" s="490"/>
      <c r="AL13" s="490"/>
      <c r="AM13" s="124">
        <f t="shared" si="39"/>
        <v>1</v>
      </c>
      <c r="AN13" s="125">
        <f t="shared" si="7"/>
        <v>1</v>
      </c>
      <c r="AO13" s="126">
        <f t="shared" si="8"/>
        <v>0.5</v>
      </c>
      <c r="AP13" s="345" t="s">
        <v>163</v>
      </c>
      <c r="AQ13" s="491">
        <f t="shared" si="9"/>
        <v>0</v>
      </c>
      <c r="AR13" s="345"/>
      <c r="AS13" s="129" t="str">
        <f t="shared" si="10"/>
        <v>MUTAÇÃO</v>
      </c>
      <c r="AT13" s="480" t="str">
        <f t="shared" si="40"/>
        <v>OK</v>
      </c>
      <c r="AW13" s="1">
        <f>(IF(OR((B13="&lt;12"),(B13="&gt;19"),(B13="&gt;20"),(B13=15.2),(B13=20),(B13=[1]FREQUENCIAS!$A$5),(B13=[1]FREQUENCIAS!$A$6),(B13=[1]FREQUENCIAS!$A$7),(B13=[1]FREQUENCIAS!$A$8),(B13=[1]FREQUENCIAS!$A$9),(B13=[1]FREQUENCIAS!$A$10),(B13=[1]FREQUENCIAS!$A$11),(B13=[1]FREQUENCIAS!$A$12)),1,0))</f>
        <v>0</v>
      </c>
      <c r="AX13" s="1">
        <f>(IF(OR((C13="&lt;12"),(C13="&gt;19"),(C13="&gt;20"),(C13=15.2),(C13=20),(C13=[1]FREQUENCIAS!$A$5),(C13=[1]FREQUENCIAS!$A$6),(C13=[1]FREQUENCIAS!$A$7),(C13=[1]FREQUENCIAS!$A$8),(C13=[1]FREQUENCIAS!$A$9),(C13=[1]FREQUENCIAS!$A$10),(C13=[1]FREQUENCIAS!$A$11),(C13=[1]FREQUENCIAS!$A$12)),1,0))</f>
        <v>0</v>
      </c>
      <c r="AY13" s="1">
        <f>(IF(OR((D13="&lt;12"),(D13="&gt;19"),(D13="&gt;20"),(D13=15.2),(D13=20),(D13=[1]FREQUENCIAS!$A$5),(D13=[1]FREQUENCIAS!$A$6),(D13=[1]FREQUENCIAS!$A$7),(D13=[1]FREQUENCIAS!$A$8),(D13=[1]FREQUENCIAS!$A$9),(D13=[1]FREQUENCIAS!$A$10),(D13=[1]FREQUENCIAS!$A$11),(D13=[1]FREQUENCIAS!$A$12)),1,0))</f>
        <v>0</v>
      </c>
      <c r="AZ13" s="1">
        <f>(IF(OR((E13="&lt;12"),(E13="&gt;19"),(E13="&gt;20"),(E13=15.2),(E13=20),(E13=[1]FREQUENCIAS!$A$5),(E13=[1]FREQUENCIAS!$A$6),(E13=[1]FREQUENCIAS!$A$7),(E13=[1]FREQUENCIAS!$A$8),(E13=[1]FREQUENCIAS!$A$9),(E13=[1]FREQUENCIAS!$A$10),(E13=[1]FREQUENCIAS!$A$11),(E13=[1]FREQUENCIAS!$A$12)),1,0))</f>
        <v>0</v>
      </c>
      <c r="BA13" s="1">
        <f>(IF(OR((F13="&lt;12"),(F13="&gt;19"),(F13="&gt;20"),(F13=15.2),(F13=20),(F13=[1]FREQUENCIAS!$A$5),(F13=[1]FREQUENCIAS!$A$6),(F13=[1]FREQUENCIAS!$A$7),(F13=[1]FREQUENCIAS!$A$8),(F13=[1]FREQUENCIAS!$A$9),(F13=[1]FREQUENCIAS!$A$10),(F13=[1]FREQUENCIAS!$A$11),(F13=[1]FREQUENCIAS!$A$12)),1,0))</f>
        <v>0</v>
      </c>
      <c r="BB13" s="1">
        <f>(IF(OR((G13="&lt;12"),(G13="&gt;19"),(G13="&gt;20"),(G13=15.2),(G13=20),(G13=[1]FREQUENCIAS!$A$5),(G13=[1]FREQUENCIAS!$A$6),(G13=[1]FREQUENCIAS!$A$7),(G13=[1]FREQUENCIAS!$A$8),(G13=[1]FREQUENCIAS!$A$9),(G13=[1]FREQUENCIAS!$A$10),(G13=[1]FREQUENCIAS!$A$11),(G13=[1]FREQUENCIAS!$A$12)),1,0))</f>
        <v>0</v>
      </c>
      <c r="BD13" s="492">
        <f t="shared" si="41"/>
        <v>0</v>
      </c>
      <c r="BE13" s="39">
        <f t="shared" si="42"/>
        <v>2.4604569420035153E-3</v>
      </c>
      <c r="BF13" s="14"/>
      <c r="BG13" s="41">
        <f>IF($A13=[1]FREQUENCIAS!$F$1,[1]FREQUENCIAS!$F$2,"ERRO NO PE")</f>
        <v>0.56899999999999995</v>
      </c>
      <c r="BH13" s="498">
        <f>IF($A13=[1]FREQUENCIAS!$F$1,[1]FREQUENCIAS!$F$3,"ERRO NA MUT")</f>
        <v>1.4E-3</v>
      </c>
      <c r="BI13" s="41">
        <f t="shared" si="11"/>
        <v>1</v>
      </c>
      <c r="BJ13" s="2">
        <f t="shared" si="43"/>
        <v>0</v>
      </c>
      <c r="BL13" s="53">
        <v>12</v>
      </c>
      <c r="BM13" s="53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93" t="str">
        <f t="shared" si="12"/>
        <v/>
      </c>
      <c r="BP13" s="493">
        <f t="shared" si="13"/>
        <v>0</v>
      </c>
      <c r="BQ13" s="493">
        <f t="shared" si="14"/>
        <v>0</v>
      </c>
      <c r="BR13" s="494" t="str">
        <f t="shared" si="15"/>
        <v/>
      </c>
      <c r="BS13" s="494">
        <f t="shared" si="16"/>
        <v>0</v>
      </c>
      <c r="BT13" s="494">
        <f t="shared" si="17"/>
        <v>0</v>
      </c>
      <c r="BU13" s="486" t="str">
        <f t="shared" si="44"/>
        <v/>
      </c>
      <c r="BV13" s="486">
        <f t="shared" si="18"/>
        <v>0</v>
      </c>
      <c r="BW13" s="486">
        <f t="shared" si="19"/>
        <v>0</v>
      </c>
      <c r="BZ13" s="495">
        <v>12</v>
      </c>
      <c r="CA13" s="496">
        <v>15</v>
      </c>
      <c r="CJ13" s="1">
        <f t="shared" si="20"/>
        <v>1</v>
      </c>
      <c r="CK13" s="1">
        <f t="shared" si="21"/>
        <v>1</v>
      </c>
      <c r="CL13" s="1">
        <f t="shared" si="22"/>
        <v>1</v>
      </c>
      <c r="CM13" s="1">
        <f t="shared" si="23"/>
        <v>1</v>
      </c>
      <c r="CN13" s="1">
        <f t="shared" si="24"/>
        <v>1</v>
      </c>
      <c r="CO13" s="1">
        <f t="shared" si="25"/>
        <v>1</v>
      </c>
      <c r="CP13" s="1">
        <f t="shared" si="26"/>
        <v>1</v>
      </c>
      <c r="CQ13" s="1">
        <f t="shared" si="27"/>
        <v>1</v>
      </c>
      <c r="CR13" s="1">
        <f t="shared" si="28"/>
        <v>8</v>
      </c>
    </row>
    <row r="14" spans="1:96" ht="14.25" customHeight="1" thickTop="1" thickBot="1" x14ac:dyDescent="0.25">
      <c r="A14" s="232" t="str">
        <f>'IMPORTAÇÃO GENOTIPER'!A10</f>
        <v>Penta_E</v>
      </c>
      <c r="B14" s="307">
        <f>'IMPORTAÇÃO GENOTIPER'!S10</f>
        <v>0</v>
      </c>
      <c r="C14" s="307">
        <f>'IMPORTAÇÃO GENOTIPER'!AA10</f>
        <v>0</v>
      </c>
      <c r="D14" s="307">
        <f>'IMPORTAÇÃO GENOTIPER'!AI10</f>
        <v>0</v>
      </c>
      <c r="E14" s="307">
        <f>'IMPORTAÇÃO GENOTIPER'!AQ10</f>
        <v>0</v>
      </c>
      <c r="F14" s="480">
        <f>'IMPORTAÇÃO GENOTIPER'!BO10</f>
        <v>0</v>
      </c>
      <c r="G14" s="480">
        <f>'IMPORTAÇÃO GENOTIPER'!BW10</f>
        <v>0</v>
      </c>
      <c r="H14" s="480">
        <f>'IMPORTAÇÃO GENOTIPER'!CE10</f>
        <v>0</v>
      </c>
      <c r="I14" s="480">
        <f>'IMPORTAÇÃO GENOTIPER'!CM10</f>
        <v>0</v>
      </c>
      <c r="J14" s="481">
        <f t="shared" si="29"/>
        <v>0</v>
      </c>
      <c r="K14" s="481">
        <f t="shared" si="29"/>
        <v>0</v>
      </c>
      <c r="L14" s="481">
        <f t="shared" si="29"/>
        <v>0</v>
      </c>
      <c r="M14" s="481">
        <f t="shared" si="30"/>
        <v>0</v>
      </c>
      <c r="N14" s="481">
        <f t="shared" si="31"/>
        <v>0</v>
      </c>
      <c r="O14" s="481">
        <f t="shared" si="31"/>
        <v>0</v>
      </c>
      <c r="P14" s="481">
        <f t="shared" si="31"/>
        <v>0</v>
      </c>
      <c r="Q14" s="481">
        <f t="shared" si="31"/>
        <v>0</v>
      </c>
      <c r="R14" s="482">
        <f t="shared" si="0"/>
        <v>0</v>
      </c>
      <c r="S14" s="482">
        <f t="shared" si="1"/>
        <v>0</v>
      </c>
      <c r="T14" s="482">
        <f t="shared" si="0"/>
        <v>0</v>
      </c>
      <c r="U14" s="482">
        <f t="shared" si="2"/>
        <v>0</v>
      </c>
      <c r="V14" s="482">
        <f t="shared" si="3"/>
        <v>0</v>
      </c>
      <c r="W14" s="482">
        <f t="shared" si="4"/>
        <v>0</v>
      </c>
      <c r="X14" s="482">
        <f t="shared" si="32"/>
        <v>0</v>
      </c>
      <c r="Y14" s="482">
        <f t="shared" si="33"/>
        <v>0</v>
      </c>
      <c r="Z14" s="483">
        <f t="shared" si="5"/>
        <v>0</v>
      </c>
      <c r="AA14" s="483">
        <f t="shared" si="6"/>
        <v>0</v>
      </c>
      <c r="AB14" s="484">
        <f>(IF((OR((T14="&gt;20"),(U14="&gt;20"))),2,(IF(((Z14+AA14)=(T14+U14)),0,1))))</f>
        <v>0</v>
      </c>
      <c r="AC14" s="485">
        <f t="shared" si="34"/>
        <v>0</v>
      </c>
      <c r="AD14" s="486">
        <f t="shared" si="35"/>
        <v>0</v>
      </c>
      <c r="AE14" s="486">
        <f t="shared" si="36"/>
        <v>0</v>
      </c>
      <c r="AF14" s="487">
        <f t="shared" si="37"/>
        <v>0</v>
      </c>
      <c r="AG14" s="488">
        <f t="shared" si="38"/>
        <v>0</v>
      </c>
      <c r="AH14" s="489">
        <f>IF(AF14=0,0,VLOOKUP(AF14,[1]FREQUENCIAS!$1:$1048576,(IF(($A14=[1]FREQUENCIAS!$G$1),7,"ERRO")),[1]FREQUENCIAS!$1:$1048576))</f>
        <v>0</v>
      </c>
      <c r="AI14" s="489">
        <f>IF(AG14=0,0,VLOOKUP(AG14,[1]FREQUENCIAS!$1:$1048576,(IF(($A14=[1]FREQUENCIAS!$G$1),7,"ERRO")),[1]FREQUENCIAS!$1:$1048576))</f>
        <v>0</v>
      </c>
      <c r="AJ14" s="490"/>
      <c r="AK14" s="490"/>
      <c r="AL14" s="490"/>
      <c r="AM14" s="124">
        <f t="shared" si="39"/>
        <v>1</v>
      </c>
      <c r="AN14" s="125">
        <f t="shared" si="7"/>
        <v>1</v>
      </c>
      <c r="AO14" s="126">
        <f t="shared" si="8"/>
        <v>0.5</v>
      </c>
      <c r="AP14" s="345"/>
      <c r="AQ14" s="491">
        <f t="shared" si="9"/>
        <v>0</v>
      </c>
      <c r="AR14" s="345"/>
      <c r="AS14" s="129" t="str">
        <f t="shared" si="10"/>
        <v>MUTAÇÃO</v>
      </c>
      <c r="AT14" s="480" t="str">
        <f t="shared" si="40"/>
        <v>OK</v>
      </c>
      <c r="AW14" s="1">
        <f>(IF(OR((B14="&lt;4"),(B14="&gt;13,3"),(B14=4),(B14=7.3),(B14=8.3),(B14=5),(B14=11),(B14=12),(B14=13),(B14=13.3),(B14=[1]FREQUENCIAS!$J$26),(B14=[1]FREQUENCIAS!$J$27),(B14=[1]FREQUENCIAS!$J$28),(B14=[1]FREQUENCIAS!$J$29),(B14=[1]FREQUENCIAS!$J$30),(B14=[1]FREQUENCIAS!$J$31)),1,0))</f>
        <v>1</v>
      </c>
      <c r="AX14" s="1">
        <f>(IF(OR((C14="&lt;4"),(C14="&gt;13,3"),(C14=4),(C14=7.3),(C14=8.3),(C14=5),(C14=11),(C14=12),(C14=13),(C14=13.3),(C14=[1]FREQUENCIAS!$J$26),(C14=[1]FREQUENCIAS!$J$27),(C14=[1]FREQUENCIAS!$J$28),(C14=[1]FREQUENCIAS!$J$29),(C14=[1]FREQUENCIAS!$J$30),(C14=[1]FREQUENCIAS!$J$31)),1,0))</f>
        <v>1</v>
      </c>
      <c r="AY14" s="1">
        <f>(IF(OR((D14="&lt;4"),(D14="&gt;13,3"),(D14=4),(D14=7.3),(D14=8.3),(D14=5),(D14=11),(D14=12),(D14=13),(D14=13.3),(D14=[1]FREQUENCIAS!$J$26),(D14=[1]FREQUENCIAS!$J$27),(D14=[1]FREQUENCIAS!$J$28),(D14=[1]FREQUENCIAS!$J$29),(D14=[1]FREQUENCIAS!$J$30),(D14=[1]FREQUENCIAS!$J$31)),1,0))</f>
        <v>1</v>
      </c>
      <c r="AZ14" s="1">
        <f>(IF(OR((E14="&lt;4"),(E14="&gt;13,3"),(E14=4),(E14=7.3),(E14=8.3),(E14=5),(E14=11),(E14=12),(E14=13),(E14=13.3),(E14=[1]FREQUENCIAS!$J$26),(E14=[1]FREQUENCIAS!$J$27),(E14=[1]FREQUENCIAS!$J$28),(E14=[1]FREQUENCIAS!$J$29),(E14=[1]FREQUENCIAS!$J$30),(E14=[1]FREQUENCIAS!$J$31)),1,0))</f>
        <v>1</v>
      </c>
      <c r="BA14" s="1">
        <f>(IF(OR((F14="&lt;4"),(F14="&gt;13,3"),(F14=4),(F14=7.3),(F14=8.3),(F14=5),(F14=11),(F14=12),(F14=13),(F14=13.3),(F14=[1]FREQUENCIAS!$J$26),(F14=[1]FREQUENCIAS!$J$27),(F14=[1]FREQUENCIAS!$J$28),(F14=[1]FREQUENCIAS!$J$29),(F14=[1]FREQUENCIAS!$J$30),(F14=[1]FREQUENCIAS!$J$31)),1,0))</f>
        <v>1</v>
      </c>
      <c r="BB14" s="1">
        <f>(IF(OR((G14="&lt;4"),(G14="&gt;13,3"),(G14=4),(G14=7.3),(G14=8.3),(G14=5),(G14=11),(G14=12),(G14=13),(G14=13.3),(G14=[1]FREQUENCIAS!$J$26),(G14=[1]FREQUENCIAS!$J$27),(G14=[1]FREQUENCIAS!$J$28),(G14=[1]FREQUENCIAS!$J$29),(G14=[1]FREQUENCIAS!$J$30),(G14=[1]FREQUENCIAS!$J$31)),1,0))</f>
        <v>1</v>
      </c>
      <c r="BD14" s="492">
        <f>IF(($AM14=0),1,0)</f>
        <v>0</v>
      </c>
      <c r="BE14" s="39">
        <f t="shared" si="42"/>
        <v>2.0253164556962027E-3</v>
      </c>
      <c r="BF14" s="14"/>
      <c r="BG14" s="41">
        <f>IF($A14=[1]FREQUENCIAS!$G$1,[1]FREQUENCIAS!$G$2,"ERRO NO PE")</f>
        <v>0.79</v>
      </c>
      <c r="BH14" s="498">
        <f>IF($A14=[1]FREQUENCIAS!$G$1,[1]FREQUENCIAS!$G$3,"ERRO NA MUT")</f>
        <v>1.6000000000000001E-3</v>
      </c>
      <c r="BI14" s="41">
        <f t="shared" si="11"/>
        <v>1</v>
      </c>
      <c r="BJ14" s="2">
        <f t="shared" si="43"/>
        <v>0</v>
      </c>
      <c r="BL14" s="53">
        <v>4</v>
      </c>
      <c r="BM14" s="53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93" t="str">
        <f t="shared" si="12"/>
        <v/>
      </c>
      <c r="BP14" s="493">
        <f t="shared" si="13"/>
        <v>0</v>
      </c>
      <c r="BQ14" s="493">
        <f t="shared" si="14"/>
        <v>0</v>
      </c>
      <c r="BR14" s="494" t="str">
        <f t="shared" si="15"/>
        <v/>
      </c>
      <c r="BS14" s="494">
        <f t="shared" si="16"/>
        <v>0</v>
      </c>
      <c r="BT14" s="494">
        <f t="shared" si="17"/>
        <v>0</v>
      </c>
      <c r="BU14" s="486" t="str">
        <f t="shared" si="44"/>
        <v/>
      </c>
      <c r="BV14" s="486">
        <f t="shared" si="18"/>
        <v>0</v>
      </c>
      <c r="BW14" s="486">
        <f t="shared" si="19"/>
        <v>0</v>
      </c>
      <c r="BZ14" s="495">
        <v>5</v>
      </c>
      <c r="CA14" s="496">
        <v>11</v>
      </c>
      <c r="CJ14" s="1">
        <f t="shared" si="20"/>
        <v>1</v>
      </c>
      <c r="CK14" s="1">
        <f t="shared" si="21"/>
        <v>1</v>
      </c>
      <c r="CL14" s="1">
        <f t="shared" si="22"/>
        <v>1</v>
      </c>
      <c r="CM14" s="1">
        <f t="shared" si="23"/>
        <v>1</v>
      </c>
      <c r="CN14" s="1">
        <f t="shared" si="24"/>
        <v>1</v>
      </c>
      <c r="CO14" s="1">
        <f t="shared" si="25"/>
        <v>1</v>
      </c>
      <c r="CP14" s="1">
        <f t="shared" si="26"/>
        <v>1</v>
      </c>
      <c r="CQ14" s="1">
        <f t="shared" si="27"/>
        <v>1</v>
      </c>
      <c r="CR14" s="1">
        <f t="shared" si="28"/>
        <v>8</v>
      </c>
    </row>
    <row r="15" spans="1:96" ht="14.25" customHeight="1" thickTop="1" thickBot="1" x14ac:dyDescent="0.25">
      <c r="A15" s="232" t="str">
        <f>'IMPORTAÇÃO GENOTIPER'!A11</f>
        <v>D16S539</v>
      </c>
      <c r="B15" s="307">
        <f>'IMPORTAÇÃO GENOTIPER'!S11</f>
        <v>0</v>
      </c>
      <c r="C15" s="307">
        <f>'IMPORTAÇÃO GENOTIPER'!AA11</f>
        <v>0</v>
      </c>
      <c r="D15" s="307">
        <f>'IMPORTAÇÃO GENOTIPER'!AI11</f>
        <v>0</v>
      </c>
      <c r="E15" s="307">
        <f>'IMPORTAÇÃO GENOTIPER'!AQ11</f>
        <v>0</v>
      </c>
      <c r="F15" s="480">
        <f>'IMPORTAÇÃO GENOTIPER'!BO11</f>
        <v>0</v>
      </c>
      <c r="G15" s="480">
        <f>'IMPORTAÇÃO GENOTIPER'!BW11</f>
        <v>0</v>
      </c>
      <c r="H15" s="480">
        <f>'IMPORTAÇÃO GENOTIPER'!CE11</f>
        <v>0</v>
      </c>
      <c r="I15" s="480">
        <f>'IMPORTAÇÃO GENOTIPER'!CM11</f>
        <v>0</v>
      </c>
      <c r="J15" s="481">
        <f t="shared" si="29"/>
        <v>0</v>
      </c>
      <c r="K15" s="481">
        <f t="shared" si="29"/>
        <v>0</v>
      </c>
      <c r="L15" s="481">
        <f t="shared" si="29"/>
        <v>0</v>
      </c>
      <c r="M15" s="481">
        <f t="shared" si="30"/>
        <v>0</v>
      </c>
      <c r="N15" s="481">
        <f t="shared" si="31"/>
        <v>0</v>
      </c>
      <c r="O15" s="481">
        <f t="shared" si="31"/>
        <v>0</v>
      </c>
      <c r="P15" s="481">
        <f t="shared" si="31"/>
        <v>0</v>
      </c>
      <c r="Q15" s="481">
        <f t="shared" si="31"/>
        <v>0</v>
      </c>
      <c r="R15" s="482">
        <f t="shared" si="0"/>
        <v>0</v>
      </c>
      <c r="S15" s="482">
        <f t="shared" si="1"/>
        <v>0</v>
      </c>
      <c r="T15" s="482">
        <f t="shared" si="0"/>
        <v>0</v>
      </c>
      <c r="U15" s="482">
        <f t="shared" si="2"/>
        <v>0</v>
      </c>
      <c r="V15" s="482">
        <f t="shared" si="3"/>
        <v>0</v>
      </c>
      <c r="W15" s="482">
        <f t="shared" si="4"/>
        <v>0</v>
      </c>
      <c r="X15" s="482">
        <f t="shared" si="32"/>
        <v>0</v>
      </c>
      <c r="Y15" s="482">
        <f t="shared" si="33"/>
        <v>0</v>
      </c>
      <c r="Z15" s="483">
        <f t="shared" si="5"/>
        <v>0</v>
      </c>
      <c r="AA15" s="483">
        <f t="shared" si="6"/>
        <v>0</v>
      </c>
      <c r="AB15" s="484">
        <f>(IF((OR((T15="&gt;23"),(U15="&gt;23"))),2,(IF(((Z15+AA15)=(T15+U15)),0,1))))</f>
        <v>0</v>
      </c>
      <c r="AC15" s="485">
        <f t="shared" si="34"/>
        <v>0</v>
      </c>
      <c r="AD15" s="486">
        <f t="shared" si="35"/>
        <v>0</v>
      </c>
      <c r="AE15" s="486">
        <f t="shared" si="36"/>
        <v>0</v>
      </c>
      <c r="AF15" s="487">
        <f t="shared" si="37"/>
        <v>0</v>
      </c>
      <c r="AG15" s="488">
        <f t="shared" si="38"/>
        <v>0</v>
      </c>
      <c r="AH15" s="489">
        <f>IF(AF15=0,0,VLOOKUP(AF15,[1]FREQUENCIAS!$1:$1048576,(IF(($A15=[1]FREQUENCIAS!$H$1),8,"ERRO")),[1]FREQUENCIAS!$1:$1048576))</f>
        <v>0</v>
      </c>
      <c r="AI15" s="489">
        <f>IF(AG15=0,0,VLOOKUP(AG15,[1]FREQUENCIAS!$1:$1048576,(IF(($A15=[1]FREQUENCIAS!$H$1),8,"ERRO")),[1]FREQUENCIAS!$1:$1048576))</f>
        <v>0</v>
      </c>
      <c r="AJ15" s="490"/>
      <c r="AK15" s="490"/>
      <c r="AL15" s="490"/>
      <c r="AM15" s="124">
        <f t="shared" si="39"/>
        <v>1</v>
      </c>
      <c r="AN15" s="125">
        <f t="shared" si="7"/>
        <v>1</v>
      </c>
      <c r="AO15" s="126">
        <f t="shared" si="8"/>
        <v>0.5</v>
      </c>
      <c r="AP15" s="345"/>
      <c r="AQ15" s="491">
        <f t="shared" si="9"/>
        <v>0</v>
      </c>
      <c r="AR15" s="345"/>
      <c r="AS15" s="129" t="str">
        <f t="shared" si="10"/>
        <v>MUTAÇÃO</v>
      </c>
      <c r="AT15" s="480" t="str">
        <f t="shared" si="40"/>
        <v>OK</v>
      </c>
      <c r="AW15" s="1">
        <f>(IF(OR((B15="&lt;8"),(B15="&gt;15"),(B15=[1]FREQUENCIAS!$A$26),(B15=[1]FREQUENCIAS!$A$27),(B15=[1]FREQUENCIAS!$A$28),(B15=[1]FREQUENCIAS!$A$29),(B15=[1]FREQUENCIAS!$A$30),(B15=[1]FREQUENCIAS!$A$31),(B15=[1]FREQUENCIAS!$A$32),(B15=[1]FREQUENCIAS!$A$33)),1,0))</f>
        <v>0</v>
      </c>
      <c r="AX15" s="1">
        <f>(IF(OR((C15="&lt;8"),(C15="&gt;15"),(C15=[1]FREQUENCIAS!$A$26),(C15=[1]FREQUENCIAS!$A$27),(C15=[1]FREQUENCIAS!$A$28),(C15=[1]FREQUENCIAS!$A$29),(C15=[1]FREQUENCIAS!$A$30),(C15=[1]FREQUENCIAS!$A$31),(C15=[1]FREQUENCIAS!$A$32),(C15=[1]FREQUENCIAS!$A$33)),1,0))</f>
        <v>0</v>
      </c>
      <c r="AY15" s="1">
        <f>(IF(OR((D15="&lt;8"),(D15="&gt;15"),(D15=[1]FREQUENCIAS!$A$26),(D15=[1]FREQUENCIAS!$A$27),(D15=[1]FREQUENCIAS!$A$28),(D15=[1]FREQUENCIAS!$A$29),(D15=[1]FREQUENCIAS!$A$30),(D15=[1]FREQUENCIAS!$A$31),(D15=[1]FREQUENCIAS!$A$32),(D15=[1]FREQUENCIAS!$A$33)),1,0))</f>
        <v>0</v>
      </c>
      <c r="AZ15" s="1">
        <f>(IF(OR((E15="&lt;8"),(E15="&gt;15"),(E15=[1]FREQUENCIAS!$A$26),(E15=[1]FREQUENCIAS!$A$27),(E15=[1]FREQUENCIAS!$A$28),(E15=[1]FREQUENCIAS!$A$29),(E15=[1]FREQUENCIAS!$A$30),(E15=[1]FREQUENCIAS!$A$31),(E15=[1]FREQUENCIAS!$A$32),(E15=[1]FREQUENCIAS!$A$33)),1,0))</f>
        <v>0</v>
      </c>
      <c r="BA15" s="1">
        <f>(IF(OR((F15="&lt;8"),(F15="&gt;15"),(F15=[1]FREQUENCIAS!$A$26),(F15=[1]FREQUENCIAS!$A$27),(F15=[1]FREQUENCIAS!$A$28),(F15=[1]FREQUENCIAS!$A$29),(F15=[1]FREQUENCIAS!$A$30),(F15=[1]FREQUENCIAS!$A$31),(F15=[1]FREQUENCIAS!$A$32),(F15=[1]FREQUENCIAS!$A$33)),1,0))</f>
        <v>0</v>
      </c>
      <c r="BB15" s="1">
        <f>(IF(OR((G15="&lt;8"),(G15="&gt;15"),(G15=[1]FREQUENCIAS!$A$26),(G15=[1]FREQUENCIAS!$A$27),(G15=[1]FREQUENCIAS!$A$28),(G15=[1]FREQUENCIAS!$A$29),(G15=[1]FREQUENCIAS!$A$30),(G15=[1]FREQUENCIAS!$A$31),(G15=[1]FREQUENCIAS!$A$32),(G15=[1]FREQUENCIAS!$A$33)),1,0))</f>
        <v>0</v>
      </c>
      <c r="BD15" s="492">
        <f t="shared" si="41"/>
        <v>0</v>
      </c>
      <c r="BE15" s="39">
        <f t="shared" si="42"/>
        <v>1.4588859416445625E-3</v>
      </c>
      <c r="BF15" s="14"/>
      <c r="BG15" s="41">
        <f>IF($A15=[1]FREQUENCIAS!$H$1,[1]FREQUENCIAS!$H$2,"ERRO NO PE")</f>
        <v>0.754</v>
      </c>
      <c r="BH15" s="498">
        <f>IF($A15=[1]FREQUENCIAS!$H$1,[1]FREQUENCIAS!$H$3,"ERRO NA MUT")</f>
        <v>1.1000000000000001E-3</v>
      </c>
      <c r="BI15" s="41">
        <f t="shared" si="11"/>
        <v>1</v>
      </c>
      <c r="BJ15" s="2">
        <f t="shared" si="43"/>
        <v>0</v>
      </c>
      <c r="BL15" s="53">
        <v>8</v>
      </c>
      <c r="BM15" s="53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O15" s="493" t="str">
        <f t="shared" si="12"/>
        <v/>
      </c>
      <c r="BP15" s="493">
        <f t="shared" si="13"/>
        <v>0</v>
      </c>
      <c r="BQ15" s="493">
        <f t="shared" si="14"/>
        <v>0</v>
      </c>
      <c r="BR15" s="494" t="str">
        <f t="shared" si="15"/>
        <v/>
      </c>
      <c r="BS15" s="494">
        <f t="shared" si="16"/>
        <v>0</v>
      </c>
      <c r="BT15" s="494">
        <f t="shared" si="17"/>
        <v>0</v>
      </c>
      <c r="BU15" s="486" t="str">
        <f t="shared" si="44"/>
        <v/>
      </c>
      <c r="BV15" s="486">
        <f t="shared" si="18"/>
        <v>0</v>
      </c>
      <c r="BW15" s="486">
        <f t="shared" si="19"/>
        <v>0</v>
      </c>
      <c r="BZ15" s="495">
        <v>8</v>
      </c>
      <c r="CA15" s="496">
        <v>11</v>
      </c>
      <c r="CJ15" s="1">
        <f t="shared" si="20"/>
        <v>1</v>
      </c>
      <c r="CK15" s="1">
        <f t="shared" si="21"/>
        <v>1</v>
      </c>
      <c r="CL15" s="1">
        <f t="shared" si="22"/>
        <v>1</v>
      </c>
      <c r="CM15" s="1">
        <f t="shared" si="23"/>
        <v>1</v>
      </c>
      <c r="CN15" s="1">
        <f t="shared" si="24"/>
        <v>1</v>
      </c>
      <c r="CO15" s="1">
        <f t="shared" si="25"/>
        <v>1</v>
      </c>
      <c r="CP15" s="1">
        <f t="shared" si="26"/>
        <v>1</v>
      </c>
      <c r="CQ15" s="1">
        <f t="shared" si="27"/>
        <v>1</v>
      </c>
      <c r="CR15" s="1">
        <f t="shared" si="28"/>
        <v>8</v>
      </c>
    </row>
    <row r="16" spans="1:96" ht="14.25" customHeight="1" thickTop="1" thickBot="1" x14ac:dyDescent="0.25">
      <c r="A16" s="232" t="str">
        <f>'IMPORTAÇÃO GENOTIPER'!A12</f>
        <v>D18S51</v>
      </c>
      <c r="B16" s="307">
        <f>'IMPORTAÇÃO GENOTIPER'!S12</f>
        <v>0</v>
      </c>
      <c r="C16" s="307">
        <f>'IMPORTAÇÃO GENOTIPER'!AA12</f>
        <v>0</v>
      </c>
      <c r="D16" s="307">
        <f>'IMPORTAÇÃO GENOTIPER'!AI12</f>
        <v>0</v>
      </c>
      <c r="E16" s="307">
        <f>'IMPORTAÇÃO GENOTIPER'!AQ12</f>
        <v>0</v>
      </c>
      <c r="F16" s="480">
        <f>'IMPORTAÇÃO GENOTIPER'!BO12</f>
        <v>0</v>
      </c>
      <c r="G16" s="480">
        <f>'IMPORTAÇÃO GENOTIPER'!BW12</f>
        <v>0</v>
      </c>
      <c r="H16" s="480">
        <f>'IMPORTAÇÃO GENOTIPER'!CE12</f>
        <v>0</v>
      </c>
      <c r="I16" s="480">
        <f>'IMPORTAÇÃO GENOTIPER'!CM12</f>
        <v>0</v>
      </c>
      <c r="J16" s="481">
        <f t="shared" si="29"/>
        <v>0</v>
      </c>
      <c r="K16" s="481">
        <f t="shared" si="29"/>
        <v>0</v>
      </c>
      <c r="L16" s="481">
        <f t="shared" si="29"/>
        <v>0</v>
      </c>
      <c r="M16" s="481">
        <f t="shared" si="30"/>
        <v>0</v>
      </c>
      <c r="N16" s="481">
        <f t="shared" si="31"/>
        <v>0</v>
      </c>
      <c r="O16" s="481">
        <f t="shared" si="31"/>
        <v>0</v>
      </c>
      <c r="P16" s="481">
        <f t="shared" si="31"/>
        <v>0</v>
      </c>
      <c r="Q16" s="481">
        <f t="shared" si="31"/>
        <v>0</v>
      </c>
      <c r="R16" s="482">
        <f t="shared" si="0"/>
        <v>0</v>
      </c>
      <c r="S16" s="482">
        <f t="shared" si="1"/>
        <v>0</v>
      </c>
      <c r="T16" s="482">
        <f t="shared" si="0"/>
        <v>0</v>
      </c>
      <c r="U16" s="482">
        <f t="shared" si="2"/>
        <v>0</v>
      </c>
      <c r="V16" s="482">
        <f t="shared" si="3"/>
        <v>0</v>
      </c>
      <c r="W16" s="482">
        <f t="shared" si="4"/>
        <v>0</v>
      </c>
      <c r="X16" s="482">
        <f t="shared" si="32"/>
        <v>0</v>
      </c>
      <c r="Y16" s="482">
        <f t="shared" si="33"/>
        <v>0</v>
      </c>
      <c r="Z16" s="483">
        <f t="shared" si="5"/>
        <v>0</v>
      </c>
      <c r="AA16" s="483">
        <f t="shared" si="6"/>
        <v>0</v>
      </c>
      <c r="AB16" s="484">
        <f>(IF((OR((T16="&gt;22"),(U16="&gt;22"))),2,(IF(((Z16+AA16)=(T16+U16)),0,1))))</f>
        <v>0</v>
      </c>
      <c r="AC16" s="485">
        <f t="shared" si="34"/>
        <v>0</v>
      </c>
      <c r="AD16" s="486">
        <f t="shared" si="35"/>
        <v>0</v>
      </c>
      <c r="AE16" s="486">
        <f t="shared" si="36"/>
        <v>0</v>
      </c>
      <c r="AF16" s="487">
        <f t="shared" si="37"/>
        <v>0</v>
      </c>
      <c r="AG16" s="488">
        <f t="shared" si="38"/>
        <v>0</v>
      </c>
      <c r="AH16" s="489">
        <f>IF(AF16=0,0,VLOOKUP(AF16,[1]FREQUENCIAS!$1:$1048576,(IF(($A16=[1]FREQUENCIAS!$I$1),9,"ERRO")),[1]FREQUENCIAS!$1:$1048576))</f>
        <v>0</v>
      </c>
      <c r="AI16" s="489">
        <f>IF(AG16=0,0,VLOOKUP(AG16,[1]FREQUENCIAS!$1:$1048576,(IF(($A16=[1]FREQUENCIAS!$I$1),9,"ERRO")),[1]FREQUENCIAS!$1:$1048576))</f>
        <v>0</v>
      </c>
      <c r="AJ16" s="490"/>
      <c r="AK16" s="490"/>
      <c r="AL16" s="490"/>
      <c r="AM16" s="124">
        <f t="shared" si="39"/>
        <v>1</v>
      </c>
      <c r="AN16" s="125">
        <f t="shared" si="7"/>
        <v>1</v>
      </c>
      <c r="AO16" s="126">
        <f t="shared" si="8"/>
        <v>0.5</v>
      </c>
      <c r="AP16" s="345"/>
      <c r="AQ16" s="491">
        <f t="shared" si="9"/>
        <v>0</v>
      </c>
      <c r="AR16" s="345"/>
      <c r="AS16" s="129" t="str">
        <f t="shared" si="10"/>
        <v>MUTAÇÃO</v>
      </c>
      <c r="AT16" s="480" t="str">
        <f t="shared" si="40"/>
        <v>OK</v>
      </c>
      <c r="AW16" s="1">
        <f>(IF(OR((B16="&lt;5"),(B16=6),(B16=7),(B16="&gt;15"),(B16=[1]FREQUENCIAS!$G$26),(B16=[1]FREQUENCIAS!$G$27),(B16=[1]FREQUENCIAS!$G$28),(B16=[1]FREQUENCIAS!$G$29),(B16=[1]FREQUENCIAS!$G$30),(B16=[1]FREQUENCIAS!$G$31),(B16=[1]FREQUENCIAS!$G$32),(B16=[1]FREQUENCIAS!$G$33),(B16=[1]FREQUENCIAS!$G$34)),1,0))</f>
        <v>1</v>
      </c>
      <c r="AX16" s="1">
        <f>(IF(OR((C16="&lt;5"),(C16=6),(C16=7),(C16="&gt;15"),(C16=[1]FREQUENCIAS!$G$26),(C16=[1]FREQUENCIAS!$G$27),(C16=[1]FREQUENCIAS!$G$28),(C16=[1]FREQUENCIAS!$G$29),(C16=[1]FREQUENCIAS!$G$30),(C16=[1]FREQUENCIAS!$G$31),(C16=[1]FREQUENCIAS!$G$32),(C16=[1]FREQUENCIAS!$G$33),(C16=[1]FREQUENCIAS!$G$34)),1,0))</f>
        <v>1</v>
      </c>
      <c r="AY16" s="1">
        <f>(IF(OR((D16="&lt;5"),(D16=6),(D16=7),(D16="&gt;15"),(D16=[1]FREQUENCIAS!$G$26),(D16=[1]FREQUENCIAS!$G$27),(D16=[1]FREQUENCIAS!$G$28),(D16=[1]FREQUENCIAS!$G$29),(D16=[1]FREQUENCIAS!$G$30),(D16=[1]FREQUENCIAS!$G$31),(D16=[1]FREQUENCIAS!$G$32),(D16=[1]FREQUENCIAS!$G$33),(D16=[1]FREQUENCIAS!$G$34)),1,0))</f>
        <v>1</v>
      </c>
      <c r="AZ16" s="1">
        <f>(IF(OR((E16="&lt;5"),(E16=6),(E16=7),(E16="&gt;15"),(E16=[1]FREQUENCIAS!$G$26),(E16=[1]FREQUENCIAS!$G$27),(E16=[1]FREQUENCIAS!$G$28),(E16=[1]FREQUENCIAS!$G$29),(E16=[1]FREQUENCIAS!$G$30),(E16=[1]FREQUENCIAS!$G$31),(E16=[1]FREQUENCIAS!$G$32),(E16=[1]FREQUENCIAS!$G$33),(E16=[1]FREQUENCIAS!$G$34)),1,0))</f>
        <v>1</v>
      </c>
      <c r="BA16" s="1">
        <f>(IF(OR((F16="&lt;5"),(F16=6),(F16=7),(F16="&gt;15"),(F16=[1]FREQUENCIAS!$G$26),(F16=[1]FREQUENCIAS!$G$27),(F16=[1]FREQUENCIAS!$G$28),(F16=[1]FREQUENCIAS!$G$29),(F16=[1]FREQUENCIAS!$G$30),(F16=[1]FREQUENCIAS!$G$31),(F16=[1]FREQUENCIAS!$G$32),(F16=[1]FREQUENCIAS!$G$33),(F16=[1]FREQUENCIAS!$G$34)),1,0))</f>
        <v>1</v>
      </c>
      <c r="BB16" s="1">
        <f>(IF(OR((G16="&lt;5"),(G16=6),(G16=7),(G16="&gt;15"),(G16=[1]FREQUENCIAS!$G$26),(G16=[1]FREQUENCIAS!$G$27),(G16=[1]FREQUENCIAS!$G$28),(G16=[1]FREQUENCIAS!$G$29),(G16=[1]FREQUENCIAS!$G$30),(G16=[1]FREQUENCIAS!$G$31),(G16=[1]FREQUENCIAS!$G$32),(G16=[1]FREQUENCIAS!$G$33),(G16=[1]FREQUENCIAS!$G$34)),1,0))</f>
        <v>1</v>
      </c>
      <c r="BD16" s="492">
        <f t="shared" si="41"/>
        <v>0</v>
      </c>
      <c r="BE16" s="39">
        <f t="shared" si="42"/>
        <v>2.917771883289125E-3</v>
      </c>
      <c r="BF16" s="14"/>
      <c r="BG16" s="41">
        <f>IF($A16=[1]FREQUENCIAS!$I$1,[1]FREQUENCIAS!$I$2,"ERRO NO PE")</f>
        <v>0.754</v>
      </c>
      <c r="BH16" s="498">
        <f>IF($A16=[1]FREQUENCIAS!$I$1,[1]FREQUENCIAS!$I$3,"ERRO NA MUT")</f>
        <v>2.2000000000000001E-3</v>
      </c>
      <c r="BI16" s="41">
        <f t="shared" si="11"/>
        <v>1</v>
      </c>
      <c r="BJ16" s="2">
        <f t="shared" si="43"/>
        <v>0</v>
      </c>
      <c r="BL16" s="53">
        <v>5</v>
      </c>
      <c r="BM16" s="53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93" t="str">
        <f t="shared" si="12"/>
        <v/>
      </c>
      <c r="BP16" s="493">
        <f t="shared" si="13"/>
        <v>0</v>
      </c>
      <c r="BQ16" s="493">
        <f t="shared" si="14"/>
        <v>0</v>
      </c>
      <c r="BR16" s="494" t="str">
        <f t="shared" si="15"/>
        <v/>
      </c>
      <c r="BS16" s="494">
        <f t="shared" si="16"/>
        <v>0</v>
      </c>
      <c r="BT16" s="494">
        <f t="shared" si="17"/>
        <v>0</v>
      </c>
      <c r="BU16" s="486" t="str">
        <f t="shared" si="44"/>
        <v/>
      </c>
      <c r="BV16" s="486">
        <f t="shared" si="18"/>
        <v>0</v>
      </c>
      <c r="BW16" s="486">
        <f t="shared" si="19"/>
        <v>0</v>
      </c>
      <c r="BZ16" s="495">
        <v>9</v>
      </c>
      <c r="CA16" s="496">
        <v>10</v>
      </c>
      <c r="CJ16" s="1">
        <f t="shared" si="20"/>
        <v>1</v>
      </c>
      <c r="CK16" s="1">
        <f t="shared" si="21"/>
        <v>1</v>
      </c>
      <c r="CL16" s="1">
        <f t="shared" si="22"/>
        <v>1</v>
      </c>
      <c r="CM16" s="1">
        <f t="shared" si="23"/>
        <v>1</v>
      </c>
      <c r="CN16" s="1">
        <f t="shared" si="24"/>
        <v>1</v>
      </c>
      <c r="CO16" s="1">
        <f t="shared" si="25"/>
        <v>1</v>
      </c>
      <c r="CP16" s="1">
        <f t="shared" si="26"/>
        <v>1</v>
      </c>
      <c r="CQ16" s="1">
        <f t="shared" si="27"/>
        <v>1</v>
      </c>
      <c r="CR16" s="1">
        <f t="shared" si="28"/>
        <v>8</v>
      </c>
    </row>
    <row r="17" spans="1:96" ht="14.25" customHeight="1" thickTop="1" thickBot="1" x14ac:dyDescent="0.25">
      <c r="A17" s="232" t="str">
        <f>'IMPORTAÇÃO GENOTIPER'!A13</f>
        <v>D2S1338</v>
      </c>
      <c r="B17" s="307">
        <f>'IMPORTAÇÃO GENOTIPER'!S13</f>
        <v>0</v>
      </c>
      <c r="C17" s="307">
        <f>'IMPORTAÇÃO GENOTIPER'!AA13</f>
        <v>0</v>
      </c>
      <c r="D17" s="307">
        <f>'IMPORTAÇÃO GENOTIPER'!AI13</f>
        <v>0</v>
      </c>
      <c r="E17" s="307">
        <f>'IMPORTAÇÃO GENOTIPER'!AQ13</f>
        <v>0</v>
      </c>
      <c r="F17" s="480">
        <f>'IMPORTAÇÃO GENOTIPER'!BO13</f>
        <v>0</v>
      </c>
      <c r="G17" s="480">
        <f>'IMPORTAÇÃO GENOTIPER'!BW13</f>
        <v>0</v>
      </c>
      <c r="H17" s="480">
        <f>'IMPORTAÇÃO GENOTIPER'!CE13</f>
        <v>0</v>
      </c>
      <c r="I17" s="480">
        <f>'IMPORTAÇÃO GENOTIPER'!CM13</f>
        <v>0</v>
      </c>
      <c r="J17" s="481">
        <f t="shared" si="29"/>
        <v>0</v>
      </c>
      <c r="K17" s="481">
        <f t="shared" si="29"/>
        <v>0</v>
      </c>
      <c r="L17" s="481">
        <f t="shared" si="29"/>
        <v>0</v>
      </c>
      <c r="M17" s="481">
        <f t="shared" si="30"/>
        <v>0</v>
      </c>
      <c r="N17" s="481">
        <f t="shared" si="31"/>
        <v>0</v>
      </c>
      <c r="O17" s="481">
        <f t="shared" si="31"/>
        <v>0</v>
      </c>
      <c r="P17" s="481">
        <f t="shared" si="31"/>
        <v>0</v>
      </c>
      <c r="Q17" s="481">
        <f t="shared" si="31"/>
        <v>0</v>
      </c>
      <c r="R17" s="482">
        <f t="shared" si="0"/>
        <v>0</v>
      </c>
      <c r="S17" s="482">
        <f t="shared" si="1"/>
        <v>0</v>
      </c>
      <c r="T17" s="482">
        <f t="shared" si="0"/>
        <v>0</v>
      </c>
      <c r="U17" s="482">
        <f t="shared" si="2"/>
        <v>0</v>
      </c>
      <c r="V17" s="482">
        <f t="shared" si="3"/>
        <v>0</v>
      </c>
      <c r="W17" s="482">
        <f t="shared" si="4"/>
        <v>0</v>
      </c>
      <c r="X17" s="482">
        <f t="shared" si="32"/>
        <v>0</v>
      </c>
      <c r="Y17" s="482">
        <f t="shared" si="33"/>
        <v>0</v>
      </c>
      <c r="Z17" s="483">
        <f t="shared" si="5"/>
        <v>0</v>
      </c>
      <c r="AA17" s="483">
        <f t="shared" si="6"/>
        <v>0</v>
      </c>
      <c r="AB17" s="484">
        <f>(IF((OR((T17="&gt;28"),(U17="&gt;28"))),2,(IF(((Z17+AA17)=(T17+U17)),0,1))))</f>
        <v>0</v>
      </c>
      <c r="AC17" s="485">
        <f t="shared" si="34"/>
        <v>0</v>
      </c>
      <c r="AD17" s="486">
        <f t="shared" si="35"/>
        <v>0</v>
      </c>
      <c r="AE17" s="486">
        <f t="shared" si="36"/>
        <v>0</v>
      </c>
      <c r="AF17" s="487">
        <f t="shared" si="37"/>
        <v>0</v>
      </c>
      <c r="AG17" s="488">
        <f t="shared" si="38"/>
        <v>0</v>
      </c>
      <c r="AH17" s="489">
        <f>IF(AF17=0,0,VLOOKUP(AF17,[1]FREQUENCIAS!$1:$1048576,(IF(($A17=[1]FREQUENCIAS!$J$1),10,"ERRO")),[1]FREQUENCIAS!$1:$1048576))</f>
        <v>0</v>
      </c>
      <c r="AI17" s="489">
        <f>IF(AG17=0,0,VLOOKUP(AG17,[1]FREQUENCIAS!$1:$1048576,(IF(($A17=[1]FREQUENCIAS!$J$1),10,"ERRO")),[1]FREQUENCIAS!$1:$1048576))</f>
        <v>0</v>
      </c>
      <c r="AJ17" s="490"/>
      <c r="AK17" s="490"/>
      <c r="AL17" s="490"/>
      <c r="AM17" s="124">
        <f t="shared" si="39"/>
        <v>1</v>
      </c>
      <c r="AN17" s="125">
        <f t="shared" si="7"/>
        <v>1</v>
      </c>
      <c r="AO17" s="126">
        <f t="shared" si="8"/>
        <v>0.5</v>
      </c>
      <c r="AP17" s="345" t="s">
        <v>173</v>
      </c>
      <c r="AQ17" s="491">
        <f t="shared" si="9"/>
        <v>0</v>
      </c>
      <c r="AR17" s="345"/>
      <c r="AS17" s="129" t="str">
        <f t="shared" si="10"/>
        <v>MUTAÇÃO</v>
      </c>
      <c r="AT17" s="480" t="str">
        <f t="shared" si="40"/>
        <v>OK</v>
      </c>
      <c r="AW17" s="1">
        <f>(IF(OR((B17="&lt;15"),(B17="&gt;28"),(B17=[1]FREQUENCIAS!$Y$6),(B17=[1]FREQUENCIAS!$Y$7),(B17=[1]FREQUENCIAS!$Y$8),(B17=[1]FREQUENCIAS!$Y$9),(B17=[1]FREQUENCIAS!$Y$10),(B17=[1]FREQUENCIAS!$Y$11),(B17=[1]FREQUENCIAS!$Y$12),(B17=[1]FREQUENCIAS!$Y$13),(B17=[1]FREQUENCIAS!$Y$14),(B17=[1]FREQUENCIAS!$Y$15),(B17=[1]FREQUENCIAS!$Y$16),(B17=[1]FREQUENCIAS!$Y$17),(B17=[1]FREQUENCIAS!$Y$18),(B17=[1]FREQUENCIAS!$Y$19)),1,0))</f>
        <v>1</v>
      </c>
      <c r="AX17" s="1">
        <f>(IF(OR((C17="&lt;15"),(C17="&gt;28"),(C17=[1]FREQUENCIAS!$Y$6),(C17=[1]FREQUENCIAS!$Y$7),(C17=[1]FREQUENCIAS!$Y$8),(C17=[1]FREQUENCIAS!$Y$9),(C17=[1]FREQUENCIAS!$Y$10),(C17=[1]FREQUENCIAS!$Y$11),(C17=[1]FREQUENCIAS!$Y$12),(C17=[1]FREQUENCIAS!$Y$13),(C17=[1]FREQUENCIAS!$Y$14),(C17=[1]FREQUENCIAS!$Y$15),(C17=[1]FREQUENCIAS!$Y$16),(C17=[1]FREQUENCIAS!$Y$17),(C17=[1]FREQUENCIAS!$Y$18),(C17=[1]FREQUENCIAS!$Y$19)),1,0))</f>
        <v>1</v>
      </c>
      <c r="AY17" s="1">
        <f>(IF(OR((D17="&lt;15"),(D17="&gt;28"),(D17=[1]FREQUENCIAS!$Y$6),(D17=[1]FREQUENCIAS!$Y$7),(D17=[1]FREQUENCIAS!$Y$8),(D17=[1]FREQUENCIAS!$Y$9),(D17=[1]FREQUENCIAS!$Y$10),(D17=[1]FREQUENCIAS!$Y$11),(D17=[1]FREQUENCIAS!$Y$12),(D17=[1]FREQUENCIAS!$Y$13),(D17=[1]FREQUENCIAS!$Y$14),(D17=[1]FREQUENCIAS!$Y$15),(D17=[1]FREQUENCIAS!$Y$16),(D17=[1]FREQUENCIAS!$Y$17),(D17=[1]FREQUENCIAS!$Y$18),(D17=[1]FREQUENCIAS!$Y$19)),1,0))</f>
        <v>1</v>
      </c>
      <c r="AZ17" s="1">
        <f>(IF(OR((E17="&lt;15"),(E17="&gt;28"),(E17=[1]FREQUENCIAS!$Y$6),(E17=[1]FREQUENCIAS!$Y$7),(E17=[1]FREQUENCIAS!$Y$8),(E17=[1]FREQUENCIAS!$Y$9),(E17=[1]FREQUENCIAS!$Y$10),(E17=[1]FREQUENCIAS!$Y$11),(E17=[1]FREQUENCIAS!$Y$12),(E17=[1]FREQUENCIAS!$Y$13),(E17=[1]FREQUENCIAS!$Y$14),(E17=[1]FREQUENCIAS!$Y$15),(E17=[1]FREQUENCIAS!$Y$16),(E17=[1]FREQUENCIAS!$Y$17),(E17=[1]FREQUENCIAS!$Y$18),(E17=[1]FREQUENCIAS!$Y$19)),1,0))</f>
        <v>1</v>
      </c>
      <c r="BA17" s="1">
        <f>(IF(OR((F17="&lt;15"),(F17="&gt;28"),(F17=[1]FREQUENCIAS!$Y$6),(F17=[1]FREQUENCIAS!$Y$7),(F17=[1]FREQUENCIAS!$Y$8),(F17=[1]FREQUENCIAS!$Y$9),(F17=[1]FREQUENCIAS!$Y$10),(F17=[1]FREQUENCIAS!$Y$11),(F17=[1]FREQUENCIAS!$Y$12),(F17=[1]FREQUENCIAS!$Y$13),(F17=[1]FREQUENCIAS!$Y$14),(F17=[1]FREQUENCIAS!$Y$15),(F17=[1]FREQUENCIAS!$Y$16),(F17=[1]FREQUENCIAS!$Y$17),(F17=[1]FREQUENCIAS!$Y$18),(F17=[1]FREQUENCIAS!$Y$19)),1,0))</f>
        <v>1</v>
      </c>
      <c r="BB17" s="1">
        <f>(IF(OR((G17="&lt;15"),(G17="&gt;28"),(G17=[1]FREQUENCIAS!$Y$6),(G17=[1]FREQUENCIAS!$Y$7),(G17=[1]FREQUENCIAS!$Y$8),(G17=[1]FREQUENCIAS!$Y$9),(G17=[1]FREQUENCIAS!$Y$10),(G17=[1]FREQUENCIAS!$Y$11),(G17=[1]FREQUENCIAS!$Y$12),(G17=[1]FREQUENCIAS!$Y$13),(G17=[1]FREQUENCIAS!$Y$14),(G17=[1]FREQUENCIAS!$Y$15),(G17=[1]FREQUENCIAS!$Y$16),(G17=[1]FREQUENCIAS!$Y$17),(G17=[1]FREQUENCIAS!$Y$18),(G17=[1]FREQUENCIAS!$Y$19)),1,0))</f>
        <v>1</v>
      </c>
      <c r="BD17" s="492">
        <f t="shared" si="41"/>
        <v>0</v>
      </c>
      <c r="BE17" s="39">
        <f t="shared" si="42"/>
        <v>1.6787912702853943E-3</v>
      </c>
      <c r="BF17" s="14"/>
      <c r="BG17" s="41">
        <f>IF($A17=[1]FREQUENCIAS!$J$1,[1]FREQUENCIAS!$J$2,"ERRO NO PE")</f>
        <v>0.71479999999999999</v>
      </c>
      <c r="BH17" s="498">
        <f>IF($A17=[1]FREQUENCIAS!$J$1,[1]FREQUENCIAS!$J$3,"ERRO NA MUT")</f>
        <v>1.1999999999999999E-3</v>
      </c>
      <c r="BI17" s="41">
        <f t="shared" si="11"/>
        <v>1</v>
      </c>
      <c r="BJ17" s="2">
        <f t="shared" si="43"/>
        <v>0</v>
      </c>
      <c r="BL17" s="53">
        <v>15</v>
      </c>
      <c r="BM17" s="53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O17" s="493" t="str">
        <f t="shared" si="12"/>
        <v/>
      </c>
      <c r="BP17" s="493">
        <f t="shared" si="13"/>
        <v>0</v>
      </c>
      <c r="BQ17" s="493">
        <f t="shared" si="14"/>
        <v>0</v>
      </c>
      <c r="BR17" s="494" t="str">
        <f t="shared" si="15"/>
        <v/>
      </c>
      <c r="BS17" s="494">
        <f t="shared" si="16"/>
        <v>0</v>
      </c>
      <c r="BT17" s="494">
        <f t="shared" si="17"/>
        <v>0</v>
      </c>
      <c r="BU17" s="486" t="str">
        <f t="shared" si="44"/>
        <v/>
      </c>
      <c r="BV17" s="486">
        <f t="shared" si="18"/>
        <v>0</v>
      </c>
      <c r="BW17" s="486">
        <f t="shared" si="19"/>
        <v>0</v>
      </c>
      <c r="BZ17" s="495">
        <v>23</v>
      </c>
      <c r="CA17" s="496">
        <v>24</v>
      </c>
      <c r="CJ17" s="1">
        <f t="shared" si="20"/>
        <v>1</v>
      </c>
      <c r="CK17" s="1">
        <f t="shared" si="21"/>
        <v>1</v>
      </c>
      <c r="CL17" s="1">
        <f t="shared" si="22"/>
        <v>1</v>
      </c>
      <c r="CM17" s="1">
        <f t="shared" si="23"/>
        <v>1</v>
      </c>
      <c r="CN17" s="1">
        <f t="shared" si="24"/>
        <v>1</v>
      </c>
      <c r="CO17" s="1">
        <f t="shared" si="25"/>
        <v>1</v>
      </c>
      <c r="CP17" s="1">
        <f t="shared" si="26"/>
        <v>1</v>
      </c>
      <c r="CQ17" s="1">
        <f t="shared" si="27"/>
        <v>1</v>
      </c>
      <c r="CR17" s="1">
        <f t="shared" si="28"/>
        <v>8</v>
      </c>
    </row>
    <row r="18" spans="1:96" ht="14.25" customHeight="1" thickTop="1" thickBot="1" x14ac:dyDescent="0.25">
      <c r="A18" s="232" t="str">
        <f>'IMPORTAÇÃO GENOTIPER'!A14</f>
        <v>CSF1PO</v>
      </c>
      <c r="B18" s="307">
        <f>'IMPORTAÇÃO GENOTIPER'!S14</f>
        <v>0</v>
      </c>
      <c r="C18" s="307">
        <f>'IMPORTAÇÃO GENOTIPER'!AA14</f>
        <v>0</v>
      </c>
      <c r="D18" s="307">
        <f>'IMPORTAÇÃO GENOTIPER'!AI14</f>
        <v>0</v>
      </c>
      <c r="E18" s="307">
        <f>'IMPORTAÇÃO GENOTIPER'!AQ14</f>
        <v>0</v>
      </c>
      <c r="F18" s="480">
        <f>'IMPORTAÇÃO GENOTIPER'!BO14</f>
        <v>0</v>
      </c>
      <c r="G18" s="480">
        <f>'IMPORTAÇÃO GENOTIPER'!BW14</f>
        <v>0</v>
      </c>
      <c r="H18" s="480">
        <f>'IMPORTAÇÃO GENOTIPER'!CE14</f>
        <v>0</v>
      </c>
      <c r="I18" s="480">
        <f>'IMPORTAÇÃO GENOTIPER'!CM14</f>
        <v>0</v>
      </c>
      <c r="J18" s="481">
        <f t="shared" si="29"/>
        <v>0</v>
      </c>
      <c r="K18" s="481">
        <f t="shared" si="29"/>
        <v>0</v>
      </c>
      <c r="L18" s="481">
        <f t="shared" si="29"/>
        <v>0</v>
      </c>
      <c r="M18" s="481">
        <f t="shared" si="30"/>
        <v>0</v>
      </c>
      <c r="N18" s="481">
        <f t="shared" si="31"/>
        <v>0</v>
      </c>
      <c r="O18" s="481">
        <f t="shared" si="31"/>
        <v>0</v>
      </c>
      <c r="P18" s="481">
        <f t="shared" si="31"/>
        <v>0</v>
      </c>
      <c r="Q18" s="481">
        <f t="shared" si="31"/>
        <v>0</v>
      </c>
      <c r="R18" s="482">
        <f t="shared" si="0"/>
        <v>0</v>
      </c>
      <c r="S18" s="482">
        <f t="shared" si="1"/>
        <v>0</v>
      </c>
      <c r="T18" s="482">
        <f t="shared" si="0"/>
        <v>0</v>
      </c>
      <c r="U18" s="482">
        <f t="shared" si="2"/>
        <v>0</v>
      </c>
      <c r="V18" s="482">
        <f t="shared" si="3"/>
        <v>0</v>
      </c>
      <c r="W18" s="482">
        <f t="shared" si="4"/>
        <v>0</v>
      </c>
      <c r="X18" s="482">
        <f t="shared" si="32"/>
        <v>0</v>
      </c>
      <c r="Y18" s="482">
        <f t="shared" si="33"/>
        <v>0</v>
      </c>
      <c r="Z18" s="483">
        <f t="shared" si="5"/>
        <v>0</v>
      </c>
      <c r="AA18" s="483">
        <f t="shared" si="6"/>
        <v>0</v>
      </c>
      <c r="AB18" s="484">
        <f>(IF((OR((T18="&gt;17,2"),(U18="&gt;17,2"))),2,(IF(((Z18+AA18)=(T18+U18)),0,1))))</f>
        <v>0</v>
      </c>
      <c r="AC18" s="485">
        <f t="shared" si="34"/>
        <v>0</v>
      </c>
      <c r="AD18" s="486">
        <f t="shared" si="35"/>
        <v>0</v>
      </c>
      <c r="AE18" s="486">
        <f t="shared" si="36"/>
        <v>0</v>
      </c>
      <c r="AF18" s="487">
        <f t="shared" si="37"/>
        <v>0</v>
      </c>
      <c r="AG18" s="488">
        <f t="shared" si="38"/>
        <v>0</v>
      </c>
      <c r="AH18" s="489">
        <f>IF(AF18=0,0,VLOOKUP(AF18,[1]FREQUENCIAS!$1:$1048576,(IF(($A18=[1]FREQUENCIAS!$K$1),11,"ERRO")),[1]FREQUENCIAS!$1:$1048576))</f>
        <v>0</v>
      </c>
      <c r="AI18" s="489">
        <f>IF(AG18=0,0,VLOOKUP(AG18,[1]FREQUENCIAS!$1:$1048576,(IF(($A18=[1]FREQUENCIAS!$K$1),11,"ERRO")),[1]FREQUENCIAS!$1:$1048576))</f>
        <v>0</v>
      </c>
      <c r="AJ18" s="490"/>
      <c r="AK18" s="490"/>
      <c r="AL18" s="490"/>
      <c r="AM18" s="124">
        <f t="shared" si="39"/>
        <v>1</v>
      </c>
      <c r="AN18" s="125">
        <f t="shared" si="7"/>
        <v>1</v>
      </c>
      <c r="AO18" s="126">
        <f t="shared" si="8"/>
        <v>0.5</v>
      </c>
      <c r="AP18" s="345"/>
      <c r="AQ18" s="491">
        <f t="shared" si="9"/>
        <v>0</v>
      </c>
      <c r="AR18" s="345"/>
      <c r="AS18" s="129" t="str">
        <f t="shared" si="10"/>
        <v>MUTAÇÃO</v>
      </c>
      <c r="AT18" s="480" t="str">
        <f t="shared" si="40"/>
        <v>OK</v>
      </c>
      <c r="AW18" s="345">
        <f>(IF(OR((B18="&lt;9"),(B18="&gt;17,2"),(B18=9.2),(B18=[1]FREQUENCIAS!$V$4),(B18=[1]FREQUENCIAS!$V$5),(B18=[1]FREQUENCIAS!$V$6),(B18=[1]FREQUENCIAS!$V$7),(B18=[1]FREQUENCIAS!$V$8),(B18=[1]FREQUENCIAS!$V$9),(B18=[1]FREQUENCIAS!$V$10),(B18=[1]FREQUENCIAS!$V$11),(B18=[1]FREQUENCIAS!$V$12),(B18=[1]FREQUENCIAS!$V$13),(B18=[1]FREQUENCIAS!$V$14),(B18=[1]FREQUENCIAS!$V$15),(B18=[1]FREQUENCIAS!$V$16),(B18=[1]FREQUENCIAS!$V$17),(B18=[1]FREQUENCIAS!$V$18),(B18=[1]FREQUENCIAS!$V$19),(B18=[1]FREQUENCIAS!$V$20),(B18=[1]FREQUENCIAS!$V$21)),1,0))</f>
        <v>1</v>
      </c>
      <c r="AX18" s="345">
        <f>(IF(OR((C18="&lt;9"),(C18="&gt;17,2"),(C18=9.2),(C18=[1]FREQUENCIAS!$V$4),(C18=[1]FREQUENCIAS!$V$5),(C18=[1]FREQUENCIAS!$V$6),(C18=[1]FREQUENCIAS!$V$7),(C18=[1]FREQUENCIAS!$V$8),(C18=[1]FREQUENCIAS!$V$9),(C18=[1]FREQUENCIAS!$V$10),(C18=[1]FREQUENCIAS!$V$11),(C18=[1]FREQUENCIAS!$V$12),(C18=[1]FREQUENCIAS!$V$13),(C18=[1]FREQUENCIAS!$V$14),(C18=[1]FREQUENCIAS!$V$15),(C18=[1]FREQUENCIAS!$V$16),(C18=[1]FREQUENCIAS!$V$17),(C18=[1]FREQUENCIAS!$V$18),(C18=[1]FREQUENCIAS!$V$19),(C18=[1]FREQUENCIAS!$V$20),(C18=[1]FREQUENCIAS!$V$21)),1,0))</f>
        <v>1</v>
      </c>
      <c r="AY18" s="345">
        <f>(IF(OR((D18="&lt;9"),(D18="&gt;17,2"),(D18=9.2),(D18=[1]FREQUENCIAS!$V$4),(D18=[1]FREQUENCIAS!$V$5),(D18=[1]FREQUENCIAS!$V$6),(D18=[1]FREQUENCIAS!$V$7),(D18=[1]FREQUENCIAS!$V$8),(D18=[1]FREQUENCIAS!$V$9),(D18=[1]FREQUENCIAS!$V$10),(D18=[1]FREQUENCIAS!$V$11),(D18=[1]FREQUENCIAS!$V$12),(D18=[1]FREQUENCIAS!$V$13),(D18=[1]FREQUENCIAS!$V$14),(D18=[1]FREQUENCIAS!$V$15),(D18=[1]FREQUENCIAS!$V$16),(D18=[1]FREQUENCIAS!$V$17),(D18=[1]FREQUENCIAS!$V$18),(D18=[1]FREQUENCIAS!$V$19),(D18=[1]FREQUENCIAS!$V$20),(D18=[1]FREQUENCIAS!$V$21)),1,0))</f>
        <v>1</v>
      </c>
      <c r="AZ18" s="345">
        <f>(IF(OR((E18="&lt;9"),(E18="&gt;17,2"),(E18=9.2),(E18=[1]FREQUENCIAS!$V$4),(E18=[1]FREQUENCIAS!$V$5),(E18=[1]FREQUENCIAS!$V$6),(E18=[1]FREQUENCIAS!$V$7),(E18=[1]FREQUENCIAS!$V$8),(E18=[1]FREQUENCIAS!$V$9),(E18=[1]FREQUENCIAS!$V$10),(E18=[1]FREQUENCIAS!$V$11),(E18=[1]FREQUENCIAS!$V$12),(E18=[1]FREQUENCIAS!$V$13),(E18=[1]FREQUENCIAS!$V$14),(E18=[1]FREQUENCIAS!$V$15),(E18=[1]FREQUENCIAS!$V$16),(E18=[1]FREQUENCIAS!$V$17),(E18=[1]FREQUENCIAS!$V$18),(E18=[1]FREQUENCIAS!$V$19),(E18=[1]FREQUENCIAS!$V$20),(E18=[1]FREQUENCIAS!$V$21)),1,0))</f>
        <v>1</v>
      </c>
      <c r="BA18" s="345">
        <f>(IF(OR((F18="&lt;9"),(F18="&gt;17,2"),(F18=9.2),(F18=[1]FREQUENCIAS!$V$4),(F18=[1]FREQUENCIAS!$V$5),(F18=[1]FREQUENCIAS!$V$6),(F18=[1]FREQUENCIAS!$V$7),(F18=[1]FREQUENCIAS!$V$8),(F18=[1]FREQUENCIAS!$V$9),(F18=[1]FREQUENCIAS!$V$10),(F18=[1]FREQUENCIAS!$V$11),(F18=[1]FREQUENCIAS!$V$12),(F18=[1]FREQUENCIAS!$V$13),(F18=[1]FREQUENCIAS!$V$14),(F18=[1]FREQUENCIAS!$V$15),(F18=[1]FREQUENCIAS!$V$16),(F18=[1]FREQUENCIAS!$V$17),(F18=[1]FREQUENCIAS!$V$18),(F18=[1]FREQUENCIAS!$V$19),(F18=[1]FREQUENCIAS!$V$20),(F18=[1]FREQUENCIAS!$V$21)),1,0))</f>
        <v>1</v>
      </c>
      <c r="BB18" s="345">
        <f>(IF(OR((G18="&lt;9"),(G18="&gt;17,2"),(G18=9.2),(G18=[1]FREQUENCIAS!$V$4),(G18=[1]FREQUENCIAS!$V$5),(G18=[1]FREQUENCIAS!$V$6),(G18=[1]FREQUENCIAS!$V$7),(G18=[1]FREQUENCIAS!$V$8),(G18=[1]FREQUENCIAS!$V$9),(G18=[1]FREQUENCIAS!$V$10),(G18=[1]FREQUENCIAS!$V$11),(G18=[1]FREQUENCIAS!$V$12),(G18=[1]FREQUENCIAS!$V$13),(G18=[1]FREQUENCIAS!$V$14),(G18=[1]FREQUENCIAS!$V$15),(G18=[1]FREQUENCIAS!$V$16),(G18=[1]FREQUENCIAS!$V$17),(G18=[1]FREQUENCIAS!$V$18),(G18=[1]FREQUENCIAS!$V$19),(G18=[1]FREQUENCIAS!$V$20),(G18=[1]FREQUENCIAS!$V$21)),1,0))</f>
        <v>1</v>
      </c>
      <c r="BD18" s="492">
        <f t="shared" si="41"/>
        <v>0</v>
      </c>
      <c r="BE18" s="39">
        <f t="shared" si="42"/>
        <v>3.4408602150537634E-3</v>
      </c>
      <c r="BF18" s="14"/>
      <c r="BG18" s="41">
        <f>IF($A18=[1]FREQUENCIAS!$K$1,[1]FREQUENCIAS!$K$2,"ERRO NO PE")</f>
        <v>0.46500000000000002</v>
      </c>
      <c r="BH18" s="498">
        <f>IF($A18=[1]FREQUENCIAS!$K$1,[1]FREQUENCIAS!$K$3,"ERRO NA MUT")</f>
        <v>1.6000000000000001E-3</v>
      </c>
      <c r="BI18" s="41">
        <f t="shared" si="11"/>
        <v>1</v>
      </c>
      <c r="BJ18" s="2">
        <f t="shared" si="43"/>
        <v>0</v>
      </c>
      <c r="BL18" s="53">
        <v>9</v>
      </c>
      <c r="BM18" s="53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O18" s="493" t="str">
        <f t="shared" si="12"/>
        <v/>
      </c>
      <c r="BP18" s="493">
        <f t="shared" si="13"/>
        <v>0</v>
      </c>
      <c r="BQ18" s="493">
        <f t="shared" si="14"/>
        <v>0</v>
      </c>
      <c r="BR18" s="494" t="str">
        <f t="shared" si="15"/>
        <v/>
      </c>
      <c r="BS18" s="494">
        <f t="shared" si="16"/>
        <v>0</v>
      </c>
      <c r="BT18" s="494">
        <f t="shared" si="17"/>
        <v>0</v>
      </c>
      <c r="BU18" s="486" t="str">
        <f t="shared" si="44"/>
        <v/>
      </c>
      <c r="BV18" s="486">
        <f t="shared" si="18"/>
        <v>0</v>
      </c>
      <c r="BW18" s="486">
        <f t="shared" si="19"/>
        <v>0</v>
      </c>
      <c r="BZ18" s="495">
        <v>15</v>
      </c>
      <c r="CA18" s="496">
        <v>15</v>
      </c>
      <c r="CJ18" s="1">
        <f t="shared" si="20"/>
        <v>1</v>
      </c>
      <c r="CK18" s="1">
        <f t="shared" si="21"/>
        <v>1</v>
      </c>
      <c r="CL18" s="1">
        <f t="shared" si="22"/>
        <v>1</v>
      </c>
      <c r="CM18" s="1">
        <f t="shared" si="23"/>
        <v>1</v>
      </c>
      <c r="CN18" s="1">
        <f t="shared" si="24"/>
        <v>1</v>
      </c>
      <c r="CO18" s="1">
        <f t="shared" si="25"/>
        <v>1</v>
      </c>
      <c r="CP18" s="1">
        <f t="shared" si="26"/>
        <v>1</v>
      </c>
      <c r="CQ18" s="1">
        <f t="shared" si="27"/>
        <v>1</v>
      </c>
      <c r="CR18" s="1">
        <f t="shared" si="28"/>
        <v>8</v>
      </c>
    </row>
    <row r="19" spans="1:96" ht="14.25" customHeight="1" thickTop="1" thickBot="1" x14ac:dyDescent="0.25">
      <c r="A19" s="232" t="str">
        <f>'IMPORTAÇÃO GENOTIPER'!A15</f>
        <v>Penta_D</v>
      </c>
      <c r="B19" s="307">
        <f>'IMPORTAÇÃO GENOTIPER'!S15</f>
        <v>0</v>
      </c>
      <c r="C19" s="307">
        <f>'IMPORTAÇÃO GENOTIPER'!AA15</f>
        <v>0</v>
      </c>
      <c r="D19" s="307">
        <f>'IMPORTAÇÃO GENOTIPER'!AI15</f>
        <v>0</v>
      </c>
      <c r="E19" s="307">
        <f>'IMPORTAÇÃO GENOTIPER'!AQ15</f>
        <v>0</v>
      </c>
      <c r="F19" s="480">
        <f>'IMPORTAÇÃO GENOTIPER'!BO15</f>
        <v>0</v>
      </c>
      <c r="G19" s="480">
        <f>'IMPORTAÇÃO GENOTIPER'!BW15</f>
        <v>0</v>
      </c>
      <c r="H19" s="480">
        <f>'IMPORTAÇÃO GENOTIPER'!CE15</f>
        <v>0</v>
      </c>
      <c r="I19" s="480">
        <f>'IMPORTAÇÃO GENOTIPER'!CM15</f>
        <v>0</v>
      </c>
      <c r="J19" s="481">
        <f t="shared" si="29"/>
        <v>0</v>
      </c>
      <c r="K19" s="481">
        <f t="shared" si="29"/>
        <v>0</v>
      </c>
      <c r="L19" s="481">
        <f t="shared" si="29"/>
        <v>0</v>
      </c>
      <c r="M19" s="481">
        <f t="shared" si="30"/>
        <v>0</v>
      </c>
      <c r="N19" s="481">
        <f t="shared" si="31"/>
        <v>0</v>
      </c>
      <c r="O19" s="481">
        <f t="shared" si="31"/>
        <v>0</v>
      </c>
      <c r="P19" s="481">
        <f t="shared" si="31"/>
        <v>0</v>
      </c>
      <c r="Q19" s="481">
        <f t="shared" si="31"/>
        <v>0</v>
      </c>
      <c r="R19" s="482">
        <f t="shared" si="0"/>
        <v>0</v>
      </c>
      <c r="S19" s="482">
        <f t="shared" si="1"/>
        <v>0</v>
      </c>
      <c r="T19" s="482">
        <f t="shared" si="0"/>
        <v>0</v>
      </c>
      <c r="U19" s="482">
        <f t="shared" si="2"/>
        <v>0</v>
      </c>
      <c r="V19" s="482">
        <f t="shared" si="3"/>
        <v>0</v>
      </c>
      <c r="W19" s="482">
        <f t="shared" si="4"/>
        <v>0</v>
      </c>
      <c r="X19" s="482">
        <f t="shared" si="32"/>
        <v>0</v>
      </c>
      <c r="Y19" s="482">
        <f t="shared" si="33"/>
        <v>0</v>
      </c>
      <c r="Z19" s="483">
        <f t="shared" si="5"/>
        <v>0</v>
      </c>
      <c r="AA19" s="483">
        <f t="shared" si="6"/>
        <v>0</v>
      </c>
      <c r="AB19" s="484">
        <f>(IF((OR((T19="&gt;21"),(U19="&gt;21"))),2,(IF(((Z19+AA19)=(T19+U19)),0,1))))</f>
        <v>0</v>
      </c>
      <c r="AC19" s="485">
        <f t="shared" si="34"/>
        <v>0</v>
      </c>
      <c r="AD19" s="486">
        <f t="shared" si="35"/>
        <v>0</v>
      </c>
      <c r="AE19" s="486">
        <f t="shared" si="36"/>
        <v>0</v>
      </c>
      <c r="AF19" s="487">
        <f t="shared" si="37"/>
        <v>0</v>
      </c>
      <c r="AG19" s="488">
        <f t="shared" si="38"/>
        <v>0</v>
      </c>
      <c r="AH19" s="489">
        <f>IF(AF19=0,0,VLOOKUP(AF19,[1]FREQUENCIAS!$1:$1048576,(IF(($A19=[1]FREQUENCIAS!$L$1),12,"ERRO")),[1]FREQUENCIAS!$1:$1048576))</f>
        <v>0</v>
      </c>
      <c r="AI19" s="489">
        <f>IF(AG19=0,0,VLOOKUP(AG19,[1]FREQUENCIAS!$1:$1048576,(IF(($A19=[1]FREQUENCIAS!$L$1),12,"ERRO")),[1]FREQUENCIAS!$1:$1048576))</f>
        <v>0</v>
      </c>
      <c r="AJ19" s="490"/>
      <c r="AK19" s="490"/>
      <c r="AL19" s="490"/>
      <c r="AM19" s="124">
        <f t="shared" si="39"/>
        <v>1</v>
      </c>
      <c r="AN19" s="125">
        <f t="shared" si="7"/>
        <v>1</v>
      </c>
      <c r="AO19" s="126">
        <f t="shared" si="8"/>
        <v>0.5</v>
      </c>
      <c r="AP19" s="345" t="s">
        <v>164</v>
      </c>
      <c r="AQ19" s="491">
        <f t="shared" si="9"/>
        <v>0</v>
      </c>
      <c r="AR19" s="345"/>
      <c r="AS19" s="129" t="str">
        <f t="shared" si="10"/>
        <v>MUTAÇÃO</v>
      </c>
      <c r="AT19" s="480" t="str">
        <f t="shared" si="40"/>
        <v>OK</v>
      </c>
      <c r="AW19" s="1">
        <f>(IF(OR((B19="&lt;11"),(B19="&gt;24"),(B19=22),(B19=23),(B19=24),(B19=[1]FREQUENCIAS!$D$4),(B19=[1]FREQUENCIAS!$D$5),(B19=[1]FREQUENCIAS!$D$6),(B19=[1]FREQUENCIAS!$D$7),(B19=[1]FREQUENCIAS!$D$8),(B19=[1]FREQUENCIAS!$D$9),(B19=[1]FREQUENCIAS!$D$10),(B19=[1]FREQUENCIAS!$D$11),(B19=[1]FREQUENCIAS!$D$12),(B19=[1]FREQUENCIAS!$D$13),(B19=[1]FREQUENCIAS!$D$14)),1,0))</f>
        <v>1</v>
      </c>
      <c r="AX19" s="1">
        <f>(IF(OR((C19="&lt;11"),(C19="&gt;24"),(C19=22),(C19=23),(C19=24),(C19=[1]FREQUENCIAS!$D$4),(C19=[1]FREQUENCIAS!$D$5),(C19=[1]FREQUENCIAS!$D$6),(C19=[1]FREQUENCIAS!$D$7),(C19=[1]FREQUENCIAS!$D$8),(C19=[1]FREQUENCIAS!$D$9),(C19=[1]FREQUENCIAS!$D$10),(C19=[1]FREQUENCIAS!$D$11),(C19=[1]FREQUENCIAS!$D$12),(C19=[1]FREQUENCIAS!$D$13),(C19=[1]FREQUENCIAS!$D$14)),1,0))</f>
        <v>1</v>
      </c>
      <c r="AY19" s="1">
        <f>(IF(OR((D19="&lt;11"),(D19="&gt;24"),(D19=22),(D19=23),(D19=24),(D19=[1]FREQUENCIAS!$D$4),(D19=[1]FREQUENCIAS!$D$5),(D19=[1]FREQUENCIAS!$D$6),(D19=[1]FREQUENCIAS!$D$7),(D19=[1]FREQUENCIAS!$D$8),(D19=[1]FREQUENCIAS!$D$9),(D19=[1]FREQUENCIAS!$D$10),(D19=[1]FREQUENCIAS!$D$11),(D19=[1]FREQUENCIAS!$D$12),(D19=[1]FREQUENCIAS!$D$13),(D19=[1]FREQUENCIAS!$D$14)),1,0))</f>
        <v>1</v>
      </c>
      <c r="AZ19" s="1">
        <f>(IF(OR((E19="&lt;11"),(E19="&gt;24"),(E19=22),(E19=23),(E19=24),(E19=[1]FREQUENCIAS!$D$4),(E19=[1]FREQUENCIAS!$D$5),(E19=[1]FREQUENCIAS!$D$6),(E19=[1]FREQUENCIAS!$D$7),(E19=[1]FREQUENCIAS!$D$8),(E19=[1]FREQUENCIAS!$D$9),(E19=[1]FREQUENCIAS!$D$10),(E19=[1]FREQUENCIAS!$D$11),(E19=[1]FREQUENCIAS!$D$12),(E19=[1]FREQUENCIAS!$D$13),(E19=[1]FREQUENCIAS!$D$14)),1,0))</f>
        <v>1</v>
      </c>
      <c r="BA19" s="1">
        <f>(IF(OR((F19="&lt;11"),(F19="&gt;24"),(F19=22),(F19=23),(F19=24),(F19=[1]FREQUENCIAS!$D$4),(F19=[1]FREQUENCIAS!$D$5),(F19=[1]FREQUENCIAS!$D$6),(F19=[1]FREQUENCIAS!$D$7),(F19=[1]FREQUENCIAS!$D$8),(F19=[1]FREQUENCIAS!$D$9),(F19=[1]FREQUENCIAS!$D$10),(F19=[1]FREQUENCIAS!$D$11),(F19=[1]FREQUENCIAS!$D$12),(F19=[1]FREQUENCIAS!$D$13),(F19=[1]FREQUENCIAS!$D$14)),1,0))</f>
        <v>1</v>
      </c>
      <c r="BB19" s="1">
        <f>(IF(OR((G19="&lt;11"),(G19="&gt;24"),(G19=22),(G19=23),(G19=24),(G19=[1]FREQUENCIAS!$D$4),(G19=[1]FREQUENCIAS!$D$5),(G19=[1]FREQUENCIAS!$D$6),(G19=[1]FREQUENCIAS!$D$7),(G19=[1]FREQUENCIAS!$D$8),(G19=[1]FREQUENCIAS!$D$9),(G19=[1]FREQUENCIAS!$D$10),(G19=[1]FREQUENCIAS!$D$11),(G19=[1]FREQUENCIAS!$D$12),(G19=[1]FREQUENCIAS!$D$13),(G19=[1]FREQUENCIAS!$D$14)),1,0))</f>
        <v>1</v>
      </c>
      <c r="BD19" s="492">
        <f t="shared" si="41"/>
        <v>0</v>
      </c>
      <c r="BE19" s="39">
        <f t="shared" si="42"/>
        <v>1.9943019943019944E-3</v>
      </c>
      <c r="BF19" s="14"/>
      <c r="BG19" s="41">
        <f>IF($A19=[1]FREQUENCIAS!$L$1,[1]FREQUENCIAS!$L$2,"ERRO NO PE")</f>
        <v>0.70199999999999996</v>
      </c>
      <c r="BH19" s="498">
        <f>IF($A19=[1]FREQUENCIAS!$L$1,[1]FREQUENCIAS!$L$3,"ERRO NA MUT")</f>
        <v>1.4E-3</v>
      </c>
      <c r="BI19" s="41">
        <f t="shared" si="11"/>
        <v>1</v>
      </c>
      <c r="BJ19" s="2">
        <f t="shared" si="43"/>
        <v>0</v>
      </c>
      <c r="BL19" s="53">
        <v>11</v>
      </c>
      <c r="BM19" s="53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93" t="str">
        <f t="shared" si="12"/>
        <v/>
      </c>
      <c r="BP19" s="493">
        <f t="shared" si="13"/>
        <v>0</v>
      </c>
      <c r="BQ19" s="493">
        <f t="shared" si="14"/>
        <v>0</v>
      </c>
      <c r="BR19" s="494" t="str">
        <f t="shared" si="15"/>
        <v/>
      </c>
      <c r="BS19" s="494">
        <f t="shared" si="16"/>
        <v>0</v>
      </c>
      <c r="BT19" s="494">
        <f t="shared" si="17"/>
        <v>0</v>
      </c>
      <c r="BU19" s="486" t="str">
        <f t="shared" si="44"/>
        <v/>
      </c>
      <c r="BV19" s="486">
        <f t="shared" si="18"/>
        <v>0</v>
      </c>
      <c r="BW19" s="486">
        <f t="shared" si="19"/>
        <v>0</v>
      </c>
      <c r="BZ19" s="495">
        <v>15</v>
      </c>
      <c r="CA19" s="496">
        <v>17</v>
      </c>
      <c r="CJ19" s="1">
        <f t="shared" si="20"/>
        <v>1</v>
      </c>
      <c r="CK19" s="1">
        <f t="shared" si="21"/>
        <v>1</v>
      </c>
      <c r="CL19" s="1">
        <f t="shared" si="22"/>
        <v>1</v>
      </c>
      <c r="CM19" s="1">
        <f t="shared" si="23"/>
        <v>1</v>
      </c>
      <c r="CN19" s="1">
        <f t="shared" si="24"/>
        <v>1</v>
      </c>
      <c r="CO19" s="1">
        <f t="shared" si="25"/>
        <v>1</v>
      </c>
      <c r="CP19" s="1">
        <f t="shared" si="26"/>
        <v>1</v>
      </c>
      <c r="CQ19" s="1">
        <f t="shared" si="27"/>
        <v>1</v>
      </c>
      <c r="CR19" s="1">
        <f t="shared" si="28"/>
        <v>8</v>
      </c>
    </row>
    <row r="20" spans="1:96" ht="14.25" customHeight="1" thickTop="1" thickBot="1" x14ac:dyDescent="0.25">
      <c r="A20" s="232" t="str">
        <f>'IMPORTAÇÃO GENOTIPER'!A16</f>
        <v>TH01</v>
      </c>
      <c r="B20" s="307">
        <f>'IMPORTAÇÃO GENOTIPER'!S16</f>
        <v>0</v>
      </c>
      <c r="C20" s="307">
        <f>'IMPORTAÇÃO GENOTIPER'!AA16</f>
        <v>0</v>
      </c>
      <c r="D20" s="307">
        <f>'IMPORTAÇÃO GENOTIPER'!AI16</f>
        <v>0</v>
      </c>
      <c r="E20" s="307">
        <f>'IMPORTAÇÃO GENOTIPER'!AQ16</f>
        <v>0</v>
      </c>
      <c r="F20" s="480">
        <f>'IMPORTAÇÃO GENOTIPER'!BO16</f>
        <v>0</v>
      </c>
      <c r="G20" s="480">
        <f>'IMPORTAÇÃO GENOTIPER'!BW16</f>
        <v>0</v>
      </c>
      <c r="H20" s="480">
        <f>'IMPORTAÇÃO GENOTIPER'!CE16</f>
        <v>0</v>
      </c>
      <c r="I20" s="480">
        <f>'IMPORTAÇÃO GENOTIPER'!CM16</f>
        <v>0</v>
      </c>
      <c r="J20" s="481">
        <f t="shared" si="29"/>
        <v>0</v>
      </c>
      <c r="K20" s="481">
        <f t="shared" si="29"/>
        <v>0</v>
      </c>
      <c r="L20" s="481">
        <f t="shared" si="29"/>
        <v>0</v>
      </c>
      <c r="M20" s="481">
        <f t="shared" si="30"/>
        <v>0</v>
      </c>
      <c r="N20" s="481">
        <f t="shared" si="31"/>
        <v>0</v>
      </c>
      <c r="O20" s="481">
        <f t="shared" si="31"/>
        <v>0</v>
      </c>
      <c r="P20" s="481">
        <f t="shared" si="31"/>
        <v>0</v>
      </c>
      <c r="Q20" s="481">
        <f t="shared" si="31"/>
        <v>0</v>
      </c>
      <c r="R20" s="482">
        <f t="shared" si="0"/>
        <v>0</v>
      </c>
      <c r="S20" s="482">
        <f t="shared" si="1"/>
        <v>0</v>
      </c>
      <c r="T20" s="482">
        <f t="shared" si="0"/>
        <v>0</v>
      </c>
      <c r="U20" s="482">
        <f t="shared" si="2"/>
        <v>0</v>
      </c>
      <c r="V20" s="482">
        <f t="shared" si="3"/>
        <v>0</v>
      </c>
      <c r="W20" s="482">
        <f t="shared" si="4"/>
        <v>0</v>
      </c>
      <c r="X20" s="482">
        <f t="shared" si="32"/>
        <v>0</v>
      </c>
      <c r="Y20" s="482">
        <f t="shared" si="33"/>
        <v>0</v>
      </c>
      <c r="Z20" s="483">
        <f t="shared" si="5"/>
        <v>0</v>
      </c>
      <c r="AA20" s="483">
        <f t="shared" si="6"/>
        <v>0</v>
      </c>
      <c r="AB20" s="484">
        <f>(IF((OR((T20="&gt;20"),(U20="&gt;20"))),2,(IF(((Z20+AA20)=(T20+U20)),0,1))))</f>
        <v>0</v>
      </c>
      <c r="AC20" s="485">
        <f t="shared" si="34"/>
        <v>0</v>
      </c>
      <c r="AD20" s="486">
        <f t="shared" si="35"/>
        <v>0</v>
      </c>
      <c r="AE20" s="486">
        <f t="shared" si="36"/>
        <v>0</v>
      </c>
      <c r="AF20" s="487">
        <f t="shared" si="37"/>
        <v>0</v>
      </c>
      <c r="AG20" s="488">
        <f t="shared" si="38"/>
        <v>0</v>
      </c>
      <c r="AH20" s="489">
        <f>IF(AF20=0,0,VLOOKUP(AF20,[1]FREQUENCIAS!$1:$1048576,(IF(($A20=[1]FREQUENCIAS!$M$1),13,"ERRO")),[1]FREQUENCIAS!$1:$1048576))</f>
        <v>0</v>
      </c>
      <c r="AI20" s="489">
        <f>IF(AG20=0,0,VLOOKUP(AG20,[1]FREQUENCIAS!$1:$1048576,(IF(($A20=[1]FREQUENCIAS!$M$1),13,"ERRO")),[1]FREQUENCIAS!$1:$1048576))</f>
        <v>0</v>
      </c>
      <c r="AJ20" s="490"/>
      <c r="AK20" s="490"/>
      <c r="AL20" s="490"/>
      <c r="AM20" s="124">
        <f t="shared" si="39"/>
        <v>1</v>
      </c>
      <c r="AN20" s="125">
        <f t="shared" si="7"/>
        <v>1</v>
      </c>
      <c r="AO20" s="126">
        <f t="shared" si="8"/>
        <v>0.5</v>
      </c>
      <c r="AP20" s="345"/>
      <c r="AQ20" s="491">
        <f t="shared" si="9"/>
        <v>0</v>
      </c>
      <c r="AR20" s="345"/>
      <c r="AS20" s="129" t="str">
        <f t="shared" si="10"/>
        <v>MUTAÇÃO</v>
      </c>
      <c r="AT20" s="480" t="str">
        <f t="shared" si="40"/>
        <v>OK</v>
      </c>
      <c r="AW20" s="1">
        <f>(IF(OR((B20="&lt;5"),(B20="&gt;13"),(B20=[1]FREQUENCIAS!$M$26),(B20=[1]FREQUENCIAS!$M$27),(B20=[1]FREQUENCIAS!$M$28),(B20=[1]FREQUENCIAS!$M$29),(B20=[1]FREQUENCIAS!$M$30),(B20=[1]FREQUENCIAS!$M$31),(B20=[1]FREQUENCIAS!$M$32),(B20=[1]FREQUENCIAS!$M$33),(B20=[1]FREQUENCIAS!$M$34)),1,0))</f>
        <v>1</v>
      </c>
      <c r="AX20" s="1">
        <f>(IF(OR((C20="&lt;5"),(C20="&gt;13"),(C20=[1]FREQUENCIAS!$M$26),(C20=[1]FREQUENCIAS!$M$27),(C20=[1]FREQUENCIAS!$M$28),(C20=[1]FREQUENCIAS!$M$29),(C20=[1]FREQUENCIAS!$M$30),(C20=[1]FREQUENCIAS!$M$31),(C20=[1]FREQUENCIAS!$M$32),(C20=[1]FREQUENCIAS!$M$33),(C20=[1]FREQUENCIAS!$M$34)),1,0))</f>
        <v>1</v>
      </c>
      <c r="AY20" s="1">
        <f>(IF(OR((D20="&lt;5"),(D20="&gt;13"),(D20=[1]FREQUENCIAS!$M$26),(D20=[1]FREQUENCIAS!$M$27),(D20=[1]FREQUENCIAS!$M$28),(D20=[1]FREQUENCIAS!$M$29),(D20=[1]FREQUENCIAS!$M$30),(D20=[1]FREQUENCIAS!$M$31),(D20=[1]FREQUENCIAS!$M$32),(D20=[1]FREQUENCIAS!$M$33),(D20=[1]FREQUENCIAS!$M$34)),1,0))</f>
        <v>1</v>
      </c>
      <c r="AZ20" s="1">
        <f>(IF(OR((E20="&lt;5"),(E20="&gt;13"),(E20=[1]FREQUENCIAS!$M$26),(E20=[1]FREQUENCIAS!$M$27),(E20=[1]FREQUENCIAS!$M$28),(E20=[1]FREQUENCIAS!$M$29),(E20=[1]FREQUENCIAS!$M$30),(E20=[1]FREQUENCIAS!$M$31),(E20=[1]FREQUENCIAS!$M$32),(E20=[1]FREQUENCIAS!$M$33),(E20=[1]FREQUENCIAS!$M$34)),1,0))</f>
        <v>1</v>
      </c>
      <c r="BA20" s="1">
        <f>(IF(OR((F20="&lt;5"),(F20="&gt;13"),(F20=[1]FREQUENCIAS!$M$26),(F20=[1]FREQUENCIAS!$M$27),(F20=[1]FREQUENCIAS!$M$28),(F20=[1]FREQUENCIAS!$M$29),(F20=[1]FREQUENCIAS!$M$30),(F20=[1]FREQUENCIAS!$M$31),(F20=[1]FREQUENCIAS!$M$32),(F20=[1]FREQUENCIAS!$M$33),(F20=[1]FREQUENCIAS!$M$34)),1,0))</f>
        <v>1</v>
      </c>
      <c r="BB20" s="1">
        <f>(IF(OR((G20="&lt;5"),(G20="&gt;13"),(G20=[1]FREQUENCIAS!$M$26),(G20=[1]FREQUENCIAS!$M$27),(G20=[1]FREQUENCIAS!$M$28),(G20=[1]FREQUENCIAS!$M$29),(G20=[1]FREQUENCIAS!$M$30),(G20=[1]FREQUENCIAS!$M$31),(G20=[1]FREQUENCIAS!$M$32),(G20=[1]FREQUENCIAS!$M$33),(G20=[1]FREQUENCIAS!$M$34)),1,0))</f>
        <v>1</v>
      </c>
      <c r="BD20" s="492">
        <f>IF(($AM20=0),1,0)</f>
        <v>0</v>
      </c>
      <c r="BE20" s="39">
        <f t="shared" si="42"/>
        <v>1.7152658662092626E-4</v>
      </c>
      <c r="BF20" s="14"/>
      <c r="BG20" s="41">
        <f>IF($A20=[1]FREQUENCIAS!$M$1,[1]FREQUENCIAS!$M$2,"ERRO NO PE")</f>
        <v>0.58299999999999996</v>
      </c>
      <c r="BH20" s="498">
        <f>IF($A20=[1]FREQUENCIAS!$M$1,[1]FREQUENCIAS!$M$3,"ERRO NA MUT")</f>
        <v>1E-4</v>
      </c>
      <c r="BI20" s="41">
        <f t="shared" si="11"/>
        <v>1</v>
      </c>
      <c r="BJ20" s="2">
        <f t="shared" si="43"/>
        <v>0</v>
      </c>
      <c r="BL20" s="53">
        <v>5</v>
      </c>
      <c r="BM20" s="53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O20" s="493" t="str">
        <f t="shared" si="12"/>
        <v/>
      </c>
      <c r="BP20" s="493">
        <f t="shared" si="13"/>
        <v>0</v>
      </c>
      <c r="BQ20" s="493">
        <f t="shared" si="14"/>
        <v>0</v>
      </c>
      <c r="BR20" s="494" t="str">
        <f t="shared" si="15"/>
        <v/>
      </c>
      <c r="BS20" s="494">
        <f t="shared" si="16"/>
        <v>0</v>
      </c>
      <c r="BT20" s="494">
        <f t="shared" si="17"/>
        <v>0</v>
      </c>
      <c r="BU20" s="486" t="str">
        <f t="shared" si="44"/>
        <v/>
      </c>
      <c r="BV20" s="486">
        <f t="shared" si="18"/>
        <v>0</v>
      </c>
      <c r="BW20" s="486">
        <f t="shared" si="19"/>
        <v>0</v>
      </c>
      <c r="BZ20" s="495">
        <v>11</v>
      </c>
      <c r="CA20" s="496">
        <v>11</v>
      </c>
      <c r="CJ20" s="1">
        <f t="shared" si="20"/>
        <v>1</v>
      </c>
      <c r="CK20" s="1">
        <f t="shared" si="21"/>
        <v>1</v>
      </c>
      <c r="CL20" s="1">
        <f t="shared" si="22"/>
        <v>1</v>
      </c>
      <c r="CM20" s="1">
        <f t="shared" si="23"/>
        <v>1</v>
      </c>
      <c r="CN20" s="1">
        <f t="shared" si="24"/>
        <v>1</v>
      </c>
      <c r="CO20" s="1">
        <f t="shared" si="25"/>
        <v>1</v>
      </c>
      <c r="CP20" s="1">
        <f t="shared" si="26"/>
        <v>1</v>
      </c>
      <c r="CQ20" s="1">
        <f t="shared" si="27"/>
        <v>1</v>
      </c>
      <c r="CR20" s="1">
        <f t="shared" si="28"/>
        <v>8</v>
      </c>
    </row>
    <row r="21" spans="1:96" ht="14.25" customHeight="1" thickTop="1" thickBot="1" x14ac:dyDescent="0.25">
      <c r="A21" s="232" t="str">
        <f>'IMPORTAÇÃO GENOTIPER'!A17</f>
        <v>vWA</v>
      </c>
      <c r="B21" s="307">
        <f>'IMPORTAÇÃO GENOTIPER'!S17</f>
        <v>0</v>
      </c>
      <c r="C21" s="307">
        <f>'IMPORTAÇÃO GENOTIPER'!AA17</f>
        <v>0</v>
      </c>
      <c r="D21" s="307">
        <f>'IMPORTAÇÃO GENOTIPER'!AI17</f>
        <v>0</v>
      </c>
      <c r="E21" s="307">
        <f>'IMPORTAÇÃO GENOTIPER'!AQ17</f>
        <v>0</v>
      </c>
      <c r="F21" s="480">
        <f>'IMPORTAÇÃO GENOTIPER'!BO17</f>
        <v>0</v>
      </c>
      <c r="G21" s="480">
        <f>'IMPORTAÇÃO GENOTIPER'!BW17</f>
        <v>0</v>
      </c>
      <c r="H21" s="480">
        <f>'IMPORTAÇÃO GENOTIPER'!CE17</f>
        <v>0</v>
      </c>
      <c r="I21" s="480">
        <f>'IMPORTAÇÃO GENOTIPER'!CM17</f>
        <v>0</v>
      </c>
      <c r="J21" s="481">
        <f t="shared" si="29"/>
        <v>0</v>
      </c>
      <c r="K21" s="481">
        <f t="shared" si="29"/>
        <v>0</v>
      </c>
      <c r="L21" s="481">
        <f t="shared" si="29"/>
        <v>0</v>
      </c>
      <c r="M21" s="481">
        <f t="shared" si="30"/>
        <v>0</v>
      </c>
      <c r="N21" s="481">
        <f t="shared" si="31"/>
        <v>0</v>
      </c>
      <c r="O21" s="481">
        <f t="shared" si="31"/>
        <v>0</v>
      </c>
      <c r="P21" s="481">
        <f t="shared" si="31"/>
        <v>0</v>
      </c>
      <c r="Q21" s="481">
        <f t="shared" si="31"/>
        <v>0</v>
      </c>
      <c r="R21" s="482">
        <f t="shared" si="0"/>
        <v>0</v>
      </c>
      <c r="S21" s="482">
        <f t="shared" si="1"/>
        <v>0</v>
      </c>
      <c r="T21" s="482">
        <f t="shared" si="0"/>
        <v>0</v>
      </c>
      <c r="U21" s="482">
        <f t="shared" si="2"/>
        <v>0</v>
      </c>
      <c r="V21" s="482">
        <f t="shared" si="3"/>
        <v>0</v>
      </c>
      <c r="W21" s="482">
        <f t="shared" si="4"/>
        <v>0</v>
      </c>
      <c r="X21" s="482">
        <f t="shared" si="32"/>
        <v>0</v>
      </c>
      <c r="Y21" s="482">
        <f t="shared" si="33"/>
        <v>0</v>
      </c>
      <c r="Z21" s="483">
        <f t="shared" si="5"/>
        <v>0</v>
      </c>
      <c r="AA21" s="483">
        <f t="shared" si="6"/>
        <v>0</v>
      </c>
      <c r="AB21" s="484">
        <f>(IF((OR((T21="&gt;24"),(U21="&gt;24"))),2,(IF(((Z21+AA21)=(T21+U21)),0,1))))</f>
        <v>0</v>
      </c>
      <c r="AC21" s="485">
        <f t="shared" si="34"/>
        <v>0</v>
      </c>
      <c r="AD21" s="486">
        <f t="shared" si="35"/>
        <v>0</v>
      </c>
      <c r="AE21" s="486">
        <f t="shared" si="36"/>
        <v>0</v>
      </c>
      <c r="AF21" s="487">
        <f t="shared" si="37"/>
        <v>0</v>
      </c>
      <c r="AG21" s="488">
        <f t="shared" si="38"/>
        <v>0</v>
      </c>
      <c r="AH21" s="489">
        <f>IF(AF21=0,0,VLOOKUP(AF21,[1]FREQUENCIAS!$1:$1048576,(IF(($A21=[1]FREQUENCIAS!$N$1),14,"ERRO")),[1]FREQUENCIAS!$1:$1048576))</f>
        <v>0</v>
      </c>
      <c r="AI21" s="489">
        <f>IF(AG21=0,0,VLOOKUP(AG21,[1]FREQUENCIAS!$1:$1048576,(IF(($A21=[1]FREQUENCIAS!$N$1),14,"ERRO")),[1]FREQUENCIAS!$1:$1048576))</f>
        <v>0</v>
      </c>
      <c r="AJ21" s="490"/>
      <c r="AK21" s="490"/>
      <c r="AL21" s="490"/>
      <c r="AM21" s="124">
        <f t="shared" si="39"/>
        <v>1</v>
      </c>
      <c r="AN21" s="125">
        <f t="shared" si="7"/>
        <v>1</v>
      </c>
      <c r="AO21" s="126">
        <f t="shared" si="8"/>
        <v>0.5</v>
      </c>
      <c r="AP21" s="345"/>
      <c r="AQ21" s="491">
        <f t="shared" si="9"/>
        <v>0</v>
      </c>
      <c r="AR21" s="345"/>
      <c r="AS21" s="129" t="str">
        <f t="shared" si="10"/>
        <v>MUTAÇÃO</v>
      </c>
      <c r="AT21" s="480" t="str">
        <f t="shared" si="40"/>
        <v>OK</v>
      </c>
      <c r="AW21" s="1">
        <f>(IF(OR((B21="&lt;7"),(B21="&gt;27"),(B21=7),(B21=8),(B21=25),(B21=14.2),(B21=15.2),(B21=26),(B21=27),(B21=[1]FREQUENCIAS!$P$4),(B21=[1]FREQUENCIAS!$P$5),(B21=[1]FREQUENCIAS!$P$6),(B21=[1]FREQUENCIAS!$P$7),(B21=[1]FREQUENCIAS!$P$8),(B21=[1]FREQUENCIAS!$P$9),(B21=[1]FREQUENCIAS!$P$10),(B21=[1]FREQUENCIAS!$P$11),(B21=[1]FREQUENCIAS!$P$12),(B21=[1]FREQUENCIAS!$P$13),(B21=[1]FREQUENCIAS!$P$14),(B21=[1]FREQUENCIAS!$P$15),(B21=[1]FREQUENCIAS!$P$16),(B21=[1]FREQUENCIAS!$P$17),(B21=[1]FREQUENCIAS!$P$18),(B21=[1]FREQUENCIAS!$P$19),(B21=[1]FREQUENCIAS!$P$20),(B21=[1]FREQUENCIAS!$P$21)),1,0))</f>
        <v>1</v>
      </c>
      <c r="AX21" s="1">
        <f>(IF(OR((C21="&lt;7"),(C21="&gt;27"),(C21=7),(C21=8),(C21=25),(C21=14.2),(C21=15.2),(C21=26),(C21=27),(C21=[1]FREQUENCIAS!$P$4),(C21=[1]FREQUENCIAS!$P$5),(C21=[1]FREQUENCIAS!$P$6),(C21=[1]FREQUENCIAS!$P$7),(C21=[1]FREQUENCIAS!$P$8),(C21=[1]FREQUENCIAS!$P$9),(C21=[1]FREQUENCIAS!$P$10),(C21=[1]FREQUENCIAS!$P$11),(C21=[1]FREQUENCIAS!$P$12),(C21=[1]FREQUENCIAS!$P$13),(C21=[1]FREQUENCIAS!$P$14),(C21=[1]FREQUENCIAS!$P$15),(C21=[1]FREQUENCIAS!$P$16),(C21=[1]FREQUENCIAS!$P$17),(C21=[1]FREQUENCIAS!$P$18),(C21=[1]FREQUENCIAS!$P$19),(C21=[1]FREQUENCIAS!$P$20),(C21=[1]FREQUENCIAS!$P$21)),1,0))</f>
        <v>1</v>
      </c>
      <c r="AY21" s="1">
        <f>(IF(OR((D21="&lt;7"),(D21="&gt;27"),(D21=7),(D21=8),(D21=25),(D21=14.2),(D21=15.2),(D21=26),(D21=27),(D21=[1]FREQUENCIAS!$P$4),(D21=[1]FREQUENCIAS!$P$5),(D21=[1]FREQUENCIAS!$P$6),(D21=[1]FREQUENCIAS!$P$7),(D21=[1]FREQUENCIAS!$P$8),(D21=[1]FREQUENCIAS!$P$9),(D21=[1]FREQUENCIAS!$P$10),(D21=[1]FREQUENCIAS!$P$11),(D21=[1]FREQUENCIAS!$P$12),(D21=[1]FREQUENCIAS!$P$13),(D21=[1]FREQUENCIAS!$P$14),(D21=[1]FREQUENCIAS!$P$15),(D21=[1]FREQUENCIAS!$P$16),(D21=[1]FREQUENCIAS!$P$17),(D21=[1]FREQUENCIAS!$P$18),(D21=[1]FREQUENCIAS!$P$19),(D21=[1]FREQUENCIAS!$P$20),(D21=[1]FREQUENCIAS!$P$21)),1,0))</f>
        <v>1</v>
      </c>
      <c r="AZ21" s="1">
        <f>(IF(OR((E21="&lt;7"),(E21="&gt;27"),(E21=7),(E21=8),(E21=25),(E21=14.2),(E21=15.2),(E21=26),(E21=27),(E21=[1]FREQUENCIAS!$P$4),(E21=[1]FREQUENCIAS!$P$5),(E21=[1]FREQUENCIAS!$P$6),(E21=[1]FREQUENCIAS!$P$7),(E21=[1]FREQUENCIAS!$P$8),(E21=[1]FREQUENCIAS!$P$9),(E21=[1]FREQUENCIAS!$P$10),(E21=[1]FREQUENCIAS!$P$11),(E21=[1]FREQUENCIAS!$P$12),(E21=[1]FREQUENCIAS!$P$13),(E21=[1]FREQUENCIAS!$P$14),(E21=[1]FREQUENCIAS!$P$15),(E21=[1]FREQUENCIAS!$P$16),(E21=[1]FREQUENCIAS!$P$17),(E21=[1]FREQUENCIAS!$P$18),(E21=[1]FREQUENCIAS!$P$19),(E21=[1]FREQUENCIAS!$P$20),(E21=[1]FREQUENCIAS!$P$21)),1,0))</f>
        <v>1</v>
      </c>
      <c r="BA21" s="1">
        <f>(IF(OR((F21="&lt;7"),(F21="&gt;27"),(F21=7),(F21=8),(F21=25),(F21=14.2),(F21=15.2),(F21=26),(F21=27),(F21=[1]FREQUENCIAS!$P$4),(F21=[1]FREQUENCIAS!$P$5),(F21=[1]FREQUENCIAS!$P$6),(F21=[1]FREQUENCIAS!$P$7),(F21=[1]FREQUENCIAS!$P$8),(F21=[1]FREQUENCIAS!$P$9),(F21=[1]FREQUENCIAS!$P$10),(F21=[1]FREQUENCIAS!$P$11),(F21=[1]FREQUENCIAS!$P$12),(F21=[1]FREQUENCIAS!$P$13),(F21=[1]FREQUENCIAS!$P$14),(F21=[1]FREQUENCIAS!$P$15),(F21=[1]FREQUENCIAS!$P$16),(F21=[1]FREQUENCIAS!$P$17),(F21=[1]FREQUENCIAS!$P$18),(F21=[1]FREQUENCIAS!$P$19),(F21=[1]FREQUENCIAS!$P$20),(F21=[1]FREQUENCIAS!$P$21)),1,0))</f>
        <v>1</v>
      </c>
      <c r="BB21" s="1">
        <f>(IF(OR((G21="&lt;7"),(G21="&gt;27"),(G21=7),(G21=8),(G21=25),(G21=14.2),(G21=15.2),(G21=26),(G21=27),(G21=[1]FREQUENCIAS!$P$4),(G21=[1]FREQUENCIAS!$P$5),(G21=[1]FREQUENCIAS!$P$6),(G21=[1]FREQUENCIAS!$P$7),(G21=[1]FREQUENCIAS!$P$8),(G21=[1]FREQUENCIAS!$P$9),(G21=[1]FREQUENCIAS!$P$10),(G21=[1]FREQUENCIAS!$P$11),(G21=[1]FREQUENCIAS!$P$12),(G21=[1]FREQUENCIAS!$P$13),(G21=[1]FREQUENCIAS!$P$14),(G21=[1]FREQUENCIAS!$P$15),(G21=[1]FREQUENCIAS!$P$16),(G21=[1]FREQUENCIAS!$P$17),(G21=[1]FREQUENCIAS!$P$18),(G21=[1]FREQUENCIAS!$P$19),(G21=[1]FREQUENCIAS!$P$20),(G21=[1]FREQUENCIAS!$P$21)),1,0))</f>
        <v>1</v>
      </c>
      <c r="BD21" s="492">
        <f t="shared" si="41"/>
        <v>0</v>
      </c>
      <c r="BE21" s="39">
        <f t="shared" si="42"/>
        <v>2.7463651050080775E-3</v>
      </c>
      <c r="BF21" s="14"/>
      <c r="BG21" s="41">
        <f>IF($A21=[1]FREQUENCIAS!$N$1,[1]FREQUENCIAS!$N$2,"ERRO NO PE")</f>
        <v>0.61899999999999999</v>
      </c>
      <c r="BH21" s="498">
        <f>IF($A21=[1]FREQUENCIAS!$N$1,[1]FREQUENCIAS!$N$3,"ERRO NA MUT")</f>
        <v>1.6999999999999999E-3</v>
      </c>
      <c r="BI21" s="41">
        <f t="shared" si="11"/>
        <v>1</v>
      </c>
      <c r="BJ21" s="2">
        <f t="shared" si="43"/>
        <v>0</v>
      </c>
      <c r="BL21" s="53">
        <v>7</v>
      </c>
      <c r="BM21" s="53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O21" s="493" t="str">
        <f t="shared" si="12"/>
        <v/>
      </c>
      <c r="BP21" s="493">
        <f t="shared" si="13"/>
        <v>0</v>
      </c>
      <c r="BQ21" s="493">
        <f t="shared" si="14"/>
        <v>0</v>
      </c>
      <c r="BR21" s="494" t="str">
        <f t="shared" si="15"/>
        <v/>
      </c>
      <c r="BS21" s="494">
        <f t="shared" si="16"/>
        <v>0</v>
      </c>
      <c r="BT21" s="494">
        <f t="shared" si="17"/>
        <v>0</v>
      </c>
      <c r="BU21" s="486" t="str">
        <f t="shared" si="44"/>
        <v/>
      </c>
      <c r="BV21" s="486">
        <f t="shared" si="18"/>
        <v>0</v>
      </c>
      <c r="BW21" s="486">
        <f t="shared" si="19"/>
        <v>0</v>
      </c>
      <c r="BZ21" s="495">
        <v>12</v>
      </c>
      <c r="CA21" s="496">
        <v>16</v>
      </c>
      <c r="CJ21" s="1">
        <f t="shared" si="20"/>
        <v>1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1</v>
      </c>
      <c r="CO21" s="1">
        <f t="shared" si="25"/>
        <v>1</v>
      </c>
      <c r="CP21" s="1">
        <f t="shared" si="26"/>
        <v>1</v>
      </c>
      <c r="CQ21" s="1">
        <f t="shared" si="27"/>
        <v>1</v>
      </c>
      <c r="CR21" s="1">
        <f t="shared" si="28"/>
        <v>8</v>
      </c>
    </row>
    <row r="22" spans="1:96" ht="14.25" customHeight="1" thickTop="1" thickBot="1" x14ac:dyDescent="0.25">
      <c r="A22" s="232" t="str">
        <f>'IMPORTAÇÃO GENOTIPER'!A18</f>
        <v>D21S11</v>
      </c>
      <c r="B22" s="307">
        <f>'IMPORTAÇÃO GENOTIPER'!S18</f>
        <v>0</v>
      </c>
      <c r="C22" s="307">
        <f>'IMPORTAÇÃO GENOTIPER'!AA18</f>
        <v>0</v>
      </c>
      <c r="D22" s="307">
        <f>'IMPORTAÇÃO GENOTIPER'!AI18</f>
        <v>0</v>
      </c>
      <c r="E22" s="307">
        <f>'IMPORTAÇÃO GENOTIPER'!AQ18</f>
        <v>0</v>
      </c>
      <c r="F22" s="480">
        <f>'IMPORTAÇÃO GENOTIPER'!BO18</f>
        <v>0</v>
      </c>
      <c r="G22" s="480">
        <f>'IMPORTAÇÃO GENOTIPER'!BW18</f>
        <v>0</v>
      </c>
      <c r="H22" s="480">
        <f>'IMPORTAÇÃO GENOTIPER'!CE18</f>
        <v>0</v>
      </c>
      <c r="I22" s="480">
        <f>'IMPORTAÇÃO GENOTIPER'!CM18</f>
        <v>0</v>
      </c>
      <c r="J22" s="481">
        <f t="shared" si="29"/>
        <v>0</v>
      </c>
      <c r="K22" s="481">
        <f t="shared" si="29"/>
        <v>0</v>
      </c>
      <c r="L22" s="481">
        <f t="shared" si="29"/>
        <v>0</v>
      </c>
      <c r="M22" s="481">
        <f t="shared" si="30"/>
        <v>0</v>
      </c>
      <c r="N22" s="481">
        <f t="shared" si="31"/>
        <v>0</v>
      </c>
      <c r="O22" s="481">
        <f t="shared" si="31"/>
        <v>0</v>
      </c>
      <c r="P22" s="481">
        <f t="shared" si="31"/>
        <v>0</v>
      </c>
      <c r="Q22" s="481">
        <f t="shared" si="31"/>
        <v>0</v>
      </c>
      <c r="R22" s="482">
        <f t="shared" si="0"/>
        <v>0</v>
      </c>
      <c r="S22" s="482">
        <f t="shared" si="1"/>
        <v>0</v>
      </c>
      <c r="T22" s="482">
        <f t="shared" si="0"/>
        <v>0</v>
      </c>
      <c r="U22" s="482">
        <f t="shared" si="2"/>
        <v>0</v>
      </c>
      <c r="V22" s="482">
        <f t="shared" si="3"/>
        <v>0</v>
      </c>
      <c r="W22" s="482">
        <f t="shared" si="4"/>
        <v>0</v>
      </c>
      <c r="X22" s="482">
        <f t="shared" si="32"/>
        <v>0</v>
      </c>
      <c r="Y22" s="482">
        <f t="shared" si="33"/>
        <v>0</v>
      </c>
      <c r="Z22" s="483">
        <f t="shared" si="5"/>
        <v>0</v>
      </c>
      <c r="AA22" s="483">
        <f t="shared" si="6"/>
        <v>0</v>
      </c>
      <c r="AB22" s="484">
        <f>(IF((OR((T22="&gt;22"),(U22="&gt;22"))),2,(IF(((Z22+AA22)=(T22+U22)),0,1))))</f>
        <v>0</v>
      </c>
      <c r="AC22" s="485">
        <f t="shared" si="34"/>
        <v>0</v>
      </c>
      <c r="AD22" s="486">
        <f t="shared" si="35"/>
        <v>0</v>
      </c>
      <c r="AE22" s="486">
        <f t="shared" si="36"/>
        <v>0</v>
      </c>
      <c r="AF22" s="487">
        <f t="shared" si="37"/>
        <v>0</v>
      </c>
      <c r="AG22" s="488">
        <f t="shared" si="38"/>
        <v>0</v>
      </c>
      <c r="AH22" s="489">
        <f>IF(AF22=0,0,VLOOKUP(AF22,[1]FREQUENCIAS!$1:$1048576,(IF(($A22=[1]FREQUENCIAS!$O$1),15,"ERRO")),[1]FREQUENCIAS!$1:$1048576))</f>
        <v>0</v>
      </c>
      <c r="AI22" s="489">
        <f>IF(AG22=0,0,VLOOKUP(AG22,[1]FREQUENCIAS!$1:$1048576,(IF(($A22=[1]FREQUENCIAS!$O$1),15,"ERRO")),[1]FREQUENCIAS!$1:$1048576))</f>
        <v>0</v>
      </c>
      <c r="AJ22" s="490"/>
      <c r="AK22" s="490"/>
      <c r="AL22" s="490"/>
      <c r="AM22" s="124">
        <f t="shared" si="39"/>
        <v>1</v>
      </c>
      <c r="AN22" s="125">
        <f t="shared" si="7"/>
        <v>1</v>
      </c>
      <c r="AO22" s="126">
        <f t="shared" si="8"/>
        <v>0.5</v>
      </c>
      <c r="AP22" s="345"/>
      <c r="AQ22" s="491">
        <f t="shared" si="9"/>
        <v>0</v>
      </c>
      <c r="AR22" s="345"/>
      <c r="AS22" s="129" t="str">
        <f t="shared" si="10"/>
        <v>MUTAÇÃO</v>
      </c>
      <c r="AT22" s="480" t="str">
        <f t="shared" si="40"/>
        <v>OK</v>
      </c>
      <c r="AW22" s="1">
        <f>(IF(OR((B22="&lt;7"),(B22="&gt;17"),(B22=16),(B22=17),(B22=[1]FREQUENCIAS!$S$4),(B22=[1]FREQUENCIAS!$S$5),(B22=[1]FREQUENCIAS!$S$6),(B22=[1]FREQUENCIAS!$S$7),(B22=[1]FREQUENCIAS!$S$8),(B22=[1]FREQUENCIAS!$S$9),(B22=[1]FREQUENCIAS!$S$10),(B22=[1]FREQUENCIAS!$S$11),(B22=[1]FREQUENCIAS!$S$12)),1,0))</f>
        <v>1</v>
      </c>
      <c r="AX22" s="1">
        <f>(IF(OR((C22="&lt;7"),(C22="&gt;17"),(C22=16),(C22=17),(C22=[1]FREQUENCIAS!$S$4),(C22=[1]FREQUENCIAS!$S$5),(C22=[1]FREQUENCIAS!$S$6),(C22=[1]FREQUENCIAS!$S$7),(C22=[1]FREQUENCIAS!$S$8),(C22=[1]FREQUENCIAS!$S$9),(C22=[1]FREQUENCIAS!$S$10),(C22=[1]FREQUENCIAS!$S$11),(C22=[1]FREQUENCIAS!$S$12)),1,0))</f>
        <v>1</v>
      </c>
      <c r="AY22" s="1">
        <f>(IF(OR((D22="&lt;7"),(D22="&gt;17"),(D22=16),(D22=17),(D22=[1]FREQUENCIAS!$S$4),(D22=[1]FREQUENCIAS!$S$5),(D22=[1]FREQUENCIAS!$S$6),(D22=[1]FREQUENCIAS!$S$7),(D22=[1]FREQUENCIAS!$S$8),(D22=[1]FREQUENCIAS!$S$9),(D22=[1]FREQUENCIAS!$S$10),(D22=[1]FREQUENCIAS!$S$11),(D22=[1]FREQUENCIAS!$S$12)),1,0))</f>
        <v>1</v>
      </c>
      <c r="AZ22" s="1">
        <f>(IF(OR((E22="&lt;7"),(E22="&gt;17"),(E22=16),(E22=17),(E22=[1]FREQUENCIAS!$S$4),(E22=[1]FREQUENCIAS!$S$5),(E22=[1]FREQUENCIAS!$S$6),(E22=[1]FREQUENCIAS!$S$7),(E22=[1]FREQUENCIAS!$S$8),(E22=[1]FREQUENCIAS!$S$9),(E22=[1]FREQUENCIAS!$S$10),(E22=[1]FREQUENCIAS!$S$11),(E22=[1]FREQUENCIAS!$S$12)),1,0))</f>
        <v>1</v>
      </c>
      <c r="BA22" s="1">
        <f>(IF(OR((F22="&lt;7"),(F22="&gt;17"),(F22=16),(F22=17),(F22=[1]FREQUENCIAS!$S$4),(F22=[1]FREQUENCIAS!$S$5),(F22=[1]FREQUENCIAS!$S$6),(F22=[1]FREQUENCIAS!$S$7),(F22=[1]FREQUENCIAS!$S$8),(F22=[1]FREQUENCIAS!$S$9),(F22=[1]FREQUENCIAS!$S$10),(F22=[1]FREQUENCIAS!$S$11),(F22=[1]FREQUENCIAS!$S$12)),1,0))</f>
        <v>1</v>
      </c>
      <c r="BB22" s="1">
        <f>(IF(OR((G22="&lt;7"),(G22="&gt;17"),(G22=16),(G22=17),(G22=[1]FREQUENCIAS!$S$4),(G22=[1]FREQUENCIAS!$S$5),(G22=[1]FREQUENCIAS!$S$6),(G22=[1]FREQUENCIAS!$S$7),(G22=[1]FREQUENCIAS!$S$8),(G22=[1]FREQUENCIAS!$S$9),(G22=[1]FREQUENCIAS!$S$10),(G22=[1]FREQUENCIAS!$S$11),(G22=[1]FREQUENCIAS!$S$12)),1,0))</f>
        <v>1</v>
      </c>
      <c r="BD22" s="492">
        <f t="shared" si="41"/>
        <v>0</v>
      </c>
      <c r="BE22" s="39">
        <f t="shared" si="42"/>
        <v>2.7900146842878117E-3</v>
      </c>
      <c r="BF22" s="14"/>
      <c r="BG22" s="41">
        <f>IF($A22=[1]FREQUENCIAS!$O$1,[1]FREQUENCIAS!$O$2,"ERRO NO PE")</f>
        <v>0.68100000000000005</v>
      </c>
      <c r="BH22" s="498">
        <f>IF($A22=[1]FREQUENCIAS!$O$1,[1]FREQUENCIAS!$O$3,"ERRO NA MUT")</f>
        <v>1.9E-3</v>
      </c>
      <c r="BI22" s="41">
        <f t="shared" si="11"/>
        <v>1</v>
      </c>
      <c r="BJ22" s="2">
        <f t="shared" si="43"/>
        <v>0</v>
      </c>
      <c r="BL22" s="53">
        <v>7</v>
      </c>
      <c r="BM22" s="53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93" t="str">
        <f t="shared" si="12"/>
        <v/>
      </c>
      <c r="BP22" s="493">
        <f t="shared" si="13"/>
        <v>0</v>
      </c>
      <c r="BQ22" s="493">
        <f t="shared" si="14"/>
        <v>0</v>
      </c>
      <c r="BR22" s="494" t="str">
        <f t="shared" si="15"/>
        <v/>
      </c>
      <c r="BS22" s="494">
        <f t="shared" si="16"/>
        <v>0</v>
      </c>
      <c r="BT22" s="494">
        <f t="shared" si="17"/>
        <v>0</v>
      </c>
      <c r="BU22" s="486" t="str">
        <f t="shared" si="44"/>
        <v/>
      </c>
      <c r="BV22" s="486">
        <f t="shared" si="18"/>
        <v>0</v>
      </c>
      <c r="BW22" s="486">
        <f t="shared" si="19"/>
        <v>0</v>
      </c>
      <c r="BZ22" s="495">
        <v>13</v>
      </c>
      <c r="CA22" s="496">
        <v>13</v>
      </c>
      <c r="CJ22" s="1">
        <f t="shared" si="20"/>
        <v>1</v>
      </c>
      <c r="CK22" s="1">
        <f t="shared" si="21"/>
        <v>1</v>
      </c>
      <c r="CL22" s="1">
        <f t="shared" si="22"/>
        <v>1</v>
      </c>
      <c r="CM22" s="1">
        <f t="shared" si="23"/>
        <v>1</v>
      </c>
      <c r="CN22" s="1">
        <f t="shared" si="24"/>
        <v>1</v>
      </c>
      <c r="CO22" s="1">
        <f t="shared" si="25"/>
        <v>1</v>
      </c>
      <c r="CP22" s="1">
        <f t="shared" si="26"/>
        <v>1</v>
      </c>
      <c r="CQ22" s="1">
        <f t="shared" si="27"/>
        <v>1</v>
      </c>
      <c r="CR22" s="1">
        <f t="shared" si="28"/>
        <v>8</v>
      </c>
    </row>
    <row r="23" spans="1:96" ht="14.25" customHeight="1" thickTop="1" thickBot="1" x14ac:dyDescent="0.25">
      <c r="A23" s="232" t="str">
        <f>'IMPORTAÇÃO GENOTIPER'!A19</f>
        <v>D7S820</v>
      </c>
      <c r="B23" s="307">
        <f>'IMPORTAÇÃO GENOTIPER'!S19</f>
        <v>0</v>
      </c>
      <c r="C23" s="307">
        <f>'IMPORTAÇÃO GENOTIPER'!AA19</f>
        <v>0</v>
      </c>
      <c r="D23" s="307">
        <f>'IMPORTAÇÃO GENOTIPER'!AI19</f>
        <v>0</v>
      </c>
      <c r="E23" s="307">
        <f>'IMPORTAÇÃO GENOTIPER'!AQ19</f>
        <v>0</v>
      </c>
      <c r="F23" s="480">
        <f>'IMPORTAÇÃO GENOTIPER'!BO19</f>
        <v>0</v>
      </c>
      <c r="G23" s="480">
        <f>'IMPORTAÇÃO GENOTIPER'!BW19</f>
        <v>0</v>
      </c>
      <c r="H23" s="480">
        <f>'IMPORTAÇÃO GENOTIPER'!CE19</f>
        <v>0</v>
      </c>
      <c r="I23" s="480">
        <f>'IMPORTAÇÃO GENOTIPER'!CM19</f>
        <v>0</v>
      </c>
      <c r="J23" s="481">
        <f t="shared" si="29"/>
        <v>0</v>
      </c>
      <c r="K23" s="481">
        <f t="shared" si="29"/>
        <v>0</v>
      </c>
      <c r="L23" s="481">
        <f t="shared" si="29"/>
        <v>0</v>
      </c>
      <c r="M23" s="481">
        <f t="shared" si="30"/>
        <v>0</v>
      </c>
      <c r="N23" s="481">
        <f t="shared" si="31"/>
        <v>0</v>
      </c>
      <c r="O23" s="481">
        <f t="shared" si="31"/>
        <v>0</v>
      </c>
      <c r="P23" s="481">
        <f t="shared" si="31"/>
        <v>0</v>
      </c>
      <c r="Q23" s="481">
        <f t="shared" si="31"/>
        <v>0</v>
      </c>
      <c r="R23" s="482">
        <f t="shared" si="0"/>
        <v>0</v>
      </c>
      <c r="S23" s="482">
        <f t="shared" si="1"/>
        <v>0</v>
      </c>
      <c r="T23" s="482">
        <f t="shared" si="0"/>
        <v>0</v>
      </c>
      <c r="U23" s="482">
        <f t="shared" si="2"/>
        <v>0</v>
      </c>
      <c r="V23" s="482">
        <f t="shared" si="3"/>
        <v>0</v>
      </c>
      <c r="W23" s="482">
        <f t="shared" si="4"/>
        <v>0</v>
      </c>
      <c r="X23" s="482">
        <f t="shared" si="32"/>
        <v>0</v>
      </c>
      <c r="Y23" s="482">
        <f t="shared" si="33"/>
        <v>0</v>
      </c>
      <c r="Z23" s="483">
        <f t="shared" si="5"/>
        <v>0</v>
      </c>
      <c r="AA23" s="483">
        <f t="shared" si="6"/>
        <v>0</v>
      </c>
      <c r="AB23" s="484">
        <f>(IF((OR((T23="&gt;32"),(U23="&gt;32"))),2,(IF(((Z23+AA23)=(T23+U23)),0,1))))</f>
        <v>0</v>
      </c>
      <c r="AC23" s="485">
        <f t="shared" si="34"/>
        <v>0</v>
      </c>
      <c r="AD23" s="486">
        <f t="shared" si="35"/>
        <v>0</v>
      </c>
      <c r="AE23" s="486">
        <f t="shared" si="36"/>
        <v>0</v>
      </c>
      <c r="AF23" s="487">
        <f t="shared" si="37"/>
        <v>0</v>
      </c>
      <c r="AG23" s="488">
        <f t="shared" si="38"/>
        <v>0</v>
      </c>
      <c r="AH23" s="489">
        <f>IF(AF23=0,0,VLOOKUP(AF23,[1]FREQUENCIAS!$1:$1048576,(IF(($A23=[1]FREQUENCIAS!$P$1),16,"ERRO")),[1]FREQUENCIAS!$1:$1048576))</f>
        <v>0</v>
      </c>
      <c r="AI23" s="489">
        <f>IF(AG23=0,0,VLOOKUP(AG23,[1]FREQUENCIAS!$1:$1048576,(IF(($A23=[1]FREQUENCIAS!$P$1),16,"ERRO")),[1]FREQUENCIAS!$1:$1048576))</f>
        <v>0</v>
      </c>
      <c r="AJ23" s="490"/>
      <c r="AK23" s="490"/>
      <c r="AL23" s="490"/>
      <c r="AM23" s="124">
        <f t="shared" si="39"/>
        <v>1</v>
      </c>
      <c r="AN23" s="125">
        <f t="shared" si="7"/>
        <v>1</v>
      </c>
      <c r="AO23" s="126">
        <f t="shared" si="8"/>
        <v>0.5</v>
      </c>
      <c r="AP23" s="345" t="s">
        <v>173</v>
      </c>
      <c r="AQ23" s="491">
        <f t="shared" si="9"/>
        <v>0</v>
      </c>
      <c r="AR23" s="345"/>
      <c r="AS23" s="129" t="str">
        <f t="shared" si="10"/>
        <v>MUTAÇÃO</v>
      </c>
      <c r="AT23" s="480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[1]FREQUENCIAS!$G$4),(B23=[1]FREQUENCIAS!$G$5),(B23=[1]FREQUENCIAS!$G$6),(B23=[1]FREQUENCIAS!$G$7),(B23=[1]FREQUENCIAS!$G$8),(B23=[1]FREQUENCIAS!$G$9),(B23=[1]FREQUENCIAS!$G$10),(B23=[1]FREQUENCIAS!$G$11),(B23=[1]FREQUENCIAS!$G$12),(B23=[1]FREQUENCIAS!$G$13),(B23=[1]FREQUENCIAS!$G$14),(B23=[1]FREQUENCIAS!$G$15),(B23=[1]FREQUENCIAS!$G$16),(B23=[1]FREQUENCIAS!$G$17),(B23=[1]FREQUENCIAS!$G$18),(B23=[1]FREQUENCIAS!$G$19)),1,CC23))</f>
        <v>1</v>
      </c>
      <c r="AX23" s="1">
        <f>(IF(OR((C23="&lt;16"),(C23="&gt;51,2"),(C23=16),(C23=16.1),(C23=17.2),(C23=18.2),(C23=19.2),(C23=20.2),(C23=21.2),(C23=51.2),(C23=17),(C23=31.2),(C23=32.2),(C23=33.2),(C23=[1]FREQUENCIAS!$G$4),(C23=[1]FREQUENCIAS!$G$5),(C23=[1]FREQUENCIAS!$G$6),(C23=[1]FREQUENCIAS!$G$7),(C23=[1]FREQUENCIAS!$G$8),(C23=[1]FREQUENCIAS!$G$9),(C23=[1]FREQUENCIAS!$G$10),(C23=[1]FREQUENCIAS!$G$11),(C23=[1]FREQUENCIAS!$G$12),(C23=[1]FREQUENCIAS!$G$13),(C23=[1]FREQUENCIAS!$G$14),(C23=[1]FREQUENCIAS!$G$15),(C23=[1]FREQUENCIAS!$G$16),(C23=[1]FREQUENCIAS!$G$17),(C23=[1]FREQUENCIAS!$G$18),(C23=[1]FREQUENCIAS!$G$19)),1,CD23))</f>
        <v>1</v>
      </c>
      <c r="AY23" s="1">
        <f>(IF(OR((D23="&lt;16"),(D23="&gt;51,2"),(D23=16),(D23=16.1),(D23=17.2),(D23=18.2),(D23=19.2),(D23=20.2),(D23=21.2),(D23=51.2),(D23=17),(D23=31.2),(D23=32.2),(D23=33.2),(D23=[1]FREQUENCIAS!$G$4),(D23=[1]FREQUENCIAS!$G$5),(D23=[1]FREQUENCIAS!$G$6),(D23=[1]FREQUENCIAS!$G$7),(D23=[1]FREQUENCIAS!$G$8),(D23=[1]FREQUENCIAS!$G$9),(D23=[1]FREQUENCIAS!$G$10),(D23=[1]FREQUENCIAS!$G$11),(D23=[1]FREQUENCIAS!$G$12),(D23=[1]FREQUENCIAS!$G$13),(D23=[1]FREQUENCIAS!$G$14),(D23=[1]FREQUENCIAS!$G$15),(D23=[1]FREQUENCIAS!$G$16),(D23=[1]FREQUENCIAS!$G$17),(D23=[1]FREQUENCIAS!$G$18),(D23=[1]FREQUENCIAS!$G$19)),1,CE23))</f>
        <v>1</v>
      </c>
      <c r="AZ23" s="1">
        <f>(IF(OR((E23="&lt;16"),(E23="&gt;51,2"),(E23=16),(E23=16.1),(E23=17.2),(E23=18.2),(E23=19.2),(E23=20.2),(E23=21.2),(E23=51.2),(E23=17),(E23=31.2),(E23=32.2),(E23=33.2),(E23=[1]FREQUENCIAS!$G$4),(E23=[1]FREQUENCIAS!$G$5),(E23=[1]FREQUENCIAS!$G$6),(E23=[1]FREQUENCIAS!$G$7),(E23=[1]FREQUENCIAS!$G$8),(E23=[1]FREQUENCIAS!$G$9),(E23=[1]FREQUENCIAS!$G$10),(E23=[1]FREQUENCIAS!$G$11),(E23=[1]FREQUENCIAS!$G$12),(E23=[1]FREQUENCIAS!$G$13),(E23=[1]FREQUENCIAS!$G$14),(E23=[1]FREQUENCIAS!$G$15),(E23=[1]FREQUENCIAS!$G$16),(E23=[1]FREQUENCIAS!$G$17),(E23=[1]FREQUENCIAS!$G$18),(E23=[1]FREQUENCIAS!$G$19)),1,CF23))</f>
        <v>1</v>
      </c>
      <c r="BA23" s="1">
        <f>(IF(OR((F23="&lt;16"),(F23="&gt;51,2"),(F23=16),(F23=16.1),(F23=17.2),(F23=18.2),(F23=19.2),(F23=20.2),(F23=21.2),(F23=51.2),(F23=17),(F23=31.2),(F23=32.2),(F23=33.2),(F23=[1]FREQUENCIAS!$G$4),(F23=[1]FREQUENCIAS!$G$5),(F23=[1]FREQUENCIAS!$G$6),(F23=[1]FREQUENCIAS!$G$7),(F23=[1]FREQUENCIAS!$G$8),(F23=[1]FREQUENCIAS!$G$9),(F23=[1]FREQUENCIAS!$G$10),(F23=[1]FREQUENCIAS!$G$11),(F23=[1]FREQUENCIAS!$G$12),(F23=[1]FREQUENCIAS!$G$13),(F23=[1]FREQUENCIAS!$G$14),(F23=[1]FREQUENCIAS!$G$15),(F23=[1]FREQUENCIAS!$G$16),(F23=[1]FREQUENCIAS!$G$17),(F23=[1]FREQUENCIAS!$G$18),(F23=[1]FREQUENCIAS!$G$19)),1,CG23))</f>
        <v>1</v>
      </c>
      <c r="BB23" s="1">
        <f>(IF(OR((G23="&lt;16"),(G23="&gt;51,2"),(G23=16),(G23=16.1),(G23=17.2),(G23=18.2),(G23=19.2),(G23=20.2),(G23=21.2),(G23=51.2),(G23=17),(G23=31.2),(G23=32.2),(G23=33.2),(G23=[1]FREQUENCIAS!$G$4),(G23=[1]FREQUENCIAS!$G$5),(G23=[1]FREQUENCIAS!$G$6),(G23=[1]FREQUENCIAS!$G$7),(G23=[1]FREQUENCIAS!$G$8),(G23=[1]FREQUENCIAS!$G$9),(G23=[1]FREQUENCIAS!$G$10),(G23=[1]FREQUENCIAS!$G$11),(G23=[1]FREQUENCIAS!$G$12),(G23=[1]FREQUENCIAS!$G$13),(G23=[1]FREQUENCIAS!$G$14),(G23=[1]FREQUENCIAS!$G$15),(G23=[1]FREQUENCIAS!$G$16),(G23=[1]FREQUENCIAS!$G$17),(G23=[1]FREQUENCIAS!$G$18),(G23=[1]FREQUENCIAS!$G$19)),1,CH23))</f>
        <v>1</v>
      </c>
      <c r="BC23" s="1" t="s">
        <v>329</v>
      </c>
      <c r="BD23" s="492">
        <f t="shared" si="41"/>
        <v>0</v>
      </c>
      <c r="BE23" s="39">
        <f t="shared" si="42"/>
        <v>1.6778523489932888E-3</v>
      </c>
      <c r="BF23" s="14"/>
      <c r="BG23" s="41">
        <f>IF($A23=[1]FREQUENCIAS!$P$1,[1]FREQUENCIAS!$P$2,"ERRO NO PE")</f>
        <v>0.59599999999999997</v>
      </c>
      <c r="BH23" s="498">
        <f>IF($A23=[1]FREQUENCIAS!$P$1,[1]FREQUENCIAS!$P$3,"ERRO NA MUT")</f>
        <v>1E-3</v>
      </c>
      <c r="BI23" s="41">
        <f t="shared" si="11"/>
        <v>1</v>
      </c>
      <c r="BJ23" s="2">
        <f t="shared" si="43"/>
        <v>0</v>
      </c>
      <c r="BL23" s="53">
        <v>17</v>
      </c>
      <c r="BM23" s="53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500" t="str">
        <f t="shared" si="12"/>
        <v/>
      </c>
      <c r="BP23" s="500">
        <f t="shared" si="13"/>
        <v>0</v>
      </c>
      <c r="BQ23" s="500">
        <f t="shared" si="14"/>
        <v>0</v>
      </c>
      <c r="BR23" s="501" t="str">
        <f t="shared" si="15"/>
        <v/>
      </c>
      <c r="BS23" s="501">
        <f t="shared" si="16"/>
        <v>0</v>
      </c>
      <c r="BT23" s="501">
        <f t="shared" si="17"/>
        <v>0</v>
      </c>
      <c r="BU23" s="502" t="str">
        <f t="shared" si="44"/>
        <v/>
      </c>
      <c r="BV23" s="502">
        <f t="shared" si="18"/>
        <v>0</v>
      </c>
      <c r="BW23" s="502">
        <f t="shared" si="19"/>
        <v>0</v>
      </c>
      <c r="BZ23" s="495">
        <v>17</v>
      </c>
      <c r="CA23" s="496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1</v>
      </c>
      <c r="CM23" s="1">
        <f t="shared" si="23"/>
        <v>1</v>
      </c>
      <c r="CN23" s="1">
        <f t="shared" si="24"/>
        <v>1</v>
      </c>
      <c r="CO23" s="1">
        <f t="shared" si="25"/>
        <v>1</v>
      </c>
      <c r="CP23" s="1">
        <f t="shared" si="26"/>
        <v>1</v>
      </c>
      <c r="CQ23" s="1">
        <f t="shared" si="27"/>
        <v>1</v>
      </c>
      <c r="CR23" s="1">
        <f>SUM(CJ23:CQ23)</f>
        <v>8</v>
      </c>
    </row>
    <row r="24" spans="1:96" ht="14.25" customHeight="1" thickTop="1" thickBot="1" x14ac:dyDescent="0.25">
      <c r="A24" s="232" t="str">
        <f>'IMPORTAÇÃO GENOTIPER'!A20</f>
        <v>D5S818</v>
      </c>
      <c r="B24" s="307">
        <f>'IMPORTAÇÃO GENOTIPER'!S20</f>
        <v>0</v>
      </c>
      <c r="C24" s="307">
        <f>'IMPORTAÇÃO GENOTIPER'!AA20</f>
        <v>0</v>
      </c>
      <c r="D24" s="307">
        <f>'IMPORTAÇÃO GENOTIPER'!AI20</f>
        <v>0</v>
      </c>
      <c r="E24" s="307">
        <f>'IMPORTAÇÃO GENOTIPER'!AQ20</f>
        <v>0</v>
      </c>
      <c r="F24" s="480">
        <f>'IMPORTAÇÃO GENOTIPER'!BO20</f>
        <v>0</v>
      </c>
      <c r="G24" s="480">
        <f>'IMPORTAÇÃO GENOTIPER'!BW20</f>
        <v>0</v>
      </c>
      <c r="H24" s="480">
        <f>'IMPORTAÇÃO GENOTIPER'!CE20</f>
        <v>0</v>
      </c>
      <c r="I24" s="480">
        <f>'IMPORTAÇÃO GENOTIPER'!CM20</f>
        <v>0</v>
      </c>
      <c r="J24" s="481">
        <f t="shared" si="29"/>
        <v>0</v>
      </c>
      <c r="K24" s="481">
        <f t="shared" si="29"/>
        <v>0</v>
      </c>
      <c r="L24" s="481">
        <f t="shared" si="29"/>
        <v>0</v>
      </c>
      <c r="M24" s="481">
        <f t="shared" si="30"/>
        <v>0</v>
      </c>
      <c r="N24" s="481">
        <f t="shared" si="31"/>
        <v>0</v>
      </c>
      <c r="O24" s="481">
        <f t="shared" si="31"/>
        <v>0</v>
      </c>
      <c r="P24" s="481">
        <f t="shared" si="31"/>
        <v>0</v>
      </c>
      <c r="Q24" s="481">
        <f t="shared" si="31"/>
        <v>0</v>
      </c>
      <c r="R24" s="482">
        <f t="shared" si="0"/>
        <v>0</v>
      </c>
      <c r="S24" s="482">
        <f t="shared" si="1"/>
        <v>0</v>
      </c>
      <c r="T24" s="482">
        <f t="shared" si="0"/>
        <v>0</v>
      </c>
      <c r="U24" s="482">
        <f t="shared" si="2"/>
        <v>0</v>
      </c>
      <c r="V24" s="482">
        <f t="shared" si="3"/>
        <v>0</v>
      </c>
      <c r="W24" s="482">
        <f t="shared" si="4"/>
        <v>0</v>
      </c>
      <c r="X24" s="482">
        <f t="shared" si="32"/>
        <v>0</v>
      </c>
      <c r="Y24" s="482">
        <f t="shared" si="33"/>
        <v>0</v>
      </c>
      <c r="Z24" s="483">
        <f t="shared" si="5"/>
        <v>0</v>
      </c>
      <c r="AA24" s="483">
        <f t="shared" si="6"/>
        <v>0</v>
      </c>
      <c r="AB24" s="484">
        <f t="shared" ref="AB24:AB42" si="47">(IF((OR((T24="&gt;32"),(U24="&gt;32"))),2,(IF(((Z24+AA24)=(T24+U24)),0,1))))</f>
        <v>0</v>
      </c>
      <c r="AC24" s="485">
        <f t="shared" si="34"/>
        <v>0</v>
      </c>
      <c r="AD24" s="486">
        <f t="shared" si="35"/>
        <v>0</v>
      </c>
      <c r="AE24" s="486">
        <f t="shared" si="36"/>
        <v>0</v>
      </c>
      <c r="AF24" s="487">
        <f t="shared" si="37"/>
        <v>0</v>
      </c>
      <c r="AG24" s="488">
        <f t="shared" si="38"/>
        <v>0</v>
      </c>
      <c r="AH24" s="489">
        <f>IF(AF24=0,0,VLOOKUP(AF24,[1]FREQUENCIAS!$1:$1048576,(IF(($A24=[1]FREQUENCIAS!$Q$1),17,"ERRO")),[1]FREQUENCIAS!$1:$1048576))</f>
        <v>0</v>
      </c>
      <c r="AI24" s="489">
        <f>IF(AG24=0,0,VLOOKUP(AG24,[1]FREQUENCIAS!$1:$1048576,(IF(($A24=[1]FREQUENCIAS!$Q$1),17,"ERRO")),[1]FREQUENCIAS!$1:$1048576))</f>
        <v>0</v>
      </c>
      <c r="AJ24" s="490"/>
      <c r="AK24" s="490"/>
      <c r="AL24" s="490"/>
      <c r="AM24" s="124">
        <f t="shared" si="39"/>
        <v>1</v>
      </c>
      <c r="AN24" s="125">
        <f t="shared" si="7"/>
        <v>1</v>
      </c>
      <c r="AO24" s="126">
        <f t="shared" si="8"/>
        <v>0.5</v>
      </c>
      <c r="AP24" s="345" t="s">
        <v>173</v>
      </c>
      <c r="AQ24" s="491">
        <f t="shared" si="9"/>
        <v>0</v>
      </c>
      <c r="AR24" s="345"/>
      <c r="AS24" s="129" t="str">
        <f t="shared" si="10"/>
        <v>MUTAÇÃO</v>
      </c>
      <c r="AT24" s="480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[1]FREQUENCIAS!$G$4),(B24=[1]FREQUENCIAS!$G$5),(B24=[1]FREQUENCIAS!$G$6),(B24=[1]FREQUENCIAS!$G$7),(B24=[1]FREQUENCIAS!$G$8),(B24=[1]FREQUENCIAS!$G$9),(B24=[1]FREQUENCIAS!$G$10),(B24=[1]FREQUENCIAS!$G$11),(B24=[1]FREQUENCIAS!$G$12),(B24=[1]FREQUENCIAS!$G$13),(B24=[1]FREQUENCIAS!$G$14),(B24=[1]FREQUENCIAS!$G$15),(B24=[1]FREQUENCIAS!$G$16),(B24=[1]FREQUENCIAS!$G$17),(B24=[1]FREQUENCIAS!$G$18),(B24=[1]FREQUENCIAS!$G$19)),1,CC24))</f>
        <v>1</v>
      </c>
      <c r="AX24" s="1">
        <f>(IF(OR((C24="&lt;16"),(C24="&gt;51,2"),(C24=16),(C24=16.1),(C24=17.2),(C24=18.2),(C24=19.2),(C24=20.2),(C24=21.2),(C24=51.2),(C24=17),(C24=31.2),(C24=32.2),(C24=33.2),(C24=[1]FREQUENCIAS!$G$4),(C24=[1]FREQUENCIAS!$G$5),(C24=[1]FREQUENCIAS!$G$6),(C24=[1]FREQUENCIAS!$G$7),(C24=[1]FREQUENCIAS!$G$8),(C24=[1]FREQUENCIAS!$G$9),(C24=[1]FREQUENCIAS!$G$10),(C24=[1]FREQUENCIAS!$G$11),(C24=[1]FREQUENCIAS!$G$12),(C24=[1]FREQUENCIAS!$G$13),(C24=[1]FREQUENCIAS!$G$14),(C24=[1]FREQUENCIAS!$G$15),(C24=[1]FREQUENCIAS!$G$16),(C24=[1]FREQUENCIAS!$G$17),(C24=[1]FREQUENCIAS!$G$18),(C24=[1]FREQUENCIAS!$G$19)),1,CD24))</f>
        <v>1</v>
      </c>
      <c r="AY24" s="1">
        <f>(IF(OR((D24="&lt;16"),(D24="&gt;51,2"),(D24=16),(D24=16.1),(D24=17.2),(D24=18.2),(D24=19.2),(D24=20.2),(D24=21.2),(D24=51.2),(D24=17),(D24=31.2),(D24=32.2),(D24=33.2),(D24=[1]FREQUENCIAS!$G$4),(D24=[1]FREQUENCIAS!$G$5),(D24=[1]FREQUENCIAS!$G$6),(D24=[1]FREQUENCIAS!$G$7),(D24=[1]FREQUENCIAS!$G$8),(D24=[1]FREQUENCIAS!$G$9),(D24=[1]FREQUENCIAS!$G$10),(D24=[1]FREQUENCIAS!$G$11),(D24=[1]FREQUENCIAS!$G$12),(D24=[1]FREQUENCIAS!$G$13),(D24=[1]FREQUENCIAS!$G$14),(D24=[1]FREQUENCIAS!$G$15),(D24=[1]FREQUENCIAS!$G$16),(D24=[1]FREQUENCIAS!$G$17),(D24=[1]FREQUENCIAS!$G$18),(D24=[1]FREQUENCIAS!$G$19)),1,CE24))</f>
        <v>1</v>
      </c>
      <c r="AZ24" s="1">
        <f>(IF(OR((E24="&lt;16"),(E24="&gt;51,2"),(E24=16),(E24=16.1),(E24=17.2),(E24=18.2),(E24=19.2),(E24=20.2),(E24=21.2),(E24=51.2),(E24=17),(E24=31.2),(E24=32.2),(E24=33.2),(E24=[1]FREQUENCIAS!$G$4),(E24=[1]FREQUENCIAS!$G$5),(E24=[1]FREQUENCIAS!$G$6),(E24=[1]FREQUENCIAS!$G$7),(E24=[1]FREQUENCIAS!$G$8),(E24=[1]FREQUENCIAS!$G$9),(E24=[1]FREQUENCIAS!$G$10),(E24=[1]FREQUENCIAS!$G$11),(E24=[1]FREQUENCIAS!$G$12),(E24=[1]FREQUENCIAS!$G$13),(E24=[1]FREQUENCIAS!$G$14),(E24=[1]FREQUENCIAS!$G$15),(E24=[1]FREQUENCIAS!$G$16),(E24=[1]FREQUENCIAS!$G$17),(E24=[1]FREQUENCIAS!$G$18),(E24=[1]FREQUENCIAS!$G$19)),1,CF24))</f>
        <v>1</v>
      </c>
      <c r="BA24" s="1">
        <f>(IF(OR((F24="&lt;16"),(F24="&gt;51,2"),(F24=16),(F24=16.1),(F24=17.2),(F24=18.2),(F24=19.2),(F24=20.2),(F24=21.2),(F24=51.2),(F24=17),(F24=31.2),(F24=32.2),(F24=33.2),(F24=[1]FREQUENCIAS!$G$4),(F24=[1]FREQUENCIAS!$G$5),(F24=[1]FREQUENCIAS!$G$6),(F24=[1]FREQUENCIAS!$G$7),(F24=[1]FREQUENCIAS!$G$8),(F24=[1]FREQUENCIAS!$G$9),(F24=[1]FREQUENCIAS!$G$10),(F24=[1]FREQUENCIAS!$G$11),(F24=[1]FREQUENCIAS!$G$12),(F24=[1]FREQUENCIAS!$G$13),(F24=[1]FREQUENCIAS!$G$14),(F24=[1]FREQUENCIAS!$G$15),(F24=[1]FREQUENCIAS!$G$16),(F24=[1]FREQUENCIAS!$G$17),(F24=[1]FREQUENCIAS!$G$18),(F24=[1]FREQUENCIAS!$G$19)),1,CG24))</f>
        <v>1</v>
      </c>
      <c r="BB24" s="1">
        <f>(IF(OR((G24="&lt;16"),(G24="&gt;51,2"),(G24=16),(G24=16.1),(G24=17.2),(G24=18.2),(G24=19.2),(G24=20.2),(G24=21.2),(G24=51.2),(G24=17),(G24=31.2),(G24=32.2),(G24=33.2),(G24=[1]FREQUENCIAS!$G$4),(G24=[1]FREQUENCIAS!$G$5),(G24=[1]FREQUENCIAS!$G$6),(G24=[1]FREQUENCIAS!$G$7),(G24=[1]FREQUENCIAS!$G$8),(G24=[1]FREQUENCIAS!$G$9),(G24=[1]FREQUENCIAS!$G$10),(G24=[1]FREQUENCIAS!$G$11),(G24=[1]FREQUENCIAS!$G$12),(G24=[1]FREQUENCIAS!$G$13),(G24=[1]FREQUENCIAS!$G$14),(G24=[1]FREQUENCIAS!$G$15),(G24=[1]FREQUENCIAS!$G$16),(G24=[1]FREQUENCIAS!$G$17),(G24=[1]FREQUENCIAS!$G$18),(G24=[1]FREQUENCIAS!$G$19)),1,CH24))</f>
        <v>1</v>
      </c>
      <c r="BC24" s="1" t="s">
        <v>329</v>
      </c>
      <c r="BD24" s="492">
        <f t="shared" si="41"/>
        <v>0</v>
      </c>
      <c r="BE24" s="39">
        <f t="shared" si="42"/>
        <v>2.2916666666666667E-3</v>
      </c>
      <c r="BF24" s="14"/>
      <c r="BG24" s="41">
        <f>IF($A24=[1]FREQUENCIAS!$Q$1,[1]FREQUENCIAS!$Q$2,"ERRO NO PE")</f>
        <v>0.48</v>
      </c>
      <c r="BH24" s="498">
        <f>IF($A24=[1]FREQUENCIAS!$Q$1,[1]FREQUENCIAS!$Q$3,"ERRO NA MUT")</f>
        <v>1.1000000000000001E-3</v>
      </c>
      <c r="BI24" s="41">
        <f t="shared" si="11"/>
        <v>1</v>
      </c>
      <c r="BJ24" s="2">
        <f t="shared" si="43"/>
        <v>0</v>
      </c>
      <c r="BL24" s="53">
        <v>17</v>
      </c>
      <c r="BM24" s="53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500" t="str">
        <f t="shared" si="12"/>
        <v/>
      </c>
      <c r="BP24" s="500">
        <f t="shared" si="13"/>
        <v>0</v>
      </c>
      <c r="BQ24" s="500">
        <f t="shared" si="14"/>
        <v>0</v>
      </c>
      <c r="BR24" s="501" t="str">
        <f t="shared" si="15"/>
        <v/>
      </c>
      <c r="BS24" s="501">
        <f t="shared" si="16"/>
        <v>0</v>
      </c>
      <c r="BT24" s="501">
        <f t="shared" si="17"/>
        <v>0</v>
      </c>
      <c r="BU24" s="502" t="str">
        <f t="shared" si="44"/>
        <v/>
      </c>
      <c r="BV24" s="502">
        <f t="shared" si="18"/>
        <v>0</v>
      </c>
      <c r="BW24" s="502">
        <f t="shared" si="19"/>
        <v>0</v>
      </c>
      <c r="BZ24" s="495">
        <v>17</v>
      </c>
      <c r="CA24" s="496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1</v>
      </c>
      <c r="CM24" s="1">
        <f t="shared" si="23"/>
        <v>1</v>
      </c>
      <c r="CN24" s="1">
        <f t="shared" si="24"/>
        <v>1</v>
      </c>
      <c r="CO24" s="1">
        <f t="shared" si="25"/>
        <v>1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8</v>
      </c>
    </row>
    <row r="25" spans="1:96" ht="14.25" customHeight="1" thickTop="1" thickBot="1" x14ac:dyDescent="0.25">
      <c r="A25" s="232" t="str">
        <f>'IMPORTAÇÃO GENOTIPER'!A21</f>
        <v>TPOX</v>
      </c>
      <c r="B25" s="307">
        <f>'IMPORTAÇÃO GENOTIPER'!S21</f>
        <v>0</v>
      </c>
      <c r="C25" s="307">
        <f>'IMPORTAÇÃO GENOTIPER'!AA21</f>
        <v>0</v>
      </c>
      <c r="D25" s="307">
        <f>'IMPORTAÇÃO GENOTIPER'!AI21</f>
        <v>0</v>
      </c>
      <c r="E25" s="307">
        <f>'IMPORTAÇÃO GENOTIPER'!AQ21</f>
        <v>0</v>
      </c>
      <c r="F25" s="480">
        <f>'IMPORTAÇÃO GENOTIPER'!BO21</f>
        <v>0</v>
      </c>
      <c r="G25" s="480">
        <f>'IMPORTAÇÃO GENOTIPER'!BW21</f>
        <v>0</v>
      </c>
      <c r="H25" s="480">
        <f>'IMPORTAÇÃO GENOTIPER'!CE21</f>
        <v>0</v>
      </c>
      <c r="I25" s="480">
        <f>'IMPORTAÇÃO GENOTIPER'!CM21</f>
        <v>0</v>
      </c>
      <c r="J25" s="481">
        <f t="shared" si="29"/>
        <v>0</v>
      </c>
      <c r="K25" s="481">
        <f t="shared" si="29"/>
        <v>0</v>
      </c>
      <c r="L25" s="481">
        <f t="shared" si="29"/>
        <v>0</v>
      </c>
      <c r="M25" s="481">
        <f t="shared" si="30"/>
        <v>0</v>
      </c>
      <c r="N25" s="481">
        <f t="shared" si="31"/>
        <v>0</v>
      </c>
      <c r="O25" s="481">
        <f t="shared" si="31"/>
        <v>0</v>
      </c>
      <c r="P25" s="481">
        <f t="shared" si="31"/>
        <v>0</v>
      </c>
      <c r="Q25" s="481">
        <f t="shared" si="31"/>
        <v>0</v>
      </c>
      <c r="R25" s="482">
        <f t="shared" ref="R25:R42" si="50">IF((J25&gt;K25),K25,J25)</f>
        <v>0</v>
      </c>
      <c r="S25" s="482">
        <f t="shared" si="1"/>
        <v>0</v>
      </c>
      <c r="T25" s="482">
        <f t="shared" ref="T25:T42" si="51">IF((L25&gt;M25),M25,L25)</f>
        <v>0</v>
      </c>
      <c r="U25" s="482">
        <f t="shared" si="2"/>
        <v>0</v>
      </c>
      <c r="V25" s="482">
        <f t="shared" si="3"/>
        <v>0</v>
      </c>
      <c r="W25" s="482">
        <f t="shared" si="4"/>
        <v>0</v>
      </c>
      <c r="X25" s="482">
        <f t="shared" si="32"/>
        <v>0</v>
      </c>
      <c r="Y25" s="482">
        <f t="shared" si="33"/>
        <v>0</v>
      </c>
      <c r="Z25" s="483">
        <f t="shared" si="5"/>
        <v>0</v>
      </c>
      <c r="AA25" s="483">
        <f t="shared" si="6"/>
        <v>0</v>
      </c>
      <c r="AB25" s="484">
        <f t="shared" si="47"/>
        <v>0</v>
      </c>
      <c r="AC25" s="485">
        <f t="shared" si="34"/>
        <v>0</v>
      </c>
      <c r="AD25" s="486">
        <f t="shared" si="35"/>
        <v>0</v>
      </c>
      <c r="AE25" s="486">
        <f t="shared" si="36"/>
        <v>0</v>
      </c>
      <c r="AF25" s="487">
        <f t="shared" si="37"/>
        <v>0</v>
      </c>
      <c r="AG25" s="488">
        <f t="shared" si="38"/>
        <v>0</v>
      </c>
      <c r="AH25" s="489">
        <f>IF(AF25=0,0,VLOOKUP(AF25,[1]FREQUENCIAS!$1:$1048576,(IF(($A25=[1]FREQUENCIAS!$R$1),18,"ERRO")),[1]FREQUENCIAS!$1:$1048576))</f>
        <v>0</v>
      </c>
      <c r="AI25" s="489">
        <f>IF(AG25=0,0,VLOOKUP(AG25,[1]FREQUENCIAS!$1:$1048576,(IF(($A25=[1]FREQUENCIAS!$R$1),18,"ERRO")),[1]FREQUENCIAS!$1:$1048576))</f>
        <v>0</v>
      </c>
      <c r="AJ25" s="490"/>
      <c r="AK25" s="490"/>
      <c r="AL25" s="490"/>
      <c r="AM25" s="124">
        <f t="shared" si="39"/>
        <v>1</v>
      </c>
      <c r="AN25" s="125">
        <f t="shared" si="7"/>
        <v>1</v>
      </c>
      <c r="AO25" s="126">
        <f t="shared" si="8"/>
        <v>0.5</v>
      </c>
      <c r="AP25" s="345" t="s">
        <v>173</v>
      </c>
      <c r="AQ25" s="491">
        <f t="shared" si="9"/>
        <v>0</v>
      </c>
      <c r="AR25" s="345"/>
      <c r="AS25" s="129" t="str">
        <f t="shared" si="10"/>
        <v>MUTAÇÃO</v>
      </c>
      <c r="AT25" s="480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[1]FREQUENCIAS!$G$4),(B25=[1]FREQUENCIAS!$G$5),(B25=[1]FREQUENCIAS!$G$6),(B25=[1]FREQUENCIAS!$G$7),(B25=[1]FREQUENCIAS!$G$8),(B25=[1]FREQUENCIAS!$G$9),(B25=[1]FREQUENCIAS!$G$10),(B25=[1]FREQUENCIAS!$G$11),(B25=[1]FREQUENCIAS!$G$12),(B25=[1]FREQUENCIAS!$G$13),(B25=[1]FREQUENCIAS!$G$14),(B25=[1]FREQUENCIAS!$G$15),(B25=[1]FREQUENCIAS!$G$16),(B25=[1]FREQUENCIAS!$G$17),(B25=[1]FREQUENCIAS!$G$18),(B25=[1]FREQUENCIAS!$G$19)),1,CC25))</f>
        <v>1</v>
      </c>
      <c r="AX25" s="1">
        <f>(IF(OR((C25="&lt;16"),(C25="&gt;51,2"),(C25=16),(C25=16.1),(C25=17.2),(C25=18.2),(C25=19.2),(C25=20.2),(C25=21.2),(C25=51.2),(C25=17),(C25=31.2),(C25=32.2),(C25=33.2),(C25=[1]FREQUENCIAS!$G$4),(C25=[1]FREQUENCIAS!$G$5),(C25=[1]FREQUENCIAS!$G$6),(C25=[1]FREQUENCIAS!$G$7),(C25=[1]FREQUENCIAS!$G$8),(C25=[1]FREQUENCIAS!$G$9),(C25=[1]FREQUENCIAS!$G$10),(C25=[1]FREQUENCIAS!$G$11),(C25=[1]FREQUENCIAS!$G$12),(C25=[1]FREQUENCIAS!$G$13),(C25=[1]FREQUENCIAS!$G$14),(C25=[1]FREQUENCIAS!$G$15),(C25=[1]FREQUENCIAS!$G$16),(C25=[1]FREQUENCIAS!$G$17),(C25=[1]FREQUENCIAS!$G$18),(C25=[1]FREQUENCIAS!$G$19)),1,CD25))</f>
        <v>1</v>
      </c>
      <c r="AY25" s="1">
        <f>(IF(OR((D25="&lt;16"),(D25="&gt;51,2"),(D25=16),(D25=16.1),(D25=17.2),(D25=18.2),(D25=19.2),(D25=20.2),(D25=21.2),(D25=51.2),(D25=17),(D25=31.2),(D25=32.2),(D25=33.2),(D25=[1]FREQUENCIAS!$G$4),(D25=[1]FREQUENCIAS!$G$5),(D25=[1]FREQUENCIAS!$G$6),(D25=[1]FREQUENCIAS!$G$7),(D25=[1]FREQUENCIAS!$G$8),(D25=[1]FREQUENCIAS!$G$9),(D25=[1]FREQUENCIAS!$G$10),(D25=[1]FREQUENCIAS!$G$11),(D25=[1]FREQUENCIAS!$G$12),(D25=[1]FREQUENCIAS!$G$13),(D25=[1]FREQUENCIAS!$G$14),(D25=[1]FREQUENCIAS!$G$15),(D25=[1]FREQUENCIAS!$G$16),(D25=[1]FREQUENCIAS!$G$17),(D25=[1]FREQUENCIAS!$G$18),(D25=[1]FREQUENCIAS!$G$19)),1,CE25))</f>
        <v>1</v>
      </c>
      <c r="AZ25" s="1">
        <f>(IF(OR((E25="&lt;16"),(E25="&gt;51,2"),(E25=16),(E25=16.1),(E25=17.2),(E25=18.2),(E25=19.2),(E25=20.2),(E25=21.2),(E25=51.2),(E25=17),(E25=31.2),(E25=32.2),(E25=33.2),(E25=[1]FREQUENCIAS!$G$4),(E25=[1]FREQUENCIAS!$G$5),(E25=[1]FREQUENCIAS!$G$6),(E25=[1]FREQUENCIAS!$G$7),(E25=[1]FREQUENCIAS!$G$8),(E25=[1]FREQUENCIAS!$G$9),(E25=[1]FREQUENCIAS!$G$10),(E25=[1]FREQUENCIAS!$G$11),(E25=[1]FREQUENCIAS!$G$12),(E25=[1]FREQUENCIAS!$G$13),(E25=[1]FREQUENCIAS!$G$14),(E25=[1]FREQUENCIAS!$G$15),(E25=[1]FREQUENCIAS!$G$16),(E25=[1]FREQUENCIAS!$G$17),(E25=[1]FREQUENCIAS!$G$18),(E25=[1]FREQUENCIAS!$G$19)),1,CF25))</f>
        <v>1</v>
      </c>
      <c r="BA25" s="1">
        <f>(IF(OR((F25="&lt;16"),(F25="&gt;51,2"),(F25=16),(F25=16.1),(F25=17.2),(F25=18.2),(F25=19.2),(F25=20.2),(F25=21.2),(F25=51.2),(F25=17),(F25=31.2),(F25=32.2),(F25=33.2),(F25=[1]FREQUENCIAS!$G$4),(F25=[1]FREQUENCIAS!$G$5),(F25=[1]FREQUENCIAS!$G$6),(F25=[1]FREQUENCIAS!$G$7),(F25=[1]FREQUENCIAS!$G$8),(F25=[1]FREQUENCIAS!$G$9),(F25=[1]FREQUENCIAS!$G$10),(F25=[1]FREQUENCIAS!$G$11),(F25=[1]FREQUENCIAS!$G$12),(F25=[1]FREQUENCIAS!$G$13),(F25=[1]FREQUENCIAS!$G$14),(F25=[1]FREQUENCIAS!$G$15),(F25=[1]FREQUENCIAS!$G$16),(F25=[1]FREQUENCIAS!$G$17),(F25=[1]FREQUENCIAS!$G$18),(F25=[1]FREQUENCIAS!$G$19)),1,CG25))</f>
        <v>1</v>
      </c>
      <c r="BB25" s="1">
        <f>(IF(OR((G25="&lt;16"),(G25="&gt;51,2"),(G25=16),(G25=16.1),(G25=17.2),(G25=18.2),(G25=19.2),(G25=20.2),(G25=21.2),(G25=51.2),(G25=17),(G25=31.2),(G25=32.2),(G25=33.2),(G25=[1]FREQUENCIAS!$G$4),(G25=[1]FREQUENCIAS!$G$5),(G25=[1]FREQUENCIAS!$G$6),(G25=[1]FREQUENCIAS!$G$7),(G25=[1]FREQUENCIAS!$G$8),(G25=[1]FREQUENCIAS!$G$9),(G25=[1]FREQUENCIAS!$G$10),(G25=[1]FREQUENCIAS!$G$11),(G25=[1]FREQUENCIAS!$G$12),(G25=[1]FREQUENCIAS!$G$13),(G25=[1]FREQUENCIAS!$G$14),(G25=[1]FREQUENCIAS!$G$15),(G25=[1]FREQUENCIAS!$G$16),(G25=[1]FREQUENCIAS!$G$17),(G25=[1]FREQUENCIAS!$G$18),(G25=[1]FREQUENCIAS!$G$19)),1,CH25))</f>
        <v>1</v>
      </c>
      <c r="BC25" s="1" t="s">
        <v>329</v>
      </c>
      <c r="BD25" s="492">
        <f t="shared" si="41"/>
        <v>0</v>
      </c>
      <c r="BE25" s="39">
        <f t="shared" si="42"/>
        <v>2.4813895781637717E-4</v>
      </c>
      <c r="BF25" s="14"/>
      <c r="BG25" s="41">
        <f>IF($A25=[1]FREQUENCIAS!$R$1,[1]FREQUENCIAS!$R$2,"ERRO NO PE")</f>
        <v>0.40300000000000002</v>
      </c>
      <c r="BH25" s="498">
        <f>IF($A25=[1]FREQUENCIAS!$R$1,[1]FREQUENCIAS!$R$3,"ERRO NA MUT")</f>
        <v>1E-4</v>
      </c>
      <c r="BI25" s="41">
        <f t="shared" si="11"/>
        <v>1</v>
      </c>
      <c r="BJ25" s="2">
        <f t="shared" si="43"/>
        <v>0</v>
      </c>
      <c r="BL25" s="53">
        <v>17</v>
      </c>
      <c r="BM25" s="53">
        <v>33.200000000000003</v>
      </c>
      <c r="BN25" s="1" t="str">
        <f t="shared" si="48"/>
        <v>ALELO ERRADO</v>
      </c>
      <c r="BO25" s="500" t="str">
        <f t="shared" si="12"/>
        <v/>
      </c>
      <c r="BP25" s="500">
        <f t="shared" si="13"/>
        <v>0</v>
      </c>
      <c r="BQ25" s="500">
        <f t="shared" si="14"/>
        <v>0</v>
      </c>
      <c r="BR25" s="501" t="str">
        <f t="shared" si="15"/>
        <v/>
      </c>
      <c r="BS25" s="501">
        <f t="shared" si="16"/>
        <v>0</v>
      </c>
      <c r="BT25" s="501">
        <f t="shared" si="17"/>
        <v>0</v>
      </c>
      <c r="BU25" s="502" t="str">
        <f t="shared" si="44"/>
        <v/>
      </c>
      <c r="BV25" s="502">
        <f t="shared" si="18"/>
        <v>0</v>
      </c>
      <c r="BW25" s="502">
        <f t="shared" si="19"/>
        <v>0</v>
      </c>
      <c r="BZ25" s="495">
        <v>17</v>
      </c>
      <c r="CA25" s="496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1</v>
      </c>
      <c r="CL25" s="1">
        <f t="shared" si="22"/>
        <v>1</v>
      </c>
      <c r="CM25" s="1">
        <f t="shared" si="23"/>
        <v>1</v>
      </c>
      <c r="CN25" s="1">
        <f t="shared" si="24"/>
        <v>1</v>
      </c>
      <c r="CO25" s="1">
        <f t="shared" si="25"/>
        <v>1</v>
      </c>
      <c r="CP25" s="1">
        <f t="shared" si="26"/>
        <v>1</v>
      </c>
      <c r="CQ25" s="1">
        <f t="shared" si="27"/>
        <v>1</v>
      </c>
      <c r="CR25" s="1">
        <f t="shared" si="49"/>
        <v>8</v>
      </c>
    </row>
    <row r="26" spans="1:96" ht="14.25" customHeight="1" thickTop="1" thickBot="1" x14ac:dyDescent="0.25">
      <c r="A26" s="232" t="str">
        <f>'IMPORTAÇÃO GENOTIPER'!A22</f>
        <v>D8S1179</v>
      </c>
      <c r="B26" s="307">
        <f>'IMPORTAÇÃO GENOTIPER'!S22</f>
        <v>0</v>
      </c>
      <c r="C26" s="307">
        <f>'IMPORTAÇÃO GENOTIPER'!AA22</f>
        <v>0</v>
      </c>
      <c r="D26" s="307">
        <f>'IMPORTAÇÃO GENOTIPER'!AI22</f>
        <v>0</v>
      </c>
      <c r="E26" s="307">
        <f>'IMPORTAÇÃO GENOTIPER'!AQ22</f>
        <v>0</v>
      </c>
      <c r="F26" s="480">
        <f>'IMPORTAÇÃO GENOTIPER'!BO22</f>
        <v>0</v>
      </c>
      <c r="G26" s="480">
        <f>'IMPORTAÇÃO GENOTIPER'!BW22</f>
        <v>0</v>
      </c>
      <c r="H26" s="480">
        <f>'IMPORTAÇÃO GENOTIPER'!CE22</f>
        <v>0</v>
      </c>
      <c r="I26" s="480">
        <f>'IMPORTAÇÃO GENOTIPER'!CM22</f>
        <v>0</v>
      </c>
      <c r="J26" s="481">
        <f t="shared" ref="J26:L41" si="52">(IF(CODE(D26)=(60),($BL26-1),(IF(CODE(D26)=(62),($BM26+1),B26))))</f>
        <v>0</v>
      </c>
      <c r="K26" s="481">
        <f t="shared" si="52"/>
        <v>0</v>
      </c>
      <c r="L26" s="481">
        <f t="shared" si="52"/>
        <v>0</v>
      </c>
      <c r="M26" s="481">
        <f t="shared" si="30"/>
        <v>0</v>
      </c>
      <c r="N26" s="481">
        <f t="shared" ref="N26:Q41" si="53">(IF(CODE(H26)=(60),($BL26-1),(IF(CODE(H26)=(62),($BM26+1),F26))))</f>
        <v>0</v>
      </c>
      <c r="O26" s="481">
        <f t="shared" si="53"/>
        <v>0</v>
      </c>
      <c r="P26" s="481">
        <f t="shared" si="53"/>
        <v>0</v>
      </c>
      <c r="Q26" s="481">
        <f t="shared" si="53"/>
        <v>0</v>
      </c>
      <c r="R26" s="482">
        <f t="shared" si="50"/>
        <v>0</v>
      </c>
      <c r="S26" s="482">
        <f t="shared" si="1"/>
        <v>0</v>
      </c>
      <c r="T26" s="482">
        <f t="shared" si="51"/>
        <v>0</v>
      </c>
      <c r="U26" s="482">
        <f t="shared" si="2"/>
        <v>0</v>
      </c>
      <c r="V26" s="482">
        <f t="shared" si="3"/>
        <v>0</v>
      </c>
      <c r="W26" s="482">
        <f t="shared" si="4"/>
        <v>0</v>
      </c>
      <c r="X26" s="482">
        <f t="shared" si="32"/>
        <v>0</v>
      </c>
      <c r="Y26" s="482">
        <f t="shared" si="33"/>
        <v>0</v>
      </c>
      <c r="Z26" s="483">
        <f t="shared" si="5"/>
        <v>0</v>
      </c>
      <c r="AA26" s="483">
        <f t="shared" si="6"/>
        <v>0</v>
      </c>
      <c r="AB26" s="484">
        <f t="shared" si="47"/>
        <v>0</v>
      </c>
      <c r="AC26" s="485">
        <f t="shared" si="34"/>
        <v>0</v>
      </c>
      <c r="AD26" s="486">
        <f t="shared" si="35"/>
        <v>0</v>
      </c>
      <c r="AE26" s="486">
        <f t="shared" si="36"/>
        <v>0</v>
      </c>
      <c r="AF26" s="487">
        <f t="shared" si="37"/>
        <v>0</v>
      </c>
      <c r="AG26" s="488">
        <f t="shared" si="38"/>
        <v>0</v>
      </c>
      <c r="AH26" s="489">
        <f>IF(AF26=0,0,VLOOKUP(AF26,[1]FREQUENCIAS!$1:$1048576,(IF(($A26=[1]FREQUENCIAS!$S$1),19,"ERRO")),[1]FREQUENCIAS!$1:$1048576))</f>
        <v>0</v>
      </c>
      <c r="AI26" s="489">
        <f>IF(AG26=0,0,VLOOKUP(AG26,[1]FREQUENCIAS!$1:$1048576,(IF(($A26=[1]FREQUENCIAS!$S$1),19,"ERRO")),[1]FREQUENCIAS!$1:$1048576))</f>
        <v>0</v>
      </c>
      <c r="AJ26" s="490"/>
      <c r="AK26" s="490"/>
      <c r="AL26" s="490"/>
      <c r="AM26" s="124">
        <f t="shared" si="39"/>
        <v>1</v>
      </c>
      <c r="AN26" s="125">
        <f t="shared" si="7"/>
        <v>1</v>
      </c>
      <c r="AO26" s="126">
        <f t="shared" si="8"/>
        <v>0.5</v>
      </c>
      <c r="AP26" s="345" t="s">
        <v>173</v>
      </c>
      <c r="AQ26" s="491">
        <f t="shared" si="9"/>
        <v>0</v>
      </c>
      <c r="AR26" s="345"/>
      <c r="AS26" s="129" t="str">
        <f t="shared" si="10"/>
        <v>MUTAÇÃO</v>
      </c>
      <c r="AT26" s="480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[1]FREQUENCIAS!$G$4),(B26=[1]FREQUENCIAS!$G$5),(B26=[1]FREQUENCIAS!$G$6),(B26=[1]FREQUENCIAS!$G$7),(B26=[1]FREQUENCIAS!$G$8),(B26=[1]FREQUENCIAS!$G$9),(B26=[1]FREQUENCIAS!$G$10),(B26=[1]FREQUENCIAS!$G$11),(B26=[1]FREQUENCIAS!$G$12),(B26=[1]FREQUENCIAS!$G$13),(B26=[1]FREQUENCIAS!$G$14),(B26=[1]FREQUENCIAS!$G$15),(B26=[1]FREQUENCIAS!$G$16),(B26=[1]FREQUENCIAS!$G$17),(B26=[1]FREQUENCIAS!$G$18),(B26=[1]FREQUENCIAS!$G$19)),1,CC26))</f>
        <v>1</v>
      </c>
      <c r="AX26" s="1">
        <f>(IF(OR((C26="&lt;16"),(C26="&gt;51,2"),(C26=16),(C26=16.1),(C26=17.2),(C26=18.2),(C26=19.2),(C26=20.2),(C26=21.2),(C26=51.2),(C26=17),(C26=31.2),(C26=32.2),(C26=33.2),(C26=[1]FREQUENCIAS!$G$4),(C26=[1]FREQUENCIAS!$G$5),(C26=[1]FREQUENCIAS!$G$6),(C26=[1]FREQUENCIAS!$G$7),(C26=[1]FREQUENCIAS!$G$8),(C26=[1]FREQUENCIAS!$G$9),(C26=[1]FREQUENCIAS!$G$10),(C26=[1]FREQUENCIAS!$G$11),(C26=[1]FREQUENCIAS!$G$12),(C26=[1]FREQUENCIAS!$G$13),(C26=[1]FREQUENCIAS!$G$14),(C26=[1]FREQUENCIAS!$G$15),(C26=[1]FREQUENCIAS!$G$16),(C26=[1]FREQUENCIAS!$G$17),(C26=[1]FREQUENCIAS!$G$18),(C26=[1]FREQUENCIAS!$G$19)),1,CD26))</f>
        <v>1</v>
      </c>
      <c r="AY26" s="1">
        <f>(IF(OR((D26="&lt;16"),(D26="&gt;51,2"),(D26=16),(D26=16.1),(D26=17.2),(D26=18.2),(D26=19.2),(D26=20.2),(D26=21.2),(D26=51.2),(D26=17),(D26=31.2),(D26=32.2),(D26=33.2),(D26=[1]FREQUENCIAS!$G$4),(D26=[1]FREQUENCIAS!$G$5),(D26=[1]FREQUENCIAS!$G$6),(D26=[1]FREQUENCIAS!$G$7),(D26=[1]FREQUENCIAS!$G$8),(D26=[1]FREQUENCIAS!$G$9),(D26=[1]FREQUENCIAS!$G$10),(D26=[1]FREQUENCIAS!$G$11),(D26=[1]FREQUENCIAS!$G$12),(D26=[1]FREQUENCIAS!$G$13),(D26=[1]FREQUENCIAS!$G$14),(D26=[1]FREQUENCIAS!$G$15),(D26=[1]FREQUENCIAS!$G$16),(D26=[1]FREQUENCIAS!$G$17),(D26=[1]FREQUENCIAS!$G$18),(D26=[1]FREQUENCIAS!$G$19)),1,CE26))</f>
        <v>1</v>
      </c>
      <c r="AZ26" s="1">
        <f>(IF(OR((E26="&lt;16"),(E26="&gt;51,2"),(E26=16),(E26=16.1),(E26=17.2),(E26=18.2),(E26=19.2),(E26=20.2),(E26=21.2),(E26=51.2),(E26=17),(E26=31.2),(E26=32.2),(E26=33.2),(E26=[1]FREQUENCIAS!$G$4),(E26=[1]FREQUENCIAS!$G$5),(E26=[1]FREQUENCIAS!$G$6),(E26=[1]FREQUENCIAS!$G$7),(E26=[1]FREQUENCIAS!$G$8),(E26=[1]FREQUENCIAS!$G$9),(E26=[1]FREQUENCIAS!$G$10),(E26=[1]FREQUENCIAS!$G$11),(E26=[1]FREQUENCIAS!$G$12),(E26=[1]FREQUENCIAS!$G$13),(E26=[1]FREQUENCIAS!$G$14),(E26=[1]FREQUENCIAS!$G$15),(E26=[1]FREQUENCIAS!$G$16),(E26=[1]FREQUENCIAS!$G$17),(E26=[1]FREQUENCIAS!$G$18),(E26=[1]FREQUENCIAS!$G$19)),1,CF26))</f>
        <v>1</v>
      </c>
      <c r="BA26" s="1">
        <f>(IF(OR((F26="&lt;16"),(F26="&gt;51,2"),(F26=16),(F26=16.1),(F26=17.2),(F26=18.2),(F26=19.2),(F26=20.2),(F26=21.2),(F26=51.2),(F26=17),(F26=31.2),(F26=32.2),(F26=33.2),(F26=[1]FREQUENCIAS!$G$4),(F26=[1]FREQUENCIAS!$G$5),(F26=[1]FREQUENCIAS!$G$6),(F26=[1]FREQUENCIAS!$G$7),(F26=[1]FREQUENCIAS!$G$8),(F26=[1]FREQUENCIAS!$G$9),(F26=[1]FREQUENCIAS!$G$10),(F26=[1]FREQUENCIAS!$G$11),(F26=[1]FREQUENCIAS!$G$12),(F26=[1]FREQUENCIAS!$G$13),(F26=[1]FREQUENCIAS!$G$14),(F26=[1]FREQUENCIAS!$G$15),(F26=[1]FREQUENCIAS!$G$16),(F26=[1]FREQUENCIAS!$G$17),(F26=[1]FREQUENCIAS!$G$18),(F26=[1]FREQUENCIAS!$G$19)),1,CG26))</f>
        <v>1</v>
      </c>
      <c r="BB26" s="1">
        <f>(IF(OR((G26="&lt;16"),(G26="&gt;51,2"),(G26=16),(G26=16.1),(G26=17.2),(G26=18.2),(G26=19.2),(G26=20.2),(G26=21.2),(G26=51.2),(G26=17),(G26=31.2),(G26=32.2),(G26=33.2),(G26=[1]FREQUENCIAS!$G$4),(G26=[1]FREQUENCIAS!$G$5),(G26=[1]FREQUENCIAS!$G$6),(G26=[1]FREQUENCIAS!$G$7),(G26=[1]FREQUENCIAS!$G$8),(G26=[1]FREQUENCIAS!$G$9),(G26=[1]FREQUENCIAS!$G$10),(G26=[1]FREQUENCIAS!$G$11),(G26=[1]FREQUENCIAS!$G$12),(G26=[1]FREQUENCIAS!$G$13),(G26=[1]FREQUENCIAS!$G$14),(G26=[1]FREQUENCIAS!$G$15),(G26=[1]FREQUENCIAS!$G$16),(G26=[1]FREQUENCIAS!$G$17),(G26=[1]FREQUENCIAS!$G$18),(G26=[1]FREQUENCIAS!$G$19)),1,CH26))</f>
        <v>1</v>
      </c>
      <c r="BC26" s="1" t="s">
        <v>329</v>
      </c>
      <c r="BD26" s="492">
        <f t="shared" si="41"/>
        <v>0</v>
      </c>
      <c r="BE26" s="39">
        <f t="shared" si="42"/>
        <v>2.2838499184339315E-3</v>
      </c>
      <c r="BF26" s="14"/>
      <c r="BG26" s="41">
        <f>IF($A26=[1]FREQUENCIAS!$S$1,[1]FREQUENCIAS!$S$2,"ERRO NO PE")</f>
        <v>0.61299999999999999</v>
      </c>
      <c r="BH26" s="498">
        <f>IF($A26=[1]FREQUENCIAS!$S$1,[1]FREQUENCIAS!$S$3,"ERRO NA MUT")</f>
        <v>1.4E-3</v>
      </c>
      <c r="BI26" s="41">
        <f t="shared" si="11"/>
        <v>1</v>
      </c>
      <c r="BJ26" s="2">
        <f t="shared" si="43"/>
        <v>0</v>
      </c>
      <c r="BL26" s="53">
        <v>17</v>
      </c>
      <c r="BM26" s="53">
        <v>33.200000000000003</v>
      </c>
      <c r="BN26" s="1" t="str">
        <f t="shared" si="48"/>
        <v>ALELO ERRADO</v>
      </c>
      <c r="BO26" s="500" t="str">
        <f t="shared" si="12"/>
        <v/>
      </c>
      <c r="BP26" s="500">
        <f t="shared" si="13"/>
        <v>0</v>
      </c>
      <c r="BQ26" s="500">
        <f t="shared" si="14"/>
        <v>0</v>
      </c>
      <c r="BR26" s="501" t="str">
        <f t="shared" si="15"/>
        <v/>
      </c>
      <c r="BS26" s="501">
        <f t="shared" si="16"/>
        <v>0</v>
      </c>
      <c r="BT26" s="501">
        <f t="shared" si="17"/>
        <v>0</v>
      </c>
      <c r="BU26" s="502" t="str">
        <f t="shared" si="44"/>
        <v/>
      </c>
      <c r="BV26" s="502">
        <f t="shared" si="18"/>
        <v>0</v>
      </c>
      <c r="BW26" s="502">
        <f t="shared" si="19"/>
        <v>0</v>
      </c>
      <c r="BZ26" s="495">
        <v>17</v>
      </c>
      <c r="CA26" s="496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1</v>
      </c>
      <c r="CK26" s="1">
        <f t="shared" si="21"/>
        <v>1</v>
      </c>
      <c r="CL26" s="1">
        <f t="shared" si="22"/>
        <v>1</v>
      </c>
      <c r="CM26" s="1">
        <f t="shared" si="23"/>
        <v>1</v>
      </c>
      <c r="CN26" s="1">
        <f t="shared" si="24"/>
        <v>1</v>
      </c>
      <c r="CO26" s="1">
        <f t="shared" si="25"/>
        <v>1</v>
      </c>
      <c r="CP26" s="1">
        <f t="shared" si="26"/>
        <v>1</v>
      </c>
      <c r="CQ26" s="1">
        <f t="shared" si="27"/>
        <v>1</v>
      </c>
      <c r="CR26" s="1">
        <f t="shared" si="49"/>
        <v>8</v>
      </c>
    </row>
    <row r="27" spans="1:96" ht="14.25" customHeight="1" thickTop="1" thickBot="1" x14ac:dyDescent="0.25">
      <c r="A27" s="232" t="str">
        <f>'IMPORTAÇÃO GENOTIPER'!A23</f>
        <v>D12S391</v>
      </c>
      <c r="B27" s="307">
        <f>'IMPORTAÇÃO GENOTIPER'!S23</f>
        <v>0</v>
      </c>
      <c r="C27" s="307">
        <f>'IMPORTAÇÃO GENOTIPER'!AA23</f>
        <v>0</v>
      </c>
      <c r="D27" s="307">
        <f>'IMPORTAÇÃO GENOTIPER'!AI23</f>
        <v>0</v>
      </c>
      <c r="E27" s="307">
        <f>'IMPORTAÇÃO GENOTIPER'!AQ23</f>
        <v>0</v>
      </c>
      <c r="F27" s="480">
        <f>'IMPORTAÇÃO GENOTIPER'!BO23</f>
        <v>0</v>
      </c>
      <c r="G27" s="480">
        <f>'IMPORTAÇÃO GENOTIPER'!BW23</f>
        <v>0</v>
      </c>
      <c r="H27" s="480">
        <f>'IMPORTAÇÃO GENOTIPER'!CE23</f>
        <v>0</v>
      </c>
      <c r="I27" s="480">
        <f>'IMPORTAÇÃO GENOTIPER'!CM23</f>
        <v>0</v>
      </c>
      <c r="J27" s="481">
        <f t="shared" si="52"/>
        <v>0</v>
      </c>
      <c r="K27" s="481">
        <f t="shared" si="52"/>
        <v>0</v>
      </c>
      <c r="L27" s="481">
        <f t="shared" si="52"/>
        <v>0</v>
      </c>
      <c r="M27" s="481">
        <f t="shared" si="30"/>
        <v>0</v>
      </c>
      <c r="N27" s="481">
        <f t="shared" si="53"/>
        <v>0</v>
      </c>
      <c r="O27" s="481">
        <f t="shared" si="53"/>
        <v>0</v>
      </c>
      <c r="P27" s="481">
        <f t="shared" si="53"/>
        <v>0</v>
      </c>
      <c r="Q27" s="481">
        <f t="shared" si="53"/>
        <v>0</v>
      </c>
      <c r="R27" s="482">
        <f t="shared" si="50"/>
        <v>0</v>
      </c>
      <c r="S27" s="482">
        <f t="shared" si="1"/>
        <v>0</v>
      </c>
      <c r="T27" s="482">
        <f t="shared" si="51"/>
        <v>0</v>
      </c>
      <c r="U27" s="482">
        <f t="shared" si="2"/>
        <v>0</v>
      </c>
      <c r="V27" s="482">
        <f t="shared" si="3"/>
        <v>0</v>
      </c>
      <c r="W27" s="482">
        <f t="shared" si="4"/>
        <v>0</v>
      </c>
      <c r="X27" s="482">
        <f t="shared" si="32"/>
        <v>0</v>
      </c>
      <c r="Y27" s="482">
        <f t="shared" si="33"/>
        <v>0</v>
      </c>
      <c r="Z27" s="483">
        <f t="shared" si="5"/>
        <v>0</v>
      </c>
      <c r="AA27" s="483">
        <f t="shared" si="6"/>
        <v>0</v>
      </c>
      <c r="AB27" s="484">
        <f t="shared" si="47"/>
        <v>0</v>
      </c>
      <c r="AC27" s="485">
        <f t="shared" si="34"/>
        <v>0</v>
      </c>
      <c r="AD27" s="486">
        <f t="shared" si="35"/>
        <v>0</v>
      </c>
      <c r="AE27" s="486">
        <f t="shared" si="36"/>
        <v>0</v>
      </c>
      <c r="AF27" s="487">
        <f t="shared" si="37"/>
        <v>0</v>
      </c>
      <c r="AG27" s="488">
        <f t="shared" si="38"/>
        <v>0</v>
      </c>
      <c r="AH27" s="489">
        <f>IF(AF27=0,0,VLOOKUP(AF27,[1]FREQUENCIAS!$1:$1048576,(IF(($A27=[1]FREQUENCIAS!$T$1),20,"ERRO")),[1]FREQUENCIAS!$1:$1048576))</f>
        <v>0</v>
      </c>
      <c r="AI27" s="489">
        <f>IF(AG27=0,0,VLOOKUP(AG27,[1]FREQUENCIAS!$1:$1048576,(IF(($A27=[1]FREQUENCIAS!$T$1),20,"ERRO")),[1]FREQUENCIAS!$1:$1048576))</f>
        <v>0</v>
      </c>
      <c r="AJ27" s="490"/>
      <c r="AK27" s="490"/>
      <c r="AL27" s="490"/>
      <c r="AM27" s="124">
        <f t="shared" si="39"/>
        <v>1</v>
      </c>
      <c r="AN27" s="125">
        <f t="shared" si="7"/>
        <v>1</v>
      </c>
      <c r="AO27" s="126">
        <f t="shared" si="8"/>
        <v>0.5</v>
      </c>
      <c r="AP27" s="345" t="s">
        <v>173</v>
      </c>
      <c r="AQ27" s="491">
        <f t="shared" si="9"/>
        <v>0</v>
      </c>
      <c r="AR27" s="345"/>
      <c r="AS27" s="129" t="str">
        <f t="shared" si="10"/>
        <v>MUTAÇÃO</v>
      </c>
      <c r="AT27" s="480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[1]FREQUENCIAS!$G$4),(B27=[1]FREQUENCIAS!$G$5),(B27=[1]FREQUENCIAS!$G$6),(B27=[1]FREQUENCIAS!$G$7),(B27=[1]FREQUENCIAS!$G$8),(B27=[1]FREQUENCIAS!$G$9),(B27=[1]FREQUENCIAS!$G$10),(B27=[1]FREQUENCIAS!$G$11),(B27=[1]FREQUENCIAS!$G$12),(B27=[1]FREQUENCIAS!$G$13),(B27=[1]FREQUENCIAS!$G$14),(B27=[1]FREQUENCIAS!$G$15),(B27=[1]FREQUENCIAS!$G$16),(B27=[1]FREQUENCIAS!$G$17),(B27=[1]FREQUENCIAS!$G$18),(B27=[1]FREQUENCIAS!$G$19)),1,CC27))</f>
        <v>1</v>
      </c>
      <c r="AX27" s="1">
        <f>(IF(OR((C27="&lt;16"),(C27="&gt;51,2"),(C27=16),(C27=16.1),(C27=17.2),(C27=18.2),(C27=19.2),(C27=20.2),(C27=21.2),(C27=51.2),(C27=17),(C27=31.2),(C27=32.2),(C27=33.2),(C27=[1]FREQUENCIAS!$G$4),(C27=[1]FREQUENCIAS!$G$5),(C27=[1]FREQUENCIAS!$G$6),(C27=[1]FREQUENCIAS!$G$7),(C27=[1]FREQUENCIAS!$G$8),(C27=[1]FREQUENCIAS!$G$9),(C27=[1]FREQUENCIAS!$G$10),(C27=[1]FREQUENCIAS!$G$11),(C27=[1]FREQUENCIAS!$G$12),(C27=[1]FREQUENCIAS!$G$13),(C27=[1]FREQUENCIAS!$G$14),(C27=[1]FREQUENCIAS!$G$15),(C27=[1]FREQUENCIAS!$G$16),(C27=[1]FREQUENCIAS!$G$17),(C27=[1]FREQUENCIAS!$G$18),(C27=[1]FREQUENCIAS!$G$19)),1,CD27))</f>
        <v>1</v>
      </c>
      <c r="AY27" s="1">
        <f>(IF(OR((D27="&lt;16"),(D27="&gt;51,2"),(D27=16),(D27=16.1),(D27=17.2),(D27=18.2),(D27=19.2),(D27=20.2),(D27=21.2),(D27=51.2),(D27=17),(D27=31.2),(D27=32.2),(D27=33.2),(D27=[1]FREQUENCIAS!$G$4),(D27=[1]FREQUENCIAS!$G$5),(D27=[1]FREQUENCIAS!$G$6),(D27=[1]FREQUENCIAS!$G$7),(D27=[1]FREQUENCIAS!$G$8),(D27=[1]FREQUENCIAS!$G$9),(D27=[1]FREQUENCIAS!$G$10),(D27=[1]FREQUENCIAS!$G$11),(D27=[1]FREQUENCIAS!$G$12),(D27=[1]FREQUENCIAS!$G$13),(D27=[1]FREQUENCIAS!$G$14),(D27=[1]FREQUENCIAS!$G$15),(D27=[1]FREQUENCIAS!$G$16),(D27=[1]FREQUENCIAS!$G$17),(D27=[1]FREQUENCIAS!$G$18),(D27=[1]FREQUENCIAS!$G$19)),1,CE27))</f>
        <v>1</v>
      </c>
      <c r="AZ27" s="1">
        <f>(IF(OR((E27="&lt;16"),(E27="&gt;51,2"),(E27=16),(E27=16.1),(E27=17.2),(E27=18.2),(E27=19.2),(E27=20.2),(E27=21.2),(E27=51.2),(E27=17),(E27=31.2),(E27=32.2),(E27=33.2),(E27=[1]FREQUENCIAS!$G$4),(E27=[1]FREQUENCIAS!$G$5),(E27=[1]FREQUENCIAS!$G$6),(E27=[1]FREQUENCIAS!$G$7),(E27=[1]FREQUENCIAS!$G$8),(E27=[1]FREQUENCIAS!$G$9),(E27=[1]FREQUENCIAS!$G$10),(E27=[1]FREQUENCIAS!$G$11),(E27=[1]FREQUENCIAS!$G$12),(E27=[1]FREQUENCIAS!$G$13),(E27=[1]FREQUENCIAS!$G$14),(E27=[1]FREQUENCIAS!$G$15),(E27=[1]FREQUENCIAS!$G$16),(E27=[1]FREQUENCIAS!$G$17),(E27=[1]FREQUENCIAS!$G$18),(E27=[1]FREQUENCIAS!$G$19)),1,CF27))</f>
        <v>1</v>
      </c>
      <c r="BA27" s="1">
        <f>(IF(OR((F27="&lt;16"),(F27="&gt;51,2"),(F27=16),(F27=16.1),(F27=17.2),(F27=18.2),(F27=19.2),(F27=20.2),(F27=21.2),(F27=51.2),(F27=17),(F27=31.2),(F27=32.2),(F27=33.2),(F27=[1]FREQUENCIAS!$G$4),(F27=[1]FREQUENCIAS!$G$5),(F27=[1]FREQUENCIAS!$G$6),(F27=[1]FREQUENCIAS!$G$7),(F27=[1]FREQUENCIAS!$G$8),(F27=[1]FREQUENCIAS!$G$9),(F27=[1]FREQUENCIAS!$G$10),(F27=[1]FREQUENCIAS!$G$11),(F27=[1]FREQUENCIAS!$G$12),(F27=[1]FREQUENCIAS!$G$13),(F27=[1]FREQUENCIAS!$G$14),(F27=[1]FREQUENCIAS!$G$15),(F27=[1]FREQUENCIAS!$G$16),(F27=[1]FREQUENCIAS!$G$17),(F27=[1]FREQUENCIAS!$G$18),(F27=[1]FREQUENCIAS!$G$19)),1,CG27))</f>
        <v>1</v>
      </c>
      <c r="BB27" s="1">
        <f>(IF(OR((G27="&lt;16"),(G27="&gt;51,2"),(G27=16),(G27=16.1),(G27=17.2),(G27=18.2),(G27=19.2),(G27=20.2),(G27=21.2),(G27=51.2),(G27=17),(G27=31.2),(G27=32.2),(G27=33.2),(G27=[1]FREQUENCIAS!$G$4),(G27=[1]FREQUENCIAS!$G$5),(G27=[1]FREQUENCIAS!$G$6),(G27=[1]FREQUENCIAS!$G$7),(G27=[1]FREQUENCIAS!$G$8),(G27=[1]FREQUENCIAS!$G$9),(G27=[1]FREQUENCIAS!$G$10),(G27=[1]FREQUENCIAS!$G$11),(G27=[1]FREQUENCIAS!$G$12),(G27=[1]FREQUENCIAS!$G$13),(G27=[1]FREQUENCIAS!$G$14),(G27=[1]FREQUENCIAS!$G$15),(G27=[1]FREQUENCIAS!$G$16),(G27=[1]FREQUENCIAS!$G$17),(G27=[1]FREQUENCIAS!$G$18),(G27=[1]FREQUENCIAS!$G$19)),1,CH27))</f>
        <v>1</v>
      </c>
      <c r="BC27" s="1" t="s">
        <v>329</v>
      </c>
      <c r="BD27" s="492">
        <f t="shared" si="41"/>
        <v>0</v>
      </c>
      <c r="BE27" s="39">
        <f t="shared" si="42"/>
        <v>0</v>
      </c>
      <c r="BF27" s="14"/>
      <c r="BG27" s="41">
        <f>IF($A27=[1]FREQUENCIAS!$T$1,[1]FREQUENCIAS!$T$2,"ERRO NO PE")</f>
        <v>0.74</v>
      </c>
      <c r="BH27" s="498">
        <f>IF($A27=[1]FREQUENCIAS!$T$1,[1]FREQUENCIAS!$T$3,"ERRO NA MUT")</f>
        <v>0</v>
      </c>
      <c r="BI27" s="41">
        <f t="shared" si="11"/>
        <v>1</v>
      </c>
      <c r="BJ27" s="2">
        <f t="shared" si="43"/>
        <v>0</v>
      </c>
      <c r="BL27" s="53">
        <v>17</v>
      </c>
      <c r="BM27" s="53">
        <v>33.200000000000003</v>
      </c>
      <c r="BN27" s="1" t="str">
        <f t="shared" si="48"/>
        <v>ALELO ERRADO</v>
      </c>
      <c r="BO27" s="500" t="str">
        <f t="shared" si="12"/>
        <v/>
      </c>
      <c r="BP27" s="500">
        <f t="shared" si="13"/>
        <v>0</v>
      </c>
      <c r="BQ27" s="500">
        <f t="shared" si="14"/>
        <v>0</v>
      </c>
      <c r="BR27" s="501" t="str">
        <f t="shared" si="15"/>
        <v/>
      </c>
      <c r="BS27" s="501">
        <f t="shared" si="16"/>
        <v>0</v>
      </c>
      <c r="BT27" s="501">
        <f t="shared" si="17"/>
        <v>0</v>
      </c>
      <c r="BU27" s="502" t="str">
        <f t="shared" si="44"/>
        <v/>
      </c>
      <c r="BV27" s="502">
        <f t="shared" si="18"/>
        <v>0</v>
      </c>
      <c r="BW27" s="502">
        <f t="shared" si="19"/>
        <v>0</v>
      </c>
      <c r="BZ27" s="495">
        <v>17</v>
      </c>
      <c r="CA27" s="496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1</v>
      </c>
      <c r="CK27" s="1">
        <f t="shared" si="21"/>
        <v>1</v>
      </c>
      <c r="CL27" s="1">
        <f t="shared" si="22"/>
        <v>1</v>
      </c>
      <c r="CM27" s="1">
        <f t="shared" si="23"/>
        <v>1</v>
      </c>
      <c r="CN27" s="1">
        <f t="shared" si="24"/>
        <v>1</v>
      </c>
      <c r="CO27" s="1">
        <f t="shared" si="25"/>
        <v>1</v>
      </c>
      <c r="CP27" s="1">
        <f t="shared" si="26"/>
        <v>1</v>
      </c>
      <c r="CQ27" s="1">
        <f t="shared" si="27"/>
        <v>1</v>
      </c>
      <c r="CR27" s="1">
        <f t="shared" si="49"/>
        <v>8</v>
      </c>
    </row>
    <row r="28" spans="1:96" ht="14.25" customHeight="1" thickTop="1" thickBot="1" x14ac:dyDescent="0.25">
      <c r="A28" s="232" t="str">
        <f>'IMPORTAÇÃO GENOTIPER'!A24</f>
        <v>D19S433</v>
      </c>
      <c r="B28" s="307">
        <f>'IMPORTAÇÃO GENOTIPER'!S24</f>
        <v>0</v>
      </c>
      <c r="C28" s="307">
        <f>'IMPORTAÇÃO GENOTIPER'!AA24</f>
        <v>0</v>
      </c>
      <c r="D28" s="307">
        <f>'IMPORTAÇÃO GENOTIPER'!AI24</f>
        <v>0</v>
      </c>
      <c r="E28" s="307">
        <f>'IMPORTAÇÃO GENOTIPER'!AQ24</f>
        <v>0</v>
      </c>
      <c r="F28" s="480">
        <f>'IMPORTAÇÃO GENOTIPER'!BO24</f>
        <v>0</v>
      </c>
      <c r="G28" s="480">
        <f>'IMPORTAÇÃO GENOTIPER'!BW24</f>
        <v>0</v>
      </c>
      <c r="H28" s="480">
        <f>'IMPORTAÇÃO GENOTIPER'!CE24</f>
        <v>0</v>
      </c>
      <c r="I28" s="480">
        <f>'IMPORTAÇÃO GENOTIPER'!CM24</f>
        <v>0</v>
      </c>
      <c r="J28" s="481">
        <f t="shared" si="52"/>
        <v>0</v>
      </c>
      <c r="K28" s="481">
        <f t="shared" si="52"/>
        <v>0</v>
      </c>
      <c r="L28" s="481">
        <f t="shared" si="52"/>
        <v>0</v>
      </c>
      <c r="M28" s="481">
        <f t="shared" si="30"/>
        <v>0</v>
      </c>
      <c r="N28" s="481">
        <f t="shared" si="53"/>
        <v>0</v>
      </c>
      <c r="O28" s="481">
        <f t="shared" si="53"/>
        <v>0</v>
      </c>
      <c r="P28" s="481">
        <f t="shared" si="53"/>
        <v>0</v>
      </c>
      <c r="Q28" s="481">
        <f t="shared" si="53"/>
        <v>0</v>
      </c>
      <c r="R28" s="482">
        <f t="shared" si="50"/>
        <v>0</v>
      </c>
      <c r="S28" s="482">
        <f t="shared" si="1"/>
        <v>0</v>
      </c>
      <c r="T28" s="482">
        <f t="shared" si="51"/>
        <v>0</v>
      </c>
      <c r="U28" s="482">
        <f t="shared" si="2"/>
        <v>0</v>
      </c>
      <c r="V28" s="482">
        <f t="shared" si="3"/>
        <v>0</v>
      </c>
      <c r="W28" s="482">
        <f t="shared" si="4"/>
        <v>0</v>
      </c>
      <c r="X28" s="482">
        <f t="shared" si="32"/>
        <v>0</v>
      </c>
      <c r="Y28" s="482">
        <f t="shared" si="33"/>
        <v>0</v>
      </c>
      <c r="Z28" s="483">
        <f t="shared" si="5"/>
        <v>0</v>
      </c>
      <c r="AA28" s="483">
        <f t="shared" si="6"/>
        <v>0</v>
      </c>
      <c r="AB28" s="484">
        <f t="shared" si="47"/>
        <v>0</v>
      </c>
      <c r="AC28" s="485">
        <f t="shared" si="34"/>
        <v>0</v>
      </c>
      <c r="AD28" s="486">
        <f t="shared" si="35"/>
        <v>0</v>
      </c>
      <c r="AE28" s="486">
        <f t="shared" si="36"/>
        <v>0</v>
      </c>
      <c r="AF28" s="487">
        <f t="shared" si="37"/>
        <v>0</v>
      </c>
      <c r="AG28" s="488">
        <f t="shared" si="38"/>
        <v>0</v>
      </c>
      <c r="AH28" s="489">
        <f>IF(AF28=0,0,VLOOKUP(AF28,[1]FREQUENCIAS!$1:$1048576,(IF(($A28=[1]FREQUENCIAS!$U$1),21,"ERRO")),[1]FREQUENCIAS!$1:$1048576))</f>
        <v>0</v>
      </c>
      <c r="AI28" s="489">
        <f>IF(AG28=0,0,VLOOKUP(AG28,[1]FREQUENCIAS!$1:$1048576,(IF(($A28=[1]FREQUENCIAS!$U$1),21,"ERRO")),[1]FREQUENCIAS!$1:$1048576))</f>
        <v>0</v>
      </c>
      <c r="AJ28" s="490"/>
      <c r="AK28" s="490"/>
      <c r="AL28" s="490"/>
      <c r="AM28" s="124">
        <f t="shared" si="39"/>
        <v>1</v>
      </c>
      <c r="AN28" s="125">
        <f t="shared" si="7"/>
        <v>1</v>
      </c>
      <c r="AO28" s="126">
        <f t="shared" si="8"/>
        <v>0.5</v>
      </c>
      <c r="AP28" s="345" t="s">
        <v>173</v>
      </c>
      <c r="AQ28" s="491">
        <f t="shared" si="9"/>
        <v>0</v>
      </c>
      <c r="AR28" s="345"/>
      <c r="AS28" s="129" t="str">
        <f t="shared" si="10"/>
        <v>MUTAÇÃO</v>
      </c>
      <c r="AT28" s="480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[1]FREQUENCIAS!$G$4),(B28=[1]FREQUENCIAS!$G$5),(B28=[1]FREQUENCIAS!$G$6),(B28=[1]FREQUENCIAS!$G$7),(B28=[1]FREQUENCIAS!$G$8),(B28=[1]FREQUENCIAS!$G$9),(B28=[1]FREQUENCIAS!$G$10),(B28=[1]FREQUENCIAS!$G$11),(B28=[1]FREQUENCIAS!$G$12),(B28=[1]FREQUENCIAS!$G$13),(B28=[1]FREQUENCIAS!$G$14),(B28=[1]FREQUENCIAS!$G$15),(B28=[1]FREQUENCIAS!$G$16),(B28=[1]FREQUENCIAS!$G$17),(B28=[1]FREQUENCIAS!$G$18),(B28=[1]FREQUENCIAS!$G$19)),1,CC28))</f>
        <v>1</v>
      </c>
      <c r="AX28" s="1">
        <f>(IF(OR((C28="&lt;16"),(C28="&gt;51,2"),(C28=16),(C28=16.1),(C28=17.2),(C28=18.2),(C28=19.2),(C28=20.2),(C28=21.2),(C28=51.2),(C28=17),(C28=31.2),(C28=32.2),(C28=33.2),(C28=[1]FREQUENCIAS!$G$4),(C28=[1]FREQUENCIAS!$G$5),(C28=[1]FREQUENCIAS!$G$6),(C28=[1]FREQUENCIAS!$G$7),(C28=[1]FREQUENCIAS!$G$8),(C28=[1]FREQUENCIAS!$G$9),(C28=[1]FREQUENCIAS!$G$10),(C28=[1]FREQUENCIAS!$G$11),(C28=[1]FREQUENCIAS!$G$12),(C28=[1]FREQUENCIAS!$G$13),(C28=[1]FREQUENCIAS!$G$14),(C28=[1]FREQUENCIAS!$G$15),(C28=[1]FREQUENCIAS!$G$16),(C28=[1]FREQUENCIAS!$G$17),(C28=[1]FREQUENCIAS!$G$18),(C28=[1]FREQUENCIAS!$G$19)),1,CD28))</f>
        <v>1</v>
      </c>
      <c r="AY28" s="1">
        <f>(IF(OR((D28="&lt;16"),(D28="&gt;51,2"),(D28=16),(D28=16.1),(D28=17.2),(D28=18.2),(D28=19.2),(D28=20.2),(D28=21.2),(D28=51.2),(D28=17),(D28=31.2),(D28=32.2),(D28=33.2),(D28=[1]FREQUENCIAS!$G$4),(D28=[1]FREQUENCIAS!$G$5),(D28=[1]FREQUENCIAS!$G$6),(D28=[1]FREQUENCIAS!$G$7),(D28=[1]FREQUENCIAS!$G$8),(D28=[1]FREQUENCIAS!$G$9),(D28=[1]FREQUENCIAS!$G$10),(D28=[1]FREQUENCIAS!$G$11),(D28=[1]FREQUENCIAS!$G$12),(D28=[1]FREQUENCIAS!$G$13),(D28=[1]FREQUENCIAS!$G$14),(D28=[1]FREQUENCIAS!$G$15),(D28=[1]FREQUENCIAS!$G$16),(D28=[1]FREQUENCIAS!$G$17),(D28=[1]FREQUENCIAS!$G$18),(D28=[1]FREQUENCIAS!$G$19)),1,CE28))</f>
        <v>1</v>
      </c>
      <c r="AZ28" s="1">
        <f>(IF(OR((E28="&lt;16"),(E28="&gt;51,2"),(E28=16),(E28=16.1),(E28=17.2),(E28=18.2),(E28=19.2),(E28=20.2),(E28=21.2),(E28=51.2),(E28=17),(E28=31.2),(E28=32.2),(E28=33.2),(E28=[1]FREQUENCIAS!$G$4),(E28=[1]FREQUENCIAS!$G$5),(E28=[1]FREQUENCIAS!$G$6),(E28=[1]FREQUENCIAS!$G$7),(E28=[1]FREQUENCIAS!$G$8),(E28=[1]FREQUENCIAS!$G$9),(E28=[1]FREQUENCIAS!$G$10),(E28=[1]FREQUENCIAS!$G$11),(E28=[1]FREQUENCIAS!$G$12),(E28=[1]FREQUENCIAS!$G$13),(E28=[1]FREQUENCIAS!$G$14),(E28=[1]FREQUENCIAS!$G$15),(E28=[1]FREQUENCIAS!$G$16),(E28=[1]FREQUENCIAS!$G$17),(E28=[1]FREQUENCIAS!$G$18),(E28=[1]FREQUENCIAS!$G$19)),1,CF28))</f>
        <v>1</v>
      </c>
      <c r="BA28" s="1">
        <f>(IF(OR((F28="&lt;16"),(F28="&gt;51,2"),(F28=16),(F28=16.1),(F28=17.2),(F28=18.2),(F28=19.2),(F28=20.2),(F28=21.2),(F28=51.2),(F28=17),(F28=31.2),(F28=32.2),(F28=33.2),(F28=[1]FREQUENCIAS!$G$4),(F28=[1]FREQUENCIAS!$G$5),(F28=[1]FREQUENCIAS!$G$6),(F28=[1]FREQUENCIAS!$G$7),(F28=[1]FREQUENCIAS!$G$8),(F28=[1]FREQUENCIAS!$G$9),(F28=[1]FREQUENCIAS!$G$10),(F28=[1]FREQUENCIAS!$G$11),(F28=[1]FREQUENCIAS!$G$12),(F28=[1]FREQUENCIAS!$G$13),(F28=[1]FREQUENCIAS!$G$14),(F28=[1]FREQUENCIAS!$G$15),(F28=[1]FREQUENCIAS!$G$16),(F28=[1]FREQUENCIAS!$G$17),(F28=[1]FREQUENCIAS!$G$18),(F28=[1]FREQUENCIAS!$G$19)),1,CG28))</f>
        <v>1</v>
      </c>
      <c r="BB28" s="1">
        <f>(IF(OR((G28="&lt;16"),(G28="&gt;51,2"),(G28=16),(G28=16.1),(G28=17.2),(G28=18.2),(G28=19.2),(G28=20.2),(G28=21.2),(G28=51.2),(G28=17),(G28=31.2),(G28=32.2),(G28=33.2),(G28=[1]FREQUENCIAS!$G$4),(G28=[1]FREQUENCIAS!$G$5),(G28=[1]FREQUENCIAS!$G$6),(G28=[1]FREQUENCIAS!$G$7),(G28=[1]FREQUENCIAS!$G$8),(G28=[1]FREQUENCIAS!$G$9),(G28=[1]FREQUENCIAS!$G$10),(G28=[1]FREQUENCIAS!$G$11),(G28=[1]FREQUENCIAS!$G$12),(G28=[1]FREQUENCIAS!$G$13),(G28=[1]FREQUENCIAS!$G$14),(G28=[1]FREQUENCIAS!$G$15),(G28=[1]FREQUENCIAS!$G$16),(G28=[1]FREQUENCIAS!$G$17),(G28=[1]FREQUENCIAS!$G$18),(G28=[1]FREQUENCIAS!$G$19)),1,CH28))</f>
        <v>1</v>
      </c>
      <c r="BC28" s="1" t="s">
        <v>329</v>
      </c>
      <c r="BD28" s="492">
        <f t="shared" si="41"/>
        <v>0</v>
      </c>
      <c r="BE28" s="39">
        <f t="shared" si="42"/>
        <v>1.9784172661870504E-3</v>
      </c>
      <c r="BF28" s="14"/>
      <c r="BG28" s="41">
        <f>IF($A28=[1]FREQUENCIAS!$U$1,[1]FREQUENCIAS!$U$2,"ERRO NO PE")</f>
        <v>0.55600000000000005</v>
      </c>
      <c r="BH28" s="498">
        <f>IF($A28=[1]FREQUENCIAS!$U$1,[1]FREQUENCIAS!$U$3,"ERRO NA MUT")</f>
        <v>1.1000000000000001E-3</v>
      </c>
      <c r="BI28" s="41">
        <f t="shared" si="11"/>
        <v>1</v>
      </c>
      <c r="BJ28" s="2">
        <f t="shared" si="43"/>
        <v>0</v>
      </c>
      <c r="BL28" s="53">
        <v>17</v>
      </c>
      <c r="BM28" s="53">
        <v>33.200000000000003</v>
      </c>
      <c r="BN28" s="1" t="str">
        <f t="shared" si="48"/>
        <v>ALELO ERRADO</v>
      </c>
      <c r="BO28" s="500" t="str">
        <f t="shared" si="12"/>
        <v/>
      </c>
      <c r="BP28" s="500">
        <f t="shared" si="13"/>
        <v>0</v>
      </c>
      <c r="BQ28" s="500">
        <f t="shared" si="14"/>
        <v>0</v>
      </c>
      <c r="BR28" s="501" t="str">
        <f t="shared" si="15"/>
        <v/>
      </c>
      <c r="BS28" s="501">
        <f t="shared" si="16"/>
        <v>0</v>
      </c>
      <c r="BT28" s="501">
        <f t="shared" si="17"/>
        <v>0</v>
      </c>
      <c r="BU28" s="502" t="str">
        <f t="shared" si="44"/>
        <v/>
      </c>
      <c r="BV28" s="502">
        <f t="shared" si="18"/>
        <v>0</v>
      </c>
      <c r="BW28" s="502">
        <f t="shared" si="19"/>
        <v>0</v>
      </c>
      <c r="BZ28" s="495">
        <v>17</v>
      </c>
      <c r="CA28" s="496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1</v>
      </c>
      <c r="CN28" s="1">
        <f t="shared" si="24"/>
        <v>1</v>
      </c>
      <c r="CO28" s="1">
        <f t="shared" si="25"/>
        <v>1</v>
      </c>
      <c r="CP28" s="1">
        <f t="shared" si="26"/>
        <v>1</v>
      </c>
      <c r="CQ28" s="1">
        <f t="shared" si="27"/>
        <v>1</v>
      </c>
      <c r="CR28" s="1">
        <f t="shared" si="49"/>
        <v>8</v>
      </c>
    </row>
    <row r="29" spans="1:96" ht="14.25" customHeight="1" thickTop="1" thickBot="1" x14ac:dyDescent="0.25">
      <c r="A29" s="232" t="str">
        <f>'IMPORTAÇÃO GENOTIPER'!A25</f>
        <v>FGA</v>
      </c>
      <c r="B29" s="307">
        <f>'IMPORTAÇÃO GENOTIPER'!S25</f>
        <v>0</v>
      </c>
      <c r="C29" s="307">
        <f>'IMPORTAÇÃO GENOTIPER'!AA25</f>
        <v>0</v>
      </c>
      <c r="D29" s="307">
        <f>'IMPORTAÇÃO GENOTIPER'!AI25</f>
        <v>0</v>
      </c>
      <c r="E29" s="307">
        <f>'IMPORTAÇÃO GENOTIPER'!AQ25</f>
        <v>0</v>
      </c>
      <c r="F29" s="480">
        <f>'IMPORTAÇÃO GENOTIPER'!BO25</f>
        <v>0</v>
      </c>
      <c r="G29" s="480">
        <f>'IMPORTAÇÃO GENOTIPER'!BW25</f>
        <v>0</v>
      </c>
      <c r="H29" s="480">
        <f>'IMPORTAÇÃO GENOTIPER'!CE25</f>
        <v>0</v>
      </c>
      <c r="I29" s="480">
        <f>'IMPORTAÇÃO GENOTIPER'!CM25</f>
        <v>0</v>
      </c>
      <c r="J29" s="481">
        <f t="shared" si="52"/>
        <v>0</v>
      </c>
      <c r="K29" s="481">
        <f t="shared" si="52"/>
        <v>0</v>
      </c>
      <c r="L29" s="481">
        <f t="shared" si="52"/>
        <v>0</v>
      </c>
      <c r="M29" s="481">
        <f t="shared" si="30"/>
        <v>0</v>
      </c>
      <c r="N29" s="481">
        <f t="shared" si="53"/>
        <v>0</v>
      </c>
      <c r="O29" s="481">
        <f t="shared" si="53"/>
        <v>0</v>
      </c>
      <c r="P29" s="481">
        <f t="shared" si="53"/>
        <v>0</v>
      </c>
      <c r="Q29" s="481">
        <f t="shared" si="53"/>
        <v>0</v>
      </c>
      <c r="R29" s="482">
        <f t="shared" si="50"/>
        <v>0</v>
      </c>
      <c r="S29" s="482">
        <f t="shared" si="1"/>
        <v>0</v>
      </c>
      <c r="T29" s="482">
        <f t="shared" si="51"/>
        <v>0</v>
      </c>
      <c r="U29" s="482">
        <f t="shared" si="2"/>
        <v>0</v>
      </c>
      <c r="V29" s="482">
        <f t="shared" si="3"/>
        <v>0</v>
      </c>
      <c r="W29" s="482">
        <f t="shared" si="4"/>
        <v>0</v>
      </c>
      <c r="X29" s="482">
        <f t="shared" si="32"/>
        <v>0</v>
      </c>
      <c r="Y29" s="482">
        <f t="shared" si="33"/>
        <v>0</v>
      </c>
      <c r="Z29" s="483">
        <f t="shared" si="5"/>
        <v>0</v>
      </c>
      <c r="AA29" s="483">
        <f t="shared" si="6"/>
        <v>0</v>
      </c>
      <c r="AB29" s="484">
        <f t="shared" si="47"/>
        <v>0</v>
      </c>
      <c r="AC29" s="485">
        <f t="shared" si="34"/>
        <v>0</v>
      </c>
      <c r="AD29" s="486">
        <f t="shared" si="35"/>
        <v>0</v>
      </c>
      <c r="AE29" s="486">
        <f t="shared" si="36"/>
        <v>0</v>
      </c>
      <c r="AF29" s="487">
        <f t="shared" si="37"/>
        <v>0</v>
      </c>
      <c r="AG29" s="488">
        <f t="shared" si="38"/>
        <v>0</v>
      </c>
      <c r="AH29" s="489">
        <f>IF(AF29=0,0,VLOOKUP(AF29,[1]FREQUENCIAS!$1:$1048576,(IF(($A29=[1]FREQUENCIAS!$V$1),22,"ERRO")),[1]FREQUENCIAS!$1:$1048576))</f>
        <v>0</v>
      </c>
      <c r="AI29" s="489">
        <f>IF(AG29=0,0,VLOOKUP(AG29,[1]FREQUENCIAS!$1:$1048576,(IF(($A29=[1]FREQUENCIAS!$V$1),22,"ERRO")),[1]FREQUENCIAS!$1:$1048576))</f>
        <v>0</v>
      </c>
      <c r="AJ29" s="490"/>
      <c r="AK29" s="490"/>
      <c r="AL29" s="490"/>
      <c r="AM29" s="124">
        <f t="shared" si="39"/>
        <v>1</v>
      </c>
      <c r="AN29" s="125">
        <f t="shared" si="7"/>
        <v>1</v>
      </c>
      <c r="AO29" s="126">
        <f t="shared" si="8"/>
        <v>0.5</v>
      </c>
      <c r="AP29" s="345" t="s">
        <v>173</v>
      </c>
      <c r="AQ29" s="491">
        <f t="shared" si="9"/>
        <v>0</v>
      </c>
      <c r="AR29" s="345"/>
      <c r="AS29" s="129" t="str">
        <f t="shared" si="10"/>
        <v>MUTAÇÃO</v>
      </c>
      <c r="AT29" s="480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[1]FREQUENCIAS!$G$4),(B29=[1]FREQUENCIAS!$G$5),(B29=[1]FREQUENCIAS!$G$6),(B29=[1]FREQUENCIAS!$G$7),(B29=[1]FREQUENCIAS!$G$8),(B29=[1]FREQUENCIAS!$G$9),(B29=[1]FREQUENCIAS!$G$10),(B29=[1]FREQUENCIAS!$G$11),(B29=[1]FREQUENCIAS!$G$12),(B29=[1]FREQUENCIAS!$G$13),(B29=[1]FREQUENCIAS!$G$14),(B29=[1]FREQUENCIAS!$G$15),(B29=[1]FREQUENCIAS!$G$16),(B29=[1]FREQUENCIAS!$G$17),(B29=[1]FREQUENCIAS!$G$18),(B29=[1]FREQUENCIAS!$G$19)),1,CC29))</f>
        <v>1</v>
      </c>
      <c r="AX29" s="1">
        <f>(IF(OR((C29="&lt;16"),(C29="&gt;51,2"),(C29=16),(C29=16.1),(C29=17.2),(C29=18.2),(C29=19.2),(C29=20.2),(C29=21.2),(C29=51.2),(C29=17),(C29=31.2),(C29=32.2),(C29=33.2),(C29=[1]FREQUENCIAS!$G$4),(C29=[1]FREQUENCIAS!$G$5),(C29=[1]FREQUENCIAS!$G$6),(C29=[1]FREQUENCIAS!$G$7),(C29=[1]FREQUENCIAS!$G$8),(C29=[1]FREQUENCIAS!$G$9),(C29=[1]FREQUENCIAS!$G$10),(C29=[1]FREQUENCIAS!$G$11),(C29=[1]FREQUENCIAS!$G$12),(C29=[1]FREQUENCIAS!$G$13),(C29=[1]FREQUENCIAS!$G$14),(C29=[1]FREQUENCIAS!$G$15),(C29=[1]FREQUENCIAS!$G$16),(C29=[1]FREQUENCIAS!$G$17),(C29=[1]FREQUENCIAS!$G$18),(C29=[1]FREQUENCIAS!$G$19)),1,CD29))</f>
        <v>1</v>
      </c>
      <c r="AY29" s="1">
        <f>(IF(OR((D29="&lt;16"),(D29="&gt;51,2"),(D29=16),(D29=16.1),(D29=17.2),(D29=18.2),(D29=19.2),(D29=20.2),(D29=21.2),(D29=51.2),(D29=17),(D29=31.2),(D29=32.2),(D29=33.2),(D29=[1]FREQUENCIAS!$G$4),(D29=[1]FREQUENCIAS!$G$5),(D29=[1]FREQUENCIAS!$G$6),(D29=[1]FREQUENCIAS!$G$7),(D29=[1]FREQUENCIAS!$G$8),(D29=[1]FREQUENCIAS!$G$9),(D29=[1]FREQUENCIAS!$G$10),(D29=[1]FREQUENCIAS!$G$11),(D29=[1]FREQUENCIAS!$G$12),(D29=[1]FREQUENCIAS!$G$13),(D29=[1]FREQUENCIAS!$G$14),(D29=[1]FREQUENCIAS!$G$15),(D29=[1]FREQUENCIAS!$G$16),(D29=[1]FREQUENCIAS!$G$17),(D29=[1]FREQUENCIAS!$G$18),(D29=[1]FREQUENCIAS!$G$19)),1,CE29))</f>
        <v>1</v>
      </c>
      <c r="AZ29" s="1">
        <f>(IF(OR((E29="&lt;16"),(E29="&gt;51,2"),(E29=16),(E29=16.1),(E29=17.2),(E29=18.2),(E29=19.2),(E29=20.2),(E29=21.2),(E29=51.2),(E29=17),(E29=31.2),(E29=32.2),(E29=33.2),(E29=[1]FREQUENCIAS!$G$4),(E29=[1]FREQUENCIAS!$G$5),(E29=[1]FREQUENCIAS!$G$6),(E29=[1]FREQUENCIAS!$G$7),(E29=[1]FREQUENCIAS!$G$8),(E29=[1]FREQUENCIAS!$G$9),(E29=[1]FREQUENCIAS!$G$10),(E29=[1]FREQUENCIAS!$G$11),(E29=[1]FREQUENCIAS!$G$12),(E29=[1]FREQUENCIAS!$G$13),(E29=[1]FREQUENCIAS!$G$14),(E29=[1]FREQUENCIAS!$G$15),(E29=[1]FREQUENCIAS!$G$16),(E29=[1]FREQUENCIAS!$G$17),(E29=[1]FREQUENCIAS!$G$18),(E29=[1]FREQUENCIAS!$G$19)),1,CF29))</f>
        <v>1</v>
      </c>
      <c r="BA29" s="1">
        <f>(IF(OR((F29="&lt;16"),(F29="&gt;51,2"),(F29=16),(F29=16.1),(F29=17.2),(F29=18.2),(F29=19.2),(F29=20.2),(F29=21.2),(F29=51.2),(F29=17),(F29=31.2),(F29=32.2),(F29=33.2),(F29=[1]FREQUENCIAS!$G$4),(F29=[1]FREQUENCIAS!$G$5),(F29=[1]FREQUENCIAS!$G$6),(F29=[1]FREQUENCIAS!$G$7),(F29=[1]FREQUENCIAS!$G$8),(F29=[1]FREQUENCIAS!$G$9),(F29=[1]FREQUENCIAS!$G$10),(F29=[1]FREQUENCIAS!$G$11),(F29=[1]FREQUENCIAS!$G$12),(F29=[1]FREQUENCIAS!$G$13),(F29=[1]FREQUENCIAS!$G$14),(F29=[1]FREQUENCIAS!$G$15),(F29=[1]FREQUENCIAS!$G$16),(F29=[1]FREQUENCIAS!$G$17),(F29=[1]FREQUENCIAS!$G$18),(F29=[1]FREQUENCIAS!$G$19)),1,CG29))</f>
        <v>1</v>
      </c>
      <c r="BB29" s="1">
        <f>(IF(OR((G29="&lt;16"),(G29="&gt;51,2"),(G29=16),(G29=16.1),(G29=17.2),(G29=18.2),(G29=19.2),(G29=20.2),(G29=21.2),(G29=51.2),(G29=17),(G29=31.2),(G29=32.2),(G29=33.2),(G29=[1]FREQUENCIAS!$G$4),(G29=[1]FREQUENCIAS!$G$5),(G29=[1]FREQUENCIAS!$G$6),(G29=[1]FREQUENCIAS!$G$7),(G29=[1]FREQUENCIAS!$G$8),(G29=[1]FREQUENCIAS!$G$9),(G29=[1]FREQUENCIAS!$G$10),(G29=[1]FREQUENCIAS!$G$11),(G29=[1]FREQUENCIAS!$G$12),(G29=[1]FREQUENCIAS!$G$13),(G29=[1]FREQUENCIAS!$G$14),(G29=[1]FREQUENCIAS!$G$15),(G29=[1]FREQUENCIAS!$G$16),(G29=[1]FREQUENCIAS!$G$17),(G29=[1]FREQUENCIAS!$G$18),(G29=[1]FREQUENCIAS!$G$19)),1,CH29))</f>
        <v>1</v>
      </c>
      <c r="BC29" s="1" t="s">
        <v>329</v>
      </c>
      <c r="BD29" s="492">
        <f t="shared" si="41"/>
        <v>0</v>
      </c>
      <c r="BE29" s="39">
        <f t="shared" si="42"/>
        <v>3.8043478260869567E-3</v>
      </c>
      <c r="BF29" s="14"/>
      <c r="BG29" s="41">
        <f>IF($A29=[1]FREQUENCIAS!$V$1,[1]FREQUENCIAS!$V$2,"ERRO NO PE")</f>
        <v>0.73599999999999999</v>
      </c>
      <c r="BH29" s="498">
        <f>IF($A29=[1]FREQUENCIAS!$V$1,[1]FREQUENCIAS!$V$3,"ERRO NA MUT")</f>
        <v>2.8E-3</v>
      </c>
      <c r="BI29" s="41">
        <f t="shared" si="11"/>
        <v>1</v>
      </c>
      <c r="BJ29" s="2">
        <f t="shared" si="43"/>
        <v>0</v>
      </c>
      <c r="BL29" s="53">
        <v>17</v>
      </c>
      <c r="BM29" s="53">
        <v>33.200000000000003</v>
      </c>
      <c r="BN29" s="1" t="str">
        <f t="shared" si="48"/>
        <v>ALELO ERRADO</v>
      </c>
      <c r="BO29" s="500" t="str">
        <f t="shared" si="12"/>
        <v/>
      </c>
      <c r="BP29" s="500">
        <f t="shared" si="13"/>
        <v>0</v>
      </c>
      <c r="BQ29" s="500">
        <f t="shared" si="14"/>
        <v>0</v>
      </c>
      <c r="BR29" s="501" t="str">
        <f t="shared" si="15"/>
        <v/>
      </c>
      <c r="BS29" s="501">
        <f t="shared" si="16"/>
        <v>0</v>
      </c>
      <c r="BT29" s="501">
        <f t="shared" si="17"/>
        <v>0</v>
      </c>
      <c r="BU29" s="502" t="str">
        <f t="shared" si="44"/>
        <v/>
      </c>
      <c r="BV29" s="502">
        <f t="shared" si="18"/>
        <v>0</v>
      </c>
      <c r="BW29" s="502">
        <f t="shared" si="19"/>
        <v>0</v>
      </c>
      <c r="BZ29" s="495">
        <v>17</v>
      </c>
      <c r="CA29" s="496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1</v>
      </c>
      <c r="CM29" s="1">
        <f t="shared" si="23"/>
        <v>1</v>
      </c>
      <c r="CN29" s="1">
        <f t="shared" si="24"/>
        <v>1</v>
      </c>
      <c r="CO29" s="1">
        <f t="shared" si="25"/>
        <v>1</v>
      </c>
      <c r="CP29" s="1">
        <f t="shared" si="26"/>
        <v>1</v>
      </c>
      <c r="CQ29" s="1">
        <f t="shared" si="27"/>
        <v>1</v>
      </c>
      <c r="CR29" s="1">
        <f t="shared" si="49"/>
        <v>8</v>
      </c>
    </row>
    <row r="30" spans="1:96" ht="14.25" customHeight="1" thickTop="1" thickBot="1" x14ac:dyDescent="0.25">
      <c r="A30" s="232" t="str">
        <f>'IMPORTAÇÃO GENOTIPER'!A26</f>
        <v>D22S1045</v>
      </c>
      <c r="B30" s="307">
        <f>'IMPORTAÇÃO GENOTIPER'!S26</f>
        <v>0</v>
      </c>
      <c r="C30" s="307">
        <f>'IMPORTAÇÃO GENOTIPER'!AA26</f>
        <v>0</v>
      </c>
      <c r="D30" s="307">
        <f>'IMPORTAÇÃO GENOTIPER'!AI26</f>
        <v>0</v>
      </c>
      <c r="E30" s="307">
        <f>'IMPORTAÇÃO GENOTIPER'!AQ26</f>
        <v>0</v>
      </c>
      <c r="F30" s="480">
        <f>'IMPORTAÇÃO GENOTIPER'!BO26</f>
        <v>0</v>
      </c>
      <c r="G30" s="480">
        <f>'IMPORTAÇÃO GENOTIPER'!BW26</f>
        <v>0</v>
      </c>
      <c r="H30" s="480">
        <f>'IMPORTAÇÃO GENOTIPER'!CE26</f>
        <v>0</v>
      </c>
      <c r="I30" s="480">
        <f>'IMPORTAÇÃO GENOTIPER'!CM26</f>
        <v>0</v>
      </c>
      <c r="J30" s="481">
        <f t="shared" si="52"/>
        <v>0</v>
      </c>
      <c r="K30" s="481">
        <f t="shared" si="52"/>
        <v>0</v>
      </c>
      <c r="L30" s="481">
        <f t="shared" si="52"/>
        <v>0</v>
      </c>
      <c r="M30" s="481">
        <f t="shared" si="30"/>
        <v>0</v>
      </c>
      <c r="N30" s="481">
        <f t="shared" si="53"/>
        <v>0</v>
      </c>
      <c r="O30" s="481">
        <f t="shared" si="53"/>
        <v>0</v>
      </c>
      <c r="P30" s="481">
        <f t="shared" si="53"/>
        <v>0</v>
      </c>
      <c r="Q30" s="481">
        <f t="shared" si="53"/>
        <v>0</v>
      </c>
      <c r="R30" s="482">
        <f t="shared" si="50"/>
        <v>0</v>
      </c>
      <c r="S30" s="482">
        <f t="shared" si="1"/>
        <v>0</v>
      </c>
      <c r="T30" s="482">
        <f t="shared" si="51"/>
        <v>0</v>
      </c>
      <c r="U30" s="482">
        <f t="shared" si="2"/>
        <v>0</v>
      </c>
      <c r="V30" s="482">
        <f t="shared" si="3"/>
        <v>0</v>
      </c>
      <c r="W30" s="482">
        <f t="shared" si="4"/>
        <v>0</v>
      </c>
      <c r="X30" s="482">
        <f t="shared" si="32"/>
        <v>0</v>
      </c>
      <c r="Y30" s="482">
        <f t="shared" si="33"/>
        <v>0</v>
      </c>
      <c r="Z30" s="483">
        <f t="shared" si="5"/>
        <v>0</v>
      </c>
      <c r="AA30" s="483">
        <f t="shared" si="6"/>
        <v>0</v>
      </c>
      <c r="AB30" s="484">
        <f t="shared" si="47"/>
        <v>0</v>
      </c>
      <c r="AC30" s="485">
        <f t="shared" si="34"/>
        <v>0</v>
      </c>
      <c r="AD30" s="486">
        <f t="shared" si="35"/>
        <v>0</v>
      </c>
      <c r="AE30" s="486">
        <f t="shared" si="36"/>
        <v>0</v>
      </c>
      <c r="AF30" s="487">
        <f t="shared" si="37"/>
        <v>0</v>
      </c>
      <c r="AG30" s="488">
        <f t="shared" si="38"/>
        <v>0</v>
      </c>
      <c r="AH30" s="489">
        <f>IF(AF30=0,0,VLOOKUP(AF30,[1]FREQUENCIAS!$1:$1048576,(IF(($A30=[1]FREQUENCIAS!$W$1),23,"ERRO")),[1]FREQUENCIAS!$1:$1048576))</f>
        <v>0</v>
      </c>
      <c r="AI30" s="489">
        <f>IF(AG30=0,0,VLOOKUP(AG30,[1]FREQUENCIAS!$1:$1048576,(IF(($A30=[1]FREQUENCIAS!$W$1),23,"ERRO")),[1]FREQUENCIAS!$1:$1048576))</f>
        <v>0</v>
      </c>
      <c r="AJ30" s="490"/>
      <c r="AK30" s="490"/>
      <c r="AL30" s="490"/>
      <c r="AM30" s="124">
        <f t="shared" si="39"/>
        <v>1</v>
      </c>
      <c r="AN30" s="125">
        <f t="shared" si="7"/>
        <v>1</v>
      </c>
      <c r="AO30" s="126">
        <f t="shared" si="8"/>
        <v>0.5</v>
      </c>
      <c r="AP30" s="345" t="s">
        <v>173</v>
      </c>
      <c r="AQ30" s="491">
        <f t="shared" si="9"/>
        <v>0</v>
      </c>
      <c r="AR30" s="345"/>
      <c r="AS30" s="129" t="str">
        <f t="shared" si="10"/>
        <v>MUTAÇÃO</v>
      </c>
      <c r="AT30" s="480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[1]FREQUENCIAS!$G$4),(B30=[1]FREQUENCIAS!$G$5),(B30=[1]FREQUENCIAS!$G$6),(B30=[1]FREQUENCIAS!$G$7),(B30=[1]FREQUENCIAS!$G$8),(B30=[1]FREQUENCIAS!$G$9),(B30=[1]FREQUENCIAS!$G$10),(B30=[1]FREQUENCIAS!$G$11),(B30=[1]FREQUENCIAS!$G$12),(B30=[1]FREQUENCIAS!$G$13),(B30=[1]FREQUENCIAS!$G$14),(B30=[1]FREQUENCIAS!$G$15),(B30=[1]FREQUENCIAS!$G$16),(B30=[1]FREQUENCIAS!$G$17),(B30=[1]FREQUENCIAS!$G$18),(B30=[1]FREQUENCIAS!$G$19)),1,CC30))</f>
        <v>1</v>
      </c>
      <c r="AX30" s="1">
        <f>(IF(OR((C30="&lt;16"),(C30="&gt;51,2"),(C30=16),(C30=16.1),(C30=17.2),(C30=18.2),(C30=19.2),(C30=20.2),(C30=21.2),(C30=51.2),(C30=17),(C30=31.2),(C30=32.2),(C30=33.2),(C30=[1]FREQUENCIAS!$G$4),(C30=[1]FREQUENCIAS!$G$5),(C30=[1]FREQUENCIAS!$G$6),(C30=[1]FREQUENCIAS!$G$7),(C30=[1]FREQUENCIAS!$G$8),(C30=[1]FREQUENCIAS!$G$9),(C30=[1]FREQUENCIAS!$G$10),(C30=[1]FREQUENCIAS!$G$11),(C30=[1]FREQUENCIAS!$G$12),(C30=[1]FREQUENCIAS!$G$13),(C30=[1]FREQUENCIAS!$G$14),(C30=[1]FREQUENCIAS!$G$15),(C30=[1]FREQUENCIAS!$G$16),(C30=[1]FREQUENCIAS!$G$17),(C30=[1]FREQUENCIAS!$G$18),(C30=[1]FREQUENCIAS!$G$19)),1,CD30))</f>
        <v>1</v>
      </c>
      <c r="AY30" s="1">
        <f>(IF(OR((D30="&lt;16"),(D30="&gt;51,2"),(D30=16),(D30=16.1),(D30=17.2),(D30=18.2),(D30=19.2),(D30=20.2),(D30=21.2),(D30=51.2),(D30=17),(D30=31.2),(D30=32.2),(D30=33.2),(D30=[1]FREQUENCIAS!$G$4),(D30=[1]FREQUENCIAS!$G$5),(D30=[1]FREQUENCIAS!$G$6),(D30=[1]FREQUENCIAS!$G$7),(D30=[1]FREQUENCIAS!$G$8),(D30=[1]FREQUENCIAS!$G$9),(D30=[1]FREQUENCIAS!$G$10),(D30=[1]FREQUENCIAS!$G$11),(D30=[1]FREQUENCIAS!$G$12),(D30=[1]FREQUENCIAS!$G$13),(D30=[1]FREQUENCIAS!$G$14),(D30=[1]FREQUENCIAS!$G$15),(D30=[1]FREQUENCIAS!$G$16),(D30=[1]FREQUENCIAS!$G$17),(D30=[1]FREQUENCIAS!$G$18),(D30=[1]FREQUENCIAS!$G$19)),1,CE30))</f>
        <v>1</v>
      </c>
      <c r="AZ30" s="1">
        <f>(IF(OR((E30="&lt;16"),(E30="&gt;51,2"),(E30=16),(E30=16.1),(E30=17.2),(E30=18.2),(E30=19.2),(E30=20.2),(E30=21.2),(E30=51.2),(E30=17),(E30=31.2),(E30=32.2),(E30=33.2),(E30=[1]FREQUENCIAS!$G$4),(E30=[1]FREQUENCIAS!$G$5),(E30=[1]FREQUENCIAS!$G$6),(E30=[1]FREQUENCIAS!$G$7),(E30=[1]FREQUENCIAS!$G$8),(E30=[1]FREQUENCIAS!$G$9),(E30=[1]FREQUENCIAS!$G$10),(E30=[1]FREQUENCIAS!$G$11),(E30=[1]FREQUENCIAS!$G$12),(E30=[1]FREQUENCIAS!$G$13),(E30=[1]FREQUENCIAS!$G$14),(E30=[1]FREQUENCIAS!$G$15),(E30=[1]FREQUENCIAS!$G$16),(E30=[1]FREQUENCIAS!$G$17),(E30=[1]FREQUENCIAS!$G$18),(E30=[1]FREQUENCIAS!$G$19)),1,CF30))</f>
        <v>1</v>
      </c>
      <c r="BA30" s="1">
        <f>(IF(OR((F30="&lt;16"),(F30="&gt;51,2"),(F30=16),(F30=16.1),(F30=17.2),(F30=18.2),(F30=19.2),(F30=20.2),(F30=21.2),(F30=51.2),(F30=17),(F30=31.2),(F30=32.2),(F30=33.2),(F30=[1]FREQUENCIAS!$G$4),(F30=[1]FREQUENCIAS!$G$5),(F30=[1]FREQUENCIAS!$G$6),(F30=[1]FREQUENCIAS!$G$7),(F30=[1]FREQUENCIAS!$G$8),(F30=[1]FREQUENCIAS!$G$9),(F30=[1]FREQUENCIAS!$G$10),(F30=[1]FREQUENCIAS!$G$11),(F30=[1]FREQUENCIAS!$G$12),(F30=[1]FREQUENCIAS!$G$13),(F30=[1]FREQUENCIAS!$G$14),(F30=[1]FREQUENCIAS!$G$15),(F30=[1]FREQUENCIAS!$G$16),(F30=[1]FREQUENCIAS!$G$17),(F30=[1]FREQUENCIAS!$G$18),(F30=[1]FREQUENCIAS!$G$19)),1,CG30))</f>
        <v>1</v>
      </c>
      <c r="BB30" s="1">
        <f>(IF(OR((G30="&lt;16"),(G30="&gt;51,2"),(G30=16),(G30=16.1),(G30=17.2),(G30=18.2),(G30=19.2),(G30=20.2),(G30=21.2),(G30=51.2),(G30=17),(G30=31.2),(G30=32.2),(G30=33.2),(G30=[1]FREQUENCIAS!$G$4),(G30=[1]FREQUENCIAS!$G$5),(G30=[1]FREQUENCIAS!$G$6),(G30=[1]FREQUENCIAS!$G$7),(G30=[1]FREQUENCIAS!$G$8),(G30=[1]FREQUENCIAS!$G$9),(G30=[1]FREQUENCIAS!$G$10),(G30=[1]FREQUENCIAS!$G$11),(G30=[1]FREQUENCIAS!$G$12),(G30=[1]FREQUENCIAS!$G$13),(G30=[1]FREQUENCIAS!$G$14),(G30=[1]FREQUENCIAS!$G$15),(G30=[1]FREQUENCIAS!$G$16),(G30=[1]FREQUENCIAS!$G$17),(G30=[1]FREQUENCIAS!$G$18),(G30=[1]FREQUENCIAS!$G$19)),1,CH30))</f>
        <v>1</v>
      </c>
      <c r="BC30" s="1" t="s">
        <v>329</v>
      </c>
      <c r="BD30" s="492">
        <f t="shared" si="41"/>
        <v>0</v>
      </c>
      <c r="BE30" s="39">
        <f t="shared" si="42"/>
        <v>0</v>
      </c>
      <c r="BF30" s="14"/>
      <c r="BG30" s="41">
        <f>IF($A30=[1]FREQUENCIAS!$W$1,[1]FREQUENCIAS!$W$2,"ERRO NO PE")</f>
        <v>0.45400000000000001</v>
      </c>
      <c r="BH30" s="498">
        <f>IF($A30=[1]FREQUENCIAS!$W$1,[1]FREQUENCIAS!$W$3,"ERRO NA MUT")</f>
        <v>0</v>
      </c>
      <c r="BI30" s="41">
        <f t="shared" si="11"/>
        <v>1</v>
      </c>
      <c r="BJ30" s="2">
        <f t="shared" si="43"/>
        <v>0</v>
      </c>
      <c r="BL30" s="53">
        <v>17</v>
      </c>
      <c r="BM30" s="53">
        <v>33.200000000000003</v>
      </c>
      <c r="BN30" s="1" t="str">
        <f t="shared" si="48"/>
        <v>ALELO ERRADO</v>
      </c>
      <c r="BO30" s="500" t="str">
        <f t="shared" si="12"/>
        <v/>
      </c>
      <c r="BP30" s="500">
        <f t="shared" si="13"/>
        <v>0</v>
      </c>
      <c r="BQ30" s="500">
        <f t="shared" si="14"/>
        <v>0</v>
      </c>
      <c r="BR30" s="501" t="str">
        <f t="shared" si="15"/>
        <v/>
      </c>
      <c r="BS30" s="501">
        <f t="shared" si="16"/>
        <v>0</v>
      </c>
      <c r="BT30" s="501">
        <f t="shared" si="17"/>
        <v>0</v>
      </c>
      <c r="BU30" s="502" t="str">
        <f t="shared" si="44"/>
        <v/>
      </c>
      <c r="BV30" s="502">
        <f t="shared" si="18"/>
        <v>0</v>
      </c>
      <c r="BW30" s="502">
        <f t="shared" si="19"/>
        <v>0</v>
      </c>
      <c r="BZ30" s="495">
        <v>17</v>
      </c>
      <c r="CA30" s="496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1</v>
      </c>
      <c r="CM30" s="1">
        <f t="shared" si="23"/>
        <v>1</v>
      </c>
      <c r="CN30" s="1">
        <f t="shared" si="24"/>
        <v>1</v>
      </c>
      <c r="CO30" s="1">
        <f t="shared" si="25"/>
        <v>1</v>
      </c>
      <c r="CP30" s="1">
        <f t="shared" si="26"/>
        <v>1</v>
      </c>
      <c r="CQ30" s="1">
        <f t="shared" si="27"/>
        <v>1</v>
      </c>
      <c r="CR30" s="1">
        <f t="shared" si="49"/>
        <v>8</v>
      </c>
    </row>
    <row r="31" spans="1:96" ht="14.25" hidden="1" customHeight="1" thickTop="1" thickBot="1" x14ac:dyDescent="0.25">
      <c r="A31" s="232" t="str">
        <f>'[1]IMPORTAÇÃO GENOTIPER'!A27</f>
        <v>SE33</v>
      </c>
      <c r="B31" s="480">
        <f>'IMPORTAÇÃO GENOTIPER'!S26</f>
        <v>0</v>
      </c>
      <c r="C31" s="480">
        <f>'[1]IMPORTAÇÃO GENOTIPER'!Y27</f>
        <v>0</v>
      </c>
      <c r="D31" s="480">
        <f>'[1]IMPORTAÇÃO GENOTIPER'!AG27</f>
        <v>0</v>
      </c>
      <c r="E31" s="480">
        <f>'[1]IMPORTAÇÃO GENOTIPER'!AO27</f>
        <v>0</v>
      </c>
      <c r="F31" s="480">
        <f>'[1]IMPORTAÇÃO GENOTIPER'!AW27</f>
        <v>0</v>
      </c>
      <c r="G31" s="480">
        <f>'[1]IMPORTAÇÃO GENOTIPER'!BE27</f>
        <v>0</v>
      </c>
      <c r="H31" s="480">
        <f>'[1]IMPORTAÇÃO GENOTIPER'!BM27</f>
        <v>0</v>
      </c>
      <c r="I31" s="480">
        <f>'[1]IMPORTAÇÃO GENOTIPER'!BU27</f>
        <v>0</v>
      </c>
      <c r="J31" s="481">
        <f t="shared" si="52"/>
        <v>0</v>
      </c>
      <c r="K31" s="481">
        <f t="shared" si="52"/>
        <v>0</v>
      </c>
      <c r="L31" s="481">
        <f t="shared" si="52"/>
        <v>0</v>
      </c>
      <c r="M31" s="481">
        <f t="shared" si="30"/>
        <v>0</v>
      </c>
      <c r="N31" s="481">
        <f t="shared" si="53"/>
        <v>0</v>
      </c>
      <c r="O31" s="481">
        <f t="shared" si="53"/>
        <v>0</v>
      </c>
      <c r="P31" s="481">
        <f t="shared" si="53"/>
        <v>0</v>
      </c>
      <c r="Q31" s="481">
        <f t="shared" si="53"/>
        <v>0</v>
      </c>
      <c r="R31" s="482">
        <f t="shared" si="50"/>
        <v>0</v>
      </c>
      <c r="S31" s="482">
        <f t="shared" si="1"/>
        <v>0</v>
      </c>
      <c r="T31" s="482">
        <f t="shared" si="51"/>
        <v>0</v>
      </c>
      <c r="U31" s="482">
        <f t="shared" si="2"/>
        <v>0</v>
      </c>
      <c r="V31" s="482">
        <f t="shared" si="3"/>
        <v>0</v>
      </c>
      <c r="W31" s="482">
        <f t="shared" si="4"/>
        <v>0</v>
      </c>
      <c r="X31" s="482">
        <f t="shared" si="32"/>
        <v>0</v>
      </c>
      <c r="Y31" s="482">
        <f t="shared" si="33"/>
        <v>0</v>
      </c>
      <c r="Z31" s="483">
        <f t="shared" si="5"/>
        <v>0</v>
      </c>
      <c r="AA31" s="483">
        <f t="shared" si="6"/>
        <v>0</v>
      </c>
      <c r="AB31" s="484">
        <f t="shared" si="47"/>
        <v>0</v>
      </c>
      <c r="AC31" s="485">
        <f t="shared" si="34"/>
        <v>0</v>
      </c>
      <c r="AD31" s="486">
        <f t="shared" si="35"/>
        <v>0</v>
      </c>
      <c r="AE31" s="486">
        <f t="shared" si="36"/>
        <v>0</v>
      </c>
      <c r="AF31" s="487">
        <f t="shared" si="37"/>
        <v>0</v>
      </c>
      <c r="AG31" s="488">
        <f t="shared" si="38"/>
        <v>0</v>
      </c>
      <c r="AH31" s="489">
        <f>IF(AF31=0,0,VLOOKUP(AF31,[1]FREQUENCIAS!$1:$1048576,(IF(($A31=[1]FREQUENCIAS!$X$1),24,"ERRO")),[1]FREQUENCIAS!$1:$1048576))</f>
        <v>0</v>
      </c>
      <c r="AI31" s="489">
        <f>IF(AG31=0,0,VLOOKUP(AG31,[1]FREQUENCIAS!$1:$1048576,(IF(($A31=[1]FREQUENCIAS!$X$1),24,"ERRO")),[1]FREQUENCIAS!$1:$1048576))</f>
        <v>0</v>
      </c>
      <c r="AJ31" s="490"/>
      <c r="AK31" s="490"/>
      <c r="AL31" s="490"/>
      <c r="AM31" s="124">
        <f t="shared" si="39"/>
        <v>1</v>
      </c>
      <c r="AN31" s="125">
        <f t="shared" si="7"/>
        <v>1</v>
      </c>
      <c r="AO31" s="126">
        <f t="shared" si="8"/>
        <v>0.5</v>
      </c>
      <c r="AP31" s="345" t="s">
        <v>173</v>
      </c>
      <c r="AQ31" s="491">
        <f t="shared" si="9"/>
        <v>0</v>
      </c>
      <c r="AR31" s="345"/>
      <c r="AS31" s="129" t="str">
        <f t="shared" si="10"/>
        <v>MUTAÇÃO</v>
      </c>
      <c r="AT31" s="480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[1]FREQUENCIAS!$G$4),(B31=[1]FREQUENCIAS!$G$5),(B31=[1]FREQUENCIAS!$G$6),(B31=[1]FREQUENCIAS!$G$7),(B31=[1]FREQUENCIAS!$G$8),(B31=[1]FREQUENCIAS!$G$9),(B31=[1]FREQUENCIAS!$G$10),(B31=[1]FREQUENCIAS!$G$11),(B31=[1]FREQUENCIAS!$G$12),(B31=[1]FREQUENCIAS!$G$13),(B31=[1]FREQUENCIAS!$G$14),(B31=[1]FREQUENCIAS!$G$15),(B31=[1]FREQUENCIAS!$G$16),(B31=[1]FREQUENCIAS!$G$17),(B31=[1]FREQUENCIAS!$G$18),(B31=[1]FREQUENCIAS!$G$19)),1,CC31))</f>
        <v>1</v>
      </c>
      <c r="AX31" s="1">
        <f>(IF(OR((C31="&lt;16"),(C31="&gt;51,2"),(C31=16),(C31=16.1),(C31=17.2),(C31=18.2),(C31=19.2),(C31=20.2),(C31=21.2),(C31=51.2),(C31=17),(C31=31.2),(C31=32.2),(C31=33.2),(C31=[1]FREQUENCIAS!$G$4),(C31=[1]FREQUENCIAS!$G$5),(C31=[1]FREQUENCIAS!$G$6),(C31=[1]FREQUENCIAS!$G$7),(C31=[1]FREQUENCIAS!$G$8),(C31=[1]FREQUENCIAS!$G$9),(C31=[1]FREQUENCIAS!$G$10),(C31=[1]FREQUENCIAS!$G$11),(C31=[1]FREQUENCIAS!$G$12),(C31=[1]FREQUENCIAS!$G$13),(C31=[1]FREQUENCIAS!$G$14),(C31=[1]FREQUENCIAS!$G$15),(C31=[1]FREQUENCIAS!$G$16),(C31=[1]FREQUENCIAS!$G$17),(C31=[1]FREQUENCIAS!$G$18),(C31=[1]FREQUENCIAS!$G$19)),1,CD31))</f>
        <v>1</v>
      </c>
      <c r="AY31" s="1">
        <f>(IF(OR((D31="&lt;16"),(D31="&gt;51,2"),(D31=16),(D31=16.1),(D31=17.2),(D31=18.2),(D31=19.2),(D31=20.2),(D31=21.2),(D31=51.2),(D31=17),(D31=31.2),(D31=32.2),(D31=33.2),(D31=[1]FREQUENCIAS!$G$4),(D31=[1]FREQUENCIAS!$G$5),(D31=[1]FREQUENCIAS!$G$6),(D31=[1]FREQUENCIAS!$G$7),(D31=[1]FREQUENCIAS!$G$8),(D31=[1]FREQUENCIAS!$G$9),(D31=[1]FREQUENCIAS!$G$10),(D31=[1]FREQUENCIAS!$G$11),(D31=[1]FREQUENCIAS!$G$12),(D31=[1]FREQUENCIAS!$G$13),(D31=[1]FREQUENCIAS!$G$14),(D31=[1]FREQUENCIAS!$G$15),(D31=[1]FREQUENCIAS!$G$16),(D31=[1]FREQUENCIAS!$G$17),(D31=[1]FREQUENCIAS!$G$18),(D31=[1]FREQUENCIAS!$G$19)),1,CE31))</f>
        <v>1</v>
      </c>
      <c r="AZ31" s="1">
        <f>(IF(OR((E31="&lt;16"),(E31="&gt;51,2"),(E31=16),(E31=16.1),(E31=17.2),(E31=18.2),(E31=19.2),(E31=20.2),(E31=21.2),(E31=51.2),(E31=17),(E31=31.2),(E31=32.2),(E31=33.2),(E31=[1]FREQUENCIAS!$G$4),(E31=[1]FREQUENCIAS!$G$5),(E31=[1]FREQUENCIAS!$G$6),(E31=[1]FREQUENCIAS!$G$7),(E31=[1]FREQUENCIAS!$G$8),(E31=[1]FREQUENCIAS!$G$9),(E31=[1]FREQUENCIAS!$G$10),(E31=[1]FREQUENCIAS!$G$11),(E31=[1]FREQUENCIAS!$G$12),(E31=[1]FREQUENCIAS!$G$13),(E31=[1]FREQUENCIAS!$G$14),(E31=[1]FREQUENCIAS!$G$15),(E31=[1]FREQUENCIAS!$G$16),(E31=[1]FREQUENCIAS!$G$17),(E31=[1]FREQUENCIAS!$G$18),(E31=[1]FREQUENCIAS!$G$19)),1,CF31))</f>
        <v>1</v>
      </c>
      <c r="BA31" s="1">
        <f>(IF(OR((F31="&lt;16"),(F31="&gt;51,2"),(F31=16),(F31=16.1),(F31=17.2),(F31=18.2),(F31=19.2),(F31=20.2),(F31=21.2),(F31=51.2),(F31=17),(F31=31.2),(F31=32.2),(F31=33.2),(F31=[1]FREQUENCIAS!$G$4),(F31=[1]FREQUENCIAS!$G$5),(F31=[1]FREQUENCIAS!$G$6),(F31=[1]FREQUENCIAS!$G$7),(F31=[1]FREQUENCIAS!$G$8),(F31=[1]FREQUENCIAS!$G$9),(F31=[1]FREQUENCIAS!$G$10),(F31=[1]FREQUENCIAS!$G$11),(F31=[1]FREQUENCIAS!$G$12),(F31=[1]FREQUENCIAS!$G$13),(F31=[1]FREQUENCIAS!$G$14),(F31=[1]FREQUENCIAS!$G$15),(F31=[1]FREQUENCIAS!$G$16),(F31=[1]FREQUENCIAS!$G$17),(F31=[1]FREQUENCIAS!$G$18),(F31=[1]FREQUENCIAS!$G$19)),1,CG31))</f>
        <v>1</v>
      </c>
      <c r="BB31" s="1">
        <f>(IF(OR((G31="&lt;16"),(G31="&gt;51,2"),(G31=16),(G31=16.1),(G31=17.2),(G31=18.2),(G31=19.2),(G31=20.2),(G31=21.2),(G31=51.2),(G31=17),(G31=31.2),(G31=32.2),(G31=33.2),(G31=[1]FREQUENCIAS!$G$4),(G31=[1]FREQUENCIAS!$G$5),(G31=[1]FREQUENCIAS!$G$6),(G31=[1]FREQUENCIAS!$G$7),(G31=[1]FREQUENCIAS!$G$8),(G31=[1]FREQUENCIAS!$G$9),(G31=[1]FREQUENCIAS!$G$10),(G31=[1]FREQUENCIAS!$G$11),(G31=[1]FREQUENCIAS!$G$12),(G31=[1]FREQUENCIAS!$G$13),(G31=[1]FREQUENCIAS!$G$14),(G31=[1]FREQUENCIAS!$G$15),(G31=[1]FREQUENCIAS!$G$16),(G31=[1]FREQUENCIAS!$G$17),(G31=[1]FREQUENCIAS!$G$18),(G31=[1]FREQUENCIAS!$G$19)),1,CH31))</f>
        <v>1</v>
      </c>
      <c r="BC31" s="1" t="s">
        <v>329</v>
      </c>
      <c r="BD31" s="492">
        <f t="shared" si="41"/>
        <v>0</v>
      </c>
      <c r="BE31" s="39" t="e">
        <f t="shared" si="42"/>
        <v>#VALUE!</v>
      </c>
      <c r="BF31" s="14"/>
      <c r="BG31" s="41" t="str">
        <f>IF($A31=[1]FREQUENCIAS!$W$1,[1]FREQUENCIAS!$W$2,"ERRO NO PE")</f>
        <v>ERRO NO PE</v>
      </c>
      <c r="BH31" s="498" t="str">
        <f>IF($A31=[1]FREQUENCIAS!$W$1,[1]FREQUENCIAS!$W$3,"ERRO NA MUT")</f>
        <v>ERRO NA MUT</v>
      </c>
      <c r="BI31" s="41">
        <f t="shared" si="11"/>
        <v>1</v>
      </c>
      <c r="BJ31" s="2">
        <f t="shared" si="43"/>
        <v>0</v>
      </c>
      <c r="BL31" s="53">
        <v>17</v>
      </c>
      <c r="BM31" s="53">
        <v>33.200000000000003</v>
      </c>
      <c r="BN31" s="1" t="str">
        <f t="shared" si="48"/>
        <v>ALELO ERRADO</v>
      </c>
      <c r="BO31" s="500" t="str">
        <f t="shared" si="12"/>
        <v/>
      </c>
      <c r="BP31" s="500">
        <f t="shared" si="13"/>
        <v>0</v>
      </c>
      <c r="BQ31" s="500">
        <f t="shared" si="14"/>
        <v>0</v>
      </c>
      <c r="BR31" s="501" t="str">
        <f t="shared" si="15"/>
        <v/>
      </c>
      <c r="BS31" s="501">
        <f t="shared" si="16"/>
        <v>0</v>
      </c>
      <c r="BT31" s="501">
        <f t="shared" si="17"/>
        <v>0</v>
      </c>
      <c r="BU31" s="502" t="str">
        <f t="shared" si="44"/>
        <v/>
      </c>
      <c r="BV31" s="502">
        <f t="shared" si="18"/>
        <v>0</v>
      </c>
      <c r="BW31" s="502">
        <f t="shared" si="19"/>
        <v>0</v>
      </c>
      <c r="BZ31" s="495">
        <v>17</v>
      </c>
      <c r="CA31" s="496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 x14ac:dyDescent="0.25">
      <c r="A32" s="232">
        <f>'[1]IMPORTAÇÃO GENOTIPER'!A28</f>
        <v>1</v>
      </c>
      <c r="B32" s="480">
        <f>'[1]IMPORTAÇÃO GENOTIPER'!Q29</f>
        <v>0</v>
      </c>
      <c r="C32" s="480">
        <f>'[1]IMPORTAÇÃO GENOTIPER'!Y29</f>
        <v>0</v>
      </c>
      <c r="D32" s="480">
        <f>'[1]IMPORTAÇÃO GENOTIPER'!AG29</f>
        <v>0</v>
      </c>
      <c r="E32" s="480">
        <f>'[1]IMPORTAÇÃO GENOTIPER'!AO29</f>
        <v>0</v>
      </c>
      <c r="F32" s="480">
        <f>'[1]IMPORTAÇÃO GENOTIPER'!AW29</f>
        <v>0</v>
      </c>
      <c r="G32" s="480">
        <f>'[1]IMPORTAÇÃO GENOTIPER'!BE29</f>
        <v>0</v>
      </c>
      <c r="H32" s="480">
        <f>'[1]IMPORTAÇÃO GENOTIPER'!BM29</f>
        <v>0</v>
      </c>
      <c r="I32" s="480">
        <f>'[1]IMPORTAÇÃO GENOTIPER'!BU29</f>
        <v>0</v>
      </c>
      <c r="J32" s="481">
        <f t="shared" si="52"/>
        <v>0</v>
      </c>
      <c r="K32" s="481">
        <f t="shared" si="52"/>
        <v>0</v>
      </c>
      <c r="L32" s="481">
        <f t="shared" si="52"/>
        <v>0</v>
      </c>
      <c r="M32" s="481">
        <f t="shared" si="30"/>
        <v>0</v>
      </c>
      <c r="N32" s="481">
        <f t="shared" si="53"/>
        <v>0</v>
      </c>
      <c r="O32" s="481">
        <f t="shared" si="53"/>
        <v>0</v>
      </c>
      <c r="P32" s="481">
        <f t="shared" si="53"/>
        <v>0</v>
      </c>
      <c r="Q32" s="481">
        <f t="shared" si="53"/>
        <v>0</v>
      </c>
      <c r="R32" s="482">
        <f t="shared" si="50"/>
        <v>0</v>
      </c>
      <c r="S32" s="482">
        <f t="shared" si="1"/>
        <v>0</v>
      </c>
      <c r="T32" s="482">
        <f t="shared" si="51"/>
        <v>0</v>
      </c>
      <c r="U32" s="482">
        <f t="shared" si="2"/>
        <v>0</v>
      </c>
      <c r="V32" s="482">
        <f t="shared" si="3"/>
        <v>0</v>
      </c>
      <c r="W32" s="482">
        <f t="shared" si="4"/>
        <v>0</v>
      </c>
      <c r="X32" s="482">
        <f t="shared" si="32"/>
        <v>0</v>
      </c>
      <c r="Y32" s="482">
        <f t="shared" si="33"/>
        <v>0</v>
      </c>
      <c r="Z32" s="483">
        <f t="shared" si="5"/>
        <v>0</v>
      </c>
      <c r="AA32" s="483">
        <f t="shared" si="6"/>
        <v>0</v>
      </c>
      <c r="AB32" s="484">
        <f t="shared" si="47"/>
        <v>0</v>
      </c>
      <c r="AC32" s="485">
        <f t="shared" si="34"/>
        <v>0</v>
      </c>
      <c r="AD32" s="486">
        <f t="shared" si="35"/>
        <v>0</v>
      </c>
      <c r="AE32" s="486">
        <f t="shared" si="36"/>
        <v>0</v>
      </c>
      <c r="AF32" s="487">
        <f t="shared" si="37"/>
        <v>0</v>
      </c>
      <c r="AG32" s="488">
        <f t="shared" si="38"/>
        <v>0</v>
      </c>
      <c r="AH32" s="489">
        <f>IF(AF32=0,0,VLOOKUP(AF32,[1]FREQUENCIAS!$1:$1048576,(IF(($A32=[1]FREQUENCIAS!$Y$1),24,"ERRO")),[1]FREQUENCIAS!$1:$1048576))</f>
        <v>0</v>
      </c>
      <c r="AI32" s="489">
        <f>IF(AG32=0,0,VLOOKUP(AG32,[1]FREQUENCIAS!$1:$1048576,(IF(($A32=[1]FREQUENCIAS!$Y$1),24,"ERRO")),[1]FREQUENCIAS!$1:$1048576))</f>
        <v>0</v>
      </c>
      <c r="AJ32" s="490"/>
      <c r="AK32" s="490"/>
      <c r="AL32" s="490"/>
      <c r="AM32" s="124">
        <f t="shared" si="39"/>
        <v>1</v>
      </c>
      <c r="AN32" s="125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6">
        <f t="shared" si="8"/>
        <v>0.5</v>
      </c>
      <c r="AP32" s="345" t="s">
        <v>173</v>
      </c>
      <c r="AQ32" s="491">
        <f t="shared" si="9"/>
        <v>0</v>
      </c>
      <c r="AR32" s="345"/>
      <c r="AS32" s="129" t="str">
        <f t="shared" si="10"/>
        <v>MUTAÇÃO</v>
      </c>
      <c r="AT32" s="480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[1]FREQUENCIAS!$G$4),(B32=[1]FREQUENCIAS!$G$5),(B32=[1]FREQUENCIAS!$G$6),(B32=[1]FREQUENCIAS!$G$7),(B32=[1]FREQUENCIAS!$G$8),(B32=[1]FREQUENCIAS!$G$9),(B32=[1]FREQUENCIAS!$G$10),(B32=[1]FREQUENCIAS!$G$11),(B32=[1]FREQUENCIAS!$G$12),(B32=[1]FREQUENCIAS!$G$13),(B32=[1]FREQUENCIAS!$G$14),(B32=[1]FREQUENCIAS!$G$15),(B32=[1]FREQUENCIAS!$G$16),(B32=[1]FREQUENCIAS!$G$17),(B32=[1]FREQUENCIAS!$G$18),(B32=[1]FREQUENCIAS!$G$19)),1,CC32))</f>
        <v>1</v>
      </c>
      <c r="AX32" s="1">
        <f>(IF(OR((C32="&lt;16"),(C32="&gt;51,2"),(C32=16),(C32=16.1),(C32=17.2),(C32=18.2),(C32=19.2),(C32=20.2),(C32=21.2),(C32=51.2),(C32=17),(C32=31.2),(C32=32.2),(C32=33.2),(C32=[1]FREQUENCIAS!$G$4),(C32=[1]FREQUENCIAS!$G$5),(C32=[1]FREQUENCIAS!$G$6),(C32=[1]FREQUENCIAS!$G$7),(C32=[1]FREQUENCIAS!$G$8),(C32=[1]FREQUENCIAS!$G$9),(C32=[1]FREQUENCIAS!$G$10),(C32=[1]FREQUENCIAS!$G$11),(C32=[1]FREQUENCIAS!$G$12),(C32=[1]FREQUENCIAS!$G$13),(C32=[1]FREQUENCIAS!$G$14),(C32=[1]FREQUENCIAS!$G$15),(C32=[1]FREQUENCIAS!$G$16),(C32=[1]FREQUENCIAS!$G$17),(C32=[1]FREQUENCIAS!$G$18),(C32=[1]FREQUENCIAS!$G$19)),1,CD32))</f>
        <v>1</v>
      </c>
      <c r="AY32" s="1">
        <f>(IF(OR((D32="&lt;16"),(D32="&gt;51,2"),(D32=16),(D32=16.1),(D32=17.2),(D32=18.2),(D32=19.2),(D32=20.2),(D32=21.2),(D32=51.2),(D32=17),(D32=31.2),(D32=32.2),(D32=33.2),(D32=[1]FREQUENCIAS!$G$4),(D32=[1]FREQUENCIAS!$G$5),(D32=[1]FREQUENCIAS!$G$6),(D32=[1]FREQUENCIAS!$G$7),(D32=[1]FREQUENCIAS!$G$8),(D32=[1]FREQUENCIAS!$G$9),(D32=[1]FREQUENCIAS!$G$10),(D32=[1]FREQUENCIAS!$G$11),(D32=[1]FREQUENCIAS!$G$12),(D32=[1]FREQUENCIAS!$G$13),(D32=[1]FREQUENCIAS!$G$14),(D32=[1]FREQUENCIAS!$G$15),(D32=[1]FREQUENCIAS!$G$16),(D32=[1]FREQUENCIAS!$G$17),(D32=[1]FREQUENCIAS!$G$18),(D32=[1]FREQUENCIAS!$G$19)),1,CE32))</f>
        <v>1</v>
      </c>
      <c r="AZ32" s="1">
        <f>(IF(OR((E32="&lt;16"),(E32="&gt;51,2"),(E32=16),(E32=16.1),(E32=17.2),(E32=18.2),(E32=19.2),(E32=20.2),(E32=21.2),(E32=51.2),(E32=17),(E32=31.2),(E32=32.2),(E32=33.2),(E32=[1]FREQUENCIAS!$G$4),(E32=[1]FREQUENCIAS!$G$5),(E32=[1]FREQUENCIAS!$G$6),(E32=[1]FREQUENCIAS!$G$7),(E32=[1]FREQUENCIAS!$G$8),(E32=[1]FREQUENCIAS!$G$9),(E32=[1]FREQUENCIAS!$G$10),(E32=[1]FREQUENCIAS!$G$11),(E32=[1]FREQUENCIAS!$G$12),(E32=[1]FREQUENCIAS!$G$13),(E32=[1]FREQUENCIAS!$G$14),(E32=[1]FREQUENCIAS!$G$15),(E32=[1]FREQUENCIAS!$G$16),(E32=[1]FREQUENCIAS!$G$17),(E32=[1]FREQUENCIAS!$G$18),(E32=[1]FREQUENCIAS!$G$19)),1,CF32))</f>
        <v>1</v>
      </c>
      <c r="BA32" s="1">
        <f>(IF(OR((F32="&lt;16"),(F32="&gt;51,2"),(F32=16),(F32=16.1),(F32=17.2),(F32=18.2),(F32=19.2),(F32=20.2),(F32=21.2),(F32=51.2),(F32=17),(F32=31.2),(F32=32.2),(F32=33.2),(F32=[1]FREQUENCIAS!$G$4),(F32=[1]FREQUENCIAS!$G$5),(F32=[1]FREQUENCIAS!$G$6),(F32=[1]FREQUENCIAS!$G$7),(F32=[1]FREQUENCIAS!$G$8),(F32=[1]FREQUENCIAS!$G$9),(F32=[1]FREQUENCIAS!$G$10),(F32=[1]FREQUENCIAS!$G$11),(F32=[1]FREQUENCIAS!$G$12),(F32=[1]FREQUENCIAS!$G$13),(F32=[1]FREQUENCIAS!$G$14),(F32=[1]FREQUENCIAS!$G$15),(F32=[1]FREQUENCIAS!$G$16),(F32=[1]FREQUENCIAS!$G$17),(F32=[1]FREQUENCIAS!$G$18),(F32=[1]FREQUENCIAS!$G$19)),1,CG32))</f>
        <v>1</v>
      </c>
      <c r="BB32" s="1">
        <f>(IF(OR((G32="&lt;16"),(G32="&gt;51,2"),(G32=16),(G32=16.1),(G32=17.2),(G32=18.2),(G32=19.2),(G32=20.2),(G32=21.2),(G32=51.2),(G32=17),(G32=31.2),(G32=32.2),(G32=33.2),(G32=[1]FREQUENCIAS!$G$4),(G32=[1]FREQUENCIAS!$G$5),(G32=[1]FREQUENCIAS!$G$6),(G32=[1]FREQUENCIAS!$G$7),(G32=[1]FREQUENCIAS!$G$8),(G32=[1]FREQUENCIAS!$G$9),(G32=[1]FREQUENCIAS!$G$10),(G32=[1]FREQUENCIAS!$G$11),(G32=[1]FREQUENCIAS!$G$12),(G32=[1]FREQUENCIAS!$G$13),(G32=[1]FREQUENCIAS!$G$14),(G32=[1]FREQUENCIAS!$G$15),(G32=[1]FREQUENCIAS!$G$16),(G32=[1]FREQUENCIAS!$G$17),(G32=[1]FREQUENCIAS!$G$18),(G32=[1]FREQUENCIAS!$G$19)),1,CH32))</f>
        <v>1</v>
      </c>
      <c r="BC32" s="1" t="s">
        <v>329</v>
      </c>
      <c r="BD32" s="492">
        <f t="shared" si="41"/>
        <v>0</v>
      </c>
      <c r="BE32" s="39" t="e">
        <f t="shared" si="42"/>
        <v>#VALUE!</v>
      </c>
      <c r="BF32" s="14"/>
      <c r="BG32" s="41" t="str">
        <f>IF($A32=[1]FREQUENCIAS!$W$1,[1]FREQUENCIAS!$W$2,"ERRO NO PE")</f>
        <v>ERRO NO PE</v>
      </c>
      <c r="BH32" s="498" t="str">
        <f>IF($A32=[1]FREQUENCIAS!$W$1,[1]FREQUENCIAS!$W$3,"ERRO NA MUT")</f>
        <v>ERRO NA MUT</v>
      </c>
      <c r="BI32" s="41">
        <f t="shared" si="11"/>
        <v>1</v>
      </c>
      <c r="BJ32" s="2">
        <f t="shared" si="43"/>
        <v>0</v>
      </c>
      <c r="BL32" s="53">
        <v>17</v>
      </c>
      <c r="BM32" s="53">
        <v>33.200000000000003</v>
      </c>
      <c r="BN32" s="1" t="str">
        <f t="shared" si="48"/>
        <v>ALELO ERRADO</v>
      </c>
      <c r="BO32" s="500" t="str">
        <f t="shared" si="12"/>
        <v/>
      </c>
      <c r="BP32" s="500">
        <f t="shared" si="13"/>
        <v>0</v>
      </c>
      <c r="BQ32" s="500">
        <f t="shared" si="14"/>
        <v>0</v>
      </c>
      <c r="BR32" s="501" t="str">
        <f t="shared" si="15"/>
        <v/>
      </c>
      <c r="BS32" s="501">
        <f t="shared" si="16"/>
        <v>0</v>
      </c>
      <c r="BT32" s="501">
        <f t="shared" si="17"/>
        <v>0</v>
      </c>
      <c r="BU32" s="502" t="str">
        <f t="shared" si="44"/>
        <v/>
      </c>
      <c r="BV32" s="502">
        <f t="shared" si="18"/>
        <v>0</v>
      </c>
      <c r="BW32" s="502">
        <f t="shared" si="19"/>
        <v>0</v>
      </c>
      <c r="BZ32" s="495">
        <v>17</v>
      </c>
      <c r="CA32" s="496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 x14ac:dyDescent="0.25">
      <c r="A33" s="232">
        <f>'[1]IMPORTAÇÃO GENOTIPER'!A29</f>
        <v>2</v>
      </c>
      <c r="B33" s="480">
        <f>'[1]IMPORTAÇÃO GENOTIPER'!Q30</f>
        <v>0</v>
      </c>
      <c r="C33" s="480">
        <f>'[1]IMPORTAÇÃO GENOTIPER'!Y30</f>
        <v>0</v>
      </c>
      <c r="D33" s="480">
        <f>'[1]IMPORTAÇÃO GENOTIPER'!AG30</f>
        <v>0</v>
      </c>
      <c r="E33" s="480">
        <f>'[1]IMPORTAÇÃO GENOTIPER'!AO30</f>
        <v>0</v>
      </c>
      <c r="F33" s="480">
        <f>'[1]IMPORTAÇÃO GENOTIPER'!AW30</f>
        <v>0</v>
      </c>
      <c r="G33" s="480">
        <f>'[1]IMPORTAÇÃO GENOTIPER'!BE30</f>
        <v>0</v>
      </c>
      <c r="H33" s="480">
        <f>'[1]IMPORTAÇÃO GENOTIPER'!BM30</f>
        <v>0</v>
      </c>
      <c r="I33" s="480">
        <f>'[1]IMPORTAÇÃO GENOTIPER'!BU30</f>
        <v>0</v>
      </c>
      <c r="J33" s="481">
        <f t="shared" si="52"/>
        <v>0</v>
      </c>
      <c r="K33" s="481">
        <f t="shared" si="52"/>
        <v>0</v>
      </c>
      <c r="L33" s="481">
        <f t="shared" si="52"/>
        <v>0</v>
      </c>
      <c r="M33" s="481">
        <f t="shared" si="30"/>
        <v>0</v>
      </c>
      <c r="N33" s="481">
        <f t="shared" si="53"/>
        <v>0</v>
      </c>
      <c r="O33" s="481">
        <f t="shared" si="53"/>
        <v>0</v>
      </c>
      <c r="P33" s="481">
        <f t="shared" si="53"/>
        <v>0</v>
      </c>
      <c r="Q33" s="481">
        <f t="shared" si="53"/>
        <v>0</v>
      </c>
      <c r="R33" s="482">
        <f t="shared" si="50"/>
        <v>0</v>
      </c>
      <c r="S33" s="482">
        <f t="shared" si="1"/>
        <v>0</v>
      </c>
      <c r="T33" s="482">
        <f t="shared" si="51"/>
        <v>0</v>
      </c>
      <c r="U33" s="482">
        <f t="shared" si="2"/>
        <v>0</v>
      </c>
      <c r="V33" s="482">
        <f t="shared" si="3"/>
        <v>0</v>
      </c>
      <c r="W33" s="482">
        <f t="shared" si="4"/>
        <v>0</v>
      </c>
      <c r="X33" s="482">
        <f t="shared" si="32"/>
        <v>0</v>
      </c>
      <c r="Y33" s="482">
        <f t="shared" si="33"/>
        <v>0</v>
      </c>
      <c r="Z33" s="483">
        <f t="shared" si="5"/>
        <v>0</v>
      </c>
      <c r="AA33" s="483">
        <f t="shared" si="6"/>
        <v>0</v>
      </c>
      <c r="AB33" s="484">
        <f t="shared" si="47"/>
        <v>0</v>
      </c>
      <c r="AC33" s="485">
        <f t="shared" si="34"/>
        <v>0</v>
      </c>
      <c r="AD33" s="486">
        <f t="shared" si="35"/>
        <v>0</v>
      </c>
      <c r="AE33" s="486">
        <f t="shared" si="36"/>
        <v>0</v>
      </c>
      <c r="AF33" s="487">
        <f t="shared" si="37"/>
        <v>0</v>
      </c>
      <c r="AG33" s="488">
        <f t="shared" si="38"/>
        <v>0</v>
      </c>
      <c r="AH33" s="489">
        <f>IF(AF33=0,0,VLOOKUP(AF33,[1]FREQUENCIAS!$1:$1048576,(IF(($A33=[1]FREQUENCIAS!$Z$1),25,"ERRO")),[1]FREQUENCIAS!$1:$1048576))</f>
        <v>0</v>
      </c>
      <c r="AI33" s="489">
        <f>IF(AG33=0,0,VLOOKUP(AG33,[1]FREQUENCIAS!$1:$1048576,(IF(($A33=[1]FREQUENCIAS!$Z$1),25,"ERRO")),[1]FREQUENCIAS!$1:$1048576))</f>
        <v>0</v>
      </c>
      <c r="AJ33" s="490"/>
      <c r="AK33" s="490"/>
      <c r="AL33" s="490"/>
      <c r="AM33" s="124">
        <f t="shared" si="39"/>
        <v>1</v>
      </c>
      <c r="AN33" s="125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6">
        <f t="shared" si="8"/>
        <v>0.5</v>
      </c>
      <c r="AP33" s="345" t="s">
        <v>173</v>
      </c>
      <c r="AQ33" s="491">
        <f t="shared" si="9"/>
        <v>0</v>
      </c>
      <c r="AR33" s="345"/>
      <c r="AS33" s="129" t="str">
        <f t="shared" si="10"/>
        <v>MUTAÇÃO</v>
      </c>
      <c r="AT33" s="480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[1]FREQUENCIAS!$G$4),(B33=[1]FREQUENCIAS!$G$5),(B33=[1]FREQUENCIAS!$G$6),(B33=[1]FREQUENCIAS!$G$7),(B33=[1]FREQUENCIAS!$G$8),(B33=[1]FREQUENCIAS!$G$9),(B33=[1]FREQUENCIAS!$G$10),(B33=[1]FREQUENCIAS!$G$11),(B33=[1]FREQUENCIAS!$G$12),(B33=[1]FREQUENCIAS!$G$13),(B33=[1]FREQUENCIAS!$G$14),(B33=[1]FREQUENCIAS!$G$15),(B33=[1]FREQUENCIAS!$G$16),(B33=[1]FREQUENCIAS!$G$17),(B33=[1]FREQUENCIAS!$G$18),(B33=[1]FREQUENCIAS!$G$19)),1,CC33))</f>
        <v>1</v>
      </c>
      <c r="AX33" s="1">
        <f>(IF(OR((C33="&lt;16"),(C33="&gt;51,2"),(C33=16),(C33=16.1),(C33=17.2),(C33=18.2),(C33=19.2),(C33=20.2),(C33=21.2),(C33=51.2),(C33=17),(C33=31.2),(C33=32.2),(C33=33.2),(C33=[1]FREQUENCIAS!$G$4),(C33=[1]FREQUENCIAS!$G$5),(C33=[1]FREQUENCIAS!$G$6),(C33=[1]FREQUENCIAS!$G$7),(C33=[1]FREQUENCIAS!$G$8),(C33=[1]FREQUENCIAS!$G$9),(C33=[1]FREQUENCIAS!$G$10),(C33=[1]FREQUENCIAS!$G$11),(C33=[1]FREQUENCIAS!$G$12),(C33=[1]FREQUENCIAS!$G$13),(C33=[1]FREQUENCIAS!$G$14),(C33=[1]FREQUENCIAS!$G$15),(C33=[1]FREQUENCIAS!$G$16),(C33=[1]FREQUENCIAS!$G$17),(C33=[1]FREQUENCIAS!$G$18),(C33=[1]FREQUENCIAS!$G$19)),1,CD33))</f>
        <v>1</v>
      </c>
      <c r="AY33" s="1">
        <f>(IF(OR((D33="&lt;16"),(D33="&gt;51,2"),(D33=16),(D33=16.1),(D33=17.2),(D33=18.2),(D33=19.2),(D33=20.2),(D33=21.2),(D33=51.2),(D33=17),(D33=31.2),(D33=32.2),(D33=33.2),(D33=[1]FREQUENCIAS!$G$4),(D33=[1]FREQUENCIAS!$G$5),(D33=[1]FREQUENCIAS!$G$6),(D33=[1]FREQUENCIAS!$G$7),(D33=[1]FREQUENCIAS!$G$8),(D33=[1]FREQUENCIAS!$G$9),(D33=[1]FREQUENCIAS!$G$10),(D33=[1]FREQUENCIAS!$G$11),(D33=[1]FREQUENCIAS!$G$12),(D33=[1]FREQUENCIAS!$G$13),(D33=[1]FREQUENCIAS!$G$14),(D33=[1]FREQUENCIAS!$G$15),(D33=[1]FREQUENCIAS!$G$16),(D33=[1]FREQUENCIAS!$G$17),(D33=[1]FREQUENCIAS!$G$18),(D33=[1]FREQUENCIAS!$G$19)),1,CE33))</f>
        <v>1</v>
      </c>
      <c r="AZ33" s="1">
        <f>(IF(OR((E33="&lt;16"),(E33="&gt;51,2"),(E33=16),(E33=16.1),(E33=17.2),(E33=18.2),(E33=19.2),(E33=20.2),(E33=21.2),(E33=51.2),(E33=17),(E33=31.2),(E33=32.2),(E33=33.2),(E33=[1]FREQUENCIAS!$G$4),(E33=[1]FREQUENCIAS!$G$5),(E33=[1]FREQUENCIAS!$G$6),(E33=[1]FREQUENCIAS!$G$7),(E33=[1]FREQUENCIAS!$G$8),(E33=[1]FREQUENCIAS!$G$9),(E33=[1]FREQUENCIAS!$G$10),(E33=[1]FREQUENCIAS!$G$11),(E33=[1]FREQUENCIAS!$G$12),(E33=[1]FREQUENCIAS!$G$13),(E33=[1]FREQUENCIAS!$G$14),(E33=[1]FREQUENCIAS!$G$15),(E33=[1]FREQUENCIAS!$G$16),(E33=[1]FREQUENCIAS!$G$17),(E33=[1]FREQUENCIAS!$G$18),(E33=[1]FREQUENCIAS!$G$19)),1,CF33))</f>
        <v>1</v>
      </c>
      <c r="BA33" s="1">
        <f>(IF(OR((F33="&lt;16"),(F33="&gt;51,2"),(F33=16),(F33=16.1),(F33=17.2),(F33=18.2),(F33=19.2),(F33=20.2),(F33=21.2),(F33=51.2),(F33=17),(F33=31.2),(F33=32.2),(F33=33.2),(F33=[1]FREQUENCIAS!$G$4),(F33=[1]FREQUENCIAS!$G$5),(F33=[1]FREQUENCIAS!$G$6),(F33=[1]FREQUENCIAS!$G$7),(F33=[1]FREQUENCIAS!$G$8),(F33=[1]FREQUENCIAS!$G$9),(F33=[1]FREQUENCIAS!$G$10),(F33=[1]FREQUENCIAS!$G$11),(F33=[1]FREQUENCIAS!$G$12),(F33=[1]FREQUENCIAS!$G$13),(F33=[1]FREQUENCIAS!$G$14),(F33=[1]FREQUENCIAS!$G$15),(F33=[1]FREQUENCIAS!$G$16),(F33=[1]FREQUENCIAS!$G$17),(F33=[1]FREQUENCIAS!$G$18),(F33=[1]FREQUENCIAS!$G$19)),1,CG33))</f>
        <v>1</v>
      </c>
      <c r="BB33" s="1">
        <f>(IF(OR((G33="&lt;16"),(G33="&gt;51,2"),(G33=16),(G33=16.1),(G33=17.2),(G33=18.2),(G33=19.2),(G33=20.2),(G33=21.2),(G33=51.2),(G33=17),(G33=31.2),(G33=32.2),(G33=33.2),(G33=[1]FREQUENCIAS!$G$4),(G33=[1]FREQUENCIAS!$G$5),(G33=[1]FREQUENCIAS!$G$6),(G33=[1]FREQUENCIAS!$G$7),(G33=[1]FREQUENCIAS!$G$8),(G33=[1]FREQUENCIAS!$G$9),(G33=[1]FREQUENCIAS!$G$10),(G33=[1]FREQUENCIAS!$G$11),(G33=[1]FREQUENCIAS!$G$12),(G33=[1]FREQUENCIAS!$G$13),(G33=[1]FREQUENCIAS!$G$14),(G33=[1]FREQUENCIAS!$G$15),(G33=[1]FREQUENCIAS!$G$16),(G33=[1]FREQUENCIAS!$G$17),(G33=[1]FREQUENCIAS!$G$18),(G33=[1]FREQUENCIAS!$G$19)),1,CH33))</f>
        <v>1</v>
      </c>
      <c r="BC33" s="1" t="s">
        <v>329</v>
      </c>
      <c r="BD33" s="492">
        <f t="shared" si="41"/>
        <v>0</v>
      </c>
      <c r="BE33" s="39" t="e">
        <f t="shared" si="42"/>
        <v>#VALUE!</v>
      </c>
      <c r="BF33" s="14"/>
      <c r="BG33" s="41" t="str">
        <f>IF($A33=[1]FREQUENCIAS!$W$1,[1]FREQUENCIAS!$W$2,"ERRO NO PE")</f>
        <v>ERRO NO PE</v>
      </c>
      <c r="BH33" s="498" t="str">
        <f>IF($A33=[1]FREQUENCIAS!$W$1,[1]FREQUENCIAS!$W$3,"ERRO NA MUT")</f>
        <v>ERRO NA MUT</v>
      </c>
      <c r="BI33" s="41">
        <f t="shared" si="11"/>
        <v>1</v>
      </c>
      <c r="BJ33" s="2">
        <f t="shared" si="43"/>
        <v>0</v>
      </c>
      <c r="BL33" s="53">
        <v>17</v>
      </c>
      <c r="BM33" s="53">
        <v>33.200000000000003</v>
      </c>
      <c r="BN33" s="1" t="str">
        <f t="shared" si="48"/>
        <v>ALELO ERRADO</v>
      </c>
      <c r="BO33" s="500" t="str">
        <f t="shared" si="12"/>
        <v/>
      </c>
      <c r="BP33" s="500">
        <f t="shared" si="13"/>
        <v>0</v>
      </c>
      <c r="BQ33" s="500">
        <f t="shared" si="14"/>
        <v>0</v>
      </c>
      <c r="BR33" s="501" t="str">
        <f t="shared" si="15"/>
        <v/>
      </c>
      <c r="BS33" s="501">
        <f t="shared" si="16"/>
        <v>0</v>
      </c>
      <c r="BT33" s="501">
        <f t="shared" si="17"/>
        <v>0</v>
      </c>
      <c r="BU33" s="502" t="str">
        <f t="shared" si="44"/>
        <v/>
      </c>
      <c r="BV33" s="502">
        <f t="shared" si="18"/>
        <v>0</v>
      </c>
      <c r="BW33" s="502">
        <f t="shared" si="19"/>
        <v>0</v>
      </c>
      <c r="BZ33" s="495">
        <v>17</v>
      </c>
      <c r="CA33" s="496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 x14ac:dyDescent="0.25">
      <c r="A34" s="232">
        <f>'[1]IMPORTAÇÃO GENOTIPER'!A30</f>
        <v>3</v>
      </c>
      <c r="B34" s="480">
        <f>'[1]IMPORTAÇÃO GENOTIPER'!Q31</f>
        <v>0</v>
      </c>
      <c r="C34" s="480">
        <f>'[1]IMPORTAÇÃO GENOTIPER'!Y31</f>
        <v>0</v>
      </c>
      <c r="D34" s="480">
        <f>'[1]IMPORTAÇÃO GENOTIPER'!AG31</f>
        <v>0</v>
      </c>
      <c r="E34" s="480">
        <f>'[1]IMPORTAÇÃO GENOTIPER'!AO31</f>
        <v>0</v>
      </c>
      <c r="F34" s="480">
        <f>'[1]IMPORTAÇÃO GENOTIPER'!AW31</f>
        <v>0</v>
      </c>
      <c r="G34" s="480">
        <f>'[1]IMPORTAÇÃO GENOTIPER'!BE31</f>
        <v>0</v>
      </c>
      <c r="H34" s="480">
        <f>'[1]IMPORTAÇÃO GENOTIPER'!BM31</f>
        <v>0</v>
      </c>
      <c r="I34" s="480">
        <f>'[1]IMPORTAÇÃO GENOTIPER'!BU31</f>
        <v>0</v>
      </c>
      <c r="J34" s="481">
        <f t="shared" si="52"/>
        <v>0</v>
      </c>
      <c r="K34" s="481">
        <f t="shared" si="52"/>
        <v>0</v>
      </c>
      <c r="L34" s="481">
        <f t="shared" si="52"/>
        <v>0</v>
      </c>
      <c r="M34" s="481">
        <f t="shared" si="30"/>
        <v>0</v>
      </c>
      <c r="N34" s="481">
        <f t="shared" si="53"/>
        <v>0</v>
      </c>
      <c r="O34" s="481">
        <f t="shared" si="53"/>
        <v>0</v>
      </c>
      <c r="P34" s="481">
        <f t="shared" si="53"/>
        <v>0</v>
      </c>
      <c r="Q34" s="481">
        <f t="shared" si="53"/>
        <v>0</v>
      </c>
      <c r="R34" s="482">
        <f t="shared" si="50"/>
        <v>0</v>
      </c>
      <c r="S34" s="482">
        <f t="shared" si="1"/>
        <v>0</v>
      </c>
      <c r="T34" s="482">
        <f t="shared" si="51"/>
        <v>0</v>
      </c>
      <c r="U34" s="482">
        <f t="shared" si="2"/>
        <v>0</v>
      </c>
      <c r="V34" s="482">
        <f t="shared" si="3"/>
        <v>0</v>
      </c>
      <c r="W34" s="482">
        <f t="shared" si="4"/>
        <v>0</v>
      </c>
      <c r="X34" s="482">
        <f t="shared" si="32"/>
        <v>0</v>
      </c>
      <c r="Y34" s="482">
        <f t="shared" si="33"/>
        <v>0</v>
      </c>
      <c r="Z34" s="483">
        <f t="shared" si="5"/>
        <v>0</v>
      </c>
      <c r="AA34" s="483">
        <f t="shared" si="6"/>
        <v>0</v>
      </c>
      <c r="AB34" s="484">
        <f t="shared" si="47"/>
        <v>0</v>
      </c>
      <c r="AC34" s="485">
        <f t="shared" si="34"/>
        <v>0</v>
      </c>
      <c r="AD34" s="486">
        <f t="shared" si="35"/>
        <v>0</v>
      </c>
      <c r="AE34" s="486">
        <f t="shared" si="36"/>
        <v>0</v>
      </c>
      <c r="AF34" s="487">
        <f t="shared" si="37"/>
        <v>0</v>
      </c>
      <c r="AG34" s="488">
        <f t="shared" si="38"/>
        <v>0</v>
      </c>
      <c r="AH34" s="489">
        <f>IF(AF34=0,0,VLOOKUP(AF34,[1]FREQUENCIAS!$1:$1048576,(IF(($A34=[1]FREQUENCIAS!$AA$1),27,"ERRO")),[1]FREQUENCIAS!$1:$1048576))</f>
        <v>0</v>
      </c>
      <c r="AI34" s="489">
        <f>IF(AG34=0,0,VLOOKUP(AG34,[1]FREQUENCIAS!$1:$1048576,(IF(($A34=[1]FREQUENCIAS!$AA$1),27,"ERRO")),[1]FREQUENCIAS!$1:$1048576))</f>
        <v>0</v>
      </c>
      <c r="AJ34" s="490"/>
      <c r="AK34" s="490"/>
      <c r="AL34" s="490"/>
      <c r="AM34" s="124">
        <f t="shared" si="39"/>
        <v>1</v>
      </c>
      <c r="AN34" s="125">
        <f t="shared" si="54"/>
        <v>1</v>
      </c>
      <c r="AO34" s="126">
        <f t="shared" si="8"/>
        <v>0.5</v>
      </c>
      <c r="AP34" s="345" t="s">
        <v>173</v>
      </c>
      <c r="AQ34" s="491">
        <f t="shared" si="9"/>
        <v>0</v>
      </c>
      <c r="AR34" s="345"/>
      <c r="AS34" s="129" t="str">
        <f t="shared" si="10"/>
        <v>MUTAÇÃO</v>
      </c>
      <c r="AT34" s="480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[1]FREQUENCIAS!$G$4),(B34=[1]FREQUENCIAS!$G$5),(B34=[1]FREQUENCIAS!$G$6),(B34=[1]FREQUENCIAS!$G$7),(B34=[1]FREQUENCIAS!$G$8),(B34=[1]FREQUENCIAS!$G$9),(B34=[1]FREQUENCIAS!$G$10),(B34=[1]FREQUENCIAS!$G$11),(B34=[1]FREQUENCIAS!$G$12),(B34=[1]FREQUENCIAS!$G$13),(B34=[1]FREQUENCIAS!$G$14),(B34=[1]FREQUENCIAS!$G$15),(B34=[1]FREQUENCIAS!$G$16),(B34=[1]FREQUENCIAS!$G$17),(B34=[1]FREQUENCIAS!$G$18),(B34=[1]FREQUENCIAS!$G$19)),1,CC34))</f>
        <v>1</v>
      </c>
      <c r="AX34" s="1">
        <f>(IF(OR((C34="&lt;16"),(C34="&gt;51,2"),(C34=16),(C34=16.1),(C34=17.2),(C34=18.2),(C34=19.2),(C34=20.2),(C34=21.2),(C34=51.2),(C34=17),(C34=31.2),(C34=32.2),(C34=33.2),(C34=[1]FREQUENCIAS!$G$4),(C34=[1]FREQUENCIAS!$G$5),(C34=[1]FREQUENCIAS!$G$6),(C34=[1]FREQUENCIAS!$G$7),(C34=[1]FREQUENCIAS!$G$8),(C34=[1]FREQUENCIAS!$G$9),(C34=[1]FREQUENCIAS!$G$10),(C34=[1]FREQUENCIAS!$G$11),(C34=[1]FREQUENCIAS!$G$12),(C34=[1]FREQUENCIAS!$G$13),(C34=[1]FREQUENCIAS!$G$14),(C34=[1]FREQUENCIAS!$G$15),(C34=[1]FREQUENCIAS!$G$16),(C34=[1]FREQUENCIAS!$G$17),(C34=[1]FREQUENCIAS!$G$18),(C34=[1]FREQUENCIAS!$G$19)),1,CD34))</f>
        <v>1</v>
      </c>
      <c r="AY34" s="1">
        <f>(IF(OR((D34="&lt;16"),(D34="&gt;51,2"),(D34=16),(D34=16.1),(D34=17.2),(D34=18.2),(D34=19.2),(D34=20.2),(D34=21.2),(D34=51.2),(D34=17),(D34=31.2),(D34=32.2),(D34=33.2),(D34=[1]FREQUENCIAS!$G$4),(D34=[1]FREQUENCIAS!$G$5),(D34=[1]FREQUENCIAS!$G$6),(D34=[1]FREQUENCIAS!$G$7),(D34=[1]FREQUENCIAS!$G$8),(D34=[1]FREQUENCIAS!$G$9),(D34=[1]FREQUENCIAS!$G$10),(D34=[1]FREQUENCIAS!$G$11),(D34=[1]FREQUENCIAS!$G$12),(D34=[1]FREQUENCIAS!$G$13),(D34=[1]FREQUENCIAS!$G$14),(D34=[1]FREQUENCIAS!$G$15),(D34=[1]FREQUENCIAS!$G$16),(D34=[1]FREQUENCIAS!$G$17),(D34=[1]FREQUENCIAS!$G$18),(D34=[1]FREQUENCIAS!$G$19)),1,CE34))</f>
        <v>1</v>
      </c>
      <c r="AZ34" s="1">
        <f>(IF(OR((E34="&lt;16"),(E34="&gt;51,2"),(E34=16),(E34=16.1),(E34=17.2),(E34=18.2),(E34=19.2),(E34=20.2),(E34=21.2),(E34=51.2),(E34=17),(E34=31.2),(E34=32.2),(E34=33.2),(E34=[1]FREQUENCIAS!$G$4),(E34=[1]FREQUENCIAS!$G$5),(E34=[1]FREQUENCIAS!$G$6),(E34=[1]FREQUENCIAS!$G$7),(E34=[1]FREQUENCIAS!$G$8),(E34=[1]FREQUENCIAS!$G$9),(E34=[1]FREQUENCIAS!$G$10),(E34=[1]FREQUENCIAS!$G$11),(E34=[1]FREQUENCIAS!$G$12),(E34=[1]FREQUENCIAS!$G$13),(E34=[1]FREQUENCIAS!$G$14),(E34=[1]FREQUENCIAS!$G$15),(E34=[1]FREQUENCIAS!$G$16),(E34=[1]FREQUENCIAS!$G$17),(E34=[1]FREQUENCIAS!$G$18),(E34=[1]FREQUENCIAS!$G$19)),1,CF34))</f>
        <v>1</v>
      </c>
      <c r="BA34" s="1">
        <f>(IF(OR((F34="&lt;16"),(F34="&gt;51,2"),(F34=16),(F34=16.1),(F34=17.2),(F34=18.2),(F34=19.2),(F34=20.2),(F34=21.2),(F34=51.2),(F34=17),(F34=31.2),(F34=32.2),(F34=33.2),(F34=[1]FREQUENCIAS!$G$4),(F34=[1]FREQUENCIAS!$G$5),(F34=[1]FREQUENCIAS!$G$6),(F34=[1]FREQUENCIAS!$G$7),(F34=[1]FREQUENCIAS!$G$8),(F34=[1]FREQUENCIAS!$G$9),(F34=[1]FREQUENCIAS!$G$10),(F34=[1]FREQUENCIAS!$G$11),(F34=[1]FREQUENCIAS!$G$12),(F34=[1]FREQUENCIAS!$G$13),(F34=[1]FREQUENCIAS!$G$14),(F34=[1]FREQUENCIAS!$G$15),(F34=[1]FREQUENCIAS!$G$16),(F34=[1]FREQUENCIAS!$G$17),(F34=[1]FREQUENCIAS!$G$18),(F34=[1]FREQUENCIAS!$G$19)),1,CG34))</f>
        <v>1</v>
      </c>
      <c r="BB34" s="1">
        <f>(IF(OR((G34="&lt;16"),(G34="&gt;51,2"),(G34=16),(G34=16.1),(G34=17.2),(G34=18.2),(G34=19.2),(G34=20.2),(G34=21.2),(G34=51.2),(G34=17),(G34=31.2),(G34=32.2),(G34=33.2),(G34=[1]FREQUENCIAS!$G$4),(G34=[1]FREQUENCIAS!$G$5),(G34=[1]FREQUENCIAS!$G$6),(G34=[1]FREQUENCIAS!$G$7),(G34=[1]FREQUENCIAS!$G$8),(G34=[1]FREQUENCIAS!$G$9),(G34=[1]FREQUENCIAS!$G$10),(G34=[1]FREQUENCIAS!$G$11),(G34=[1]FREQUENCIAS!$G$12),(G34=[1]FREQUENCIAS!$G$13),(G34=[1]FREQUENCIAS!$G$14),(G34=[1]FREQUENCIAS!$G$15),(G34=[1]FREQUENCIAS!$G$16),(G34=[1]FREQUENCIAS!$G$17),(G34=[1]FREQUENCIAS!$G$18),(G34=[1]FREQUENCIAS!$G$19)),1,CH34))</f>
        <v>1</v>
      </c>
      <c r="BC34" s="1" t="s">
        <v>329</v>
      </c>
      <c r="BD34" s="492">
        <f t="shared" si="41"/>
        <v>0</v>
      </c>
      <c r="BE34" s="39" t="e">
        <f t="shared" si="42"/>
        <v>#VALUE!</v>
      </c>
      <c r="BF34" s="14"/>
      <c r="BG34" s="41" t="str">
        <f>IF($A34=[1]FREQUENCIAS!$W$1,[1]FREQUENCIAS!$W$2,"ERRO NO PE")</f>
        <v>ERRO NO PE</v>
      </c>
      <c r="BH34" s="498" t="str">
        <f>IF($A34=[1]FREQUENCIAS!$W$1,[1]FREQUENCIAS!$W$3,"ERRO NA MUT")</f>
        <v>ERRO NA MUT</v>
      </c>
      <c r="BI34" s="41">
        <f t="shared" si="11"/>
        <v>1</v>
      </c>
      <c r="BJ34" s="2">
        <f t="shared" si="43"/>
        <v>0</v>
      </c>
      <c r="BL34" s="53">
        <v>17</v>
      </c>
      <c r="BM34" s="53">
        <v>33.200000000000003</v>
      </c>
      <c r="BN34" s="1" t="str">
        <f t="shared" si="48"/>
        <v>ALELO ERRADO</v>
      </c>
      <c r="BO34" s="500" t="str">
        <f t="shared" si="12"/>
        <v/>
      </c>
      <c r="BP34" s="500">
        <f t="shared" si="13"/>
        <v>0</v>
      </c>
      <c r="BQ34" s="500">
        <f t="shared" si="14"/>
        <v>0</v>
      </c>
      <c r="BR34" s="501" t="str">
        <f t="shared" si="15"/>
        <v/>
      </c>
      <c r="BS34" s="501">
        <f t="shared" si="16"/>
        <v>0</v>
      </c>
      <c r="BT34" s="501">
        <f t="shared" si="17"/>
        <v>0</v>
      </c>
      <c r="BU34" s="502" t="str">
        <f t="shared" si="44"/>
        <v/>
      </c>
      <c r="BV34" s="502">
        <f t="shared" si="18"/>
        <v>0</v>
      </c>
      <c r="BW34" s="502">
        <f t="shared" si="19"/>
        <v>0</v>
      </c>
      <c r="BZ34" s="495">
        <v>17</v>
      </c>
      <c r="CA34" s="496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 x14ac:dyDescent="0.25">
      <c r="A35" s="232">
        <f>'[1]IMPORTAÇÃO GENOTIPER'!A31</f>
        <v>4</v>
      </c>
      <c r="B35" s="480">
        <f>'[1]IMPORTAÇÃO GENOTIPER'!Q32</f>
        <v>0</v>
      </c>
      <c r="C35" s="480">
        <f>'[1]IMPORTAÇÃO GENOTIPER'!Y32</f>
        <v>0</v>
      </c>
      <c r="D35" s="480">
        <f>'[1]IMPORTAÇÃO GENOTIPER'!AG32</f>
        <v>0</v>
      </c>
      <c r="E35" s="480">
        <f>'[1]IMPORTAÇÃO GENOTIPER'!AO32</f>
        <v>0</v>
      </c>
      <c r="F35" s="480">
        <f>'[1]IMPORTAÇÃO GENOTIPER'!AW32</f>
        <v>0</v>
      </c>
      <c r="G35" s="480">
        <f>'[1]IMPORTAÇÃO GENOTIPER'!BE32</f>
        <v>0</v>
      </c>
      <c r="H35" s="480">
        <f>'[1]IMPORTAÇÃO GENOTIPER'!BM32</f>
        <v>0</v>
      </c>
      <c r="I35" s="480">
        <f>'[1]IMPORTAÇÃO GENOTIPER'!BU32</f>
        <v>0</v>
      </c>
      <c r="J35" s="481">
        <f t="shared" si="52"/>
        <v>0</v>
      </c>
      <c r="K35" s="481">
        <f t="shared" si="52"/>
        <v>0</v>
      </c>
      <c r="L35" s="481">
        <f t="shared" si="52"/>
        <v>0</v>
      </c>
      <c r="M35" s="481">
        <f t="shared" si="30"/>
        <v>0</v>
      </c>
      <c r="N35" s="481">
        <f t="shared" si="53"/>
        <v>0</v>
      </c>
      <c r="O35" s="481">
        <f t="shared" si="53"/>
        <v>0</v>
      </c>
      <c r="P35" s="481">
        <f t="shared" si="53"/>
        <v>0</v>
      </c>
      <c r="Q35" s="481">
        <f t="shared" si="53"/>
        <v>0</v>
      </c>
      <c r="R35" s="482">
        <f t="shared" si="50"/>
        <v>0</v>
      </c>
      <c r="S35" s="482">
        <f t="shared" si="1"/>
        <v>0</v>
      </c>
      <c r="T35" s="482">
        <f t="shared" si="51"/>
        <v>0</v>
      </c>
      <c r="U35" s="482">
        <f t="shared" si="2"/>
        <v>0</v>
      </c>
      <c r="V35" s="482">
        <f t="shared" si="3"/>
        <v>0</v>
      </c>
      <c r="W35" s="482">
        <f t="shared" si="4"/>
        <v>0</v>
      </c>
      <c r="X35" s="482">
        <f t="shared" si="32"/>
        <v>0</v>
      </c>
      <c r="Y35" s="482">
        <f t="shared" si="33"/>
        <v>0</v>
      </c>
      <c r="Z35" s="483">
        <f t="shared" si="5"/>
        <v>0</v>
      </c>
      <c r="AA35" s="483">
        <f t="shared" si="6"/>
        <v>0</v>
      </c>
      <c r="AB35" s="484">
        <f t="shared" si="47"/>
        <v>0</v>
      </c>
      <c r="AC35" s="485">
        <f t="shared" si="34"/>
        <v>0</v>
      </c>
      <c r="AD35" s="486">
        <f t="shared" si="35"/>
        <v>0</v>
      </c>
      <c r="AE35" s="486">
        <f t="shared" si="36"/>
        <v>0</v>
      </c>
      <c r="AF35" s="487">
        <f t="shared" si="37"/>
        <v>0</v>
      </c>
      <c r="AG35" s="488">
        <f t="shared" si="38"/>
        <v>0</v>
      </c>
      <c r="AH35" s="489">
        <f>IF(AF35=0,0,VLOOKUP(AF35,[1]FREQUENCIAS!$1:$1048576,(IF(($A35=[1]FREQUENCIAS!$AB$1),28,"ERRO")),[1]FREQUENCIAS!$1:$1048576))</f>
        <v>0</v>
      </c>
      <c r="AI35" s="489">
        <f>IF(AG35=0,0,VLOOKUP(AG35,[1]FREQUENCIAS!$1:$1048576,(IF(($A35=[1]FREQUENCIAS!$AB$1),28,"ERRO")),[1]FREQUENCIAS!$1:$1048576))</f>
        <v>0</v>
      </c>
      <c r="AJ35" s="490"/>
      <c r="AK35" s="490"/>
      <c r="AL35" s="490"/>
      <c r="AM35" s="124">
        <f t="shared" si="39"/>
        <v>1</v>
      </c>
      <c r="AN35" s="125">
        <f t="shared" si="54"/>
        <v>1</v>
      </c>
      <c r="AO35" s="126">
        <f t="shared" si="8"/>
        <v>0.5</v>
      </c>
      <c r="AP35" s="345" t="s">
        <v>173</v>
      </c>
      <c r="AQ35" s="491">
        <f t="shared" si="9"/>
        <v>0</v>
      </c>
      <c r="AR35" s="345"/>
      <c r="AS35" s="129" t="str">
        <f t="shared" si="10"/>
        <v>MUTAÇÃO</v>
      </c>
      <c r="AT35" s="480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[1]FREQUENCIAS!$G$4),(B35=[1]FREQUENCIAS!$G$5),(B35=[1]FREQUENCIAS!$G$6),(B35=[1]FREQUENCIAS!$G$7),(B35=[1]FREQUENCIAS!$G$8),(B35=[1]FREQUENCIAS!$G$9),(B35=[1]FREQUENCIAS!$G$10),(B35=[1]FREQUENCIAS!$G$11),(B35=[1]FREQUENCIAS!$G$12),(B35=[1]FREQUENCIAS!$G$13),(B35=[1]FREQUENCIAS!$G$14),(B35=[1]FREQUENCIAS!$G$15),(B35=[1]FREQUENCIAS!$G$16),(B35=[1]FREQUENCIAS!$G$17),(B35=[1]FREQUENCIAS!$G$18),(B35=[1]FREQUENCIAS!$G$19)),1,CC35))</f>
        <v>1</v>
      </c>
      <c r="AX35" s="1">
        <f>(IF(OR((C35="&lt;16"),(C35="&gt;51,2"),(C35=16),(C35=16.1),(C35=17.2),(C35=18.2),(C35=19.2),(C35=20.2),(C35=21.2),(C35=51.2),(C35=17),(C35=31.2),(C35=32.2),(C35=33.2),(C35=[1]FREQUENCIAS!$G$4),(C35=[1]FREQUENCIAS!$G$5),(C35=[1]FREQUENCIAS!$G$6),(C35=[1]FREQUENCIAS!$G$7),(C35=[1]FREQUENCIAS!$G$8),(C35=[1]FREQUENCIAS!$G$9),(C35=[1]FREQUENCIAS!$G$10),(C35=[1]FREQUENCIAS!$G$11),(C35=[1]FREQUENCIAS!$G$12),(C35=[1]FREQUENCIAS!$G$13),(C35=[1]FREQUENCIAS!$G$14),(C35=[1]FREQUENCIAS!$G$15),(C35=[1]FREQUENCIAS!$G$16),(C35=[1]FREQUENCIAS!$G$17),(C35=[1]FREQUENCIAS!$G$18),(C35=[1]FREQUENCIAS!$G$19)),1,CD35))</f>
        <v>1</v>
      </c>
      <c r="AY35" s="1">
        <f>(IF(OR((D35="&lt;16"),(D35="&gt;51,2"),(D35=16),(D35=16.1),(D35=17.2),(D35=18.2),(D35=19.2),(D35=20.2),(D35=21.2),(D35=51.2),(D35=17),(D35=31.2),(D35=32.2),(D35=33.2),(D35=[1]FREQUENCIAS!$G$4),(D35=[1]FREQUENCIAS!$G$5),(D35=[1]FREQUENCIAS!$G$6),(D35=[1]FREQUENCIAS!$G$7),(D35=[1]FREQUENCIAS!$G$8),(D35=[1]FREQUENCIAS!$G$9),(D35=[1]FREQUENCIAS!$G$10),(D35=[1]FREQUENCIAS!$G$11),(D35=[1]FREQUENCIAS!$G$12),(D35=[1]FREQUENCIAS!$G$13),(D35=[1]FREQUENCIAS!$G$14),(D35=[1]FREQUENCIAS!$G$15),(D35=[1]FREQUENCIAS!$G$16),(D35=[1]FREQUENCIAS!$G$17),(D35=[1]FREQUENCIAS!$G$18),(D35=[1]FREQUENCIAS!$G$19)),1,CE35))</f>
        <v>1</v>
      </c>
      <c r="AZ35" s="1">
        <f>(IF(OR((E35="&lt;16"),(E35="&gt;51,2"),(E35=16),(E35=16.1),(E35=17.2),(E35=18.2),(E35=19.2),(E35=20.2),(E35=21.2),(E35=51.2),(E35=17),(E35=31.2),(E35=32.2),(E35=33.2),(E35=[1]FREQUENCIAS!$G$4),(E35=[1]FREQUENCIAS!$G$5),(E35=[1]FREQUENCIAS!$G$6),(E35=[1]FREQUENCIAS!$G$7),(E35=[1]FREQUENCIAS!$G$8),(E35=[1]FREQUENCIAS!$G$9),(E35=[1]FREQUENCIAS!$G$10),(E35=[1]FREQUENCIAS!$G$11),(E35=[1]FREQUENCIAS!$G$12),(E35=[1]FREQUENCIAS!$G$13),(E35=[1]FREQUENCIAS!$G$14),(E35=[1]FREQUENCIAS!$G$15),(E35=[1]FREQUENCIAS!$G$16),(E35=[1]FREQUENCIAS!$G$17),(E35=[1]FREQUENCIAS!$G$18),(E35=[1]FREQUENCIAS!$G$19)),1,CF35))</f>
        <v>1</v>
      </c>
      <c r="BA35" s="1">
        <f>(IF(OR((F35="&lt;16"),(F35="&gt;51,2"),(F35=16),(F35=16.1),(F35=17.2),(F35=18.2),(F35=19.2),(F35=20.2),(F35=21.2),(F35=51.2),(F35=17),(F35=31.2),(F35=32.2),(F35=33.2),(F35=[1]FREQUENCIAS!$G$4),(F35=[1]FREQUENCIAS!$G$5),(F35=[1]FREQUENCIAS!$G$6),(F35=[1]FREQUENCIAS!$G$7),(F35=[1]FREQUENCIAS!$G$8),(F35=[1]FREQUENCIAS!$G$9),(F35=[1]FREQUENCIAS!$G$10),(F35=[1]FREQUENCIAS!$G$11),(F35=[1]FREQUENCIAS!$G$12),(F35=[1]FREQUENCIAS!$G$13),(F35=[1]FREQUENCIAS!$G$14),(F35=[1]FREQUENCIAS!$G$15),(F35=[1]FREQUENCIAS!$G$16),(F35=[1]FREQUENCIAS!$G$17),(F35=[1]FREQUENCIAS!$G$18),(F35=[1]FREQUENCIAS!$G$19)),1,CG35))</f>
        <v>1</v>
      </c>
      <c r="BB35" s="1">
        <f>(IF(OR((G35="&lt;16"),(G35="&gt;51,2"),(G35=16),(G35=16.1),(G35=17.2),(G35=18.2),(G35=19.2),(G35=20.2),(G35=21.2),(G35=51.2),(G35=17),(G35=31.2),(G35=32.2),(G35=33.2),(G35=[1]FREQUENCIAS!$G$4),(G35=[1]FREQUENCIAS!$G$5),(G35=[1]FREQUENCIAS!$G$6),(G35=[1]FREQUENCIAS!$G$7),(G35=[1]FREQUENCIAS!$G$8),(G35=[1]FREQUENCIAS!$G$9),(G35=[1]FREQUENCIAS!$G$10),(G35=[1]FREQUENCIAS!$G$11),(G35=[1]FREQUENCIAS!$G$12),(G35=[1]FREQUENCIAS!$G$13),(G35=[1]FREQUENCIAS!$G$14),(G35=[1]FREQUENCIAS!$G$15),(G35=[1]FREQUENCIAS!$G$16),(G35=[1]FREQUENCIAS!$G$17),(G35=[1]FREQUENCIAS!$G$18),(G35=[1]FREQUENCIAS!$G$19)),1,CH35))</f>
        <v>1</v>
      </c>
      <c r="BC35" s="1" t="s">
        <v>329</v>
      </c>
      <c r="BD35" s="492">
        <f t="shared" si="41"/>
        <v>0</v>
      </c>
      <c r="BE35" s="39" t="e">
        <f t="shared" si="42"/>
        <v>#VALUE!</v>
      </c>
      <c r="BF35" s="14"/>
      <c r="BG35" s="41" t="str">
        <f>IF($A35=[1]FREQUENCIAS!$W$1,[1]FREQUENCIAS!$W$2,"ERRO NO PE")</f>
        <v>ERRO NO PE</v>
      </c>
      <c r="BH35" s="498" t="str">
        <f>IF($A35=[1]FREQUENCIAS!$W$1,[1]FREQUENCIAS!$W$3,"ERRO NA MUT")</f>
        <v>ERRO NA MUT</v>
      </c>
      <c r="BI35" s="41">
        <f t="shared" si="11"/>
        <v>1</v>
      </c>
      <c r="BJ35" s="2">
        <f t="shared" si="43"/>
        <v>0</v>
      </c>
      <c r="BL35" s="53">
        <v>17</v>
      </c>
      <c r="BM35" s="53">
        <v>33.200000000000003</v>
      </c>
      <c r="BN35" s="1" t="str">
        <f t="shared" si="48"/>
        <v>ALELO ERRADO</v>
      </c>
      <c r="BO35" s="500" t="str">
        <f t="shared" si="12"/>
        <v/>
      </c>
      <c r="BP35" s="500">
        <f t="shared" si="13"/>
        <v>0</v>
      </c>
      <c r="BQ35" s="500">
        <f t="shared" si="14"/>
        <v>0</v>
      </c>
      <c r="BR35" s="501" t="str">
        <f t="shared" si="15"/>
        <v/>
      </c>
      <c r="BS35" s="501">
        <f t="shared" si="16"/>
        <v>0</v>
      </c>
      <c r="BT35" s="501">
        <f t="shared" si="17"/>
        <v>0</v>
      </c>
      <c r="BU35" s="502" t="str">
        <f t="shared" si="44"/>
        <v/>
      </c>
      <c r="BV35" s="502">
        <f t="shared" si="18"/>
        <v>0</v>
      </c>
      <c r="BW35" s="502">
        <f t="shared" si="19"/>
        <v>0</v>
      </c>
      <c r="BZ35" s="495">
        <v>17</v>
      </c>
      <c r="CA35" s="496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 x14ac:dyDescent="0.25">
      <c r="A36" s="232">
        <f>'[1]IMPORTAÇÃO GENOTIPER'!A32</f>
        <v>5</v>
      </c>
      <c r="B36" s="480">
        <f>'[1]IMPORTAÇÃO GENOTIPER'!Q33</f>
        <v>0</v>
      </c>
      <c r="C36" s="480">
        <f>'[1]IMPORTAÇÃO GENOTIPER'!Y33</f>
        <v>0</v>
      </c>
      <c r="D36" s="480">
        <f>'[1]IMPORTAÇÃO GENOTIPER'!AG33</f>
        <v>0</v>
      </c>
      <c r="E36" s="480">
        <f>'[1]IMPORTAÇÃO GENOTIPER'!AO33</f>
        <v>0</v>
      </c>
      <c r="F36" s="480">
        <f>'[1]IMPORTAÇÃO GENOTIPER'!AW33</f>
        <v>0</v>
      </c>
      <c r="G36" s="480">
        <f>'[1]IMPORTAÇÃO GENOTIPER'!BE33</f>
        <v>0</v>
      </c>
      <c r="H36" s="480">
        <f>'[1]IMPORTAÇÃO GENOTIPER'!BM33</f>
        <v>0</v>
      </c>
      <c r="I36" s="480">
        <f>'[1]IMPORTAÇÃO GENOTIPER'!BU33</f>
        <v>0</v>
      </c>
      <c r="J36" s="481">
        <f t="shared" si="52"/>
        <v>0</v>
      </c>
      <c r="K36" s="481">
        <f t="shared" si="52"/>
        <v>0</v>
      </c>
      <c r="L36" s="481">
        <f t="shared" si="52"/>
        <v>0</v>
      </c>
      <c r="M36" s="481">
        <f t="shared" si="30"/>
        <v>0</v>
      </c>
      <c r="N36" s="481">
        <f t="shared" si="53"/>
        <v>0</v>
      </c>
      <c r="O36" s="481">
        <f t="shared" si="53"/>
        <v>0</v>
      </c>
      <c r="P36" s="481">
        <f t="shared" si="53"/>
        <v>0</v>
      </c>
      <c r="Q36" s="481">
        <f t="shared" si="53"/>
        <v>0</v>
      </c>
      <c r="R36" s="482">
        <f t="shared" si="50"/>
        <v>0</v>
      </c>
      <c r="S36" s="482">
        <f t="shared" si="1"/>
        <v>0</v>
      </c>
      <c r="T36" s="482">
        <f t="shared" si="51"/>
        <v>0</v>
      </c>
      <c r="U36" s="482">
        <f t="shared" si="2"/>
        <v>0</v>
      </c>
      <c r="V36" s="482">
        <f t="shared" si="3"/>
        <v>0</v>
      </c>
      <c r="W36" s="482">
        <f t="shared" si="4"/>
        <v>0</v>
      </c>
      <c r="X36" s="482">
        <f t="shared" si="32"/>
        <v>0</v>
      </c>
      <c r="Y36" s="482">
        <f t="shared" si="33"/>
        <v>0</v>
      </c>
      <c r="Z36" s="483">
        <f t="shared" si="5"/>
        <v>0</v>
      </c>
      <c r="AA36" s="483">
        <f t="shared" si="6"/>
        <v>0</v>
      </c>
      <c r="AB36" s="484">
        <f t="shared" si="47"/>
        <v>0</v>
      </c>
      <c r="AC36" s="485">
        <f t="shared" si="34"/>
        <v>0</v>
      </c>
      <c r="AD36" s="486">
        <f t="shared" si="35"/>
        <v>0</v>
      </c>
      <c r="AE36" s="486">
        <f t="shared" si="36"/>
        <v>0</v>
      </c>
      <c r="AF36" s="487">
        <f t="shared" si="37"/>
        <v>0</v>
      </c>
      <c r="AG36" s="488">
        <f t="shared" si="38"/>
        <v>0</v>
      </c>
      <c r="AH36" s="489">
        <f>IF(AF36=0,0,VLOOKUP(AF36,[1]FREQUENCIAS!$1:$1048576,(IF(($A36=[1]FREQUENCIAS!$AC$1),29,"ERRO")),[1]FREQUENCIAS!$1:$1048576))</f>
        <v>0</v>
      </c>
      <c r="AI36" s="489">
        <f>IF(AG36=0,0,VLOOKUP(AG36,[1]FREQUENCIAS!$1:$1048576,(IF(($A36=[1]FREQUENCIAS!$AC$1),29,"ERRO")),[1]FREQUENCIAS!$1:$1048576))</f>
        <v>0</v>
      </c>
      <c r="AJ36" s="490"/>
      <c r="AK36" s="490"/>
      <c r="AL36" s="490"/>
      <c r="AM36" s="124">
        <f t="shared" si="39"/>
        <v>1</v>
      </c>
      <c r="AN36" s="125">
        <f t="shared" si="54"/>
        <v>1</v>
      </c>
      <c r="AO36" s="126">
        <f t="shared" si="8"/>
        <v>0.5</v>
      </c>
      <c r="AP36" s="345" t="s">
        <v>173</v>
      </c>
      <c r="AQ36" s="491">
        <f t="shared" si="9"/>
        <v>0</v>
      </c>
      <c r="AR36" s="345"/>
      <c r="AS36" s="129" t="str">
        <f t="shared" si="10"/>
        <v>MUTAÇÃO</v>
      </c>
      <c r="AT36" s="480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[1]FREQUENCIAS!$G$4),(B36=[1]FREQUENCIAS!$G$5),(B36=[1]FREQUENCIAS!$G$6),(B36=[1]FREQUENCIAS!$G$7),(B36=[1]FREQUENCIAS!$G$8),(B36=[1]FREQUENCIAS!$G$9),(B36=[1]FREQUENCIAS!$G$10),(B36=[1]FREQUENCIAS!$G$11),(B36=[1]FREQUENCIAS!$G$12),(B36=[1]FREQUENCIAS!$G$13),(B36=[1]FREQUENCIAS!$G$14),(B36=[1]FREQUENCIAS!$G$15),(B36=[1]FREQUENCIAS!$G$16),(B36=[1]FREQUENCIAS!$G$17),(B36=[1]FREQUENCIAS!$G$18),(B36=[1]FREQUENCIAS!$G$19)),1,CC36))</f>
        <v>1</v>
      </c>
      <c r="AX36" s="1">
        <f>(IF(OR((C36="&lt;16"),(C36="&gt;51,2"),(C36=16),(C36=16.1),(C36=17.2),(C36=18.2),(C36=19.2),(C36=20.2),(C36=21.2),(C36=51.2),(C36=17),(C36=31.2),(C36=32.2),(C36=33.2),(C36=[1]FREQUENCIAS!$G$4),(C36=[1]FREQUENCIAS!$G$5),(C36=[1]FREQUENCIAS!$G$6),(C36=[1]FREQUENCIAS!$G$7),(C36=[1]FREQUENCIAS!$G$8),(C36=[1]FREQUENCIAS!$G$9),(C36=[1]FREQUENCIAS!$G$10),(C36=[1]FREQUENCIAS!$G$11),(C36=[1]FREQUENCIAS!$G$12),(C36=[1]FREQUENCIAS!$G$13),(C36=[1]FREQUENCIAS!$G$14),(C36=[1]FREQUENCIAS!$G$15),(C36=[1]FREQUENCIAS!$G$16),(C36=[1]FREQUENCIAS!$G$17),(C36=[1]FREQUENCIAS!$G$18),(C36=[1]FREQUENCIAS!$G$19)),1,CD36))</f>
        <v>1</v>
      </c>
      <c r="AY36" s="1">
        <f>(IF(OR((D36="&lt;16"),(D36="&gt;51,2"),(D36=16),(D36=16.1),(D36=17.2),(D36=18.2),(D36=19.2),(D36=20.2),(D36=21.2),(D36=51.2),(D36=17),(D36=31.2),(D36=32.2),(D36=33.2),(D36=[1]FREQUENCIAS!$G$4),(D36=[1]FREQUENCIAS!$G$5),(D36=[1]FREQUENCIAS!$G$6),(D36=[1]FREQUENCIAS!$G$7),(D36=[1]FREQUENCIAS!$G$8),(D36=[1]FREQUENCIAS!$G$9),(D36=[1]FREQUENCIAS!$G$10),(D36=[1]FREQUENCIAS!$G$11),(D36=[1]FREQUENCIAS!$G$12),(D36=[1]FREQUENCIAS!$G$13),(D36=[1]FREQUENCIAS!$G$14),(D36=[1]FREQUENCIAS!$G$15),(D36=[1]FREQUENCIAS!$G$16),(D36=[1]FREQUENCIAS!$G$17),(D36=[1]FREQUENCIAS!$G$18),(D36=[1]FREQUENCIAS!$G$19)),1,CE36))</f>
        <v>1</v>
      </c>
      <c r="AZ36" s="1">
        <f>(IF(OR((E36="&lt;16"),(E36="&gt;51,2"),(E36=16),(E36=16.1),(E36=17.2),(E36=18.2),(E36=19.2),(E36=20.2),(E36=21.2),(E36=51.2),(E36=17),(E36=31.2),(E36=32.2),(E36=33.2),(E36=[1]FREQUENCIAS!$G$4),(E36=[1]FREQUENCIAS!$G$5),(E36=[1]FREQUENCIAS!$G$6),(E36=[1]FREQUENCIAS!$G$7),(E36=[1]FREQUENCIAS!$G$8),(E36=[1]FREQUENCIAS!$G$9),(E36=[1]FREQUENCIAS!$G$10),(E36=[1]FREQUENCIAS!$G$11),(E36=[1]FREQUENCIAS!$G$12),(E36=[1]FREQUENCIAS!$G$13),(E36=[1]FREQUENCIAS!$G$14),(E36=[1]FREQUENCIAS!$G$15),(E36=[1]FREQUENCIAS!$G$16),(E36=[1]FREQUENCIAS!$G$17),(E36=[1]FREQUENCIAS!$G$18),(E36=[1]FREQUENCIAS!$G$19)),1,CF36))</f>
        <v>1</v>
      </c>
      <c r="BA36" s="1">
        <f>(IF(OR((F36="&lt;16"),(F36="&gt;51,2"),(F36=16),(F36=16.1),(F36=17.2),(F36=18.2),(F36=19.2),(F36=20.2),(F36=21.2),(F36=51.2),(F36=17),(F36=31.2),(F36=32.2),(F36=33.2),(F36=[1]FREQUENCIAS!$G$4),(F36=[1]FREQUENCIAS!$G$5),(F36=[1]FREQUENCIAS!$G$6),(F36=[1]FREQUENCIAS!$G$7),(F36=[1]FREQUENCIAS!$G$8),(F36=[1]FREQUENCIAS!$G$9),(F36=[1]FREQUENCIAS!$G$10),(F36=[1]FREQUENCIAS!$G$11),(F36=[1]FREQUENCIAS!$G$12),(F36=[1]FREQUENCIAS!$G$13),(F36=[1]FREQUENCIAS!$G$14),(F36=[1]FREQUENCIAS!$G$15),(F36=[1]FREQUENCIAS!$G$16),(F36=[1]FREQUENCIAS!$G$17),(F36=[1]FREQUENCIAS!$G$18),(F36=[1]FREQUENCIAS!$G$19)),1,CG36))</f>
        <v>1</v>
      </c>
      <c r="BB36" s="1">
        <f>(IF(OR((G36="&lt;16"),(G36="&gt;51,2"),(G36=16),(G36=16.1),(G36=17.2),(G36=18.2),(G36=19.2),(G36=20.2),(G36=21.2),(G36=51.2),(G36=17),(G36=31.2),(G36=32.2),(G36=33.2),(G36=[1]FREQUENCIAS!$G$4),(G36=[1]FREQUENCIAS!$G$5),(G36=[1]FREQUENCIAS!$G$6),(G36=[1]FREQUENCIAS!$G$7),(G36=[1]FREQUENCIAS!$G$8),(G36=[1]FREQUENCIAS!$G$9),(G36=[1]FREQUENCIAS!$G$10),(G36=[1]FREQUENCIAS!$G$11),(G36=[1]FREQUENCIAS!$G$12),(G36=[1]FREQUENCIAS!$G$13),(G36=[1]FREQUENCIAS!$G$14),(G36=[1]FREQUENCIAS!$G$15),(G36=[1]FREQUENCIAS!$G$16),(G36=[1]FREQUENCIAS!$G$17),(G36=[1]FREQUENCIAS!$G$18),(G36=[1]FREQUENCIAS!$G$19)),1,CH36))</f>
        <v>1</v>
      </c>
      <c r="BC36" s="1" t="s">
        <v>329</v>
      </c>
      <c r="BD36" s="492">
        <f t="shared" si="41"/>
        <v>0</v>
      </c>
      <c r="BE36" s="39" t="e">
        <f t="shared" si="42"/>
        <v>#VALUE!</v>
      </c>
      <c r="BF36" s="14"/>
      <c r="BG36" s="41" t="str">
        <f>IF($A36=[1]FREQUENCIAS!$W$1,[1]FREQUENCIAS!$W$2,"ERRO NO PE")</f>
        <v>ERRO NO PE</v>
      </c>
      <c r="BH36" s="498" t="str">
        <f>IF($A36=[1]FREQUENCIAS!$W$1,[1]FREQUENCIAS!$W$3,"ERRO NA MUT")</f>
        <v>ERRO NA MUT</v>
      </c>
      <c r="BI36" s="41">
        <f t="shared" si="11"/>
        <v>1</v>
      </c>
      <c r="BJ36" s="2">
        <f t="shared" si="43"/>
        <v>0</v>
      </c>
      <c r="BL36" s="53">
        <v>17</v>
      </c>
      <c r="BM36" s="53">
        <v>33.200000000000003</v>
      </c>
      <c r="BN36" s="1" t="str">
        <f t="shared" si="48"/>
        <v>ALELO ERRADO</v>
      </c>
      <c r="BO36" s="500" t="str">
        <f t="shared" si="12"/>
        <v/>
      </c>
      <c r="BP36" s="500">
        <f t="shared" si="13"/>
        <v>0</v>
      </c>
      <c r="BQ36" s="500">
        <f t="shared" si="14"/>
        <v>0</v>
      </c>
      <c r="BR36" s="501" t="str">
        <f t="shared" si="15"/>
        <v/>
      </c>
      <c r="BS36" s="501">
        <f t="shared" si="16"/>
        <v>0</v>
      </c>
      <c r="BT36" s="501">
        <f t="shared" si="17"/>
        <v>0</v>
      </c>
      <c r="BU36" s="502" t="str">
        <f t="shared" si="44"/>
        <v/>
      </c>
      <c r="BV36" s="502">
        <f t="shared" si="18"/>
        <v>0</v>
      </c>
      <c r="BW36" s="502">
        <f t="shared" si="19"/>
        <v>0</v>
      </c>
      <c r="BZ36" s="495">
        <v>17</v>
      </c>
      <c r="CA36" s="496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 x14ac:dyDescent="0.25">
      <c r="A37" s="232">
        <f>'[1]IMPORTAÇÃO GENOTIPER'!A33</f>
        <v>6</v>
      </c>
      <c r="B37" s="480">
        <f>'[1]IMPORTAÇÃO GENOTIPER'!Q34</f>
        <v>0</v>
      </c>
      <c r="C37" s="480">
        <f>'[1]IMPORTAÇÃO GENOTIPER'!Y34</f>
        <v>0</v>
      </c>
      <c r="D37" s="480">
        <f>'[1]IMPORTAÇÃO GENOTIPER'!AG34</f>
        <v>0</v>
      </c>
      <c r="E37" s="480">
        <f>'[1]IMPORTAÇÃO GENOTIPER'!AO34</f>
        <v>0</v>
      </c>
      <c r="F37" s="480">
        <f>'[1]IMPORTAÇÃO GENOTIPER'!AW34</f>
        <v>0</v>
      </c>
      <c r="G37" s="480">
        <f>'[1]IMPORTAÇÃO GENOTIPER'!BE34</f>
        <v>0</v>
      </c>
      <c r="H37" s="480">
        <f>'[1]IMPORTAÇÃO GENOTIPER'!BM34</f>
        <v>0</v>
      </c>
      <c r="I37" s="480">
        <f>'[1]IMPORTAÇÃO GENOTIPER'!BU34</f>
        <v>0</v>
      </c>
      <c r="J37" s="481">
        <f t="shared" si="52"/>
        <v>0</v>
      </c>
      <c r="K37" s="481">
        <f t="shared" si="52"/>
        <v>0</v>
      </c>
      <c r="L37" s="481">
        <f t="shared" si="52"/>
        <v>0</v>
      </c>
      <c r="M37" s="481">
        <f t="shared" si="30"/>
        <v>0</v>
      </c>
      <c r="N37" s="481">
        <f t="shared" si="53"/>
        <v>0</v>
      </c>
      <c r="O37" s="481">
        <f t="shared" si="53"/>
        <v>0</v>
      </c>
      <c r="P37" s="481">
        <f t="shared" si="53"/>
        <v>0</v>
      </c>
      <c r="Q37" s="481">
        <f t="shared" si="53"/>
        <v>0</v>
      </c>
      <c r="R37" s="482">
        <f t="shared" si="50"/>
        <v>0</v>
      </c>
      <c r="S37" s="482">
        <f t="shared" si="1"/>
        <v>0</v>
      </c>
      <c r="T37" s="482">
        <f t="shared" si="51"/>
        <v>0</v>
      </c>
      <c r="U37" s="482">
        <f t="shared" si="2"/>
        <v>0</v>
      </c>
      <c r="V37" s="482">
        <f t="shared" si="3"/>
        <v>0</v>
      </c>
      <c r="W37" s="482">
        <f t="shared" si="4"/>
        <v>0</v>
      </c>
      <c r="X37" s="482">
        <f t="shared" si="32"/>
        <v>0</v>
      </c>
      <c r="Y37" s="482">
        <f t="shared" si="33"/>
        <v>0</v>
      </c>
      <c r="Z37" s="483">
        <f t="shared" si="5"/>
        <v>0</v>
      </c>
      <c r="AA37" s="483">
        <f t="shared" si="6"/>
        <v>0</v>
      </c>
      <c r="AB37" s="484">
        <f t="shared" si="47"/>
        <v>0</v>
      </c>
      <c r="AC37" s="485">
        <f t="shared" si="34"/>
        <v>0</v>
      </c>
      <c r="AD37" s="486">
        <f t="shared" si="35"/>
        <v>0</v>
      </c>
      <c r="AE37" s="486">
        <f t="shared" si="36"/>
        <v>0</v>
      </c>
      <c r="AF37" s="487">
        <f t="shared" si="37"/>
        <v>0</v>
      </c>
      <c r="AG37" s="488">
        <f t="shared" si="38"/>
        <v>0</v>
      </c>
      <c r="AH37" s="489">
        <f>IF(AF37=0,0,VLOOKUP(AF37,[1]FREQUENCIAS!$1:$1048576,(IF(($A37=[1]FREQUENCIAS!$AF$1),30,"ERRO")),[1]FREQUENCIAS!$1:$1048576))</f>
        <v>0</v>
      </c>
      <c r="AI37" s="489">
        <f>IF(AG37=0,0,VLOOKUP(AG37,[1]FREQUENCIAS!$1:$1048576,(IF(($A37=[1]FREQUENCIAS!$AD$1),30,"ERRO")),[1]FREQUENCIAS!$1:$1048576))</f>
        <v>0</v>
      </c>
      <c r="AJ37" s="490"/>
      <c r="AK37" s="490"/>
      <c r="AL37" s="490"/>
      <c r="AM37" s="124">
        <f t="shared" si="39"/>
        <v>1</v>
      </c>
      <c r="AN37" s="125">
        <f t="shared" si="54"/>
        <v>1</v>
      </c>
      <c r="AO37" s="126">
        <f t="shared" si="8"/>
        <v>0.5</v>
      </c>
      <c r="AP37" s="345" t="s">
        <v>173</v>
      </c>
      <c r="AQ37" s="491">
        <f t="shared" si="9"/>
        <v>0</v>
      </c>
      <c r="AR37" s="345"/>
      <c r="AS37" s="129" t="str">
        <f t="shared" si="10"/>
        <v>MUTAÇÃO</v>
      </c>
      <c r="AT37" s="480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[1]FREQUENCIAS!$G$4),(B37=[1]FREQUENCIAS!$G$5),(B37=[1]FREQUENCIAS!$G$6),(B37=[1]FREQUENCIAS!$G$7),(B37=[1]FREQUENCIAS!$G$8),(B37=[1]FREQUENCIAS!$G$9),(B37=[1]FREQUENCIAS!$G$10),(B37=[1]FREQUENCIAS!$G$11),(B37=[1]FREQUENCIAS!$G$12),(B37=[1]FREQUENCIAS!$G$13),(B37=[1]FREQUENCIAS!$G$14),(B37=[1]FREQUENCIAS!$G$15),(B37=[1]FREQUENCIAS!$G$16),(B37=[1]FREQUENCIAS!$G$17),(B37=[1]FREQUENCIAS!$G$18),(B37=[1]FREQUENCIAS!$G$19)),1,CC37))</f>
        <v>1</v>
      </c>
      <c r="AX37" s="1">
        <f>(IF(OR((C37="&lt;16"),(C37="&gt;51,2"),(C37=16),(C37=16.1),(C37=17.2),(C37=18.2),(C37=19.2),(C37=20.2),(C37=21.2),(C37=51.2),(C37=17),(C37=31.2),(C37=32.2),(C37=33.2),(C37=[1]FREQUENCIAS!$G$4),(C37=[1]FREQUENCIAS!$G$5),(C37=[1]FREQUENCIAS!$G$6),(C37=[1]FREQUENCIAS!$G$7),(C37=[1]FREQUENCIAS!$G$8),(C37=[1]FREQUENCIAS!$G$9),(C37=[1]FREQUENCIAS!$G$10),(C37=[1]FREQUENCIAS!$G$11),(C37=[1]FREQUENCIAS!$G$12),(C37=[1]FREQUENCIAS!$G$13),(C37=[1]FREQUENCIAS!$G$14),(C37=[1]FREQUENCIAS!$G$15),(C37=[1]FREQUENCIAS!$G$16),(C37=[1]FREQUENCIAS!$G$17),(C37=[1]FREQUENCIAS!$G$18),(C37=[1]FREQUENCIAS!$G$19)),1,CD37))</f>
        <v>1</v>
      </c>
      <c r="AY37" s="1">
        <f>(IF(OR((D37="&lt;16"),(D37="&gt;51,2"),(D37=16),(D37=16.1),(D37=17.2),(D37=18.2),(D37=19.2),(D37=20.2),(D37=21.2),(D37=51.2),(D37=17),(D37=31.2),(D37=32.2),(D37=33.2),(D37=[1]FREQUENCIAS!$G$4),(D37=[1]FREQUENCIAS!$G$5),(D37=[1]FREQUENCIAS!$G$6),(D37=[1]FREQUENCIAS!$G$7),(D37=[1]FREQUENCIAS!$G$8),(D37=[1]FREQUENCIAS!$G$9),(D37=[1]FREQUENCIAS!$G$10),(D37=[1]FREQUENCIAS!$G$11),(D37=[1]FREQUENCIAS!$G$12),(D37=[1]FREQUENCIAS!$G$13),(D37=[1]FREQUENCIAS!$G$14),(D37=[1]FREQUENCIAS!$G$15),(D37=[1]FREQUENCIAS!$G$16),(D37=[1]FREQUENCIAS!$G$17),(D37=[1]FREQUENCIAS!$G$18),(D37=[1]FREQUENCIAS!$G$19)),1,CE37))</f>
        <v>1</v>
      </c>
      <c r="AZ37" s="1">
        <f>(IF(OR((E37="&lt;16"),(E37="&gt;51,2"),(E37=16),(E37=16.1),(E37=17.2),(E37=18.2),(E37=19.2),(E37=20.2),(E37=21.2),(E37=51.2),(E37=17),(E37=31.2),(E37=32.2),(E37=33.2),(E37=[1]FREQUENCIAS!$G$4),(E37=[1]FREQUENCIAS!$G$5),(E37=[1]FREQUENCIAS!$G$6),(E37=[1]FREQUENCIAS!$G$7),(E37=[1]FREQUENCIAS!$G$8),(E37=[1]FREQUENCIAS!$G$9),(E37=[1]FREQUENCIAS!$G$10),(E37=[1]FREQUENCIAS!$G$11),(E37=[1]FREQUENCIAS!$G$12),(E37=[1]FREQUENCIAS!$G$13),(E37=[1]FREQUENCIAS!$G$14),(E37=[1]FREQUENCIAS!$G$15),(E37=[1]FREQUENCIAS!$G$16),(E37=[1]FREQUENCIAS!$G$17),(E37=[1]FREQUENCIAS!$G$18),(E37=[1]FREQUENCIAS!$G$19)),1,CF37))</f>
        <v>1</v>
      </c>
      <c r="BA37" s="1">
        <f>(IF(OR((F37="&lt;16"),(F37="&gt;51,2"),(F37=16),(F37=16.1),(F37=17.2),(F37=18.2),(F37=19.2),(F37=20.2),(F37=21.2),(F37=51.2),(F37=17),(F37=31.2),(F37=32.2),(F37=33.2),(F37=[1]FREQUENCIAS!$G$4),(F37=[1]FREQUENCIAS!$G$5),(F37=[1]FREQUENCIAS!$G$6),(F37=[1]FREQUENCIAS!$G$7),(F37=[1]FREQUENCIAS!$G$8),(F37=[1]FREQUENCIAS!$G$9),(F37=[1]FREQUENCIAS!$G$10),(F37=[1]FREQUENCIAS!$G$11),(F37=[1]FREQUENCIAS!$G$12),(F37=[1]FREQUENCIAS!$G$13),(F37=[1]FREQUENCIAS!$G$14),(F37=[1]FREQUENCIAS!$G$15),(F37=[1]FREQUENCIAS!$G$16),(F37=[1]FREQUENCIAS!$G$17),(F37=[1]FREQUENCIAS!$G$18),(F37=[1]FREQUENCIAS!$G$19)),1,CG37))</f>
        <v>1</v>
      </c>
      <c r="BB37" s="1">
        <f>(IF(OR((G37="&lt;16"),(G37="&gt;51,2"),(G37=16),(G37=16.1),(G37=17.2),(G37=18.2),(G37=19.2),(G37=20.2),(G37=21.2),(G37=51.2),(G37=17),(G37=31.2),(G37=32.2),(G37=33.2),(G37=[1]FREQUENCIAS!$G$4),(G37=[1]FREQUENCIAS!$G$5),(G37=[1]FREQUENCIAS!$G$6),(G37=[1]FREQUENCIAS!$G$7),(G37=[1]FREQUENCIAS!$G$8),(G37=[1]FREQUENCIAS!$G$9),(G37=[1]FREQUENCIAS!$G$10),(G37=[1]FREQUENCIAS!$G$11),(G37=[1]FREQUENCIAS!$G$12),(G37=[1]FREQUENCIAS!$G$13),(G37=[1]FREQUENCIAS!$G$14),(G37=[1]FREQUENCIAS!$G$15),(G37=[1]FREQUENCIAS!$G$16),(G37=[1]FREQUENCIAS!$G$17),(G37=[1]FREQUENCIAS!$G$18),(G37=[1]FREQUENCIAS!$G$19)),1,CH37))</f>
        <v>1</v>
      </c>
      <c r="BC37" s="1" t="s">
        <v>329</v>
      </c>
      <c r="BD37" s="492">
        <f t="shared" si="41"/>
        <v>0</v>
      </c>
      <c r="BE37" s="39" t="e">
        <f t="shared" si="42"/>
        <v>#VALUE!</v>
      </c>
      <c r="BF37" s="14"/>
      <c r="BG37" s="41" t="str">
        <f>IF($A37=[1]FREQUENCIAS!$W$1,[1]FREQUENCIAS!$W$2,"ERRO NO PE")</f>
        <v>ERRO NO PE</v>
      </c>
      <c r="BH37" s="498" t="str">
        <f>IF($A37=[1]FREQUENCIAS!$W$1,[1]FREQUENCIAS!$W$3,"ERRO NA MUT")</f>
        <v>ERRO NA MUT</v>
      </c>
      <c r="BI37" s="41">
        <f t="shared" si="11"/>
        <v>1</v>
      </c>
      <c r="BJ37" s="2">
        <f t="shared" si="43"/>
        <v>0</v>
      </c>
      <c r="BL37" s="53">
        <v>17</v>
      </c>
      <c r="BM37" s="53">
        <v>33.200000000000003</v>
      </c>
      <c r="BN37" s="1" t="str">
        <f t="shared" si="48"/>
        <v>ALELO ERRADO</v>
      </c>
      <c r="BO37" s="500" t="str">
        <f t="shared" si="12"/>
        <v/>
      </c>
      <c r="BP37" s="500">
        <f t="shared" si="13"/>
        <v>0</v>
      </c>
      <c r="BQ37" s="500">
        <f t="shared" si="14"/>
        <v>0</v>
      </c>
      <c r="BR37" s="501" t="str">
        <f t="shared" si="15"/>
        <v/>
      </c>
      <c r="BS37" s="501">
        <f t="shared" si="16"/>
        <v>0</v>
      </c>
      <c r="BT37" s="501">
        <f t="shared" si="17"/>
        <v>0</v>
      </c>
      <c r="BU37" s="502" t="str">
        <f t="shared" si="44"/>
        <v/>
      </c>
      <c r="BV37" s="502">
        <f t="shared" si="18"/>
        <v>0</v>
      </c>
      <c r="BW37" s="502">
        <f t="shared" si="19"/>
        <v>0</v>
      </c>
      <c r="BZ37" s="495">
        <v>17</v>
      </c>
      <c r="CA37" s="496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 x14ac:dyDescent="0.25">
      <c r="A38" s="232">
        <f>'[1]IMPORTAÇÃO GENOTIPER'!A34</f>
        <v>7</v>
      </c>
      <c r="B38" s="480">
        <f>'[1]IMPORTAÇÃO GENOTIPER'!Q35</f>
        <v>0</v>
      </c>
      <c r="C38" s="480">
        <f>'[1]IMPORTAÇÃO GENOTIPER'!Y35</f>
        <v>0</v>
      </c>
      <c r="D38" s="480">
        <f>'[1]IMPORTAÇÃO GENOTIPER'!AG35</f>
        <v>0</v>
      </c>
      <c r="E38" s="480">
        <f>'[1]IMPORTAÇÃO GENOTIPER'!AO35</f>
        <v>0</v>
      </c>
      <c r="F38" s="480">
        <f>'[1]IMPORTAÇÃO GENOTIPER'!AW35</f>
        <v>0</v>
      </c>
      <c r="G38" s="480">
        <f>'[1]IMPORTAÇÃO GENOTIPER'!BE35</f>
        <v>0</v>
      </c>
      <c r="H38" s="480">
        <f>'[1]IMPORTAÇÃO GENOTIPER'!BM35</f>
        <v>0</v>
      </c>
      <c r="I38" s="480">
        <f>'[1]IMPORTAÇÃO GENOTIPER'!BU35</f>
        <v>0</v>
      </c>
      <c r="J38" s="481">
        <f t="shared" si="52"/>
        <v>0</v>
      </c>
      <c r="K38" s="481">
        <f t="shared" si="52"/>
        <v>0</v>
      </c>
      <c r="L38" s="481">
        <f t="shared" si="52"/>
        <v>0</v>
      </c>
      <c r="M38" s="481">
        <f t="shared" si="30"/>
        <v>0</v>
      </c>
      <c r="N38" s="481">
        <f t="shared" si="53"/>
        <v>0</v>
      </c>
      <c r="O38" s="481">
        <f t="shared" si="53"/>
        <v>0</v>
      </c>
      <c r="P38" s="481">
        <f t="shared" si="53"/>
        <v>0</v>
      </c>
      <c r="Q38" s="481">
        <f t="shared" si="53"/>
        <v>0</v>
      </c>
      <c r="R38" s="482">
        <f t="shared" si="50"/>
        <v>0</v>
      </c>
      <c r="S38" s="482">
        <f t="shared" si="1"/>
        <v>0</v>
      </c>
      <c r="T38" s="482">
        <f t="shared" si="51"/>
        <v>0</v>
      </c>
      <c r="U38" s="482">
        <f t="shared" si="2"/>
        <v>0</v>
      </c>
      <c r="V38" s="482">
        <f t="shared" si="3"/>
        <v>0</v>
      </c>
      <c r="W38" s="482">
        <f t="shared" si="4"/>
        <v>0</v>
      </c>
      <c r="X38" s="482">
        <f t="shared" si="32"/>
        <v>0</v>
      </c>
      <c r="Y38" s="482">
        <f t="shared" si="33"/>
        <v>0</v>
      </c>
      <c r="Z38" s="483">
        <f t="shared" si="5"/>
        <v>0</v>
      </c>
      <c r="AA38" s="483">
        <f t="shared" si="6"/>
        <v>0</v>
      </c>
      <c r="AB38" s="484">
        <f t="shared" si="47"/>
        <v>0</v>
      </c>
      <c r="AC38" s="485">
        <f t="shared" si="34"/>
        <v>0</v>
      </c>
      <c r="AD38" s="486">
        <f t="shared" si="35"/>
        <v>0</v>
      </c>
      <c r="AE38" s="486">
        <f t="shared" si="36"/>
        <v>0</v>
      </c>
      <c r="AF38" s="487">
        <f t="shared" si="37"/>
        <v>0</v>
      </c>
      <c r="AG38" s="488">
        <f t="shared" si="38"/>
        <v>0</v>
      </c>
      <c r="AH38" s="489">
        <f>IF(AF38=0,0,VLOOKUP(AF38,[1]FREQUENCIAS!$1:$1048576,(IF(($A38=[1]FREQUENCIAS!$AE$1),31,"ERRO")),[1]FREQUENCIAS!$1:$1048576))</f>
        <v>0</v>
      </c>
      <c r="AI38" s="489">
        <f>IF(AG38=0,0,VLOOKUP(AG38,[1]FREQUENCIAS!$1:$1048576,(IF(($A38=[1]FREQUENCIAS!$AG$1),31,"ERRO")),[1]FREQUENCIAS!$1:$1048576))</f>
        <v>0</v>
      </c>
      <c r="AJ38" s="490"/>
      <c r="AK38" s="490"/>
      <c r="AL38" s="490"/>
      <c r="AM38" s="124">
        <f t="shared" si="39"/>
        <v>1</v>
      </c>
      <c r="AN38" s="125">
        <f t="shared" si="54"/>
        <v>1</v>
      </c>
      <c r="AO38" s="126">
        <f t="shared" si="8"/>
        <v>0.5</v>
      </c>
      <c r="AP38" s="345" t="s">
        <v>173</v>
      </c>
      <c r="AQ38" s="491">
        <f t="shared" si="9"/>
        <v>0</v>
      </c>
      <c r="AR38" s="345"/>
      <c r="AS38" s="129" t="str">
        <f t="shared" si="10"/>
        <v>MUTAÇÃO</v>
      </c>
      <c r="AT38" s="480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[1]FREQUENCIAS!$G$4),(B38=[1]FREQUENCIAS!$G$5),(B38=[1]FREQUENCIAS!$G$6),(B38=[1]FREQUENCIAS!$G$7),(B38=[1]FREQUENCIAS!$G$8),(B38=[1]FREQUENCIAS!$G$9),(B38=[1]FREQUENCIAS!$G$10),(B38=[1]FREQUENCIAS!$G$11),(B38=[1]FREQUENCIAS!$G$12),(B38=[1]FREQUENCIAS!$G$13),(B38=[1]FREQUENCIAS!$G$14),(B38=[1]FREQUENCIAS!$G$15),(B38=[1]FREQUENCIAS!$G$16),(B38=[1]FREQUENCIAS!$G$17),(B38=[1]FREQUENCIAS!$G$18),(B38=[1]FREQUENCIAS!$G$19)),1,CC38))</f>
        <v>1</v>
      </c>
      <c r="AX38" s="1">
        <f>(IF(OR((C38="&lt;16"),(C38="&gt;51,2"),(C38=16),(C38=16.1),(C38=17.2),(C38=18.2),(C38=19.2),(C38=20.2),(C38=21.2),(C38=51.2),(C38=17),(C38=31.2),(C38=32.2),(C38=33.2),(C38=[1]FREQUENCIAS!$G$4),(C38=[1]FREQUENCIAS!$G$5),(C38=[1]FREQUENCIAS!$G$6),(C38=[1]FREQUENCIAS!$G$7),(C38=[1]FREQUENCIAS!$G$8),(C38=[1]FREQUENCIAS!$G$9),(C38=[1]FREQUENCIAS!$G$10),(C38=[1]FREQUENCIAS!$G$11),(C38=[1]FREQUENCIAS!$G$12),(C38=[1]FREQUENCIAS!$G$13),(C38=[1]FREQUENCIAS!$G$14),(C38=[1]FREQUENCIAS!$G$15),(C38=[1]FREQUENCIAS!$G$16),(C38=[1]FREQUENCIAS!$G$17),(C38=[1]FREQUENCIAS!$G$18),(C38=[1]FREQUENCIAS!$G$19)),1,CD38))</f>
        <v>1</v>
      </c>
      <c r="AY38" s="1">
        <f>(IF(OR((D38="&lt;16"),(D38="&gt;51,2"),(D38=16),(D38=16.1),(D38=17.2),(D38=18.2),(D38=19.2),(D38=20.2),(D38=21.2),(D38=51.2),(D38=17),(D38=31.2),(D38=32.2),(D38=33.2),(D38=[1]FREQUENCIAS!$G$4),(D38=[1]FREQUENCIAS!$G$5),(D38=[1]FREQUENCIAS!$G$6),(D38=[1]FREQUENCIAS!$G$7),(D38=[1]FREQUENCIAS!$G$8),(D38=[1]FREQUENCIAS!$G$9),(D38=[1]FREQUENCIAS!$G$10),(D38=[1]FREQUENCIAS!$G$11),(D38=[1]FREQUENCIAS!$G$12),(D38=[1]FREQUENCIAS!$G$13),(D38=[1]FREQUENCIAS!$G$14),(D38=[1]FREQUENCIAS!$G$15),(D38=[1]FREQUENCIAS!$G$16),(D38=[1]FREQUENCIAS!$G$17),(D38=[1]FREQUENCIAS!$G$18),(D38=[1]FREQUENCIAS!$G$19)),1,CE38))</f>
        <v>1</v>
      </c>
      <c r="AZ38" s="1">
        <f>(IF(OR((E38="&lt;16"),(E38="&gt;51,2"),(E38=16),(E38=16.1),(E38=17.2),(E38=18.2),(E38=19.2),(E38=20.2),(E38=21.2),(E38=51.2),(E38=17),(E38=31.2),(E38=32.2),(E38=33.2),(E38=[1]FREQUENCIAS!$G$4),(E38=[1]FREQUENCIAS!$G$5),(E38=[1]FREQUENCIAS!$G$6),(E38=[1]FREQUENCIAS!$G$7),(E38=[1]FREQUENCIAS!$G$8),(E38=[1]FREQUENCIAS!$G$9),(E38=[1]FREQUENCIAS!$G$10),(E38=[1]FREQUENCIAS!$G$11),(E38=[1]FREQUENCIAS!$G$12),(E38=[1]FREQUENCIAS!$G$13),(E38=[1]FREQUENCIAS!$G$14),(E38=[1]FREQUENCIAS!$G$15),(E38=[1]FREQUENCIAS!$G$16),(E38=[1]FREQUENCIAS!$G$17),(E38=[1]FREQUENCIAS!$G$18),(E38=[1]FREQUENCIAS!$G$19)),1,CF38))</f>
        <v>1</v>
      </c>
      <c r="BA38" s="1">
        <f>(IF(OR((F38="&lt;16"),(F38="&gt;51,2"),(F38=16),(F38=16.1),(F38=17.2),(F38=18.2),(F38=19.2),(F38=20.2),(F38=21.2),(F38=51.2),(F38=17),(F38=31.2),(F38=32.2),(F38=33.2),(F38=[1]FREQUENCIAS!$G$4),(F38=[1]FREQUENCIAS!$G$5),(F38=[1]FREQUENCIAS!$G$6),(F38=[1]FREQUENCIAS!$G$7),(F38=[1]FREQUENCIAS!$G$8),(F38=[1]FREQUENCIAS!$G$9),(F38=[1]FREQUENCIAS!$G$10),(F38=[1]FREQUENCIAS!$G$11),(F38=[1]FREQUENCIAS!$G$12),(F38=[1]FREQUENCIAS!$G$13),(F38=[1]FREQUENCIAS!$G$14),(F38=[1]FREQUENCIAS!$G$15),(F38=[1]FREQUENCIAS!$G$16),(F38=[1]FREQUENCIAS!$G$17),(F38=[1]FREQUENCIAS!$G$18),(F38=[1]FREQUENCIAS!$G$19)),1,CG38))</f>
        <v>1</v>
      </c>
      <c r="BB38" s="1">
        <f>(IF(OR((G38="&lt;16"),(G38="&gt;51,2"),(G38=16),(G38=16.1),(G38=17.2),(G38=18.2),(G38=19.2),(G38=20.2),(G38=21.2),(G38=51.2),(G38=17),(G38=31.2),(G38=32.2),(G38=33.2),(G38=[1]FREQUENCIAS!$G$4),(G38=[1]FREQUENCIAS!$G$5),(G38=[1]FREQUENCIAS!$G$6),(G38=[1]FREQUENCIAS!$G$7),(G38=[1]FREQUENCIAS!$G$8),(G38=[1]FREQUENCIAS!$G$9),(G38=[1]FREQUENCIAS!$G$10),(G38=[1]FREQUENCIAS!$G$11),(G38=[1]FREQUENCIAS!$G$12),(G38=[1]FREQUENCIAS!$G$13),(G38=[1]FREQUENCIAS!$G$14),(G38=[1]FREQUENCIAS!$G$15),(G38=[1]FREQUENCIAS!$G$16),(G38=[1]FREQUENCIAS!$G$17),(G38=[1]FREQUENCIAS!$G$18),(G38=[1]FREQUENCIAS!$G$19)),1,CH38))</f>
        <v>1</v>
      </c>
      <c r="BC38" s="1" t="s">
        <v>329</v>
      </c>
      <c r="BD38" s="492">
        <f t="shared" si="41"/>
        <v>0</v>
      </c>
      <c r="BE38" s="39" t="e">
        <f t="shared" si="42"/>
        <v>#VALUE!</v>
      </c>
      <c r="BF38" s="14"/>
      <c r="BG38" s="41" t="str">
        <f>IF($A38=[1]FREQUENCIAS!$W$1,[1]FREQUENCIAS!$W$2,"ERRO NO PE")</f>
        <v>ERRO NO PE</v>
      </c>
      <c r="BH38" s="498" t="str">
        <f>IF($A38=[1]FREQUENCIAS!$W$1,[1]FREQUENCIAS!$W$3,"ERRO NA MUT")</f>
        <v>ERRO NA MUT</v>
      </c>
      <c r="BI38" s="41">
        <f t="shared" si="11"/>
        <v>1</v>
      </c>
      <c r="BJ38" s="2">
        <f t="shared" si="43"/>
        <v>0</v>
      </c>
      <c r="BL38" s="53">
        <v>17</v>
      </c>
      <c r="BM38" s="53">
        <v>33.200000000000003</v>
      </c>
      <c r="BN38" s="1" t="str">
        <f t="shared" si="48"/>
        <v>ALELO ERRADO</v>
      </c>
      <c r="BO38" s="500" t="str">
        <f t="shared" si="12"/>
        <v/>
      </c>
      <c r="BP38" s="500">
        <f t="shared" si="13"/>
        <v>0</v>
      </c>
      <c r="BQ38" s="500">
        <f t="shared" si="14"/>
        <v>0</v>
      </c>
      <c r="BR38" s="501" t="str">
        <f t="shared" si="15"/>
        <v/>
      </c>
      <c r="BS38" s="501">
        <f t="shared" si="16"/>
        <v>0</v>
      </c>
      <c r="BT38" s="501">
        <f t="shared" si="17"/>
        <v>0</v>
      </c>
      <c r="BU38" s="502" t="str">
        <f t="shared" si="44"/>
        <v/>
      </c>
      <c r="BV38" s="502">
        <f t="shared" si="18"/>
        <v>0</v>
      </c>
      <c r="BW38" s="502">
        <f t="shared" si="19"/>
        <v>0</v>
      </c>
      <c r="BZ38" s="495">
        <v>17</v>
      </c>
      <c r="CA38" s="496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 x14ac:dyDescent="0.25">
      <c r="A39" s="232">
        <f>'[1]IMPORTAÇÃO GENOTIPER'!A35</f>
        <v>8</v>
      </c>
      <c r="B39" s="480">
        <f>'[1]IMPORTAÇÃO GENOTIPER'!Q36</f>
        <v>0</v>
      </c>
      <c r="C39" s="480">
        <f>'[1]IMPORTAÇÃO GENOTIPER'!Y36</f>
        <v>0</v>
      </c>
      <c r="D39" s="480">
        <f>'[1]IMPORTAÇÃO GENOTIPER'!AG36</f>
        <v>0</v>
      </c>
      <c r="E39" s="480">
        <f>'[1]IMPORTAÇÃO GENOTIPER'!AO36</f>
        <v>0</v>
      </c>
      <c r="F39" s="480">
        <f>'[1]IMPORTAÇÃO GENOTIPER'!AW36</f>
        <v>0</v>
      </c>
      <c r="G39" s="480">
        <f>'[1]IMPORTAÇÃO GENOTIPER'!BE36</f>
        <v>0</v>
      </c>
      <c r="H39" s="480">
        <f>'[1]IMPORTAÇÃO GENOTIPER'!BM36</f>
        <v>0</v>
      </c>
      <c r="I39" s="480">
        <f>'[1]IMPORTAÇÃO GENOTIPER'!BU36</f>
        <v>0</v>
      </c>
      <c r="J39" s="481">
        <f t="shared" si="52"/>
        <v>0</v>
      </c>
      <c r="K39" s="481">
        <f t="shared" si="52"/>
        <v>0</v>
      </c>
      <c r="L39" s="481">
        <f t="shared" si="52"/>
        <v>0</v>
      </c>
      <c r="M39" s="481">
        <f t="shared" si="30"/>
        <v>0</v>
      </c>
      <c r="N39" s="481">
        <f t="shared" si="53"/>
        <v>0</v>
      </c>
      <c r="O39" s="481">
        <f t="shared" si="53"/>
        <v>0</v>
      </c>
      <c r="P39" s="481">
        <f t="shared" si="53"/>
        <v>0</v>
      </c>
      <c r="Q39" s="481">
        <f t="shared" si="53"/>
        <v>0</v>
      </c>
      <c r="R39" s="482">
        <f t="shared" si="50"/>
        <v>0</v>
      </c>
      <c r="S39" s="482">
        <f t="shared" si="1"/>
        <v>0</v>
      </c>
      <c r="T39" s="482">
        <f t="shared" si="51"/>
        <v>0</v>
      </c>
      <c r="U39" s="482">
        <f t="shared" si="2"/>
        <v>0</v>
      </c>
      <c r="V39" s="482">
        <f t="shared" si="3"/>
        <v>0</v>
      </c>
      <c r="W39" s="482">
        <f t="shared" si="4"/>
        <v>0</v>
      </c>
      <c r="X39" s="482">
        <f t="shared" si="32"/>
        <v>0</v>
      </c>
      <c r="Y39" s="482">
        <f t="shared" si="33"/>
        <v>0</v>
      </c>
      <c r="Z39" s="483">
        <f t="shared" si="5"/>
        <v>0</v>
      </c>
      <c r="AA39" s="483">
        <f t="shared" si="6"/>
        <v>0</v>
      </c>
      <c r="AB39" s="484">
        <f t="shared" si="47"/>
        <v>0</v>
      </c>
      <c r="AC39" s="485">
        <f t="shared" si="34"/>
        <v>0</v>
      </c>
      <c r="AD39" s="486">
        <f t="shared" si="35"/>
        <v>0</v>
      </c>
      <c r="AE39" s="486">
        <f t="shared" si="36"/>
        <v>0</v>
      </c>
      <c r="AF39" s="487">
        <f t="shared" si="37"/>
        <v>0</v>
      </c>
      <c r="AG39" s="488">
        <f t="shared" si="38"/>
        <v>0</v>
      </c>
      <c r="AH39" s="489">
        <f>IF(AF39=0,0,VLOOKUP(AF39,[1]FREQUENCIAS!$1:$1048576,(IF(($A39=[1]FREQUENCIAS!$AF$1),32,"ERRO")),[1]FREQUENCIAS!$1:$1048576))</f>
        <v>0</v>
      </c>
      <c r="AI39" s="489">
        <f>IF(AG39=0,0,VLOOKUP(AG39,[1]FREQUENCIAS!$1:$1048576,(IF(($A39=[1]FREQUENCIAS!$AF$1),32,"ERRO")),[1]FREQUENCIAS!$1:$1048576))</f>
        <v>0</v>
      </c>
      <c r="AJ39" s="490"/>
      <c r="AK39" s="490"/>
      <c r="AL39" s="490"/>
      <c r="AM39" s="124">
        <f t="shared" si="39"/>
        <v>1</v>
      </c>
      <c r="AN39" s="125">
        <f t="shared" si="54"/>
        <v>1</v>
      </c>
      <c r="AO39" s="126">
        <f t="shared" si="8"/>
        <v>0.5</v>
      </c>
      <c r="AP39" s="345" t="s">
        <v>173</v>
      </c>
      <c r="AQ39" s="491">
        <f t="shared" si="9"/>
        <v>0</v>
      </c>
      <c r="AR39" s="345"/>
      <c r="AS39" s="129" t="str">
        <f t="shared" si="10"/>
        <v>MUTAÇÃO</v>
      </c>
      <c r="AT39" s="480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[1]FREQUENCIAS!$G$4),(B39=[1]FREQUENCIAS!$G$5),(B39=[1]FREQUENCIAS!$G$6),(B39=[1]FREQUENCIAS!$G$7),(B39=[1]FREQUENCIAS!$G$8),(B39=[1]FREQUENCIAS!$G$9),(B39=[1]FREQUENCIAS!$G$10),(B39=[1]FREQUENCIAS!$G$11),(B39=[1]FREQUENCIAS!$G$12),(B39=[1]FREQUENCIAS!$G$13),(B39=[1]FREQUENCIAS!$G$14),(B39=[1]FREQUENCIAS!$G$15),(B39=[1]FREQUENCIAS!$G$16),(B39=[1]FREQUENCIAS!$G$17),(B39=[1]FREQUENCIAS!$G$18),(B39=[1]FREQUENCIAS!$G$19)),1,CC39))</f>
        <v>1</v>
      </c>
      <c r="AX39" s="1">
        <f>(IF(OR((C39="&lt;16"),(C39="&gt;51,2"),(C39=16),(C39=16.1),(C39=17.2),(C39=18.2),(C39=19.2),(C39=20.2),(C39=21.2),(C39=51.2),(C39=17),(C39=31.2),(C39=32.2),(C39=33.2),(C39=[1]FREQUENCIAS!$G$4),(C39=[1]FREQUENCIAS!$G$5),(C39=[1]FREQUENCIAS!$G$6),(C39=[1]FREQUENCIAS!$G$7),(C39=[1]FREQUENCIAS!$G$8),(C39=[1]FREQUENCIAS!$G$9),(C39=[1]FREQUENCIAS!$G$10),(C39=[1]FREQUENCIAS!$G$11),(C39=[1]FREQUENCIAS!$G$12),(C39=[1]FREQUENCIAS!$G$13),(C39=[1]FREQUENCIAS!$G$14),(C39=[1]FREQUENCIAS!$G$15),(C39=[1]FREQUENCIAS!$G$16),(C39=[1]FREQUENCIAS!$G$17),(C39=[1]FREQUENCIAS!$G$18),(C39=[1]FREQUENCIAS!$G$19)),1,CD39))</f>
        <v>1</v>
      </c>
      <c r="AY39" s="1">
        <f>(IF(OR((D39="&lt;16"),(D39="&gt;51,2"),(D39=16),(D39=16.1),(D39=17.2),(D39=18.2),(D39=19.2),(D39=20.2),(D39=21.2),(D39=51.2),(D39=17),(D39=31.2),(D39=32.2),(D39=33.2),(D39=[1]FREQUENCIAS!$G$4),(D39=[1]FREQUENCIAS!$G$5),(D39=[1]FREQUENCIAS!$G$6),(D39=[1]FREQUENCIAS!$G$7),(D39=[1]FREQUENCIAS!$G$8),(D39=[1]FREQUENCIAS!$G$9),(D39=[1]FREQUENCIAS!$G$10),(D39=[1]FREQUENCIAS!$G$11),(D39=[1]FREQUENCIAS!$G$12),(D39=[1]FREQUENCIAS!$G$13),(D39=[1]FREQUENCIAS!$G$14),(D39=[1]FREQUENCIAS!$G$15),(D39=[1]FREQUENCIAS!$G$16),(D39=[1]FREQUENCIAS!$G$17),(D39=[1]FREQUENCIAS!$G$18),(D39=[1]FREQUENCIAS!$G$19)),1,CE39))</f>
        <v>1</v>
      </c>
      <c r="AZ39" s="1">
        <f>(IF(OR((E39="&lt;16"),(E39="&gt;51,2"),(E39=16),(E39=16.1),(E39=17.2),(E39=18.2),(E39=19.2),(E39=20.2),(E39=21.2),(E39=51.2),(E39=17),(E39=31.2),(E39=32.2),(E39=33.2),(E39=[1]FREQUENCIAS!$G$4),(E39=[1]FREQUENCIAS!$G$5),(E39=[1]FREQUENCIAS!$G$6),(E39=[1]FREQUENCIAS!$G$7),(E39=[1]FREQUENCIAS!$G$8),(E39=[1]FREQUENCIAS!$G$9),(E39=[1]FREQUENCIAS!$G$10),(E39=[1]FREQUENCIAS!$G$11),(E39=[1]FREQUENCIAS!$G$12),(E39=[1]FREQUENCIAS!$G$13),(E39=[1]FREQUENCIAS!$G$14),(E39=[1]FREQUENCIAS!$G$15),(E39=[1]FREQUENCIAS!$G$16),(E39=[1]FREQUENCIAS!$G$17),(E39=[1]FREQUENCIAS!$G$18),(E39=[1]FREQUENCIAS!$G$19)),1,CF39))</f>
        <v>1</v>
      </c>
      <c r="BA39" s="1">
        <f>(IF(OR((F39="&lt;16"),(F39="&gt;51,2"),(F39=16),(F39=16.1),(F39=17.2),(F39=18.2),(F39=19.2),(F39=20.2),(F39=21.2),(F39=51.2),(F39=17),(F39=31.2),(F39=32.2),(F39=33.2),(F39=[1]FREQUENCIAS!$G$4),(F39=[1]FREQUENCIAS!$G$5),(F39=[1]FREQUENCIAS!$G$6),(F39=[1]FREQUENCIAS!$G$7),(F39=[1]FREQUENCIAS!$G$8),(F39=[1]FREQUENCIAS!$G$9),(F39=[1]FREQUENCIAS!$G$10),(F39=[1]FREQUENCIAS!$G$11),(F39=[1]FREQUENCIAS!$G$12),(F39=[1]FREQUENCIAS!$G$13),(F39=[1]FREQUENCIAS!$G$14),(F39=[1]FREQUENCIAS!$G$15),(F39=[1]FREQUENCIAS!$G$16),(F39=[1]FREQUENCIAS!$G$17),(F39=[1]FREQUENCIAS!$G$18),(F39=[1]FREQUENCIAS!$G$19)),1,CG39))</f>
        <v>1</v>
      </c>
      <c r="BB39" s="1">
        <f>(IF(OR((G39="&lt;16"),(G39="&gt;51,2"),(G39=16),(G39=16.1),(G39=17.2),(G39=18.2),(G39=19.2),(G39=20.2),(G39=21.2),(G39=51.2),(G39=17),(G39=31.2),(G39=32.2),(G39=33.2),(G39=[1]FREQUENCIAS!$G$4),(G39=[1]FREQUENCIAS!$G$5),(G39=[1]FREQUENCIAS!$G$6),(G39=[1]FREQUENCIAS!$G$7),(G39=[1]FREQUENCIAS!$G$8),(G39=[1]FREQUENCIAS!$G$9),(G39=[1]FREQUENCIAS!$G$10),(G39=[1]FREQUENCIAS!$G$11),(G39=[1]FREQUENCIAS!$G$12),(G39=[1]FREQUENCIAS!$G$13),(G39=[1]FREQUENCIAS!$G$14),(G39=[1]FREQUENCIAS!$G$15),(G39=[1]FREQUENCIAS!$G$16),(G39=[1]FREQUENCIAS!$G$17),(G39=[1]FREQUENCIAS!$G$18),(G39=[1]FREQUENCIAS!$G$19)),1,CH39))</f>
        <v>1</v>
      </c>
      <c r="BC39" s="1" t="s">
        <v>329</v>
      </c>
      <c r="BD39" s="492">
        <f t="shared" si="41"/>
        <v>0</v>
      </c>
      <c r="BE39" s="39" t="e">
        <f t="shared" si="42"/>
        <v>#VALUE!</v>
      </c>
      <c r="BF39" s="14"/>
      <c r="BG39" s="41" t="str">
        <f>IF($A39=[1]FREQUENCIAS!$W$1,[1]FREQUENCIAS!$W$2,"ERRO NO PE")</f>
        <v>ERRO NO PE</v>
      </c>
      <c r="BH39" s="498" t="str">
        <f>IF($A39=[1]FREQUENCIAS!$W$1,[1]FREQUENCIAS!$W$3,"ERRO NA MUT")</f>
        <v>ERRO NA MUT</v>
      </c>
      <c r="BI39" s="41">
        <f t="shared" si="11"/>
        <v>1</v>
      </c>
      <c r="BJ39" s="2">
        <f t="shared" si="43"/>
        <v>0</v>
      </c>
      <c r="BL39" s="53">
        <v>17</v>
      </c>
      <c r="BM39" s="53">
        <v>33.200000000000003</v>
      </c>
      <c r="BN39" s="1" t="str">
        <f t="shared" si="48"/>
        <v>ALELO ERRADO</v>
      </c>
      <c r="BO39" s="500" t="str">
        <f t="shared" si="12"/>
        <v/>
      </c>
      <c r="BP39" s="500">
        <f t="shared" si="13"/>
        <v>0</v>
      </c>
      <c r="BQ39" s="500">
        <f t="shared" si="14"/>
        <v>0</v>
      </c>
      <c r="BR39" s="501" t="str">
        <f t="shared" si="15"/>
        <v/>
      </c>
      <c r="BS39" s="501">
        <f t="shared" si="16"/>
        <v>0</v>
      </c>
      <c r="BT39" s="501">
        <f t="shared" si="17"/>
        <v>0</v>
      </c>
      <c r="BU39" s="502" t="str">
        <f t="shared" si="44"/>
        <v/>
      </c>
      <c r="BV39" s="502">
        <f t="shared" si="18"/>
        <v>0</v>
      </c>
      <c r="BW39" s="502">
        <f t="shared" si="19"/>
        <v>0</v>
      </c>
      <c r="BZ39" s="495">
        <v>17</v>
      </c>
      <c r="CA39" s="496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 x14ac:dyDescent="0.25">
      <c r="A40" s="232">
        <f>'[1]IMPORTAÇÃO GENOTIPER'!A36</f>
        <v>9</v>
      </c>
      <c r="B40" s="480">
        <f>'[1]IMPORTAÇÃO GENOTIPER'!Q37</f>
        <v>0</v>
      </c>
      <c r="C40" s="480">
        <f>'[1]IMPORTAÇÃO GENOTIPER'!Y37</f>
        <v>0</v>
      </c>
      <c r="D40" s="480">
        <f>'[1]IMPORTAÇÃO GENOTIPER'!AG37</f>
        <v>0</v>
      </c>
      <c r="E40" s="480">
        <f>'[1]IMPORTAÇÃO GENOTIPER'!AO37</f>
        <v>0</v>
      </c>
      <c r="F40" s="480">
        <f>'[1]IMPORTAÇÃO GENOTIPER'!AW37</f>
        <v>0</v>
      </c>
      <c r="G40" s="480">
        <f>'[1]IMPORTAÇÃO GENOTIPER'!BE37</f>
        <v>0</v>
      </c>
      <c r="H40" s="480">
        <f>'[1]IMPORTAÇÃO GENOTIPER'!BM37</f>
        <v>0</v>
      </c>
      <c r="I40" s="480">
        <f>'[1]IMPORTAÇÃO GENOTIPER'!BU37</f>
        <v>0</v>
      </c>
      <c r="J40" s="481">
        <f t="shared" si="52"/>
        <v>0</v>
      </c>
      <c r="K40" s="481">
        <f t="shared" si="52"/>
        <v>0</v>
      </c>
      <c r="L40" s="481">
        <f t="shared" si="52"/>
        <v>0</v>
      </c>
      <c r="M40" s="481">
        <f t="shared" si="30"/>
        <v>0</v>
      </c>
      <c r="N40" s="481">
        <f t="shared" si="53"/>
        <v>0</v>
      </c>
      <c r="O40" s="481">
        <f t="shared" si="53"/>
        <v>0</v>
      </c>
      <c r="P40" s="481">
        <f t="shared" si="53"/>
        <v>0</v>
      </c>
      <c r="Q40" s="481">
        <f t="shared" si="53"/>
        <v>0</v>
      </c>
      <c r="R40" s="482">
        <f t="shared" si="50"/>
        <v>0</v>
      </c>
      <c r="S40" s="482">
        <f t="shared" si="1"/>
        <v>0</v>
      </c>
      <c r="T40" s="482">
        <f t="shared" si="51"/>
        <v>0</v>
      </c>
      <c r="U40" s="482">
        <f t="shared" si="2"/>
        <v>0</v>
      </c>
      <c r="V40" s="482">
        <f t="shared" si="3"/>
        <v>0</v>
      </c>
      <c r="W40" s="482">
        <f t="shared" si="4"/>
        <v>0</v>
      </c>
      <c r="X40" s="482">
        <f t="shared" si="32"/>
        <v>0</v>
      </c>
      <c r="Y40" s="482">
        <f t="shared" si="33"/>
        <v>0</v>
      </c>
      <c r="Z40" s="483">
        <f t="shared" si="5"/>
        <v>0</v>
      </c>
      <c r="AA40" s="483">
        <f t="shared" si="6"/>
        <v>0</v>
      </c>
      <c r="AB40" s="484">
        <f t="shared" si="47"/>
        <v>0</v>
      </c>
      <c r="AC40" s="485">
        <f t="shared" si="34"/>
        <v>0</v>
      </c>
      <c r="AD40" s="486">
        <f t="shared" si="35"/>
        <v>0</v>
      </c>
      <c r="AE40" s="486">
        <f t="shared" si="36"/>
        <v>0</v>
      </c>
      <c r="AF40" s="487">
        <f t="shared" si="37"/>
        <v>0</v>
      </c>
      <c r="AG40" s="488">
        <f t="shared" si="38"/>
        <v>0</v>
      </c>
      <c r="AH40" s="489">
        <f>IF(AF40=0,0,VLOOKUP(AF40,[1]FREQUENCIAS!$1:$1048576,(IF(($A40=[1]FREQUENCIAS!$AG$1),33,"ERRO")),[1]FREQUENCIAS!$1:$1048576))</f>
        <v>0</v>
      </c>
      <c r="AI40" s="489">
        <f>IF(AG40=0,0,VLOOKUP(AG40,[1]FREQUENCIAS!$1:$1048576,(IF(($A40=[1]FREQUENCIAS!$AG$1),33,"ERRO")),[1]FREQUENCIAS!$1:$1048576))</f>
        <v>0</v>
      </c>
      <c r="AJ40" s="490"/>
      <c r="AK40" s="490"/>
      <c r="AL40" s="490"/>
      <c r="AM40" s="124">
        <f t="shared" si="39"/>
        <v>1</v>
      </c>
      <c r="AN40" s="125">
        <f t="shared" si="54"/>
        <v>1</v>
      </c>
      <c r="AO40" s="126">
        <f t="shared" si="8"/>
        <v>0.5</v>
      </c>
      <c r="AP40" s="345" t="s">
        <v>173</v>
      </c>
      <c r="AQ40" s="491">
        <f t="shared" si="9"/>
        <v>0</v>
      </c>
      <c r="AR40" s="345"/>
      <c r="AS40" s="129" t="str">
        <f t="shared" si="10"/>
        <v>MUTAÇÃO</v>
      </c>
      <c r="AT40" s="480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[1]FREQUENCIAS!$G$4),(B40=[1]FREQUENCIAS!$G$5),(B40=[1]FREQUENCIAS!$G$6),(B40=[1]FREQUENCIAS!$G$7),(B40=[1]FREQUENCIAS!$G$8),(B40=[1]FREQUENCIAS!$G$9),(B40=[1]FREQUENCIAS!$G$10),(B40=[1]FREQUENCIAS!$G$11),(B40=[1]FREQUENCIAS!$G$12),(B40=[1]FREQUENCIAS!$G$13),(B40=[1]FREQUENCIAS!$G$14),(B40=[1]FREQUENCIAS!$G$15),(B40=[1]FREQUENCIAS!$G$16),(B40=[1]FREQUENCIAS!$G$17),(B40=[1]FREQUENCIAS!$G$18),(B40=[1]FREQUENCIAS!$G$19)),1,CC40))</f>
        <v>1</v>
      </c>
      <c r="AX40" s="1">
        <f>(IF(OR((C40="&lt;16"),(C40="&gt;51,2"),(C40=16),(C40=16.1),(C40=17.2),(C40=18.2),(C40=19.2),(C40=20.2),(C40=21.2),(C40=51.2),(C40=17),(C40=31.2),(C40=32.2),(C40=33.2),(C40=[1]FREQUENCIAS!$G$4),(C40=[1]FREQUENCIAS!$G$5),(C40=[1]FREQUENCIAS!$G$6),(C40=[1]FREQUENCIAS!$G$7),(C40=[1]FREQUENCIAS!$G$8),(C40=[1]FREQUENCIAS!$G$9),(C40=[1]FREQUENCIAS!$G$10),(C40=[1]FREQUENCIAS!$G$11),(C40=[1]FREQUENCIAS!$G$12),(C40=[1]FREQUENCIAS!$G$13),(C40=[1]FREQUENCIAS!$G$14),(C40=[1]FREQUENCIAS!$G$15),(C40=[1]FREQUENCIAS!$G$16),(C40=[1]FREQUENCIAS!$G$17),(C40=[1]FREQUENCIAS!$G$18),(C40=[1]FREQUENCIAS!$G$19)),1,CD40))</f>
        <v>1</v>
      </c>
      <c r="AY40" s="1">
        <f>(IF(OR((D40="&lt;16"),(D40="&gt;51,2"),(D40=16),(D40=16.1),(D40=17.2),(D40=18.2),(D40=19.2),(D40=20.2),(D40=21.2),(D40=51.2),(D40=17),(D40=31.2),(D40=32.2),(D40=33.2),(D40=[1]FREQUENCIAS!$G$4),(D40=[1]FREQUENCIAS!$G$5),(D40=[1]FREQUENCIAS!$G$6),(D40=[1]FREQUENCIAS!$G$7),(D40=[1]FREQUENCIAS!$G$8),(D40=[1]FREQUENCIAS!$G$9),(D40=[1]FREQUENCIAS!$G$10),(D40=[1]FREQUENCIAS!$G$11),(D40=[1]FREQUENCIAS!$G$12),(D40=[1]FREQUENCIAS!$G$13),(D40=[1]FREQUENCIAS!$G$14),(D40=[1]FREQUENCIAS!$G$15),(D40=[1]FREQUENCIAS!$G$16),(D40=[1]FREQUENCIAS!$G$17),(D40=[1]FREQUENCIAS!$G$18),(D40=[1]FREQUENCIAS!$G$19)),1,CE40))</f>
        <v>1</v>
      </c>
      <c r="AZ40" s="1">
        <f>(IF(OR((E40="&lt;16"),(E40="&gt;51,2"),(E40=16),(E40=16.1),(E40=17.2),(E40=18.2),(E40=19.2),(E40=20.2),(E40=21.2),(E40=51.2),(E40=17),(E40=31.2),(E40=32.2),(E40=33.2),(E40=[1]FREQUENCIAS!$G$4),(E40=[1]FREQUENCIAS!$G$5),(E40=[1]FREQUENCIAS!$G$6),(E40=[1]FREQUENCIAS!$G$7),(E40=[1]FREQUENCIAS!$G$8),(E40=[1]FREQUENCIAS!$G$9),(E40=[1]FREQUENCIAS!$G$10),(E40=[1]FREQUENCIAS!$G$11),(E40=[1]FREQUENCIAS!$G$12),(E40=[1]FREQUENCIAS!$G$13),(E40=[1]FREQUENCIAS!$G$14),(E40=[1]FREQUENCIAS!$G$15),(E40=[1]FREQUENCIAS!$G$16),(E40=[1]FREQUENCIAS!$G$17),(E40=[1]FREQUENCIAS!$G$18),(E40=[1]FREQUENCIAS!$G$19)),1,CF40))</f>
        <v>1</v>
      </c>
      <c r="BA40" s="1">
        <f>(IF(OR((F40="&lt;16"),(F40="&gt;51,2"),(F40=16),(F40=16.1),(F40=17.2),(F40=18.2),(F40=19.2),(F40=20.2),(F40=21.2),(F40=51.2),(F40=17),(F40=31.2),(F40=32.2),(F40=33.2),(F40=[1]FREQUENCIAS!$G$4),(F40=[1]FREQUENCIAS!$G$5),(F40=[1]FREQUENCIAS!$G$6),(F40=[1]FREQUENCIAS!$G$7),(F40=[1]FREQUENCIAS!$G$8),(F40=[1]FREQUENCIAS!$G$9),(F40=[1]FREQUENCIAS!$G$10),(F40=[1]FREQUENCIAS!$G$11),(F40=[1]FREQUENCIAS!$G$12),(F40=[1]FREQUENCIAS!$G$13),(F40=[1]FREQUENCIAS!$G$14),(F40=[1]FREQUENCIAS!$G$15),(F40=[1]FREQUENCIAS!$G$16),(F40=[1]FREQUENCIAS!$G$17),(F40=[1]FREQUENCIAS!$G$18),(F40=[1]FREQUENCIAS!$G$19)),1,CG40))</f>
        <v>1</v>
      </c>
      <c r="BB40" s="1">
        <f>(IF(OR((G40="&lt;16"),(G40="&gt;51,2"),(G40=16),(G40=16.1),(G40=17.2),(G40=18.2),(G40=19.2),(G40=20.2),(G40=21.2),(G40=51.2),(G40=17),(G40=31.2),(G40=32.2),(G40=33.2),(G40=[1]FREQUENCIAS!$G$4),(G40=[1]FREQUENCIAS!$G$5),(G40=[1]FREQUENCIAS!$G$6),(G40=[1]FREQUENCIAS!$G$7),(G40=[1]FREQUENCIAS!$G$8),(G40=[1]FREQUENCIAS!$G$9),(G40=[1]FREQUENCIAS!$G$10),(G40=[1]FREQUENCIAS!$G$11),(G40=[1]FREQUENCIAS!$G$12),(G40=[1]FREQUENCIAS!$G$13),(G40=[1]FREQUENCIAS!$G$14),(G40=[1]FREQUENCIAS!$G$15),(G40=[1]FREQUENCIAS!$G$16),(G40=[1]FREQUENCIAS!$G$17),(G40=[1]FREQUENCIAS!$G$18),(G40=[1]FREQUENCIAS!$G$19)),1,CH40))</f>
        <v>1</v>
      </c>
      <c r="BC40" s="1" t="s">
        <v>329</v>
      </c>
      <c r="BD40" s="492">
        <f t="shared" si="41"/>
        <v>0</v>
      </c>
      <c r="BE40" s="39" t="e">
        <f t="shared" si="42"/>
        <v>#VALUE!</v>
      </c>
      <c r="BF40" s="14"/>
      <c r="BG40" s="41" t="str">
        <f>IF($A40=[1]FREQUENCIAS!$W$1,[1]FREQUENCIAS!$W$2,"ERRO NO PE")</f>
        <v>ERRO NO PE</v>
      </c>
      <c r="BH40" s="498" t="str">
        <f>IF($A40=[1]FREQUENCIAS!$W$1,[1]FREQUENCIAS!$W$3,"ERRO NA MUT")</f>
        <v>ERRO NA MUT</v>
      </c>
      <c r="BI40" s="41">
        <f t="shared" si="11"/>
        <v>1</v>
      </c>
      <c r="BJ40" s="2">
        <f t="shared" si="43"/>
        <v>0</v>
      </c>
      <c r="BL40" s="53">
        <v>17</v>
      </c>
      <c r="BM40" s="53">
        <v>33.200000000000003</v>
      </c>
      <c r="BN40" s="1" t="str">
        <f t="shared" si="48"/>
        <v>ALELO ERRADO</v>
      </c>
      <c r="BO40" s="500" t="str">
        <f t="shared" si="12"/>
        <v/>
      </c>
      <c r="BP40" s="500">
        <f t="shared" si="13"/>
        <v>0</v>
      </c>
      <c r="BQ40" s="500">
        <f t="shared" si="14"/>
        <v>0</v>
      </c>
      <c r="BR40" s="501" t="str">
        <f t="shared" si="15"/>
        <v/>
      </c>
      <c r="BS40" s="501">
        <f t="shared" si="16"/>
        <v>0</v>
      </c>
      <c r="BT40" s="501">
        <f t="shared" si="17"/>
        <v>0</v>
      </c>
      <c r="BU40" s="502" t="str">
        <f t="shared" si="44"/>
        <v/>
      </c>
      <c r="BV40" s="502">
        <f t="shared" si="18"/>
        <v>0</v>
      </c>
      <c r="BW40" s="502">
        <f t="shared" si="19"/>
        <v>0</v>
      </c>
      <c r="BZ40" s="495">
        <v>17</v>
      </c>
      <c r="CA40" s="496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 x14ac:dyDescent="0.25">
      <c r="A41" s="232">
        <f>'[1]IMPORTAÇÃO GENOTIPER'!A37</f>
        <v>10</v>
      </c>
      <c r="B41" s="480">
        <f>'[1]IMPORTAÇÃO GENOTIPER'!Q38</f>
        <v>0</v>
      </c>
      <c r="C41" s="480">
        <f>'[1]IMPORTAÇÃO GENOTIPER'!Y38</f>
        <v>0</v>
      </c>
      <c r="D41" s="480">
        <f>'[1]IMPORTAÇÃO GENOTIPER'!AG38</f>
        <v>0</v>
      </c>
      <c r="E41" s="480">
        <f>'[1]IMPORTAÇÃO GENOTIPER'!AO38</f>
        <v>0</v>
      </c>
      <c r="F41" s="480">
        <f>'[1]IMPORTAÇÃO GENOTIPER'!AW38</f>
        <v>0</v>
      </c>
      <c r="G41" s="480">
        <f>'[1]IMPORTAÇÃO GENOTIPER'!BE38</f>
        <v>0</v>
      </c>
      <c r="H41" s="480">
        <f>'[1]IMPORTAÇÃO GENOTIPER'!BM38</f>
        <v>0</v>
      </c>
      <c r="I41" s="480">
        <f>'[1]IMPORTAÇÃO GENOTIPER'!BU38</f>
        <v>0</v>
      </c>
      <c r="J41" s="481">
        <f t="shared" si="52"/>
        <v>0</v>
      </c>
      <c r="K41" s="481">
        <f t="shared" si="52"/>
        <v>0</v>
      </c>
      <c r="L41" s="481">
        <f t="shared" si="52"/>
        <v>0</v>
      </c>
      <c r="M41" s="481">
        <f t="shared" si="30"/>
        <v>0</v>
      </c>
      <c r="N41" s="481">
        <f t="shared" si="53"/>
        <v>0</v>
      </c>
      <c r="O41" s="481">
        <f t="shared" si="53"/>
        <v>0</v>
      </c>
      <c r="P41" s="481">
        <f t="shared" si="53"/>
        <v>0</v>
      </c>
      <c r="Q41" s="481">
        <f t="shared" si="53"/>
        <v>0</v>
      </c>
      <c r="R41" s="482">
        <f t="shared" si="50"/>
        <v>0</v>
      </c>
      <c r="S41" s="482">
        <f t="shared" si="1"/>
        <v>0</v>
      </c>
      <c r="T41" s="482">
        <f t="shared" si="51"/>
        <v>0</v>
      </c>
      <c r="U41" s="482">
        <f t="shared" si="2"/>
        <v>0</v>
      </c>
      <c r="V41" s="482">
        <f t="shared" si="3"/>
        <v>0</v>
      </c>
      <c r="W41" s="482">
        <f t="shared" si="4"/>
        <v>0</v>
      </c>
      <c r="X41" s="482">
        <f t="shared" si="32"/>
        <v>0</v>
      </c>
      <c r="Y41" s="482">
        <f t="shared" si="33"/>
        <v>0</v>
      </c>
      <c r="Z41" s="483">
        <f t="shared" si="5"/>
        <v>0</v>
      </c>
      <c r="AA41" s="483">
        <f t="shared" si="6"/>
        <v>0</v>
      </c>
      <c r="AB41" s="484">
        <f t="shared" si="47"/>
        <v>0</v>
      </c>
      <c r="AC41" s="485">
        <f t="shared" si="34"/>
        <v>0</v>
      </c>
      <c r="AD41" s="486">
        <f t="shared" si="35"/>
        <v>0</v>
      </c>
      <c r="AE41" s="486">
        <f t="shared" si="36"/>
        <v>0</v>
      </c>
      <c r="AF41" s="487">
        <f t="shared" si="37"/>
        <v>0</v>
      </c>
      <c r="AG41" s="488">
        <f t="shared" si="38"/>
        <v>0</v>
      </c>
      <c r="AH41" s="489">
        <f>IF(AF41=0,0,VLOOKUP(AF41,[1]FREQUENCIAS!$1:$1048576,(IF(($A41=[1]FREQUENCIAS!$AH$1),34,"ERRO")),[1]FREQUENCIAS!$1:$1048576))</f>
        <v>0</v>
      </c>
      <c r="AI41" s="489">
        <f>IF(AG41=0,0,VLOOKUP(AG41,[1]FREQUENCIAS!$1:$1048576,(IF(($A41=[1]FREQUENCIAS!$AH$1),34,"ERRO")),[1]FREQUENCIAS!$1:$1048576))</f>
        <v>0</v>
      </c>
      <c r="AJ41" s="490"/>
      <c r="AK41" s="490"/>
      <c r="AL41" s="490"/>
      <c r="AM41" s="124">
        <f t="shared" si="39"/>
        <v>1</v>
      </c>
      <c r="AN41" s="125">
        <f t="shared" si="54"/>
        <v>1</v>
      </c>
      <c r="AO41" s="126">
        <f t="shared" si="8"/>
        <v>0.5</v>
      </c>
      <c r="AP41" s="345" t="s">
        <v>173</v>
      </c>
      <c r="AQ41" s="491">
        <f t="shared" si="9"/>
        <v>0</v>
      </c>
      <c r="AR41" s="345"/>
      <c r="AS41" s="129" t="str">
        <f t="shared" si="10"/>
        <v>MUTAÇÃO</v>
      </c>
      <c r="AT41" s="480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[1]FREQUENCIAS!$G$4),(B41=[1]FREQUENCIAS!$G$5),(B41=[1]FREQUENCIAS!$G$6),(B41=[1]FREQUENCIAS!$G$7),(B41=[1]FREQUENCIAS!$G$8),(B41=[1]FREQUENCIAS!$G$9),(B41=[1]FREQUENCIAS!$G$10),(B41=[1]FREQUENCIAS!$G$11),(B41=[1]FREQUENCIAS!$G$12),(B41=[1]FREQUENCIAS!$G$13),(B41=[1]FREQUENCIAS!$G$14),(B41=[1]FREQUENCIAS!$G$15),(B41=[1]FREQUENCIAS!$G$16),(B41=[1]FREQUENCIAS!$G$17),(B41=[1]FREQUENCIAS!$G$18),(B41=[1]FREQUENCIAS!$G$19)),1,CC41))</f>
        <v>1</v>
      </c>
      <c r="AX41" s="1">
        <f>(IF(OR((C41="&lt;16"),(C41="&gt;51,2"),(C41=16),(C41=16.1),(C41=17.2),(C41=18.2),(C41=19.2),(C41=20.2),(C41=21.2),(C41=51.2),(C41=17),(C41=31.2),(C41=32.2),(C41=33.2),(C41=[1]FREQUENCIAS!$G$4),(C41=[1]FREQUENCIAS!$G$5),(C41=[1]FREQUENCIAS!$G$6),(C41=[1]FREQUENCIAS!$G$7),(C41=[1]FREQUENCIAS!$G$8),(C41=[1]FREQUENCIAS!$G$9),(C41=[1]FREQUENCIAS!$G$10),(C41=[1]FREQUENCIAS!$G$11),(C41=[1]FREQUENCIAS!$G$12),(C41=[1]FREQUENCIAS!$G$13),(C41=[1]FREQUENCIAS!$G$14),(C41=[1]FREQUENCIAS!$G$15),(C41=[1]FREQUENCIAS!$G$16),(C41=[1]FREQUENCIAS!$G$17),(C41=[1]FREQUENCIAS!$G$18),(C41=[1]FREQUENCIAS!$G$19)),1,CD41))</f>
        <v>1</v>
      </c>
      <c r="AY41" s="1">
        <f>(IF(OR((D41="&lt;16"),(D41="&gt;51,2"),(D41=16),(D41=16.1),(D41=17.2),(D41=18.2),(D41=19.2),(D41=20.2),(D41=21.2),(D41=51.2),(D41=17),(D41=31.2),(D41=32.2),(D41=33.2),(D41=[1]FREQUENCIAS!$G$4),(D41=[1]FREQUENCIAS!$G$5),(D41=[1]FREQUENCIAS!$G$6),(D41=[1]FREQUENCIAS!$G$7),(D41=[1]FREQUENCIAS!$G$8),(D41=[1]FREQUENCIAS!$G$9),(D41=[1]FREQUENCIAS!$G$10),(D41=[1]FREQUENCIAS!$G$11),(D41=[1]FREQUENCIAS!$G$12),(D41=[1]FREQUENCIAS!$G$13),(D41=[1]FREQUENCIAS!$G$14),(D41=[1]FREQUENCIAS!$G$15),(D41=[1]FREQUENCIAS!$G$16),(D41=[1]FREQUENCIAS!$G$17),(D41=[1]FREQUENCIAS!$G$18),(D41=[1]FREQUENCIAS!$G$19)),1,CE41))</f>
        <v>1</v>
      </c>
      <c r="AZ41" s="1">
        <f>(IF(OR((E41="&lt;16"),(E41="&gt;51,2"),(E41=16),(E41=16.1),(E41=17.2),(E41=18.2),(E41=19.2),(E41=20.2),(E41=21.2),(E41=51.2),(E41=17),(E41=31.2),(E41=32.2),(E41=33.2),(E41=[1]FREQUENCIAS!$G$4),(E41=[1]FREQUENCIAS!$G$5),(E41=[1]FREQUENCIAS!$G$6),(E41=[1]FREQUENCIAS!$G$7),(E41=[1]FREQUENCIAS!$G$8),(E41=[1]FREQUENCIAS!$G$9),(E41=[1]FREQUENCIAS!$G$10),(E41=[1]FREQUENCIAS!$G$11),(E41=[1]FREQUENCIAS!$G$12),(E41=[1]FREQUENCIAS!$G$13),(E41=[1]FREQUENCIAS!$G$14),(E41=[1]FREQUENCIAS!$G$15),(E41=[1]FREQUENCIAS!$G$16),(E41=[1]FREQUENCIAS!$G$17),(E41=[1]FREQUENCIAS!$G$18),(E41=[1]FREQUENCIAS!$G$19)),1,CF41))</f>
        <v>1</v>
      </c>
      <c r="BA41" s="1">
        <f>(IF(OR((F41="&lt;16"),(F41="&gt;51,2"),(F41=16),(F41=16.1),(F41=17.2),(F41=18.2),(F41=19.2),(F41=20.2),(F41=21.2),(F41=51.2),(F41=17),(F41=31.2),(F41=32.2),(F41=33.2),(F41=[1]FREQUENCIAS!$G$4),(F41=[1]FREQUENCIAS!$G$5),(F41=[1]FREQUENCIAS!$G$6),(F41=[1]FREQUENCIAS!$G$7),(F41=[1]FREQUENCIAS!$G$8),(F41=[1]FREQUENCIAS!$G$9),(F41=[1]FREQUENCIAS!$G$10),(F41=[1]FREQUENCIAS!$G$11),(F41=[1]FREQUENCIAS!$G$12),(F41=[1]FREQUENCIAS!$G$13),(F41=[1]FREQUENCIAS!$G$14),(F41=[1]FREQUENCIAS!$G$15),(F41=[1]FREQUENCIAS!$G$16),(F41=[1]FREQUENCIAS!$G$17),(F41=[1]FREQUENCIAS!$G$18),(F41=[1]FREQUENCIAS!$G$19)),1,CG41))</f>
        <v>1</v>
      </c>
      <c r="BB41" s="1">
        <f>(IF(OR((G41="&lt;16"),(G41="&gt;51,2"),(G41=16),(G41=16.1),(G41=17.2),(G41=18.2),(G41=19.2),(G41=20.2),(G41=21.2),(G41=51.2),(G41=17),(G41=31.2),(G41=32.2),(G41=33.2),(G41=[1]FREQUENCIAS!$G$4),(G41=[1]FREQUENCIAS!$G$5),(G41=[1]FREQUENCIAS!$G$6),(G41=[1]FREQUENCIAS!$G$7),(G41=[1]FREQUENCIAS!$G$8),(G41=[1]FREQUENCIAS!$G$9),(G41=[1]FREQUENCIAS!$G$10),(G41=[1]FREQUENCIAS!$G$11),(G41=[1]FREQUENCIAS!$G$12),(G41=[1]FREQUENCIAS!$G$13),(G41=[1]FREQUENCIAS!$G$14),(G41=[1]FREQUENCIAS!$G$15),(G41=[1]FREQUENCIAS!$G$16),(G41=[1]FREQUENCIAS!$G$17),(G41=[1]FREQUENCIAS!$G$18),(G41=[1]FREQUENCIAS!$G$19)),1,CH41))</f>
        <v>1</v>
      </c>
      <c r="BC41" s="1" t="s">
        <v>329</v>
      </c>
      <c r="BD41" s="492">
        <f t="shared" si="41"/>
        <v>0</v>
      </c>
      <c r="BE41" s="39" t="e">
        <f t="shared" si="42"/>
        <v>#VALUE!</v>
      </c>
      <c r="BF41" s="14"/>
      <c r="BG41" s="41" t="str">
        <f>IF($A41=[1]FREQUENCIAS!$W$1,[1]FREQUENCIAS!$W$2,"ERRO NO PE")</f>
        <v>ERRO NO PE</v>
      </c>
      <c r="BH41" s="498" t="str">
        <f>IF($A41=[1]FREQUENCIAS!$W$1,[1]FREQUENCIAS!$W$3,"ERRO NA MUT")</f>
        <v>ERRO NA MUT</v>
      </c>
      <c r="BI41" s="41">
        <f t="shared" si="11"/>
        <v>1</v>
      </c>
      <c r="BJ41" s="2">
        <f t="shared" si="43"/>
        <v>0</v>
      </c>
      <c r="BL41" s="53">
        <v>17</v>
      </c>
      <c r="BM41" s="53">
        <v>33.200000000000003</v>
      </c>
      <c r="BN41" s="1" t="str">
        <f t="shared" si="48"/>
        <v>ALELO ERRADO</v>
      </c>
      <c r="BO41" s="500" t="str">
        <f t="shared" si="12"/>
        <v/>
      </c>
      <c r="BP41" s="500">
        <f t="shared" si="13"/>
        <v>0</v>
      </c>
      <c r="BQ41" s="500">
        <f t="shared" si="14"/>
        <v>0</v>
      </c>
      <c r="BR41" s="501" t="str">
        <f t="shared" si="15"/>
        <v/>
      </c>
      <c r="BS41" s="501">
        <f t="shared" si="16"/>
        <v>0</v>
      </c>
      <c r="BT41" s="501">
        <f t="shared" si="17"/>
        <v>0</v>
      </c>
      <c r="BU41" s="502" t="str">
        <f t="shared" si="44"/>
        <v/>
      </c>
      <c r="BV41" s="502">
        <f t="shared" si="18"/>
        <v>0</v>
      </c>
      <c r="BW41" s="502">
        <f t="shared" si="19"/>
        <v>0</v>
      </c>
      <c r="BZ41" s="495">
        <v>17</v>
      </c>
      <c r="CA41" s="496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 x14ac:dyDescent="0.25">
      <c r="A42" s="232">
        <f>'[1]IMPORTAÇÃO GENOTIPER'!A38</f>
        <v>11</v>
      </c>
      <c r="B42" s="480">
        <f>'[1]IMPORTAÇÃO GENOTIPER'!Q39</f>
        <v>0</v>
      </c>
      <c r="C42" s="480">
        <f>'[1]IMPORTAÇÃO GENOTIPER'!Y39</f>
        <v>0</v>
      </c>
      <c r="D42" s="480">
        <f>'[1]IMPORTAÇÃO GENOTIPER'!AG39</f>
        <v>0</v>
      </c>
      <c r="E42" s="480">
        <f>'[1]IMPORTAÇÃO GENOTIPER'!AO39</f>
        <v>0</v>
      </c>
      <c r="F42" s="480">
        <f>'[1]IMPORTAÇÃO GENOTIPER'!AW39</f>
        <v>0</v>
      </c>
      <c r="G42" s="480">
        <f>'[1]IMPORTAÇÃO GENOTIPER'!BE39</f>
        <v>0</v>
      </c>
      <c r="H42" s="480">
        <f>'[1]IMPORTAÇÃO GENOTIPER'!BM39</f>
        <v>0</v>
      </c>
      <c r="I42" s="480">
        <f>'[1]IMPORTAÇÃO GENOTIPER'!BU39</f>
        <v>0</v>
      </c>
      <c r="J42" s="481">
        <f t="shared" ref="J42:L42" si="56">(IF(CODE(D42)=(60),($BL42-1),(IF(CODE(D42)=(62),($BM42+1),B42))))</f>
        <v>0</v>
      </c>
      <c r="K42" s="481">
        <f t="shared" si="56"/>
        <v>0</v>
      </c>
      <c r="L42" s="481">
        <f t="shared" si="56"/>
        <v>0</v>
      </c>
      <c r="M42" s="481">
        <f t="shared" si="30"/>
        <v>0</v>
      </c>
      <c r="N42" s="481">
        <f t="shared" ref="N42:Q42" si="57">(IF(CODE(H42)=(60),($BL42-1),(IF(CODE(H42)=(62),($BM42+1),F42))))</f>
        <v>0</v>
      </c>
      <c r="O42" s="481">
        <f t="shared" si="57"/>
        <v>0</v>
      </c>
      <c r="P42" s="481">
        <f t="shared" si="57"/>
        <v>0</v>
      </c>
      <c r="Q42" s="481">
        <f t="shared" si="57"/>
        <v>0</v>
      </c>
      <c r="R42" s="482">
        <f t="shared" si="50"/>
        <v>0</v>
      </c>
      <c r="S42" s="482">
        <f t="shared" si="1"/>
        <v>0</v>
      </c>
      <c r="T42" s="482">
        <f t="shared" si="51"/>
        <v>0</v>
      </c>
      <c r="U42" s="482">
        <f t="shared" si="2"/>
        <v>0</v>
      </c>
      <c r="V42" s="482">
        <f t="shared" si="3"/>
        <v>0</v>
      </c>
      <c r="W42" s="482">
        <f t="shared" si="4"/>
        <v>0</v>
      </c>
      <c r="X42" s="482">
        <f t="shared" si="32"/>
        <v>0</v>
      </c>
      <c r="Y42" s="482">
        <f t="shared" si="33"/>
        <v>0</v>
      </c>
      <c r="Z42" s="483">
        <f t="shared" si="5"/>
        <v>0</v>
      </c>
      <c r="AA42" s="483">
        <f t="shared" si="6"/>
        <v>0</v>
      </c>
      <c r="AB42" s="484">
        <f t="shared" si="47"/>
        <v>0</v>
      </c>
      <c r="AC42" s="485">
        <f t="shared" si="34"/>
        <v>0</v>
      </c>
      <c r="AD42" s="486">
        <f t="shared" si="35"/>
        <v>0</v>
      </c>
      <c r="AE42" s="486">
        <f t="shared" si="36"/>
        <v>0</v>
      </c>
      <c r="AF42" s="487">
        <f t="shared" si="37"/>
        <v>0</v>
      </c>
      <c r="AG42" s="488">
        <f t="shared" si="38"/>
        <v>0</v>
      </c>
      <c r="AH42" s="489">
        <f>IF(AF42=0,0,VLOOKUP(AF42,[1]FREQUENCIAS!$1:$1048576,(IF(($A42=[1]FREQUENCIAS!$AI$1),35,"ERRO")),[1]FREQUENCIAS!$1:$1048576))</f>
        <v>0</v>
      </c>
      <c r="AI42" s="489">
        <f>IF(AG42=0,0,VLOOKUP(AG42,[1]FREQUENCIAS!$1:$1048576,(IF(($A42=[1]FREQUENCIAS!$AI$1),35,"ERRO")),[1]FREQUENCIAS!$1:$1048576))</f>
        <v>0</v>
      </c>
      <c r="AJ42" s="490"/>
      <c r="AK42" s="490"/>
      <c r="AL42" s="490"/>
      <c r="AM42" s="124">
        <f t="shared" si="39"/>
        <v>1</v>
      </c>
      <c r="AN42" s="125">
        <f t="shared" si="54"/>
        <v>1</v>
      </c>
      <c r="AO42" s="126">
        <f t="shared" si="8"/>
        <v>0.5</v>
      </c>
      <c r="AP42" s="345" t="s">
        <v>173</v>
      </c>
      <c r="AQ42" s="491">
        <f>(IF((AND((BD42=1),($BD$43=1),($AS$43="MUT"))),0,((1-AM42)^2)))</f>
        <v>0</v>
      </c>
      <c r="AR42" s="345"/>
      <c r="AS42" s="129" t="str">
        <f>IF((AND(($AF42=0),($AG42=0),($BD$43&gt;=3))),"EXCLUI",(IF((AND(($AF42=0),($AG42=0),(AX$43="S"))),"MUTAÇÃO",(IF(($CR42=1),"1 / 4F",(IF(($CR42=2),"1 / 2F",(IF(($CR42=3),"3 / 4F",(IF(($CR42=4),"1 / F","ERRO")))))))))))</f>
        <v>MUTAÇÃO</v>
      </c>
      <c r="AT42" s="480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[1]FREQUENCIAS!$G$4),(B42=[1]FREQUENCIAS!$G$5),(B42=[1]FREQUENCIAS!$G$6),(B42=[1]FREQUENCIAS!$G$7),(B42=[1]FREQUENCIAS!$G$8),(B42=[1]FREQUENCIAS!$G$9),(B42=[1]FREQUENCIAS!$G$10),(B42=[1]FREQUENCIAS!$G$11),(B42=[1]FREQUENCIAS!$G$12),(B42=[1]FREQUENCIAS!$G$13),(B42=[1]FREQUENCIAS!$G$14),(B42=[1]FREQUENCIAS!$G$15),(B42=[1]FREQUENCIAS!$G$16),(B42=[1]FREQUENCIAS!$G$17),(B42=[1]FREQUENCIAS!$G$18),(B42=[1]FREQUENCIAS!$G$19)),1,CC42))</f>
        <v>1</v>
      </c>
      <c r="AX42" s="1">
        <f>(IF(OR((C42="&lt;16"),(C42="&gt;51,2"),(C42=16),(C42=16.1),(C42=17.2),(C42=18.2),(C42=19.2),(C42=20.2),(C42=21.2),(C42=51.2),(C42=17),(C42=31.2),(C42=32.2),(C42=33.2),(C42=[1]FREQUENCIAS!$G$4),(C42=[1]FREQUENCIAS!$G$5),(C42=[1]FREQUENCIAS!$G$6),(C42=[1]FREQUENCIAS!$G$7),(C42=[1]FREQUENCIAS!$G$8),(C42=[1]FREQUENCIAS!$G$9),(C42=[1]FREQUENCIAS!$G$10),(C42=[1]FREQUENCIAS!$G$11),(C42=[1]FREQUENCIAS!$G$12),(C42=[1]FREQUENCIAS!$G$13),(C42=[1]FREQUENCIAS!$G$14),(C42=[1]FREQUENCIAS!$G$15),(C42=[1]FREQUENCIAS!$G$16),(C42=[1]FREQUENCIAS!$G$17),(C42=[1]FREQUENCIAS!$G$18),(C42=[1]FREQUENCIAS!$G$19)),1,CD42))</f>
        <v>1</v>
      </c>
      <c r="AY42" s="1">
        <f>(IF(OR((D42="&lt;16"),(D42="&gt;51,2"),(D42=16),(D42=16.1),(D42=17.2),(D42=18.2),(D42=19.2),(D42=20.2),(D42=21.2),(D42=51.2),(D42=17),(D42=31.2),(D42=32.2),(D42=33.2),(D42=[1]FREQUENCIAS!$G$4),(D42=[1]FREQUENCIAS!$G$5),(D42=[1]FREQUENCIAS!$G$6),(D42=[1]FREQUENCIAS!$G$7),(D42=[1]FREQUENCIAS!$G$8),(D42=[1]FREQUENCIAS!$G$9),(D42=[1]FREQUENCIAS!$G$10),(D42=[1]FREQUENCIAS!$G$11),(D42=[1]FREQUENCIAS!$G$12),(D42=[1]FREQUENCIAS!$G$13),(D42=[1]FREQUENCIAS!$G$14),(D42=[1]FREQUENCIAS!$G$15),(D42=[1]FREQUENCIAS!$G$16),(D42=[1]FREQUENCIAS!$G$17),(D42=[1]FREQUENCIAS!$G$18),(D42=[1]FREQUENCIAS!$G$19)),1,CE42))</f>
        <v>1</v>
      </c>
      <c r="AZ42" s="1">
        <f>(IF(OR((E42="&lt;16"),(E42="&gt;51,2"),(E42=16),(E42=16.1),(E42=17.2),(E42=18.2),(E42=19.2),(E42=20.2),(E42=21.2),(E42=51.2),(E42=17),(E42=31.2),(E42=32.2),(E42=33.2),(E42=[1]FREQUENCIAS!$G$4),(E42=[1]FREQUENCIAS!$G$5),(E42=[1]FREQUENCIAS!$G$6),(E42=[1]FREQUENCIAS!$G$7),(E42=[1]FREQUENCIAS!$G$8),(E42=[1]FREQUENCIAS!$G$9),(E42=[1]FREQUENCIAS!$G$10),(E42=[1]FREQUENCIAS!$G$11),(E42=[1]FREQUENCIAS!$G$12),(E42=[1]FREQUENCIAS!$G$13),(E42=[1]FREQUENCIAS!$G$14),(E42=[1]FREQUENCIAS!$G$15),(E42=[1]FREQUENCIAS!$G$16),(E42=[1]FREQUENCIAS!$G$17),(E42=[1]FREQUENCIAS!$G$18),(E42=[1]FREQUENCIAS!$G$19)),1,CF42))</f>
        <v>1</v>
      </c>
      <c r="BA42" s="1">
        <f>(IF(OR((F42="&lt;16"),(F42="&gt;51,2"),(F42=16),(F42=16.1),(F42=17.2),(F42=18.2),(F42=19.2),(F42=20.2),(F42=21.2),(F42=51.2),(F42=17),(F42=31.2),(F42=32.2),(F42=33.2),(F42=[1]FREQUENCIAS!$G$4),(F42=[1]FREQUENCIAS!$G$5),(F42=[1]FREQUENCIAS!$G$6),(F42=[1]FREQUENCIAS!$G$7),(F42=[1]FREQUENCIAS!$G$8),(F42=[1]FREQUENCIAS!$G$9),(F42=[1]FREQUENCIAS!$G$10),(F42=[1]FREQUENCIAS!$G$11),(F42=[1]FREQUENCIAS!$G$12),(F42=[1]FREQUENCIAS!$G$13),(F42=[1]FREQUENCIAS!$G$14),(F42=[1]FREQUENCIAS!$G$15),(F42=[1]FREQUENCIAS!$G$16),(F42=[1]FREQUENCIAS!$G$17),(F42=[1]FREQUENCIAS!$G$18),(F42=[1]FREQUENCIAS!$G$19)),1,CG42))</f>
        <v>1</v>
      </c>
      <c r="BB42" s="1">
        <f>(IF(OR((G42="&lt;16"),(G42="&gt;51,2"),(G42=16),(G42=16.1),(G42=17.2),(G42=18.2),(G42=19.2),(G42=20.2),(G42=21.2),(G42=51.2),(G42=17),(G42=31.2),(G42=32.2),(G42=33.2),(G42=[1]FREQUENCIAS!$G$4),(G42=[1]FREQUENCIAS!$G$5),(G42=[1]FREQUENCIAS!$G$6),(G42=[1]FREQUENCIAS!$G$7),(G42=[1]FREQUENCIAS!$G$8),(G42=[1]FREQUENCIAS!$G$9),(G42=[1]FREQUENCIAS!$G$10),(G42=[1]FREQUENCIAS!$G$11),(G42=[1]FREQUENCIAS!$G$12),(G42=[1]FREQUENCIAS!$G$13),(G42=[1]FREQUENCIAS!$G$14),(G42=[1]FREQUENCIAS!$G$15),(G42=[1]FREQUENCIAS!$G$16),(G42=[1]FREQUENCIAS!$G$17),(G42=[1]FREQUENCIAS!$G$18),(G42=[1]FREQUENCIAS!$G$19)),1,CH42))</f>
        <v>1</v>
      </c>
      <c r="BC42" s="1" t="s">
        <v>329</v>
      </c>
      <c r="BD42" s="492">
        <f t="shared" si="41"/>
        <v>0</v>
      </c>
      <c r="BE42" s="39" t="e">
        <f t="shared" si="42"/>
        <v>#VALUE!</v>
      </c>
      <c r="BF42" s="14"/>
      <c r="BG42" s="41" t="str">
        <f>IF($A42=[1]FREQUENCIAS!$W$1,[1]FREQUENCIAS!$W$2,"ERRO NO PE")</f>
        <v>ERRO NO PE</v>
      </c>
      <c r="BH42" s="498" t="str">
        <f>IF($A42=[1]FREQUENCIAS!$W$1,[1]FREQUENCIAS!$W$3,"ERRO NA MUT")</f>
        <v>ERRO NA MUT</v>
      </c>
      <c r="BI42" s="41">
        <f>(IF((AND(($BD$44="N"),($BD$46="O"),($BD42=1))),1,$AN42))</f>
        <v>1</v>
      </c>
      <c r="BJ42" s="2">
        <f t="shared" si="43"/>
        <v>0</v>
      </c>
      <c r="BL42" s="53">
        <v>17</v>
      </c>
      <c r="BM42" s="53">
        <v>33.200000000000003</v>
      </c>
      <c r="BN42" s="1" t="str">
        <f t="shared" si="48"/>
        <v>ALELO ERRADO</v>
      </c>
      <c r="BO42" s="500" t="str">
        <f t="shared" si="12"/>
        <v/>
      </c>
      <c r="BP42" s="500">
        <f t="shared" si="13"/>
        <v>0</v>
      </c>
      <c r="BQ42" s="500">
        <f t="shared" si="14"/>
        <v>0</v>
      </c>
      <c r="BR42" s="501" t="str">
        <f t="shared" si="15"/>
        <v/>
      </c>
      <c r="BS42" s="501">
        <f t="shared" si="16"/>
        <v>0</v>
      </c>
      <c r="BT42" s="501">
        <f t="shared" si="17"/>
        <v>0</v>
      </c>
      <c r="BU42" s="502" t="str">
        <f t="shared" si="44"/>
        <v/>
      </c>
      <c r="BV42" s="502">
        <f t="shared" si="18"/>
        <v>0</v>
      </c>
      <c r="BW42" s="502">
        <f t="shared" si="19"/>
        <v>0</v>
      </c>
      <c r="BZ42" s="495">
        <v>17</v>
      </c>
      <c r="CA42" s="496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 x14ac:dyDescent="0.2">
      <c r="A43" s="503"/>
      <c r="B43" s="504"/>
      <c r="C43" s="504"/>
      <c r="D43" s="504"/>
      <c r="E43" s="220"/>
      <c r="F43" s="220"/>
      <c r="G43" s="219" t="s">
        <v>330</v>
      </c>
      <c r="H43" s="877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1</v>
      </c>
      <c r="I43" s="877"/>
      <c r="J43" s="877"/>
      <c r="K43" s="877"/>
      <c r="L43" s="877"/>
      <c r="M43" s="877"/>
      <c r="N43" s="877"/>
      <c r="O43" s="877"/>
      <c r="P43" s="877"/>
      <c r="Q43" s="877"/>
      <c r="R43" s="877"/>
      <c r="S43" s="877"/>
      <c r="T43" s="877"/>
      <c r="U43" s="877"/>
      <c r="V43" s="877"/>
      <c r="W43" s="877"/>
      <c r="X43" s="877"/>
      <c r="Y43" s="877"/>
      <c r="Z43" s="877"/>
      <c r="AA43" s="877"/>
      <c r="AB43" s="877"/>
      <c r="AC43" s="877"/>
      <c r="AD43" s="877"/>
      <c r="AE43" s="877"/>
      <c r="AF43" s="877"/>
      <c r="AG43" s="877"/>
      <c r="AH43" s="877"/>
      <c r="AI43" s="877"/>
      <c r="AJ43" s="877"/>
      <c r="AK43" s="877"/>
      <c r="AL43" s="877"/>
      <c r="AM43" s="877"/>
      <c r="AN43" s="877"/>
      <c r="AO43" s="877"/>
      <c r="AP43" s="345"/>
      <c r="AQ43" s="814">
        <f>(IF((PRODUCT(AO9:AO42)&lt;&gt;0),((1-AQ9)*(1-AQ10)*(1-AQ11)*(1-AQ12)*(1-AQ13)*(1-AQ14)*(1-AQ15)*(1-AQ16)*(1-AQ17)*(1-AQ18)*(1-AQ19)*(1-AQ20)*(1-AQ21)*(1-AQ22)*(1-AQ23)*(1-AQ24)*(1-AQ25)*(1-AQ26)*(1-AQ27)*(1-AQ28)*(1-AQ29)*(1-AQ42)),$AP$23))</f>
        <v>1</v>
      </c>
      <c r="AR43" s="814"/>
      <c r="AS43" s="505" t="s">
        <v>331</v>
      </c>
      <c r="AT43" s="506"/>
      <c r="AX43" s="345" t="s">
        <v>241</v>
      </c>
      <c r="BD43" s="55">
        <f>SUM(BD9:BD42)</f>
        <v>0</v>
      </c>
      <c r="BI43" s="41">
        <f>(IF((AND(($BD$44="N"),($BD$46="O"))),PRODUCT(BI9:BI42),0))</f>
        <v>0</v>
      </c>
      <c r="BJ43" s="35">
        <f>SUM(BJ9:BJ42)</f>
        <v>0</v>
      </c>
    </row>
    <row r="44" spans="1:96" ht="12.75" x14ac:dyDescent="0.2">
      <c r="A44" s="507"/>
      <c r="B44" s="508"/>
      <c r="C44" s="508"/>
      <c r="D44" s="508"/>
      <c r="E44" s="469"/>
      <c r="F44" s="469"/>
      <c r="G44" s="509" t="s">
        <v>332</v>
      </c>
      <c r="H44" s="878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0.5</v>
      </c>
      <c r="I44" s="878"/>
      <c r="J44" s="878"/>
      <c r="K44" s="878"/>
      <c r="L44" s="878"/>
      <c r="M44" s="878"/>
      <c r="N44" s="878"/>
      <c r="O44" s="878"/>
      <c r="P44" s="878"/>
      <c r="Q44" s="878"/>
      <c r="R44" s="878"/>
      <c r="S44" s="878"/>
      <c r="T44" s="878"/>
      <c r="U44" s="878"/>
      <c r="V44" s="878"/>
      <c r="W44" s="878"/>
      <c r="X44" s="878"/>
      <c r="Y44" s="878"/>
      <c r="Z44" s="878"/>
      <c r="AA44" s="878"/>
      <c r="AB44" s="878"/>
      <c r="AC44" s="878"/>
      <c r="AD44" s="878"/>
      <c r="AE44" s="878"/>
      <c r="AF44" s="878"/>
      <c r="AG44" s="878"/>
      <c r="AH44" s="878"/>
      <c r="AI44" s="878"/>
      <c r="AJ44" s="878"/>
      <c r="AK44" s="878"/>
      <c r="AL44" s="878"/>
      <c r="AM44" s="878"/>
      <c r="AN44" s="878"/>
      <c r="AO44" s="879"/>
      <c r="AP44" s="510"/>
      <c r="AQ44" s="510"/>
      <c r="AR44" s="510"/>
      <c r="AS44" s="510"/>
      <c r="AT44" s="511"/>
      <c r="AX44" s="1" t="s">
        <v>333</v>
      </c>
      <c r="BD44" s="512" t="s">
        <v>102</v>
      </c>
      <c r="BE44" s="50" t="s">
        <v>124</v>
      </c>
    </row>
    <row r="45" spans="1:96" ht="12.75" x14ac:dyDescent="0.2">
      <c r="A45" s="507"/>
      <c r="B45" s="508"/>
      <c r="C45" s="508"/>
      <c r="D45" s="508"/>
      <c r="E45" s="469"/>
      <c r="F45" s="469"/>
      <c r="G45" s="509" t="str">
        <f>(IF((AND(($BD$43=1),($BD$44="N"),($BD$46="O"))),"OBS. RELEVANTE:",(IF((AND(($BD$43=2),($BD$44="N"),($BD$46="O"))),"OBS. RELEVANTE:","CAP. DE EFICIÊNCIA MARCADORES:"))))</f>
        <v>CAP. DE EFICIÊNCIA MARCADORES:</v>
      </c>
      <c r="H45" s="878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0</v>
      </c>
      <c r="I45" s="880"/>
      <c r="J45" s="880"/>
      <c r="K45" s="880"/>
      <c r="L45" s="880"/>
      <c r="M45" s="880"/>
      <c r="N45" s="880"/>
      <c r="O45" s="880"/>
      <c r="P45" s="880"/>
      <c r="Q45" s="880"/>
      <c r="R45" s="880"/>
      <c r="S45" s="880"/>
      <c r="T45" s="880"/>
      <c r="U45" s="880"/>
      <c r="V45" s="880"/>
      <c r="W45" s="880"/>
      <c r="X45" s="880"/>
      <c r="Y45" s="880"/>
      <c r="Z45" s="880"/>
      <c r="AA45" s="880"/>
      <c r="AB45" s="880"/>
      <c r="AC45" s="880"/>
      <c r="AD45" s="880"/>
      <c r="AE45" s="880"/>
      <c r="AF45" s="880"/>
      <c r="AG45" s="880"/>
      <c r="AH45" s="880"/>
      <c r="AI45" s="880"/>
      <c r="AJ45" s="880"/>
      <c r="AK45" s="880"/>
      <c r="AL45" s="880"/>
      <c r="AM45" s="880"/>
      <c r="AN45" s="880"/>
      <c r="AO45" s="881"/>
      <c r="AP45" s="451"/>
      <c r="AQ45" s="451"/>
      <c r="AR45" s="451"/>
      <c r="AS45" s="451"/>
      <c r="AT45" s="513"/>
      <c r="BD45" s="316" t="s">
        <v>104</v>
      </c>
      <c r="BE45" s="50" t="s">
        <v>125</v>
      </c>
    </row>
    <row r="46" spans="1:96" ht="13.5" thickBot="1" x14ac:dyDescent="0.25">
      <c r="A46" s="507"/>
      <c r="B46" s="508"/>
      <c r="C46" s="508"/>
      <c r="D46" s="508"/>
      <c r="E46" s="469"/>
      <c r="F46" s="469"/>
      <c r="G46" s="509" t="s">
        <v>334</v>
      </c>
      <c r="H46" s="51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PATERNIDADE REMOTA</v>
      </c>
      <c r="I46" s="509"/>
      <c r="J46" s="469"/>
      <c r="K46" s="469"/>
      <c r="L46" s="469"/>
      <c r="M46" s="469"/>
      <c r="N46" s="469"/>
      <c r="O46" s="469"/>
      <c r="P46" s="469"/>
      <c r="Q46" s="469"/>
      <c r="R46" s="508"/>
      <c r="S46" s="508"/>
      <c r="T46" s="508"/>
      <c r="U46" s="508"/>
      <c r="V46" s="508"/>
      <c r="W46" s="508"/>
      <c r="X46" s="508"/>
      <c r="Y46" s="508"/>
      <c r="Z46" s="508"/>
      <c r="AA46" s="508"/>
      <c r="AB46" s="508"/>
      <c r="AC46" s="508"/>
      <c r="AD46" s="508"/>
      <c r="AE46" s="508"/>
      <c r="AF46" s="508"/>
      <c r="AG46" s="508"/>
      <c r="AH46" s="508"/>
      <c r="AI46" s="508"/>
      <c r="AJ46" s="508"/>
      <c r="AK46" s="508"/>
      <c r="AL46" s="508"/>
      <c r="AM46" s="225"/>
      <c r="AN46" s="225"/>
      <c r="AO46" s="226"/>
      <c r="AP46" s="345"/>
      <c r="AQ46" s="345"/>
      <c r="AR46" s="345"/>
      <c r="AS46" s="515"/>
      <c r="AT46" s="516"/>
      <c r="BD46" s="316"/>
      <c r="BE46" s="50" t="s">
        <v>96</v>
      </c>
    </row>
    <row r="47" spans="1:96" ht="13.5" customHeight="1" thickTop="1" x14ac:dyDescent="0.2">
      <c r="A47" s="797" t="s">
        <v>335</v>
      </c>
      <c r="B47" s="798"/>
      <c r="C47" s="798"/>
      <c r="D47" s="798"/>
      <c r="E47" s="798"/>
      <c r="F47" s="798"/>
      <c r="G47" s="798"/>
      <c r="H47" s="798"/>
      <c r="I47" s="798"/>
      <c r="J47" s="798"/>
      <c r="K47" s="798"/>
      <c r="L47" s="798"/>
      <c r="M47" s="798"/>
      <c r="N47" s="798"/>
      <c r="O47" s="798"/>
      <c r="P47" s="798"/>
      <c r="Q47" s="798"/>
      <c r="R47" s="798"/>
      <c r="S47" s="798"/>
      <c r="T47" s="798"/>
      <c r="U47" s="798"/>
      <c r="V47" s="798"/>
      <c r="W47" s="798"/>
      <c r="X47" s="798"/>
      <c r="Y47" s="798"/>
      <c r="Z47" s="798"/>
      <c r="AA47" s="798"/>
      <c r="AB47" s="798"/>
      <c r="AC47" s="798"/>
      <c r="AD47" s="798"/>
      <c r="AE47" s="798"/>
      <c r="AF47" s="798"/>
      <c r="AG47" s="798"/>
      <c r="AH47" s="798"/>
      <c r="AI47" s="798"/>
      <c r="AJ47" s="798"/>
      <c r="AK47" s="798"/>
      <c r="AL47" s="798"/>
      <c r="AM47" s="798"/>
      <c r="AN47" s="798"/>
      <c r="AO47" s="798"/>
      <c r="AP47" s="798"/>
      <c r="AQ47" s="798"/>
      <c r="AR47" s="798"/>
      <c r="AS47" s="798"/>
      <c r="AT47" s="799"/>
    </row>
    <row r="48" spans="1:96" ht="12" customHeight="1" x14ac:dyDescent="0.2">
      <c r="A48" s="800"/>
      <c r="B48" s="882"/>
      <c r="C48" s="882"/>
      <c r="D48" s="882"/>
      <c r="E48" s="882"/>
      <c r="F48" s="882"/>
      <c r="G48" s="882"/>
      <c r="H48" s="882"/>
      <c r="I48" s="882"/>
      <c r="J48" s="882"/>
      <c r="K48" s="882"/>
      <c r="L48" s="882"/>
      <c r="M48" s="882"/>
      <c r="N48" s="882"/>
      <c r="O48" s="882"/>
      <c r="P48" s="882"/>
      <c r="Q48" s="882"/>
      <c r="R48" s="882"/>
      <c r="S48" s="882"/>
      <c r="T48" s="882"/>
      <c r="U48" s="882"/>
      <c r="V48" s="882"/>
      <c r="W48" s="882"/>
      <c r="X48" s="882"/>
      <c r="Y48" s="882"/>
      <c r="Z48" s="882"/>
      <c r="AA48" s="882"/>
      <c r="AB48" s="882"/>
      <c r="AC48" s="882"/>
      <c r="AD48" s="882"/>
      <c r="AE48" s="882"/>
      <c r="AF48" s="882"/>
      <c r="AG48" s="882"/>
      <c r="AH48" s="882"/>
      <c r="AI48" s="882"/>
      <c r="AJ48" s="882"/>
      <c r="AK48" s="882"/>
      <c r="AL48" s="882"/>
      <c r="AM48" s="882"/>
      <c r="AN48" s="882"/>
      <c r="AO48" s="882"/>
      <c r="AP48" s="882"/>
      <c r="AQ48" s="882"/>
      <c r="AR48" s="882"/>
      <c r="AS48" s="882"/>
      <c r="AT48" s="802"/>
    </row>
    <row r="49" spans="1:80" ht="12" customHeight="1" x14ac:dyDescent="0.2">
      <c r="A49" s="800"/>
      <c r="B49" s="882"/>
      <c r="C49" s="882"/>
      <c r="D49" s="882"/>
      <c r="E49" s="882"/>
      <c r="F49" s="882"/>
      <c r="G49" s="882"/>
      <c r="H49" s="882"/>
      <c r="I49" s="882"/>
      <c r="J49" s="882"/>
      <c r="K49" s="882"/>
      <c r="L49" s="882"/>
      <c r="M49" s="882"/>
      <c r="N49" s="882"/>
      <c r="O49" s="882"/>
      <c r="P49" s="882"/>
      <c r="Q49" s="882"/>
      <c r="R49" s="882"/>
      <c r="S49" s="882"/>
      <c r="T49" s="882"/>
      <c r="U49" s="882"/>
      <c r="V49" s="882"/>
      <c r="W49" s="882"/>
      <c r="X49" s="882"/>
      <c r="Y49" s="882"/>
      <c r="Z49" s="882"/>
      <c r="AA49" s="882"/>
      <c r="AB49" s="882"/>
      <c r="AC49" s="882"/>
      <c r="AD49" s="882"/>
      <c r="AE49" s="882"/>
      <c r="AF49" s="882"/>
      <c r="AG49" s="882"/>
      <c r="AH49" s="882"/>
      <c r="AI49" s="882"/>
      <c r="AJ49" s="882"/>
      <c r="AK49" s="882"/>
      <c r="AL49" s="882"/>
      <c r="AM49" s="882"/>
      <c r="AN49" s="882"/>
      <c r="AO49" s="882"/>
      <c r="AP49" s="882"/>
      <c r="AQ49" s="882"/>
      <c r="AR49" s="882"/>
      <c r="AS49" s="882"/>
      <c r="AT49" s="802"/>
    </row>
    <row r="50" spans="1:80" ht="12" customHeight="1" thickBot="1" x14ac:dyDescent="0.25">
      <c r="A50" s="800"/>
      <c r="B50" s="882"/>
      <c r="C50" s="882"/>
      <c r="D50" s="882"/>
      <c r="E50" s="882"/>
      <c r="F50" s="882"/>
      <c r="G50" s="882"/>
      <c r="H50" s="882"/>
      <c r="I50" s="882"/>
      <c r="J50" s="882"/>
      <c r="K50" s="882"/>
      <c r="L50" s="882"/>
      <c r="M50" s="882"/>
      <c r="N50" s="882"/>
      <c r="O50" s="882"/>
      <c r="P50" s="882"/>
      <c r="Q50" s="882"/>
      <c r="R50" s="882"/>
      <c r="S50" s="882"/>
      <c r="T50" s="882"/>
      <c r="U50" s="882"/>
      <c r="V50" s="882"/>
      <c r="W50" s="882"/>
      <c r="X50" s="882"/>
      <c r="Y50" s="882"/>
      <c r="Z50" s="882"/>
      <c r="AA50" s="882"/>
      <c r="AB50" s="882"/>
      <c r="AC50" s="882"/>
      <c r="AD50" s="882"/>
      <c r="AE50" s="882"/>
      <c r="AF50" s="882"/>
      <c r="AG50" s="882"/>
      <c r="AH50" s="882"/>
      <c r="AI50" s="882"/>
      <c r="AJ50" s="882"/>
      <c r="AK50" s="882"/>
      <c r="AL50" s="882"/>
      <c r="AM50" s="882"/>
      <c r="AN50" s="882"/>
      <c r="AO50" s="882"/>
      <c r="AP50" s="882"/>
      <c r="AQ50" s="882"/>
      <c r="AR50" s="882"/>
      <c r="AS50" s="882"/>
      <c r="AT50" s="802"/>
    </row>
    <row r="51" spans="1:80" ht="12" hidden="1" customHeight="1" thickTop="1" thickBot="1" x14ac:dyDescent="0.25">
      <c r="A51" s="517" t="s">
        <v>336</v>
      </c>
      <c r="B51" s="518"/>
      <c r="C51" s="519"/>
      <c r="D51" s="518"/>
      <c r="E51" s="518"/>
      <c r="F51" s="518"/>
      <c r="G51" s="518"/>
      <c r="H51" s="518"/>
      <c r="I51" s="518"/>
      <c r="J51" s="518"/>
      <c r="K51" s="518"/>
      <c r="L51" s="518"/>
      <c r="M51" s="518"/>
      <c r="N51" s="518"/>
      <c r="O51" s="518"/>
      <c r="P51" s="518"/>
      <c r="Q51" s="518"/>
      <c r="R51" s="518"/>
      <c r="S51" s="518"/>
      <c r="T51" s="518"/>
      <c r="U51" s="518"/>
      <c r="V51" s="518"/>
      <c r="W51" s="518"/>
      <c r="X51" s="518"/>
      <c r="Y51" s="518"/>
      <c r="Z51" s="518"/>
      <c r="AA51" s="518"/>
      <c r="AB51" s="518"/>
      <c r="AC51" s="518"/>
      <c r="AD51" s="518"/>
      <c r="AE51" s="518"/>
      <c r="AF51" s="518"/>
      <c r="AG51" s="518"/>
      <c r="AH51" s="518"/>
      <c r="AI51" s="518"/>
      <c r="AJ51" s="518"/>
      <c r="AK51" s="518"/>
      <c r="AL51" s="518"/>
      <c r="AM51" s="518"/>
      <c r="AN51" s="518"/>
      <c r="AO51" s="518"/>
      <c r="AP51" s="520"/>
      <c r="AQ51" s="520"/>
      <c r="AR51" s="520"/>
      <c r="AS51" s="518"/>
      <c r="AT51" s="521"/>
    </row>
    <row r="52" spans="1:80" ht="19.5" hidden="1" customHeight="1" thickTop="1" x14ac:dyDescent="0.25">
      <c r="A52" s="18"/>
      <c r="B52" s="49"/>
      <c r="C52" s="271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522"/>
      <c r="AN52" s="523"/>
      <c r="AO52" s="524"/>
      <c r="AP52" s="525"/>
      <c r="AQ52" s="525"/>
      <c r="AR52" s="525"/>
      <c r="AS52" s="525"/>
      <c r="AT52" s="71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70"/>
    </row>
    <row r="53" spans="1:80" ht="14.25" hidden="1" customHeight="1" thickBot="1" x14ac:dyDescent="0.3">
      <c r="A53" s="526"/>
      <c r="B53" s="10"/>
      <c r="C53" s="527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528"/>
      <c r="AN53" s="529"/>
      <c r="AO53" s="10"/>
      <c r="AP53" s="44"/>
      <c r="AQ53" s="44"/>
      <c r="AR53" s="44"/>
      <c r="AS53" s="10"/>
      <c r="AT53" s="12"/>
      <c r="BE53" s="48"/>
    </row>
    <row r="54" spans="1:80" ht="5.25" customHeight="1" thickTop="1" x14ac:dyDescent="0.2">
      <c r="A54" s="530"/>
      <c r="B54" s="16"/>
      <c r="C54" s="531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82"/>
      <c r="AQ54" s="282"/>
      <c r="AR54" s="282"/>
      <c r="AS54" s="16"/>
      <c r="AT54" s="17"/>
      <c r="BE54" s="48"/>
    </row>
    <row r="55" spans="1:80" ht="15.75" customHeight="1" x14ac:dyDescent="0.2">
      <c r="A55" s="885">
        <f ca="1">TODAY()</f>
        <v>44843</v>
      </c>
      <c r="B55" s="886"/>
      <c r="C55" s="886"/>
      <c r="D55" s="886"/>
      <c r="E55" s="886"/>
      <c r="F55" s="886"/>
      <c r="G55" s="886"/>
      <c r="H55" s="886"/>
      <c r="I55" s="886"/>
      <c r="J55" s="886"/>
      <c r="K55" s="886"/>
      <c r="L55" s="886"/>
      <c r="M55" s="886"/>
      <c r="N55" s="886"/>
      <c r="O55" s="886"/>
      <c r="P55" s="886"/>
      <c r="Q55" s="886"/>
      <c r="R55" s="886"/>
      <c r="S55" s="886"/>
      <c r="T55" s="886"/>
      <c r="U55" s="886"/>
      <c r="V55" s="886"/>
      <c r="W55" s="886"/>
      <c r="X55" s="886"/>
      <c r="Y55" s="886"/>
      <c r="Z55" s="886"/>
      <c r="AA55" s="886"/>
      <c r="AB55" s="886"/>
      <c r="AC55" s="886"/>
      <c r="AD55" s="886"/>
      <c r="AE55" s="886"/>
      <c r="AF55" s="886"/>
      <c r="AG55" s="886"/>
      <c r="AH55" s="886"/>
      <c r="AI55" s="886"/>
      <c r="AJ55" s="886"/>
      <c r="AK55" s="886"/>
      <c r="AL55" s="886"/>
      <c r="AM55" s="886"/>
      <c r="AN55" s="886"/>
      <c r="AO55" s="886"/>
      <c r="AP55" s="886"/>
      <c r="AQ55" s="886"/>
      <c r="AR55" s="886"/>
      <c r="AS55" s="886"/>
      <c r="AT55" s="887"/>
    </row>
    <row r="56" spans="1:80" hidden="1" x14ac:dyDescent="0.2">
      <c r="A56" s="18"/>
      <c r="B56" s="49"/>
      <c r="C56" s="271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S56" s="49"/>
      <c r="AT56" s="7"/>
    </row>
    <row r="57" spans="1:80" ht="10.5" hidden="1" customHeight="1" x14ac:dyDescent="0.2">
      <c r="A57" s="18"/>
      <c r="B57" s="49"/>
      <c r="C57" s="271"/>
      <c r="D57" s="49"/>
      <c r="E57" s="49"/>
      <c r="F57" s="464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64"/>
      <c r="AN57" s="532"/>
      <c r="AO57" s="49"/>
      <c r="AS57" s="49"/>
      <c r="AT57" s="7"/>
    </row>
    <row r="58" spans="1:80" ht="33.75" customHeight="1" x14ac:dyDescent="0.2">
      <c r="A58" s="862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63"/>
      <c r="C58" s="863"/>
      <c r="D58" s="863"/>
      <c r="E58" s="863"/>
      <c r="F58" s="863"/>
      <c r="G58" s="863"/>
      <c r="H58" s="863"/>
      <c r="I58" s="863"/>
      <c r="J58" s="863"/>
      <c r="K58" s="863"/>
      <c r="L58" s="863"/>
      <c r="M58" s="863"/>
      <c r="N58" s="863"/>
      <c r="O58" s="863"/>
      <c r="P58" s="863"/>
      <c r="Q58" s="863"/>
      <c r="R58" s="863"/>
      <c r="S58" s="863"/>
      <c r="T58" s="863"/>
      <c r="U58" s="863"/>
      <c r="V58" s="863"/>
      <c r="W58" s="863"/>
      <c r="X58" s="863"/>
      <c r="Y58" s="863"/>
      <c r="Z58" s="863"/>
      <c r="AA58" s="863"/>
      <c r="AB58" s="863"/>
      <c r="AC58" s="863"/>
      <c r="AD58" s="863"/>
      <c r="AE58" s="863"/>
      <c r="AF58" s="863"/>
      <c r="AG58" s="863"/>
      <c r="AH58" s="863"/>
      <c r="AI58" s="863"/>
      <c r="AJ58" s="863"/>
      <c r="AK58" s="863"/>
      <c r="AL58" s="863"/>
      <c r="AM58" s="863"/>
      <c r="AN58" s="863"/>
      <c r="AO58" s="863"/>
      <c r="AP58" s="863"/>
      <c r="AQ58" s="863"/>
      <c r="AR58" s="863"/>
      <c r="AS58" s="863"/>
      <c r="AT58" s="864"/>
    </row>
    <row r="59" spans="1:80" ht="11.1" customHeight="1" x14ac:dyDescent="0.2">
      <c r="A59" s="779" t="s">
        <v>337</v>
      </c>
      <c r="B59" s="780"/>
      <c r="C59" s="780"/>
      <c r="D59" s="780"/>
      <c r="E59" s="780"/>
      <c r="F59" s="780"/>
      <c r="G59" s="780"/>
      <c r="H59" s="780"/>
      <c r="I59" s="780"/>
      <c r="J59" s="780"/>
      <c r="K59" s="780"/>
      <c r="L59" s="780"/>
      <c r="M59" s="780"/>
      <c r="N59" s="780"/>
      <c r="O59" s="780"/>
      <c r="P59" s="780"/>
      <c r="Q59" s="780"/>
      <c r="R59" s="780"/>
      <c r="S59" s="780"/>
      <c r="T59" s="780"/>
      <c r="U59" s="780"/>
      <c r="V59" s="780"/>
      <c r="W59" s="780"/>
      <c r="X59" s="780"/>
      <c r="Y59" s="780"/>
      <c r="Z59" s="780"/>
      <c r="AA59" s="780"/>
      <c r="AB59" s="780"/>
      <c r="AC59" s="780"/>
      <c r="AD59" s="780"/>
      <c r="AE59" s="780"/>
      <c r="AF59" s="780"/>
      <c r="AG59" s="780"/>
      <c r="AH59" s="780"/>
      <c r="AI59" s="780"/>
      <c r="AJ59" s="780"/>
      <c r="AK59" s="780"/>
      <c r="AL59" s="780"/>
      <c r="AM59" s="780"/>
      <c r="AN59" s="780"/>
      <c r="AO59" s="780"/>
      <c r="AP59" s="780"/>
      <c r="AQ59" s="780"/>
      <c r="AR59" s="780"/>
      <c r="AS59" s="780"/>
      <c r="AT59" s="781"/>
      <c r="BF59" s="2"/>
      <c r="BG59" s="2"/>
      <c r="BL59" s="1"/>
      <c r="BM59" s="1"/>
    </row>
    <row r="60" spans="1:80" ht="11.1" customHeight="1" x14ac:dyDescent="0.2">
      <c r="A60" s="869" t="s">
        <v>242</v>
      </c>
      <c r="B60" s="870"/>
      <c r="C60" s="870"/>
      <c r="D60" s="870"/>
      <c r="E60" s="870"/>
      <c r="F60" s="870"/>
      <c r="G60" s="870"/>
      <c r="H60" s="870"/>
      <c r="I60" s="870"/>
      <c r="J60" s="870"/>
      <c r="K60" s="870"/>
      <c r="L60" s="870"/>
      <c r="M60" s="870"/>
      <c r="N60" s="870"/>
      <c r="O60" s="870"/>
      <c r="P60" s="870"/>
      <c r="Q60" s="870"/>
      <c r="R60" s="870"/>
      <c r="S60" s="870"/>
      <c r="T60" s="870"/>
      <c r="U60" s="870"/>
      <c r="V60" s="870"/>
      <c r="W60" s="870"/>
      <c r="X60" s="870"/>
      <c r="Y60" s="870"/>
      <c r="Z60" s="870"/>
      <c r="AA60" s="870"/>
      <c r="AB60" s="870"/>
      <c r="AC60" s="870"/>
      <c r="AD60" s="870"/>
      <c r="AE60" s="870"/>
      <c r="AF60" s="870"/>
      <c r="AG60" s="870"/>
      <c r="AH60" s="870"/>
      <c r="AI60" s="870"/>
      <c r="AJ60" s="870"/>
      <c r="AK60" s="870"/>
      <c r="AL60" s="870"/>
      <c r="AM60" s="870"/>
      <c r="AN60" s="870"/>
      <c r="AO60" s="870"/>
      <c r="AP60" s="870"/>
      <c r="AQ60" s="870"/>
      <c r="AR60" s="870"/>
      <c r="AS60" s="870"/>
      <c r="AT60" s="871"/>
      <c r="BF60" s="2"/>
      <c r="BG60" s="2"/>
      <c r="BL60" s="1"/>
      <c r="BM60" s="1"/>
    </row>
    <row r="61" spans="1:80" ht="11.1" hidden="1" customHeight="1" x14ac:dyDescent="0.2">
      <c r="A61" s="869"/>
      <c r="B61" s="870"/>
      <c r="C61" s="870"/>
      <c r="D61" s="870"/>
      <c r="E61" s="870"/>
      <c r="F61" s="870"/>
      <c r="G61" s="870"/>
      <c r="H61" s="870"/>
      <c r="I61" s="870"/>
      <c r="J61" s="870"/>
      <c r="K61" s="870"/>
      <c r="L61" s="870"/>
      <c r="M61" s="870"/>
      <c r="N61" s="870"/>
      <c r="O61" s="870"/>
      <c r="P61" s="870"/>
      <c r="Q61" s="870"/>
      <c r="R61" s="870"/>
      <c r="S61" s="870"/>
      <c r="T61" s="870"/>
      <c r="U61" s="870"/>
      <c r="V61" s="870"/>
      <c r="W61" s="870"/>
      <c r="X61" s="870"/>
      <c r="Y61" s="870"/>
      <c r="Z61" s="870"/>
      <c r="AA61" s="870"/>
      <c r="AB61" s="870"/>
      <c r="AC61" s="870"/>
      <c r="AD61" s="870"/>
      <c r="AE61" s="870"/>
      <c r="AF61" s="870"/>
      <c r="AG61" s="870"/>
      <c r="AH61" s="870"/>
      <c r="AI61" s="870"/>
      <c r="AJ61" s="870"/>
      <c r="AK61" s="870"/>
      <c r="AL61" s="870"/>
      <c r="AM61" s="870"/>
      <c r="AN61" s="870"/>
      <c r="AO61" s="870"/>
      <c r="AP61" s="870"/>
      <c r="AQ61" s="870"/>
      <c r="AR61" s="870"/>
      <c r="AS61" s="870"/>
      <c r="AT61" s="871"/>
      <c r="BF61" s="2"/>
      <c r="BG61" s="2"/>
      <c r="BL61" s="1"/>
      <c r="BM61" s="1"/>
    </row>
    <row r="62" spans="1:80" ht="11.1" customHeight="1" thickBot="1" x14ac:dyDescent="0.25">
      <c r="A62" s="872" t="s">
        <v>338</v>
      </c>
      <c r="B62" s="873"/>
      <c r="C62" s="873"/>
      <c r="D62" s="873"/>
      <c r="E62" s="873"/>
      <c r="F62" s="873"/>
      <c r="G62" s="873"/>
      <c r="H62" s="873"/>
      <c r="I62" s="873"/>
      <c r="J62" s="873"/>
      <c r="K62" s="873"/>
      <c r="L62" s="873"/>
      <c r="M62" s="873"/>
      <c r="N62" s="873"/>
      <c r="O62" s="873"/>
      <c r="P62" s="873"/>
      <c r="Q62" s="873"/>
      <c r="R62" s="873"/>
      <c r="S62" s="873"/>
      <c r="T62" s="873"/>
      <c r="U62" s="873"/>
      <c r="V62" s="873"/>
      <c r="W62" s="873"/>
      <c r="X62" s="873"/>
      <c r="Y62" s="873"/>
      <c r="Z62" s="873"/>
      <c r="AA62" s="873"/>
      <c r="AB62" s="873"/>
      <c r="AC62" s="873"/>
      <c r="AD62" s="873"/>
      <c r="AE62" s="873"/>
      <c r="AF62" s="873"/>
      <c r="AG62" s="873"/>
      <c r="AH62" s="873"/>
      <c r="AI62" s="873"/>
      <c r="AJ62" s="873"/>
      <c r="AK62" s="873"/>
      <c r="AL62" s="873"/>
      <c r="AM62" s="873"/>
      <c r="AN62" s="873"/>
      <c r="AO62" s="873"/>
      <c r="AP62" s="873"/>
      <c r="AQ62" s="873"/>
      <c r="AR62" s="873"/>
      <c r="AS62" s="873"/>
      <c r="AT62" s="874"/>
      <c r="BF62" s="2"/>
      <c r="BG62" s="2"/>
      <c r="BL62" s="1"/>
      <c r="BM62" s="1"/>
    </row>
    <row r="63" spans="1:80" ht="21.75" customHeight="1" thickTop="1" x14ac:dyDescent="0.5">
      <c r="A63" s="533" t="s">
        <v>195</v>
      </c>
      <c r="B63" s="533" t="s">
        <v>197</v>
      </c>
      <c r="C63" s="533" t="s">
        <v>198</v>
      </c>
      <c r="D63" s="533" t="s">
        <v>199</v>
      </c>
      <c r="E63" s="533" t="s">
        <v>200</v>
      </c>
      <c r="F63" s="533" t="s">
        <v>201</v>
      </c>
      <c r="G63" s="533"/>
      <c r="H63" s="533"/>
      <c r="I63" s="533"/>
      <c r="J63" s="533"/>
      <c r="K63" s="533"/>
      <c r="L63" s="533"/>
      <c r="M63" s="533"/>
      <c r="N63" s="533"/>
      <c r="O63" s="533"/>
      <c r="P63" s="533"/>
      <c r="Q63" s="533"/>
      <c r="R63" s="533"/>
      <c r="S63" s="533"/>
      <c r="T63" s="533"/>
      <c r="U63" s="533"/>
      <c r="V63" s="533"/>
      <c r="W63" s="533"/>
      <c r="X63" s="533"/>
      <c r="Y63" s="533"/>
      <c r="Z63" s="533"/>
      <c r="AA63" s="533"/>
      <c r="AB63" s="533"/>
      <c r="AC63" s="533"/>
      <c r="AD63" s="533"/>
      <c r="AE63" s="533"/>
      <c r="AF63" s="533"/>
      <c r="AG63" s="533"/>
      <c r="AH63" s="533"/>
      <c r="AI63" s="534"/>
      <c r="AJ63" s="534"/>
      <c r="AK63" s="534"/>
      <c r="AL63" s="534"/>
      <c r="AM63" s="535"/>
      <c r="AN63" s="536"/>
      <c r="AT63" s="537" t="s">
        <v>195</v>
      </c>
    </row>
    <row r="64" spans="1:80" ht="10.5" customHeight="1" x14ac:dyDescent="0.2">
      <c r="A64" s="294" t="s">
        <v>339</v>
      </c>
      <c r="B64" s="294" t="s">
        <v>194</v>
      </c>
      <c r="C64" s="294"/>
      <c r="D64" s="294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294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  <c r="AG64" s="294"/>
      <c r="AH64" s="294"/>
      <c r="AI64" s="294"/>
      <c r="AJ64" s="294"/>
      <c r="AK64" s="294"/>
      <c r="AL64" s="294"/>
      <c r="AM64" s="294"/>
      <c r="AN64" s="295"/>
      <c r="AT64" s="538" t="s">
        <v>196</v>
      </c>
    </row>
  </sheetData>
  <mergeCells count="34"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1:AT1"/>
    <mergeCell ref="B2:G2"/>
    <mergeCell ref="BF5:BG5"/>
    <mergeCell ref="BF6:BG6"/>
    <mergeCell ref="BF7:BH7"/>
  </mergeCells>
  <conditionalFormatting sqref="BO9:BW23">
    <cfRule type="cellIs" dxfId="70" priority="20" stopIfTrue="1" operator="equal">
      <formula>$BL9-1</formula>
    </cfRule>
  </conditionalFormatting>
  <conditionalFormatting sqref="BZ9:CA23">
    <cfRule type="cellIs" dxfId="69" priority="21" stopIfTrue="1" operator="equal">
      <formula>$BT9</formula>
    </cfRule>
    <cfRule type="cellIs" dxfId="68" priority="22" stopIfTrue="1" operator="equal">
      <formula>$BW9</formula>
    </cfRule>
  </conditionalFormatting>
  <conditionalFormatting sqref="AM9:AM42">
    <cfRule type="expression" dxfId="67" priority="23" stopIfTrue="1">
      <formula>(A9="ERRO-FT")</formula>
    </cfRule>
  </conditionalFormatting>
  <conditionalFormatting sqref="AM57:AN57">
    <cfRule type="expression" dxfId="66" priority="24" stopIfTrue="1">
      <formula>($AN$57="SIM")</formula>
    </cfRule>
    <cfRule type="expression" dxfId="65" priority="25" stopIfTrue="1">
      <formula>($AN$57&lt;&gt;"SIM")</formula>
    </cfRule>
  </conditionalFormatting>
  <conditionalFormatting sqref="J9:Q23">
    <cfRule type="cellIs" dxfId="64" priority="26" stopIfTrue="1" operator="equal">
      <formula>$AB9</formula>
    </cfRule>
    <cfRule type="cellIs" dxfId="63" priority="27" stopIfTrue="1" operator="equal">
      <formula>$AC9</formula>
    </cfRule>
  </conditionalFormatting>
  <conditionalFormatting sqref="AN8">
    <cfRule type="cellIs" dxfId="62" priority="28" stopIfTrue="1" operator="equal">
      <formula>"AL.SUP."</formula>
    </cfRule>
  </conditionalFormatting>
  <conditionalFormatting sqref="AM8">
    <cfRule type="cellIs" dxfId="61" priority="29" stopIfTrue="1" operator="equal">
      <formula>"AL.INF."</formula>
    </cfRule>
  </conditionalFormatting>
  <conditionalFormatting sqref="H43:AO43">
    <cfRule type="cellIs" dxfId="60" priority="30" stopIfTrue="1" operator="equal">
      <formula>"VERIFICAR ALELOS"</formula>
    </cfRule>
  </conditionalFormatting>
  <conditionalFormatting sqref="H44 AP44:AS44">
    <cfRule type="cellIs" dxfId="59" priority="31" stopIfTrue="1" operator="equal">
      <formula>"OCORRÊNCIA DE 'OUT LADDER'"</formula>
    </cfRule>
  </conditionalFormatting>
  <conditionalFormatting sqref="AP45:AT45">
    <cfRule type="cellIs" dxfId="58" priority="32" stopIfTrue="1" operator="equal">
      <formula>"CÁLCULO COM OMISSÃO DE LOCUS"</formula>
    </cfRule>
    <cfRule type="cellIs" dxfId="57" priority="33" stopIfTrue="1" operator="equal">
      <formula>"ANALISAR DIGITAÇÃO"</formula>
    </cfRule>
  </conditionalFormatting>
  <conditionalFormatting sqref="AT9:AT42">
    <cfRule type="cellIs" dxfId="56" priority="34" stopIfTrue="1" operator="equal">
      <formula>"EM"</formula>
    </cfRule>
    <cfRule type="cellIs" dxfId="55" priority="35" stopIfTrue="1" operator="equal">
      <formula>"MT"</formula>
    </cfRule>
  </conditionalFormatting>
  <conditionalFormatting sqref="H45:AN45">
    <cfRule type="cellIs" dxfId="54" priority="36" stopIfTrue="1" operator="equal">
      <formula>"ANALISAR GENÓTIPOS"</formula>
    </cfRule>
  </conditionalFormatting>
  <conditionalFormatting sqref="AS9:AS30">
    <cfRule type="cellIs" dxfId="53" priority="37" stopIfTrue="1" operator="equal">
      <formula>"EXCLUI"</formula>
    </cfRule>
    <cfRule type="cellIs" dxfId="52" priority="38" stopIfTrue="1" operator="equal">
      <formula>"MUT"</formula>
    </cfRule>
  </conditionalFormatting>
  <conditionalFormatting sqref="BO24:BW30">
    <cfRule type="cellIs" dxfId="51" priority="15" stopIfTrue="1" operator="equal">
      <formula>$BL24-1</formula>
    </cfRule>
  </conditionalFormatting>
  <conditionalFormatting sqref="BZ24:CA30">
    <cfRule type="cellIs" dxfId="50" priority="16" stopIfTrue="1" operator="equal">
      <formula>$BT24</formula>
    </cfRule>
    <cfRule type="cellIs" dxfId="49" priority="17" stopIfTrue="1" operator="equal">
      <formula>$BW24</formula>
    </cfRule>
  </conditionalFormatting>
  <conditionalFormatting sqref="J24:Q30">
    <cfRule type="cellIs" dxfId="48" priority="18" stopIfTrue="1" operator="equal">
      <formula>$AB24</formula>
    </cfRule>
    <cfRule type="cellIs" dxfId="47" priority="19" stopIfTrue="1" operator="equal">
      <formula>$AC24</formula>
    </cfRule>
  </conditionalFormatting>
  <conditionalFormatting sqref="AS31:AS42">
    <cfRule type="cellIs" dxfId="46" priority="13" stopIfTrue="1" operator="equal">
      <formula>"EXCLUI"</formula>
    </cfRule>
    <cfRule type="cellIs" dxfId="45" priority="14" stopIfTrue="1" operator="equal">
      <formula>"MUT"</formula>
    </cfRule>
  </conditionalFormatting>
  <conditionalFormatting sqref="BO31:BW42">
    <cfRule type="cellIs" dxfId="44" priority="5" stopIfTrue="1" operator="equal">
      <formula>$BL31-1</formula>
    </cfRule>
  </conditionalFormatting>
  <conditionalFormatting sqref="BZ31:CA42">
    <cfRule type="cellIs" dxfId="43" priority="6" stopIfTrue="1" operator="equal">
      <formula>$BT31</formula>
    </cfRule>
    <cfRule type="cellIs" dxfId="42" priority="7" stopIfTrue="1" operator="equal">
      <formula>$BW31</formula>
    </cfRule>
  </conditionalFormatting>
  <conditionalFormatting sqref="AN32:AN42">
    <cfRule type="cellIs" dxfId="41" priority="8" stopIfTrue="1" operator="equal">
      <formula>0</formula>
    </cfRule>
    <cfRule type="cellIs" dxfId="40" priority="9" stopIfTrue="1" operator="equal">
      <formula>$BE32</formula>
    </cfRule>
    <cfRule type="expression" dxfId="39" priority="10" stopIfTrue="1">
      <formula>(A32="ERRO-FT")</formula>
    </cfRule>
  </conditionalFormatting>
  <conditionalFormatting sqref="J31:Q42">
    <cfRule type="cellIs" dxfId="38" priority="11" stopIfTrue="1" operator="equal">
      <formula>$AB31</formula>
    </cfRule>
    <cfRule type="cellIs" dxfId="37" priority="12" stopIfTrue="1" operator="equal">
      <formula>$AC31</formula>
    </cfRule>
  </conditionalFormatting>
  <conditionalFormatting sqref="A9:A42">
    <cfRule type="cellIs" dxfId="36" priority="4" stopIfTrue="1" operator="equal">
      <formula>"ERRO-FT"</formula>
    </cfRule>
  </conditionalFormatting>
  <conditionalFormatting sqref="AN9:AN31">
    <cfRule type="cellIs" dxfId="35" priority="1" stopIfTrue="1" operator="equal">
      <formula>0</formula>
    </cfRule>
    <cfRule type="cellIs" dxfId="34" priority="2" stopIfTrue="1" operator="equal">
      <formula>$BE9</formula>
    </cfRule>
    <cfRule type="expression" dxfId="33" priority="3" stopIfTrue="1">
      <formula>(A9="ERRO-FT")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1:E42 F9:G42 H31:I42" xr:uid="{69171C63-3AE2-42EF-B40E-7DD7CE0D5B7F}">
      <formula1>(AW9=1)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30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30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&amp;G&amp;R
Rua da Paz, 185 - Jardim dos Estados
Campo Grande – MS
CEP:79002-190 | (67) 3041-0000
dna@ipcms.com.br | ipcms.com.br |facebook/IPCMS
</oddHead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dimension ref="A1:BH62"/>
  <sheetViews>
    <sheetView showGridLines="0" zoomScaleNormal="100" workbookViewId="0">
      <selection activeCell="B9" sqref="B9:E30"/>
    </sheetView>
  </sheetViews>
  <sheetFormatPr defaultColWidth="8.85546875" defaultRowHeight="12.75" x14ac:dyDescent="0.2"/>
  <cols>
    <col min="1" max="1" width="10.42578125" style="541" customWidth="1"/>
    <col min="2" max="5" width="6.7109375" style="541" customWidth="1"/>
    <col min="6" max="7" width="7.140625" style="541" hidden="1" customWidth="1"/>
    <col min="8" max="8" width="6.7109375" style="541" hidden="1" customWidth="1"/>
    <col min="9" max="9" width="6.42578125" style="541" hidden="1" customWidth="1"/>
    <col min="10" max="10" width="6.28515625" style="541" hidden="1" customWidth="1"/>
    <col min="11" max="11" width="5.42578125" style="541" hidden="1" customWidth="1"/>
    <col min="12" max="12" width="6.7109375" style="541" hidden="1" customWidth="1"/>
    <col min="13" max="13" width="7.42578125" style="541" hidden="1" customWidth="1"/>
    <col min="14" max="14" width="6.42578125" style="541" hidden="1" customWidth="1"/>
    <col min="15" max="15" width="7.140625" style="541" hidden="1" customWidth="1"/>
    <col min="16" max="16" width="7.7109375" style="541" hidden="1" customWidth="1"/>
    <col min="17" max="17" width="8.42578125" style="541" hidden="1" customWidth="1"/>
    <col min="18" max="18" width="9.140625" style="541" hidden="1" customWidth="1"/>
    <col min="19" max="19" width="7.7109375" style="541" hidden="1" customWidth="1"/>
    <col min="20" max="20" width="8.28515625" style="541" hidden="1" customWidth="1"/>
    <col min="21" max="21" width="9.28515625" style="541" hidden="1" customWidth="1"/>
    <col min="22" max="22" width="10.28515625" style="541" hidden="1" customWidth="1"/>
    <col min="23" max="23" width="3.5703125" style="541" customWidth="1"/>
    <col min="24" max="24" width="10.7109375" style="541" customWidth="1"/>
    <col min="25" max="25" width="9.42578125" style="541" customWidth="1"/>
    <col min="26" max="26" width="12.28515625" style="541" customWidth="1"/>
    <col min="27" max="27" width="11.85546875" style="541" hidden="1" customWidth="1"/>
    <col min="28" max="28" width="9.7109375" style="541" customWidth="1"/>
    <col min="29" max="30" width="9.7109375" style="541" hidden="1" customWidth="1"/>
    <col min="31" max="31" width="12.28515625" style="541" hidden="1" customWidth="1"/>
    <col min="32" max="32" width="14.7109375" style="541" hidden="1" customWidth="1"/>
    <col min="33" max="36" width="14" style="541" hidden="1" customWidth="1"/>
    <col min="37" max="37" width="11.85546875" style="541" hidden="1" customWidth="1"/>
    <col min="38" max="38" width="12.7109375" style="541" hidden="1" customWidth="1"/>
    <col min="39" max="39" width="12.42578125" style="541" hidden="1" customWidth="1"/>
    <col min="40" max="40" width="10.42578125" style="541" hidden="1" customWidth="1"/>
    <col min="41" max="41" width="9.7109375" style="541" hidden="1" customWidth="1"/>
    <col min="42" max="42" width="13" style="541" hidden="1" customWidth="1"/>
    <col min="43" max="43" width="12.28515625" style="541" hidden="1" customWidth="1"/>
    <col min="44" max="44" width="16.28515625" style="541" hidden="1" customWidth="1"/>
    <col min="45" max="45" width="16" style="541" hidden="1" customWidth="1"/>
    <col min="46" max="46" width="16.7109375" style="541" hidden="1" customWidth="1"/>
    <col min="47" max="47" width="14" style="541" hidden="1" customWidth="1"/>
    <col min="48" max="48" width="14.28515625" style="541" hidden="1" customWidth="1"/>
    <col min="49" max="49" width="16.28515625" style="541" hidden="1" customWidth="1"/>
    <col min="50" max="50" width="14.7109375" style="541" hidden="1" customWidth="1"/>
    <col min="51" max="51" width="14.85546875" style="541" hidden="1" customWidth="1"/>
    <col min="52" max="52" width="13" style="541" hidden="1" customWidth="1"/>
    <col min="53" max="53" width="10.42578125" style="541" hidden="1" customWidth="1"/>
    <col min="54" max="54" width="7.85546875" style="541" hidden="1" customWidth="1"/>
    <col min="55" max="55" width="5.7109375" style="541" hidden="1" customWidth="1"/>
    <col min="56" max="56" width="8.85546875" style="541" hidden="1" customWidth="1"/>
    <col min="57" max="57" width="11.28515625" style="541" hidden="1" customWidth="1"/>
    <col min="58" max="58" width="14.140625" style="541" hidden="1" customWidth="1"/>
    <col min="59" max="59" width="12.7109375" style="541" hidden="1" customWidth="1"/>
    <col min="60" max="60" width="11.28515625" style="541" hidden="1" customWidth="1"/>
    <col min="61" max="16384" width="8.85546875" style="541"/>
  </cols>
  <sheetData>
    <row r="1" spans="1:58" ht="17.25" thickTop="1" thickBot="1" x14ac:dyDescent="0.3">
      <c r="A1" s="889" t="s">
        <v>203</v>
      </c>
      <c r="B1" s="890"/>
      <c r="C1" s="890"/>
      <c r="D1" s="890"/>
      <c r="E1" s="890"/>
      <c r="F1" s="890"/>
      <c r="G1" s="890"/>
      <c r="H1" s="890"/>
      <c r="I1" s="890"/>
      <c r="J1" s="890"/>
      <c r="K1" s="890"/>
      <c r="L1" s="890"/>
      <c r="M1" s="890"/>
      <c r="N1" s="890"/>
      <c r="O1" s="890"/>
      <c r="P1" s="890"/>
      <c r="Q1" s="890"/>
      <c r="R1" s="890"/>
      <c r="S1" s="890"/>
      <c r="T1" s="890"/>
      <c r="U1" s="890"/>
      <c r="V1" s="890"/>
      <c r="W1" s="890"/>
      <c r="X1" s="890"/>
      <c r="Y1" s="890"/>
      <c r="Z1" s="890"/>
      <c r="AA1" s="890"/>
      <c r="AB1" s="891"/>
    </row>
    <row r="2" spans="1:58" ht="11.25" customHeight="1" thickTop="1" x14ac:dyDescent="0.25">
      <c r="A2" s="542"/>
      <c r="B2" s="543"/>
      <c r="C2" s="543"/>
      <c r="D2" s="543"/>
      <c r="E2" s="543"/>
      <c r="F2" s="543"/>
      <c r="G2" s="543"/>
      <c r="H2" s="543"/>
      <c r="I2" s="543"/>
      <c r="J2" s="543"/>
      <c r="K2" s="543"/>
      <c r="L2" s="543"/>
      <c r="M2" s="543"/>
      <c r="N2" s="543"/>
      <c r="O2" s="543"/>
      <c r="P2" s="543"/>
      <c r="Q2" s="543"/>
      <c r="R2" s="543"/>
      <c r="S2" s="543"/>
      <c r="T2" s="543"/>
      <c r="U2" s="543"/>
      <c r="V2" s="543"/>
      <c r="W2" s="543"/>
      <c r="X2" s="543"/>
      <c r="Y2" s="543"/>
      <c r="Z2" s="543"/>
      <c r="AA2" s="543"/>
      <c r="AB2" s="544" t="s">
        <v>122</v>
      </c>
      <c r="AC2" s="544"/>
      <c r="AD2" s="544"/>
      <c r="AE2" s="544"/>
      <c r="AF2" s="544"/>
      <c r="AG2" s="544"/>
    </row>
    <row r="3" spans="1:58" ht="13.5" customHeight="1" x14ac:dyDescent="0.25">
      <c r="A3" s="545"/>
      <c r="B3" s="546"/>
      <c r="C3" s="546"/>
      <c r="D3" s="546"/>
      <c r="E3" s="546"/>
      <c r="F3" s="546"/>
      <c r="G3" s="546"/>
      <c r="H3" s="546"/>
      <c r="I3" s="546"/>
      <c r="J3" s="546"/>
      <c r="K3" s="546"/>
      <c r="L3" s="546"/>
      <c r="M3" s="546"/>
      <c r="N3" s="546"/>
      <c r="O3" s="546"/>
      <c r="P3" s="546"/>
      <c r="Q3" s="546"/>
      <c r="R3" s="546"/>
      <c r="S3" s="546"/>
      <c r="T3" s="546"/>
      <c r="U3" s="546"/>
      <c r="V3" s="546"/>
      <c r="W3" s="546"/>
      <c r="X3" s="892">
        <f ca="1">TODAY()</f>
        <v>44843</v>
      </c>
      <c r="Y3" s="892"/>
      <c r="Z3" s="892"/>
      <c r="AA3" s="892"/>
      <c r="AB3" s="893"/>
      <c r="AC3" s="547"/>
      <c r="AD3" s="547"/>
      <c r="AE3" s="547"/>
      <c r="AF3" s="547"/>
      <c r="AG3" s="547"/>
    </row>
    <row r="4" spans="1:58" ht="11.25" customHeight="1" x14ac:dyDescent="0.25">
      <c r="A4" s="545"/>
      <c r="B4" s="546"/>
      <c r="C4" s="546"/>
      <c r="D4" s="546"/>
      <c r="E4" s="546"/>
      <c r="F4" s="546"/>
      <c r="G4" s="546"/>
      <c r="H4" s="546"/>
      <c r="I4" s="546"/>
      <c r="J4" s="546"/>
      <c r="K4" s="546"/>
      <c r="L4" s="546"/>
      <c r="M4" s="546"/>
      <c r="N4" s="546"/>
      <c r="O4" s="546"/>
      <c r="P4" s="546"/>
      <c r="Q4" s="546"/>
      <c r="R4" s="546"/>
      <c r="S4" s="546"/>
      <c r="T4" s="546"/>
      <c r="U4" s="546"/>
      <c r="V4" s="546"/>
      <c r="W4" s="546"/>
      <c r="X4" s="546"/>
      <c r="Y4" s="546"/>
      <c r="Z4" s="546"/>
      <c r="AA4" s="546"/>
      <c r="AB4" s="548"/>
      <c r="AC4" s="547"/>
      <c r="AD4" s="547"/>
      <c r="AE4" s="547"/>
      <c r="AF4" s="547"/>
      <c r="AG4" s="547"/>
    </row>
    <row r="5" spans="1:58" ht="18" customHeight="1" x14ac:dyDescent="0.25">
      <c r="A5" s="549" t="s">
        <v>81</v>
      </c>
      <c r="B5" s="894"/>
      <c r="C5" s="894"/>
      <c r="D5" s="894"/>
      <c r="E5" s="894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895" t="s">
        <v>340</v>
      </c>
      <c r="Z5" s="895"/>
      <c r="AB5" s="551"/>
    </row>
    <row r="6" spans="1:58" ht="15" hidden="1" x14ac:dyDescent="0.25">
      <c r="A6" s="552" t="s">
        <v>341</v>
      </c>
      <c r="B6" s="553" t="s">
        <v>342</v>
      </c>
      <c r="C6" s="554"/>
      <c r="D6" s="554"/>
      <c r="E6" s="554"/>
      <c r="F6" s="550"/>
      <c r="G6" s="550"/>
      <c r="H6" s="550"/>
      <c r="I6" s="550"/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550"/>
      <c r="U6" s="550"/>
      <c r="V6" s="550"/>
      <c r="W6" s="550"/>
      <c r="X6" s="550"/>
      <c r="Y6" s="550"/>
      <c r="Z6" s="550"/>
      <c r="AB6" s="555"/>
    </row>
    <row r="7" spans="1:58" ht="18" customHeight="1" x14ac:dyDescent="0.25">
      <c r="A7" s="549" t="s">
        <v>162</v>
      </c>
      <c r="B7" s="553"/>
      <c r="C7" s="554"/>
      <c r="D7" s="554"/>
      <c r="E7" s="554"/>
      <c r="F7" s="550"/>
      <c r="G7" s="550"/>
      <c r="H7" s="550"/>
      <c r="I7" s="550"/>
      <c r="J7" s="550"/>
      <c r="K7" s="550"/>
      <c r="L7" s="550"/>
      <c r="M7" s="550"/>
      <c r="N7" s="550"/>
      <c r="O7" s="556"/>
      <c r="P7" s="556"/>
      <c r="Q7" s="557"/>
      <c r="R7" s="557"/>
      <c r="S7" s="557"/>
      <c r="T7" s="557"/>
      <c r="U7" s="550"/>
      <c r="V7" s="550"/>
      <c r="W7" s="550"/>
      <c r="X7" s="550"/>
      <c r="Y7" s="550"/>
      <c r="Z7" s="558" t="str">
        <f>(IF(('[2]IMPORTAÇÃO GENOTIPER'!AM4="Y"),"XY",(IF(('[2]IMPORTAÇÃO GENOTIPER'!AM4="X"),"XX","ERRO"))))</f>
        <v>ERRO</v>
      </c>
      <c r="AB7" s="555"/>
    </row>
    <row r="8" spans="1:58" ht="18" customHeight="1" x14ac:dyDescent="0.25">
      <c r="A8" s="549" t="s">
        <v>343</v>
      </c>
      <c r="B8" s="553"/>
      <c r="C8" s="554"/>
      <c r="D8" s="554"/>
      <c r="E8" s="554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9"/>
      <c r="Z8" s="558" t="str">
        <f>(IF(('[2]IMPORTAÇÃO GENOTIPER'!BC4="Y"),"XY",(IF(('[2]IMPORTAÇÃO GENOTIPER'!BC4&lt;&gt;"Y"),"ERRO","ERRO"))))</f>
        <v>ERRO</v>
      </c>
      <c r="AB8" s="555"/>
    </row>
    <row r="9" spans="1:58" ht="18" customHeight="1" x14ac:dyDescent="0.25">
      <c r="A9" s="560"/>
      <c r="B9" s="561"/>
      <c r="C9" s="562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3"/>
      <c r="Z9" s="564"/>
      <c r="AB9" s="555"/>
    </row>
    <row r="10" spans="1:58" ht="13.5" customHeight="1" thickBot="1" x14ac:dyDescent="0.25">
      <c r="A10" s="565"/>
      <c r="B10" s="562"/>
      <c r="C10" s="562"/>
      <c r="D10" s="562"/>
      <c r="E10" s="562"/>
      <c r="F10" s="562"/>
      <c r="G10" s="562"/>
      <c r="H10" s="562"/>
      <c r="I10" s="562"/>
      <c r="J10" s="562"/>
      <c r="K10" s="562"/>
      <c r="L10" s="562"/>
      <c r="M10" s="562"/>
      <c r="N10" s="562"/>
      <c r="O10" s="562"/>
      <c r="P10" s="562"/>
      <c r="Q10" s="562"/>
      <c r="R10" s="562"/>
      <c r="S10" s="562"/>
      <c r="T10" s="562"/>
      <c r="U10" s="562"/>
      <c r="V10" s="562"/>
      <c r="W10" s="562"/>
      <c r="X10" s="562"/>
      <c r="Y10" s="566" t="s">
        <v>344</v>
      </c>
      <c r="Z10" s="564">
        <v>0.05</v>
      </c>
      <c r="AB10" s="555"/>
      <c r="AD10" s="541" t="s">
        <v>345</v>
      </c>
      <c r="AH10" s="541" t="s">
        <v>346</v>
      </c>
      <c r="AL10" s="541" t="s">
        <v>347</v>
      </c>
    </row>
    <row r="11" spans="1:58" ht="15" customHeight="1" thickTop="1" thickBot="1" x14ac:dyDescent="0.3">
      <c r="A11" s="567" t="s">
        <v>50</v>
      </c>
      <c r="B11" s="896" t="s">
        <v>131</v>
      </c>
      <c r="C11" s="896"/>
      <c r="D11" s="896" t="s">
        <v>133</v>
      </c>
      <c r="E11" s="897"/>
      <c r="F11" s="898" t="s">
        <v>166</v>
      </c>
      <c r="G11" s="899"/>
      <c r="H11" s="900" t="s">
        <v>167</v>
      </c>
      <c r="I11" s="900"/>
      <c r="J11" s="568" t="s">
        <v>135</v>
      </c>
      <c r="K11" s="568" t="s">
        <v>136</v>
      </c>
      <c r="L11" s="568" t="s">
        <v>137</v>
      </c>
      <c r="M11" s="569" t="s">
        <v>134</v>
      </c>
      <c r="N11" s="900" t="s">
        <v>138</v>
      </c>
      <c r="O11" s="900"/>
      <c r="P11" s="900" t="s">
        <v>141</v>
      </c>
      <c r="Q11" s="900"/>
      <c r="R11" s="568" t="s">
        <v>145</v>
      </c>
      <c r="S11" s="568" t="s">
        <v>147</v>
      </c>
      <c r="T11" s="568" t="s">
        <v>146</v>
      </c>
      <c r="U11" s="568" t="s">
        <v>148</v>
      </c>
      <c r="V11" s="568" t="s">
        <v>160</v>
      </c>
      <c r="W11" s="568" t="s">
        <v>123</v>
      </c>
      <c r="X11" s="568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68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68" t="s">
        <v>143</v>
      </c>
      <c r="AA11" s="570"/>
      <c r="AB11" s="571" t="s">
        <v>176</v>
      </c>
      <c r="AD11" s="541" t="s">
        <v>345</v>
      </c>
      <c r="AH11" s="901" t="s">
        <v>348</v>
      </c>
      <c r="AI11" s="902"/>
      <c r="AJ11" s="902"/>
      <c r="AK11" s="903"/>
      <c r="AL11" s="901" t="s">
        <v>349</v>
      </c>
      <c r="AM11" s="902"/>
      <c r="AN11" s="902"/>
      <c r="AO11" s="903"/>
      <c r="BF11" s="572">
        <f>PRODUCT(BF12:BF33)</f>
        <v>1</v>
      </c>
    </row>
    <row r="12" spans="1:58" ht="15" customHeight="1" thickTop="1" thickBot="1" x14ac:dyDescent="0.25">
      <c r="A12" s="573" t="str">
        <f>'IMPORTAÇÃO GENOTIPER'!A5</f>
        <v>D3S1358</v>
      </c>
      <c r="B12" s="574">
        <f>'IMPORTAÇÃO GENOTIPER'!AI5</f>
        <v>0</v>
      </c>
      <c r="C12" s="575">
        <f>'IMPORTAÇÃO GENOTIPER'!AQ5</f>
        <v>0</v>
      </c>
      <c r="D12" s="575">
        <f>'IMPORTAÇÃO GENOTIPER'!AY5</f>
        <v>0</v>
      </c>
      <c r="E12" s="576">
        <f>'IMPORTAÇÃO GENOTIPER'!BG5</f>
        <v>0</v>
      </c>
      <c r="F12" s="577">
        <f t="shared" ref="F12:F45" si="0">IF((B12&gt;C12),C12,B12)</f>
        <v>0</v>
      </c>
      <c r="G12" s="577">
        <f t="shared" ref="G12:G45" si="1">IF((C12&gt;B12),C12,B12)</f>
        <v>0</v>
      </c>
      <c r="H12" s="577">
        <f t="shared" ref="H12:H45" si="2">IF((D12&gt;E12),E12,D12)</f>
        <v>0</v>
      </c>
      <c r="I12" s="577">
        <f t="shared" ref="I12:I45" si="3">IF((E12&gt;D12),E12,D12)</f>
        <v>0</v>
      </c>
      <c r="J12" s="578"/>
      <c r="K12" s="578"/>
      <c r="L12" s="578"/>
      <c r="M12" s="579"/>
      <c r="N12" s="578">
        <f t="shared" ref="N12:N45" si="4">IF(OR((H12=F12),(H12=G12)),H12,0)</f>
        <v>0</v>
      </c>
      <c r="O12" s="578">
        <f t="shared" ref="O12:O45" si="5">IF((H12=I12),0,(IF(OR((I12=G12),(I12=F12)),I12,0)))</f>
        <v>0</v>
      </c>
      <c r="P12" s="580">
        <f t="shared" ref="P12:P45" si="6">(IF(OR((N12=H12),(N12=I12)),N12,0))</f>
        <v>0</v>
      </c>
      <c r="Q12" s="581">
        <f t="shared" ref="Q12:Q45" si="7">(IF((O12&lt;&gt;0),(IF(OR((O12=H12),(O12=I12)),O12,0)),0))</f>
        <v>0</v>
      </c>
      <c r="R12" s="582"/>
      <c r="S12" s="582"/>
      <c r="T12" s="583">
        <f>IF(P12=0,0,VLOOKUP(P12,[2]FREQUENCIAS!1:1048576,(IF(($A12=[2]FREQUENCIAS!$B$1),2,"ERRO")),[2]FREQUENCIAS!1:1048576))</f>
        <v>0</v>
      </c>
      <c r="U12" s="583">
        <f>IF(Q12=0,0,VLOOKUP(Q12,[2]FREQUENCIAS!1:1048576,(IF(($A12=[2]FREQUENCIAS!$B$1),2,"ERRO")),[2]FREQUENCIAS!1:1048576))</f>
        <v>0</v>
      </c>
      <c r="V12" s="584"/>
      <c r="W12" s="585" t="str">
        <f t="shared" ref="W12:W45" si="8">IF(AND((Y12="EXCLUI"),($BE$46=1)),"M?","OK")</f>
        <v>OK</v>
      </c>
      <c r="X12" s="586">
        <f>(IF((A12="   ERRO-FT"),"8",(IF((AND((P12=0),(Q12=0))),0,(IF((R12+S12+T12+U12+V12)&lt;=$Z$10,$Z$10,(R12+S12+T12+U12+V12)))))))</f>
        <v>0</v>
      </c>
      <c r="Y12" s="587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1</v>
      </c>
      <c r="Z12" s="588">
        <f>IF(SUM(B12:E12)=0,0.5,IF((AND((P12=0),(Q12=0))),0,(Y12/(Y12+1))))</f>
        <v>0.5</v>
      </c>
      <c r="AA12" s="589"/>
      <c r="AB12" s="590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EXCLUI</v>
      </c>
      <c r="AC12" s="541" t="e">
        <f t="shared" ref="AC12:AC45" si="10">IF(AND(($F12=$G12),($G12=$H12),($H12=$I12)),(1/$X12),(1/(4*$X12)))</f>
        <v>#DIV/0!</v>
      </c>
      <c r="AD12" s="541" t="s">
        <v>345</v>
      </c>
      <c r="AE12" s="541" t="str">
        <f t="shared" ref="AE12:AE45" si="11">IF(AND(($F12=$G12),($G12=$H12),($H12=$I12)),($AD$16),($AD$26))</f>
        <v>1 / F</v>
      </c>
      <c r="AF12" s="591">
        <f t="shared" ref="AF12:AF45" si="12">(IF((B12=C12),((1-AK12)^2),(1-(AK12+AO12))^2))</f>
        <v>1</v>
      </c>
      <c r="AH12" s="592">
        <f>IF(B12=0,0,VLOOKUP(B12,[2]FREQUENCIAS!$1:$1048576,(IF(($A12=[2]FREQUENCIAS!$B$1),2,"ERRO")),[2]FREQUENCIAS!$1:$1048576))</f>
        <v>0</v>
      </c>
      <c r="AI12" s="592"/>
      <c r="AJ12" s="592"/>
      <c r="AK12" s="593">
        <f t="shared" ref="AK12:AK45" si="13">SUM(AH12:AJ12)</f>
        <v>0</v>
      </c>
      <c r="AL12" s="592">
        <f>IF(C12=0,0,VLOOKUP(C12,[2]FREQUENCIAS!$1:$1048576,(IF(($A12=[2]FREQUENCIAS!$B$1),2,"ERRO")),[2]FREQUENCIAS!$1:$1048576))</f>
        <v>0</v>
      </c>
      <c r="AM12" s="592"/>
      <c r="AN12" s="592"/>
      <c r="AO12" s="593">
        <f t="shared" ref="AO12:AO45" si="14">SUM(AL12:AN12)</f>
        <v>0</v>
      </c>
      <c r="AV12" s="594">
        <f>IF(B12=0,0,VLOOKUP(B12,[2]FREQUENCIAS!$1:$1048576,(IF(($A12=[2]FREQUENCIAS!$B$1),2,"ERRO")),[2]FREQUENCIAS!$1:$1048576))</f>
        <v>0</v>
      </c>
      <c r="AW12" s="594">
        <f>IF(C12=0,0,VLOOKUP(C12,[2]FREQUENCIAS!$1:$1048576,(IF(($A12=[2]FREQUENCIAS!$B$1),2,"ERRO")),[2]FREQUENCIAS!$1:$1048576))</f>
        <v>0</v>
      </c>
      <c r="AX12" s="594">
        <f>IF(D12=0,0,VLOOKUP(D12,[2]FREQUENCIAS!$1:$1048576,(IF(($A12=[2]FREQUENCIAS!$B$1),2,"ERRO")),[2]FREQUENCIAS!$1:$1048576))</f>
        <v>0</v>
      </c>
      <c r="AY12" s="594">
        <f>IF(E12=0,0,VLOOKUP(E12,[2]FREQUENCIAS!$1:$1048576,(IF(($A12=[2]FREQUENCIAS!$B$1),2,"ERRO")),[2]FREQUENCIAS!$1:$1048576))</f>
        <v>0</v>
      </c>
      <c r="BD12" s="541">
        <f>IF((AND((F12=H12),(G12=I12))),1,0)</f>
        <v>1</v>
      </c>
      <c r="BE12" s="541">
        <f>IF((Y12="EXCLUI"),1,0)</f>
        <v>0</v>
      </c>
      <c r="BF12" s="595">
        <f t="shared" ref="BF12:BF45" si="15">(IF((AND(($B$46&lt;=1),(Y12&lt;&gt;"EXCLUI"))),Y12,(IF((AND(($B$46&lt;=1),(Y12="EXCLUI"))),$BF$46,0))))</f>
        <v>1</v>
      </c>
    </row>
    <row r="13" spans="1:58" ht="15" customHeight="1" thickTop="1" thickBot="1" x14ac:dyDescent="0.25">
      <c r="A13" s="573" t="str">
        <f>'IMPORTAÇÃO GENOTIPER'!A6</f>
        <v>D1S1656</v>
      </c>
      <c r="B13" s="574">
        <f>'IMPORTAÇÃO GENOTIPER'!AI6</f>
        <v>0</v>
      </c>
      <c r="C13" s="575">
        <f>'IMPORTAÇÃO GENOTIPER'!AQ6</f>
        <v>0</v>
      </c>
      <c r="D13" s="575">
        <f>'IMPORTAÇÃO GENOTIPER'!AY6</f>
        <v>0</v>
      </c>
      <c r="E13" s="576">
        <f>'IMPORTAÇÃO GENOTIPER'!BG6</f>
        <v>0</v>
      </c>
      <c r="F13" s="597">
        <f t="shared" si="0"/>
        <v>0</v>
      </c>
      <c r="G13" s="597">
        <f t="shared" si="1"/>
        <v>0</v>
      </c>
      <c r="H13" s="597">
        <f t="shared" si="2"/>
        <v>0</v>
      </c>
      <c r="I13" s="597">
        <f t="shared" si="3"/>
        <v>0</v>
      </c>
      <c r="J13" s="598"/>
      <c r="K13" s="598"/>
      <c r="L13" s="598"/>
      <c r="M13" s="599"/>
      <c r="N13" s="598">
        <f t="shared" si="4"/>
        <v>0</v>
      </c>
      <c r="O13" s="598">
        <f t="shared" si="5"/>
        <v>0</v>
      </c>
      <c r="P13" s="600">
        <f t="shared" si="6"/>
        <v>0</v>
      </c>
      <c r="Q13" s="601">
        <f t="shared" si="7"/>
        <v>0</v>
      </c>
      <c r="R13" s="602"/>
      <c r="S13" s="602"/>
      <c r="T13" s="583">
        <f>IF(P13=0,0,VLOOKUP(P13,[2]FREQUENCIAS!1:1048576,(IF(($A13=[2]FREQUENCIAS!$C$1),3,"ERRO")),[2]FREQUENCIAS!1:1048576))</f>
        <v>0</v>
      </c>
      <c r="U13" s="583">
        <f>IF(Q13=0,0,VLOOKUP(Q13,[2]FREQUENCIAS!1:1048576,(IF(($A13=[2]FREQUENCIAS!$C$1),3,"ERRO")),[2]FREQUENCIAS!1:1048576))</f>
        <v>0</v>
      </c>
      <c r="V13" s="603"/>
      <c r="W13" s="585" t="str">
        <f t="shared" si="8"/>
        <v>OK</v>
      </c>
      <c r="X13" s="604">
        <f>(IF((A13="   ERRO-FT"),"24",(IF((AND((P13=0),(Q13=0))),0,(IF((R13+S13+T13+U13+V13)&lt;=$Z$10,$Z$10,(R13+S13+T13+U13+V13)))))))</f>
        <v>0</v>
      </c>
      <c r="Y13" s="605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1</v>
      </c>
      <c r="Z13" s="588">
        <f t="shared" ref="Z13:Z45" si="17">IF(SUM(B13:E13)=0,0.5,IF((AND((P13=0),(Q13=0))),0,(Y13/(Y13+1))))</f>
        <v>0.5</v>
      </c>
      <c r="AA13" s="589"/>
      <c r="AB13" s="606" t="str">
        <f t="shared" si="9"/>
        <v>EXCLUI</v>
      </c>
      <c r="AC13" s="541" t="e">
        <f t="shared" si="10"/>
        <v>#DIV/0!</v>
      </c>
      <c r="AE13" s="541" t="str">
        <f t="shared" si="11"/>
        <v>1 / F</v>
      </c>
      <c r="AF13" s="591">
        <f t="shared" si="12"/>
        <v>1</v>
      </c>
      <c r="AH13" s="592">
        <f>IF(B13=0,0,VLOOKUP(B13,[2]FREQUENCIAS!$1:$1048576,(IF(($A13=[2]FREQUENCIAS!$C$1),3,"ERRO")),[2]FREQUENCIAS!$1:$1048576))</f>
        <v>0</v>
      </c>
      <c r="AI13" s="592"/>
      <c r="AJ13" s="592"/>
      <c r="AK13" s="593">
        <f t="shared" si="13"/>
        <v>0</v>
      </c>
      <c r="AL13" s="592">
        <f>IF(C13=0,0,VLOOKUP(C13,[2]FREQUENCIAS!$1:$1048576,(IF(($A13=[2]FREQUENCIAS!$C$1),3,"ERRO")),[2]FREQUENCIAS!$1:$1048576))</f>
        <v>0</v>
      </c>
      <c r="AM13" s="592"/>
      <c r="AN13" s="592"/>
      <c r="AO13" s="593">
        <f t="shared" si="14"/>
        <v>0</v>
      </c>
      <c r="AV13" s="607">
        <f>IF(B13=0,0,VLOOKUP(B13,[2]FREQUENCIAS!$1:$1048576,(IF(($A13=[2]FREQUENCIAS!$C$1),3,"ERRO")),[2]FREQUENCIAS!$1:$1048576))</f>
        <v>0</v>
      </c>
      <c r="AW13" s="607">
        <f>IF(C13=0,0,VLOOKUP(C13,[2]FREQUENCIAS!$1:$1048576,(IF(($A13=[2]FREQUENCIAS!$C$1),3,"ERRO")),[2]FREQUENCIAS!$1:$1048576))</f>
        <v>0</v>
      </c>
      <c r="AX13" s="607">
        <f>IF(D13=0,0,VLOOKUP(D13,[2]FREQUENCIAS!$1:$1048576,(IF(($A13=[2]FREQUENCIAS!$C$1),3,"ERRO")),[2]FREQUENCIAS!$1:$1048576))</f>
        <v>0</v>
      </c>
      <c r="AY13" s="607">
        <f>IF(E13=0,0,VLOOKUP(E13,[2]FREQUENCIAS!$1:$1048576,(IF(($A13=[2]FREQUENCIAS!$C$1),3,"ERRO")),[2]FREQUENCIAS!$1:$1048576))</f>
        <v>0</v>
      </c>
      <c r="AZ13" s="608">
        <f>IF((B13=35.2),1,0)</f>
        <v>0</v>
      </c>
      <c r="BA13" s="608">
        <f>IF((C13=35.2),1,0)</f>
        <v>0</v>
      </c>
      <c r="BB13" s="608">
        <f>IF((D13=35.2),1,0)</f>
        <v>0</v>
      </c>
      <c r="BC13" s="608">
        <f>IF((E13=35.2),1,0)</f>
        <v>0</v>
      </c>
      <c r="BD13" s="541">
        <f t="shared" ref="BD13:BD45" si="18">IF((AND((F13=H13),(G13=I13))),1,0)</f>
        <v>1</v>
      </c>
      <c r="BE13" s="541">
        <f t="shared" ref="BE13:BE45" si="19">IF((Y13="EXCLUI"),1,0)</f>
        <v>0</v>
      </c>
      <c r="BF13" s="595">
        <f t="shared" si="15"/>
        <v>1</v>
      </c>
    </row>
    <row r="14" spans="1:58" ht="15" customHeight="1" thickTop="1" thickBot="1" x14ac:dyDescent="0.25">
      <c r="A14" s="573" t="str">
        <f>'IMPORTAÇÃO GENOTIPER'!A7</f>
        <v>D2S441</v>
      </c>
      <c r="B14" s="574">
        <f>'IMPORTAÇÃO GENOTIPER'!AI7</f>
        <v>0</v>
      </c>
      <c r="C14" s="575">
        <f>'IMPORTAÇÃO GENOTIPER'!AQ7</f>
        <v>0</v>
      </c>
      <c r="D14" s="575">
        <f>'IMPORTAÇÃO GENOTIPER'!AY7</f>
        <v>0</v>
      </c>
      <c r="E14" s="576">
        <f>'IMPORTAÇÃO GENOTIPER'!BG7</f>
        <v>0</v>
      </c>
      <c r="F14" s="597">
        <f t="shared" si="0"/>
        <v>0</v>
      </c>
      <c r="G14" s="597">
        <f t="shared" si="1"/>
        <v>0</v>
      </c>
      <c r="H14" s="597">
        <f t="shared" si="2"/>
        <v>0</v>
      </c>
      <c r="I14" s="597">
        <f t="shared" si="3"/>
        <v>0</v>
      </c>
      <c r="J14" s="598"/>
      <c r="K14" s="598"/>
      <c r="L14" s="598"/>
      <c r="M14" s="599"/>
      <c r="N14" s="598">
        <f t="shared" si="4"/>
        <v>0</v>
      </c>
      <c r="O14" s="598">
        <f t="shared" si="5"/>
        <v>0</v>
      </c>
      <c r="P14" s="600">
        <f t="shared" si="6"/>
        <v>0</v>
      </c>
      <c r="Q14" s="601">
        <f t="shared" si="7"/>
        <v>0</v>
      </c>
      <c r="R14" s="602"/>
      <c r="S14" s="602"/>
      <c r="T14" s="583">
        <f>IF(P14=0,0,VLOOKUP(P14,[2]FREQUENCIAS!1:1048576,(IF(($A14=[2]FREQUENCIAS!$D$1),4,"ERRO")),[2]FREQUENCIAS!1:1048576))</f>
        <v>0</v>
      </c>
      <c r="U14" s="583">
        <f>IF(Q14=0,0,VLOOKUP(Q14,[2]FREQUENCIAS!1:1048576,(IF(($A14=[2]FREQUENCIAS!$D$1),4,"ERRO")),[2]FREQUENCIAS!1:1048576))</f>
        <v>0</v>
      </c>
      <c r="V14" s="603"/>
      <c r="W14" s="585" t="str">
        <f t="shared" si="8"/>
        <v>OK</v>
      </c>
      <c r="X14" s="604">
        <f>(IF((A14="   ERRO-FT"),"6",(IF((AND((P14=0),(Q14=0))),0,(IF((R14+S14+T14+U14+V14)&lt;=$Z$10,$Z$10,(R14+S14+T14+U14+V14)))))))</f>
        <v>0</v>
      </c>
      <c r="Y14" s="605">
        <f t="shared" si="16"/>
        <v>1</v>
      </c>
      <c r="Z14" s="588">
        <f t="shared" si="17"/>
        <v>0.5</v>
      </c>
      <c r="AA14" s="589"/>
      <c r="AB14" s="606" t="str">
        <f t="shared" si="9"/>
        <v>EXCLUI</v>
      </c>
      <c r="AC14" s="541" t="e">
        <f t="shared" si="10"/>
        <v>#DIV/0!</v>
      </c>
      <c r="AE14" s="541" t="str">
        <f t="shared" si="11"/>
        <v>1 / F</v>
      </c>
      <c r="AF14" s="591">
        <f t="shared" si="12"/>
        <v>1</v>
      </c>
      <c r="AH14" s="592">
        <f>IF(B14=0,0,VLOOKUP(B14,[2]FREQUENCIAS!$1:$1048576,(IF(($A14=[2]FREQUENCIAS!$D$1),4,"ERRO")),[2]FREQUENCIAS!$1:$1048576))</f>
        <v>0</v>
      </c>
      <c r="AI14" s="592"/>
      <c r="AJ14" s="592"/>
      <c r="AK14" s="593">
        <f t="shared" si="13"/>
        <v>0</v>
      </c>
      <c r="AL14" s="592">
        <f>IF(C14=0,0,VLOOKUP(C14,[2]FREQUENCIAS!$1:$1048576,(IF(($A14=[2]FREQUENCIAS!$D$1),4,"ERRO")),[2]FREQUENCIAS!$1:$1048576))</f>
        <v>0</v>
      </c>
      <c r="AM14" s="592"/>
      <c r="AN14" s="592"/>
      <c r="AO14" s="593">
        <f t="shared" si="14"/>
        <v>0</v>
      </c>
      <c r="AV14" s="607">
        <f>IF(B14=0,0,VLOOKUP(B14,[2]FREQUENCIAS!$1:$1048576,(IF(($A14=[2]FREQUENCIAS!$D$1),4,"ERRO")),[2]FREQUENCIAS!$1:$1048576))</f>
        <v>0</v>
      </c>
      <c r="AW14" s="607">
        <f>IF(C14=0,0,VLOOKUP(C14,[2]FREQUENCIAS!$1:$1048576,(IF(($A14=[2]FREQUENCIAS!$D$1),4,"ERRO")),[2]FREQUENCIAS!$1:$1048576))</f>
        <v>0</v>
      </c>
      <c r="AX14" s="607">
        <f>IF(D14=0,0,VLOOKUP(D14,[2]FREQUENCIAS!$1:$1048576,(IF(($A14=[2]FREQUENCIAS!$D$1),4,"ERRO")),[2]FREQUENCIAS!$1:$1048576))</f>
        <v>0</v>
      </c>
      <c r="AY14" s="607">
        <f>IF(E14=0,0,VLOOKUP(E14,[2]FREQUENCIAS!$1:$1048576,(IF(($A14=[2]FREQUENCIAS!$D$1),4,"ERRO")),[2]FREQUENCIAS!$1:$1048576))</f>
        <v>0</v>
      </c>
      <c r="BD14" s="541">
        <f t="shared" si="18"/>
        <v>1</v>
      </c>
      <c r="BE14" s="541">
        <f t="shared" si="19"/>
        <v>0</v>
      </c>
      <c r="BF14" s="595">
        <f t="shared" si="15"/>
        <v>1</v>
      </c>
    </row>
    <row r="15" spans="1:58" ht="15" customHeight="1" thickTop="1" thickBot="1" x14ac:dyDescent="0.25">
      <c r="A15" s="573" t="str">
        <f>'IMPORTAÇÃO GENOTIPER'!A8</f>
        <v>D10S1248</v>
      </c>
      <c r="B15" s="574">
        <f>'IMPORTAÇÃO GENOTIPER'!AI8</f>
        <v>0</v>
      </c>
      <c r="C15" s="575">
        <f>'IMPORTAÇÃO GENOTIPER'!AQ8</f>
        <v>0</v>
      </c>
      <c r="D15" s="575">
        <f>'IMPORTAÇÃO GENOTIPER'!AY8</f>
        <v>0</v>
      </c>
      <c r="E15" s="576">
        <f>'IMPORTAÇÃO GENOTIPER'!BG8</f>
        <v>0</v>
      </c>
      <c r="F15" s="597">
        <f t="shared" si="0"/>
        <v>0</v>
      </c>
      <c r="G15" s="597">
        <f t="shared" si="1"/>
        <v>0</v>
      </c>
      <c r="H15" s="597">
        <f t="shared" si="2"/>
        <v>0</v>
      </c>
      <c r="I15" s="597">
        <f t="shared" si="3"/>
        <v>0</v>
      </c>
      <c r="J15" s="598"/>
      <c r="K15" s="598"/>
      <c r="L15" s="598"/>
      <c r="M15" s="598"/>
      <c r="N15" s="598">
        <f t="shared" si="4"/>
        <v>0</v>
      </c>
      <c r="O15" s="598">
        <f t="shared" si="5"/>
        <v>0</v>
      </c>
      <c r="P15" s="600">
        <f t="shared" si="6"/>
        <v>0</v>
      </c>
      <c r="Q15" s="601">
        <f t="shared" si="7"/>
        <v>0</v>
      </c>
      <c r="R15" s="602"/>
      <c r="S15" s="602"/>
      <c r="T15" s="609">
        <f>IF(P15=0,0,VLOOKUP(P15,[2]FREQUENCIAS!1:1048576,(IF(($A15=[2]FREQUENCIAS!$E$1),5,"ERRO")),[2]FREQUENCIAS!1:1048576))</f>
        <v>0</v>
      </c>
      <c r="U15" s="609">
        <f>IF(Q15=0,0,VLOOKUP(Q15,[2]FREQUENCIAS!1:1048576,(IF(($A15=[2]FREQUENCIAS!$E$1),5,"ERRO")),[2]FREQUENCIAS!1:1048576))</f>
        <v>0</v>
      </c>
      <c r="V15" s="603"/>
      <c r="W15" s="585" t="str">
        <f t="shared" si="8"/>
        <v>OK</v>
      </c>
      <c r="X15" s="604">
        <f>(IF((A15="   ERRO-FT"),"6",(IF((AND((P15=0),(Q15=0))),0,(IF((R15+S15+T15+U15+V15)&lt;=$Z$10,$Z$10,(R15+S15+T15+U15+V15)))))))</f>
        <v>0</v>
      </c>
      <c r="Y15" s="605">
        <f t="shared" si="16"/>
        <v>1</v>
      </c>
      <c r="Z15" s="588">
        <f t="shared" si="17"/>
        <v>0.5</v>
      </c>
      <c r="AA15" s="589"/>
      <c r="AB15" s="606" t="str">
        <f t="shared" si="9"/>
        <v>EXCLUI</v>
      </c>
      <c r="AC15" s="541" t="e">
        <f t="shared" si="10"/>
        <v>#DIV/0!</v>
      </c>
      <c r="AE15" s="541" t="str">
        <f t="shared" si="11"/>
        <v>1 / F</v>
      </c>
      <c r="AF15" s="591">
        <f t="shared" si="12"/>
        <v>1</v>
      </c>
      <c r="AH15" s="610">
        <f>IF(B15=0,0,VLOOKUP(B15,[2]FREQUENCIAS!$1:$1048576,(IF(($A15=[2]FREQUENCIAS!$E$1),5,"ERRO")),[2]FREQUENCIAS!$1:$1048576))</f>
        <v>0</v>
      </c>
      <c r="AI15" s="610"/>
      <c r="AJ15" s="610"/>
      <c r="AK15" s="593">
        <f t="shared" si="13"/>
        <v>0</v>
      </c>
      <c r="AL15" s="610">
        <f>IF(C15=0,0,VLOOKUP(C15,[2]FREQUENCIAS!$1:$1048576,(IF(($A15=[2]FREQUENCIAS!$E$1),5,"ERRO")),[2]FREQUENCIAS!$1:$1048576))</f>
        <v>0</v>
      </c>
      <c r="AM15" s="610"/>
      <c r="AN15" s="610"/>
      <c r="AO15" s="593">
        <f t="shared" si="14"/>
        <v>0</v>
      </c>
      <c r="AV15" s="607">
        <f>IF(B15=0,0,VLOOKUP(B15,[2]FREQUENCIAS!$1:$1048576,(IF(($A15=[2]FREQUENCIAS!$E$1),5,"ERRO")),[2]FREQUENCIAS!$1:$1048576))</f>
        <v>0</v>
      </c>
      <c r="AW15" s="607">
        <f>IF(C15=0,0,VLOOKUP(C15,[2]FREQUENCIAS!$1:$1048576,(IF(($A15=[2]FREQUENCIAS!$E$1),5,"ERRO")),[2]FREQUENCIAS!$1:$1048576))</f>
        <v>0</v>
      </c>
      <c r="AX15" s="607">
        <f>IF(D15=0,0,VLOOKUP(D15,[2]FREQUENCIAS!$1:$1048576,(IF(($A15=[2]FREQUENCIAS!$E$1),5,"ERRO")),[2]FREQUENCIAS!$1:$1048576))</f>
        <v>0</v>
      </c>
      <c r="AY15" s="607">
        <f>IF(E15=0,0,VLOOKUP(E15,[2]FREQUENCIAS!$1:$1048576,(IF(($A15=[2]FREQUENCIAS!$E$1),5,"ERRO")),[2]FREQUENCIAS!$1:$1048576))</f>
        <v>0</v>
      </c>
      <c r="BD15" s="541">
        <f t="shared" si="18"/>
        <v>1</v>
      </c>
      <c r="BE15" s="541">
        <f t="shared" si="19"/>
        <v>0</v>
      </c>
      <c r="BF15" s="595">
        <f t="shared" si="15"/>
        <v>1</v>
      </c>
    </row>
    <row r="16" spans="1:58" ht="15" customHeight="1" thickTop="1" thickBot="1" x14ac:dyDescent="0.25">
      <c r="A16" s="573" t="str">
        <f>'IMPORTAÇÃO GENOTIPER'!A9</f>
        <v>D13S317</v>
      </c>
      <c r="B16" s="574">
        <f>'IMPORTAÇÃO GENOTIPER'!AI9</f>
        <v>0</v>
      </c>
      <c r="C16" s="575">
        <f>'IMPORTAÇÃO GENOTIPER'!AQ9</f>
        <v>0</v>
      </c>
      <c r="D16" s="575">
        <f>'IMPORTAÇÃO GENOTIPER'!AY9</f>
        <v>0</v>
      </c>
      <c r="E16" s="576">
        <f>'IMPORTAÇÃO GENOTIPER'!BG9</f>
        <v>0</v>
      </c>
      <c r="F16" s="597">
        <f t="shared" si="0"/>
        <v>0</v>
      </c>
      <c r="G16" s="597">
        <f t="shared" si="1"/>
        <v>0</v>
      </c>
      <c r="H16" s="597">
        <f t="shared" si="2"/>
        <v>0</v>
      </c>
      <c r="I16" s="597">
        <f t="shared" si="3"/>
        <v>0</v>
      </c>
      <c r="J16" s="598"/>
      <c r="K16" s="598"/>
      <c r="L16" s="598"/>
      <c r="M16" s="599"/>
      <c r="N16" s="598">
        <f t="shared" si="4"/>
        <v>0</v>
      </c>
      <c r="O16" s="598">
        <f t="shared" si="5"/>
        <v>0</v>
      </c>
      <c r="P16" s="600">
        <f t="shared" si="6"/>
        <v>0</v>
      </c>
      <c r="Q16" s="601">
        <f t="shared" si="7"/>
        <v>0</v>
      </c>
      <c r="R16" s="602"/>
      <c r="S16" s="602"/>
      <c r="T16" s="583">
        <f>IF(P16=0,0,VLOOKUP(P16,[2]FREQUENCIAS!1:1048576,(IF(($A16=[2]FREQUENCIAS!$F$1),6,"ERRO")),[2]FREQUENCIAS!1:1048576))</f>
        <v>0</v>
      </c>
      <c r="U16" s="583">
        <f>IF(Q16=0,0,VLOOKUP(Q16,[2]FREQUENCIAS!1:1048576,(IF(($A16=[2]FREQUENCIAS!$F$1),6,"ERRO")),[2]FREQUENCIAS!1:1048576))</f>
        <v>0</v>
      </c>
      <c r="V16" s="603"/>
      <c r="W16" s="585" t="str">
        <f t="shared" si="8"/>
        <v>OK</v>
      </c>
      <c r="X16" s="604">
        <f>(IF((A16="   ERRO-FT"),"12",(IF((AND((P16=0),(Q16=0))),0,(IF((R16+S16+T16+U16+V16)&lt;=$Z$10,$Z$10,(R16+S16+T16+U16+V16)))))))</f>
        <v>0</v>
      </c>
      <c r="Y16" s="605">
        <f t="shared" si="16"/>
        <v>1</v>
      </c>
      <c r="Z16" s="588">
        <f t="shared" si="17"/>
        <v>0.5</v>
      </c>
      <c r="AA16" s="589"/>
      <c r="AB16" s="606" t="str">
        <f t="shared" si="9"/>
        <v>EXCLUI</v>
      </c>
      <c r="AC16" s="541" t="e">
        <f t="shared" si="10"/>
        <v>#DIV/0!</v>
      </c>
      <c r="AD16" s="541" t="s">
        <v>174</v>
      </c>
      <c r="AE16" s="541" t="str">
        <f t="shared" si="11"/>
        <v>1 / F</v>
      </c>
      <c r="AF16" s="591">
        <f t="shared" si="12"/>
        <v>1</v>
      </c>
      <c r="AH16" s="592">
        <f>IF(B16=0,0,VLOOKUP(B16,[2]FREQUENCIAS!$1:$1048576,(IF(($A16=[2]FREQUENCIAS!$F$1),6,"ERRO")),[2]FREQUENCIAS!$1:$1048576))</f>
        <v>0</v>
      </c>
      <c r="AI16" s="592"/>
      <c r="AJ16" s="592"/>
      <c r="AK16" s="593">
        <f t="shared" si="13"/>
        <v>0</v>
      </c>
      <c r="AL16" s="592">
        <f>IF(C16=0,0,VLOOKUP(C16,[2]FREQUENCIAS!$1:$1048576,(IF(($A16=[2]FREQUENCIAS!$F$1),6,"ERRO")),[2]FREQUENCIAS!$1:$1048576))</f>
        <v>0</v>
      </c>
      <c r="AM16" s="592"/>
      <c r="AN16" s="592"/>
      <c r="AO16" s="593">
        <f t="shared" si="14"/>
        <v>0</v>
      </c>
      <c r="AV16" s="607">
        <f>IF(B16=0,0,VLOOKUP(B16,[2]FREQUENCIAS!$1:$1048576,(IF(($A16=[2]FREQUENCIAS!$F$1),6,"ERRO")),[2]FREQUENCIAS!$1:$1048576))</f>
        <v>0</v>
      </c>
      <c r="AW16" s="607">
        <f>IF(C16=0,0,VLOOKUP(C16,[2]FREQUENCIAS!$1:$1048576,(IF(($A16=[2]FREQUENCIAS!$F$1),6,"ERRO")),[2]FREQUENCIAS!$1:$1048576))</f>
        <v>0</v>
      </c>
      <c r="AX16" s="607">
        <f>IF(D16=0,0,VLOOKUP(D16,[2]FREQUENCIAS!$1:$1048576,(IF(($A16=[2]FREQUENCIAS!$F$1),6,"ERRO")),[2]FREQUENCIAS!$1:$1048576))</f>
        <v>0</v>
      </c>
      <c r="AY16" s="607">
        <f>IF(E16=0,0,VLOOKUP(E16,[2]FREQUENCIAS!$1:$1048576,(IF(($A16=[2]FREQUENCIAS!$F$1),6,"ERRO")),[2]FREQUENCIAS!$1:$1048576))</f>
        <v>0</v>
      </c>
      <c r="BD16" s="541">
        <f t="shared" si="18"/>
        <v>1</v>
      </c>
      <c r="BE16" s="541">
        <f t="shared" si="19"/>
        <v>0</v>
      </c>
      <c r="BF16" s="595">
        <f t="shared" si="15"/>
        <v>1</v>
      </c>
    </row>
    <row r="17" spans="1:58" ht="15" customHeight="1" thickTop="1" thickBot="1" x14ac:dyDescent="0.25">
      <c r="A17" s="573" t="str">
        <f>'IMPORTAÇÃO GENOTIPER'!A10</f>
        <v>Penta_E</v>
      </c>
      <c r="B17" s="574">
        <f>'IMPORTAÇÃO GENOTIPER'!AI10</f>
        <v>0</v>
      </c>
      <c r="C17" s="575">
        <f>'IMPORTAÇÃO GENOTIPER'!AQ10</f>
        <v>0</v>
      </c>
      <c r="D17" s="575">
        <f>'IMPORTAÇÃO GENOTIPER'!AY10</f>
        <v>0</v>
      </c>
      <c r="E17" s="576">
        <f>'IMPORTAÇÃO GENOTIPER'!BG10</f>
        <v>0</v>
      </c>
      <c r="F17" s="597">
        <f t="shared" si="0"/>
        <v>0</v>
      </c>
      <c r="G17" s="597">
        <f t="shared" si="1"/>
        <v>0</v>
      </c>
      <c r="H17" s="597">
        <f t="shared" si="2"/>
        <v>0</v>
      </c>
      <c r="I17" s="597">
        <f t="shared" si="3"/>
        <v>0</v>
      </c>
      <c r="J17" s="598"/>
      <c r="K17" s="598"/>
      <c r="L17" s="598"/>
      <c r="M17" s="599"/>
      <c r="N17" s="598">
        <f t="shared" si="4"/>
        <v>0</v>
      </c>
      <c r="O17" s="598">
        <f t="shared" si="5"/>
        <v>0</v>
      </c>
      <c r="P17" s="600">
        <f t="shared" si="6"/>
        <v>0</v>
      </c>
      <c r="Q17" s="601">
        <f t="shared" si="7"/>
        <v>0</v>
      </c>
      <c r="R17" s="602"/>
      <c r="S17" s="602"/>
      <c r="T17" s="583">
        <f>IF(P17=0,0,VLOOKUP(P17,[2]FREQUENCIAS!1:1048576,(IF(($A17=[2]FREQUENCIAS!$G$1),7,"ERRO")),[2]FREQUENCIAS!1:1048576))</f>
        <v>0</v>
      </c>
      <c r="U17" s="583">
        <f>IF(Q17=0,0,VLOOKUP(Q17,[2]FREQUENCIAS!1:1048576,(IF(($A17=[2]FREQUENCIAS!$G$1),7,"ERRO")),[2]FREQUENCIAS!1:1048576))</f>
        <v>0</v>
      </c>
      <c r="V17" s="603"/>
      <c r="W17" s="585" t="str">
        <f t="shared" si="8"/>
        <v>OK</v>
      </c>
      <c r="X17" s="604">
        <f>(IF((A17="   ERRO-FT"),"4",(IF((AND((P17=0),(Q17=0))),0,(IF((R17+S17+T17+U17+V17)&lt;=$Z$10,$Z$10,(R17+S17+T17+U17+V17)))))))</f>
        <v>0</v>
      </c>
      <c r="Y17" s="605">
        <f t="shared" si="16"/>
        <v>1</v>
      </c>
      <c r="Z17" s="588">
        <f t="shared" si="17"/>
        <v>0.5</v>
      </c>
      <c r="AA17" s="589"/>
      <c r="AB17" s="606" t="str">
        <f t="shared" si="9"/>
        <v>EXCLUI</v>
      </c>
      <c r="AC17" s="541" t="e">
        <f t="shared" si="10"/>
        <v>#DIV/0!</v>
      </c>
      <c r="AE17" s="541" t="str">
        <f t="shared" si="11"/>
        <v>1 / F</v>
      </c>
      <c r="AF17" s="591">
        <f t="shared" si="12"/>
        <v>1</v>
      </c>
      <c r="AH17" s="592">
        <f>IF(B17=0,0,VLOOKUP(B17,[2]FREQUENCIAS!$1:$1048576,(IF(($A17=[2]FREQUENCIAS!$G$1),7,"ERRO")),[2]FREQUENCIAS!$1:$1048576))</f>
        <v>0</v>
      </c>
      <c r="AI17" s="592"/>
      <c r="AJ17" s="592"/>
      <c r="AK17" s="593">
        <f t="shared" si="13"/>
        <v>0</v>
      </c>
      <c r="AL17" s="592">
        <f>IF(C17=0,0,VLOOKUP(C17,[2]FREQUENCIAS!$1:$1048576,(IF(($A17=[2]FREQUENCIAS!$G$1),7,"ERRO")),[2]FREQUENCIAS!$1:$1048576))</f>
        <v>0</v>
      </c>
      <c r="AM17" s="592"/>
      <c r="AN17" s="592"/>
      <c r="AO17" s="593">
        <f t="shared" si="14"/>
        <v>0</v>
      </c>
      <c r="AV17" s="607">
        <f>IF(B17=0,0,VLOOKUP(B17,[2]FREQUENCIAS!$1:$1048576,(IF(($A17=[2]FREQUENCIAS!$G$1),7,"ERRO")),[2]FREQUENCIAS!$1:$1048576))</f>
        <v>0</v>
      </c>
      <c r="AW17" s="607">
        <f>IF(C17=0,0,VLOOKUP(C17,[2]FREQUENCIAS!$1:$1048576,(IF(($A17=[2]FREQUENCIAS!$G$1),7,"ERRO")),[2]FREQUENCIAS!$1:$1048576))</f>
        <v>0</v>
      </c>
      <c r="AX17" s="607">
        <f>IF(D17=0,0,VLOOKUP(D17,[2]FREQUENCIAS!$1:$1048576,(IF(($A17=[2]FREQUENCIAS!$G$1),7,"ERRO")),[2]FREQUENCIAS!$1:$1048576))</f>
        <v>0</v>
      </c>
      <c r="AY17" s="607">
        <f>IF(E17=0,0,VLOOKUP(E17,[2]FREQUENCIAS!$1:$1048576,(IF(($A17=[2]FREQUENCIAS!$G$1),7,"ERRO")),[2]FREQUENCIAS!$1:$1048576))</f>
        <v>0</v>
      </c>
      <c r="BD17" s="541">
        <f t="shared" si="18"/>
        <v>1</v>
      </c>
      <c r="BE17" s="541">
        <f t="shared" si="19"/>
        <v>0</v>
      </c>
      <c r="BF17" s="595">
        <f t="shared" si="15"/>
        <v>1</v>
      </c>
    </row>
    <row r="18" spans="1:58" ht="15" customHeight="1" thickTop="1" thickBot="1" x14ac:dyDescent="0.25">
      <c r="A18" s="573" t="str">
        <f>'IMPORTAÇÃO GENOTIPER'!A11</f>
        <v>D16S539</v>
      </c>
      <c r="B18" s="574">
        <f>'IMPORTAÇÃO GENOTIPER'!AI11</f>
        <v>0</v>
      </c>
      <c r="C18" s="575">
        <f>'IMPORTAÇÃO GENOTIPER'!AQ11</f>
        <v>0</v>
      </c>
      <c r="D18" s="575">
        <f>'IMPORTAÇÃO GENOTIPER'!AY11</f>
        <v>0</v>
      </c>
      <c r="E18" s="576">
        <f>'IMPORTAÇÃO GENOTIPER'!BG11</f>
        <v>0</v>
      </c>
      <c r="F18" s="597">
        <f t="shared" si="0"/>
        <v>0</v>
      </c>
      <c r="G18" s="597">
        <f t="shared" si="1"/>
        <v>0</v>
      </c>
      <c r="H18" s="597">
        <f t="shared" si="2"/>
        <v>0</v>
      </c>
      <c r="I18" s="597">
        <f t="shared" si="3"/>
        <v>0</v>
      </c>
      <c r="J18" s="598"/>
      <c r="K18" s="598"/>
      <c r="L18" s="598"/>
      <c r="M18" s="599"/>
      <c r="N18" s="598">
        <f t="shared" si="4"/>
        <v>0</v>
      </c>
      <c r="O18" s="598">
        <f t="shared" si="5"/>
        <v>0</v>
      </c>
      <c r="P18" s="600">
        <f t="shared" si="6"/>
        <v>0</v>
      </c>
      <c r="Q18" s="601">
        <f t="shared" si="7"/>
        <v>0</v>
      </c>
      <c r="R18" s="602"/>
      <c r="S18" s="602"/>
      <c r="T18" s="583">
        <f>IF(P18=0,0,VLOOKUP(P18,[2]FREQUENCIAS!1:1048576,(IF(($A18=[2]FREQUENCIAS!$H$1),8,"ERRO")),[2]FREQUENCIAS!1:1048576))</f>
        <v>0</v>
      </c>
      <c r="U18" s="583">
        <f>IF(Q18=0,0,VLOOKUP(Q18,[2]FREQUENCIAS!1:1048576,(IF(($A18=[2]FREQUENCIAS!$H$1),8,"ERRO")),[2]FREQUENCIAS!1:1048576))</f>
        <v>0</v>
      </c>
      <c r="V18" s="603"/>
      <c r="W18" s="585" t="str">
        <f t="shared" si="8"/>
        <v>OK</v>
      </c>
      <c r="X18" s="604">
        <f>(IF((A18="   ERRO-FT"),"8",(IF((AND((P18=0),(Q18=0))),0,(IF((R18+S18+T18+U18+V18)&lt;=$Z$10,$Z$10,(R18+S18+T18+U18+V18)))))))</f>
        <v>0</v>
      </c>
      <c r="Y18" s="605">
        <f t="shared" si="16"/>
        <v>1</v>
      </c>
      <c r="Z18" s="588">
        <f t="shared" si="17"/>
        <v>0.5</v>
      </c>
      <c r="AA18" s="589"/>
      <c r="AB18" s="606" t="str">
        <f t="shared" si="9"/>
        <v>EXCLUI</v>
      </c>
      <c r="AC18" s="541" t="e">
        <f t="shared" si="10"/>
        <v>#DIV/0!</v>
      </c>
      <c r="AE18" s="541" t="str">
        <f t="shared" si="11"/>
        <v>1 / F</v>
      </c>
      <c r="AF18" s="591">
        <f t="shared" si="12"/>
        <v>1</v>
      </c>
      <c r="AH18" s="592">
        <f>IF(B18=0,0,VLOOKUP(B18,[2]FREQUENCIAS!$1:$1048576,(IF(($A18=[2]FREQUENCIAS!$H$1),8,"ERRO")),[2]FREQUENCIAS!$1:$1048576))</f>
        <v>0</v>
      </c>
      <c r="AI18" s="592"/>
      <c r="AJ18" s="592"/>
      <c r="AK18" s="593">
        <f t="shared" si="13"/>
        <v>0</v>
      </c>
      <c r="AL18" s="592">
        <f>IF(C18=0,0,VLOOKUP(C18,[2]FREQUENCIAS!$1:$1048576,(IF(($A18=[2]FREQUENCIAS!$H$1),8,"ERRO")),[2]FREQUENCIAS!$1:$1048576))</f>
        <v>0</v>
      </c>
      <c r="AM18" s="592"/>
      <c r="AN18" s="592"/>
      <c r="AO18" s="593">
        <f t="shared" si="14"/>
        <v>0</v>
      </c>
      <c r="AV18" s="607">
        <f>IF(B18=0,0,VLOOKUP(B18,[2]FREQUENCIAS!$1:$1048576,(IF(($A18=[2]FREQUENCIAS!$H$1),8,"ERRO")),[2]FREQUENCIAS!$1:$1048576))</f>
        <v>0</v>
      </c>
      <c r="AW18" s="607">
        <f>IF(C18=0,0,VLOOKUP(C18,[2]FREQUENCIAS!$1:$1048576,(IF(($A18=[2]FREQUENCIAS!$H$1),8,"ERRO")),[2]FREQUENCIAS!$1:$1048576))</f>
        <v>0</v>
      </c>
      <c r="AX18" s="607">
        <f>IF(D18=0,0,VLOOKUP(D18,[2]FREQUENCIAS!$1:$1048576,(IF(($A18=[2]FREQUENCIAS!$H$1),8,"ERRO")),[2]FREQUENCIAS!$1:$1048576))</f>
        <v>0</v>
      </c>
      <c r="AY18" s="607">
        <f>IF(E18=0,0,VLOOKUP(E18,[2]FREQUENCIAS!$1:$1048576,(IF(($A18=[2]FREQUENCIAS!$H$1),8,"ERRO")),[2]FREQUENCIAS!$1:$1048576))</f>
        <v>0</v>
      </c>
      <c r="BD18" s="541">
        <f t="shared" si="18"/>
        <v>1</v>
      </c>
      <c r="BE18" s="541">
        <f t="shared" si="19"/>
        <v>0</v>
      </c>
      <c r="BF18" s="595">
        <f t="shared" si="15"/>
        <v>1</v>
      </c>
    </row>
    <row r="19" spans="1:58" ht="15" customHeight="1" thickTop="1" thickBot="1" x14ac:dyDescent="0.25">
      <c r="A19" s="573" t="str">
        <f>'IMPORTAÇÃO GENOTIPER'!A12</f>
        <v>D18S51</v>
      </c>
      <c r="B19" s="574">
        <f>'IMPORTAÇÃO GENOTIPER'!AI12</f>
        <v>0</v>
      </c>
      <c r="C19" s="575">
        <f>'IMPORTAÇÃO GENOTIPER'!AQ12</f>
        <v>0</v>
      </c>
      <c r="D19" s="575">
        <f>'IMPORTAÇÃO GENOTIPER'!AY12</f>
        <v>0</v>
      </c>
      <c r="E19" s="576">
        <f>'IMPORTAÇÃO GENOTIPER'!BG12</f>
        <v>0</v>
      </c>
      <c r="F19" s="597">
        <f t="shared" si="0"/>
        <v>0</v>
      </c>
      <c r="G19" s="597">
        <f t="shared" si="1"/>
        <v>0</v>
      </c>
      <c r="H19" s="597">
        <f t="shared" si="2"/>
        <v>0</v>
      </c>
      <c r="I19" s="597">
        <f t="shared" si="3"/>
        <v>0</v>
      </c>
      <c r="J19" s="598"/>
      <c r="K19" s="598"/>
      <c r="L19" s="598"/>
      <c r="M19" s="599"/>
      <c r="N19" s="598">
        <f t="shared" si="4"/>
        <v>0</v>
      </c>
      <c r="O19" s="598">
        <f t="shared" si="5"/>
        <v>0</v>
      </c>
      <c r="P19" s="600">
        <f t="shared" si="6"/>
        <v>0</v>
      </c>
      <c r="Q19" s="601">
        <f t="shared" si="7"/>
        <v>0</v>
      </c>
      <c r="R19" s="602"/>
      <c r="S19" s="602"/>
      <c r="T19" s="583">
        <f>IF(P19=0,0,VLOOKUP(P19,[2]FREQUENCIAS!1:1048576,(IF(($A19=[2]FREQUENCIAS!$I$1),9,"ERRO")),[2]FREQUENCIAS!1:1048576))</f>
        <v>0</v>
      </c>
      <c r="U19" s="583">
        <f>IF(Q19=0,0,VLOOKUP(Q19,[2]FREQUENCIAS!1:1048576,(IF(($A19=[2]FREQUENCIAS!$I$1),9,"ERRO")),[2]FREQUENCIAS!1:1048576))</f>
        <v>0</v>
      </c>
      <c r="V19" s="603"/>
      <c r="W19" s="585" t="str">
        <f t="shared" si="8"/>
        <v>OK</v>
      </c>
      <c r="X19" s="604">
        <f>(IF((A19="   ERRO-FT"),"5",(IF((AND((P19=0),(Q19=0))),0,(IF((R19+S19+T19+U19+V19)&lt;=$Z$10,$Z$10,(R19+S19+T19+U19+V19)))))))</f>
        <v>0</v>
      </c>
      <c r="Y19" s="605">
        <f t="shared" si="16"/>
        <v>1</v>
      </c>
      <c r="Z19" s="588">
        <f t="shared" si="17"/>
        <v>0.5</v>
      </c>
      <c r="AA19" s="589"/>
      <c r="AB19" s="606" t="str">
        <f t="shared" si="9"/>
        <v>EXCLUI</v>
      </c>
      <c r="AC19" s="541" t="e">
        <f t="shared" si="10"/>
        <v>#DIV/0!</v>
      </c>
      <c r="AE19" s="541" t="str">
        <f t="shared" si="11"/>
        <v>1 / F</v>
      </c>
      <c r="AF19" s="591">
        <f t="shared" si="12"/>
        <v>1</v>
      </c>
      <c r="AH19" s="592">
        <f>IF(B19=0,0,VLOOKUP(B19,[2]FREQUENCIAS!$1:$1048576,(IF(($A19=[2]FREQUENCIAS!$I$1),9,"ERRO")),[2]FREQUENCIAS!$1:$1048576))</f>
        <v>0</v>
      </c>
      <c r="AI19" s="592"/>
      <c r="AJ19" s="592"/>
      <c r="AK19" s="593">
        <f t="shared" si="13"/>
        <v>0</v>
      </c>
      <c r="AL19" s="592">
        <f>IF(C19=0,0,VLOOKUP(C19,[2]FREQUENCIAS!$1:$1048576,(IF(($A19=[2]FREQUENCIAS!$I$1),9,"ERRO")),[2]FREQUENCIAS!$1:$1048576))</f>
        <v>0</v>
      </c>
      <c r="AM19" s="592"/>
      <c r="AN19" s="592"/>
      <c r="AO19" s="593">
        <f t="shared" si="14"/>
        <v>0</v>
      </c>
      <c r="AV19" s="607">
        <f>IF(B19=0,0,VLOOKUP(B19,[2]FREQUENCIAS!$1:$1048576,(IF(($A19=[2]FREQUENCIAS!$I$1),9,"ERRO")),[2]FREQUENCIAS!$1:$1048576))</f>
        <v>0</v>
      </c>
      <c r="AW19" s="607">
        <f>IF(C19=0,0,VLOOKUP(C19,[2]FREQUENCIAS!$1:$1048576,(IF(($A19=[2]FREQUENCIAS!$I$1),9,"ERRO")),[2]FREQUENCIAS!$1:$1048576))</f>
        <v>0</v>
      </c>
      <c r="AX19" s="607">
        <f>IF(D19=0,0,VLOOKUP(D19,[2]FREQUENCIAS!$1:$1048576,(IF(($A19=[2]FREQUENCIAS!$I$1),9,"ERRO")),[2]FREQUENCIAS!$1:$1048576))</f>
        <v>0</v>
      </c>
      <c r="AY19" s="607">
        <f>IF(E19=0,0,VLOOKUP(E19,[2]FREQUENCIAS!$1:$1048576,(IF(($A19=[2]FREQUENCIAS!$I$1),9,"ERRO")),[2]FREQUENCIAS!$1:$1048576))</f>
        <v>0</v>
      </c>
      <c r="BD19" s="541">
        <f t="shared" si="18"/>
        <v>1</v>
      </c>
      <c r="BE19" s="541">
        <f t="shared" si="19"/>
        <v>0</v>
      </c>
      <c r="BF19" s="595">
        <f t="shared" si="15"/>
        <v>1</v>
      </c>
    </row>
    <row r="20" spans="1:58" ht="15" customHeight="1" thickTop="1" thickBot="1" x14ac:dyDescent="0.25">
      <c r="A20" s="573" t="str">
        <f>'IMPORTAÇÃO GENOTIPER'!A13</f>
        <v>D2S1338</v>
      </c>
      <c r="B20" s="574">
        <f>'IMPORTAÇÃO GENOTIPER'!AI13</f>
        <v>0</v>
      </c>
      <c r="C20" s="575">
        <f>'IMPORTAÇÃO GENOTIPER'!AQ13</f>
        <v>0</v>
      </c>
      <c r="D20" s="575">
        <f>'IMPORTAÇÃO GENOTIPER'!AY13</f>
        <v>0</v>
      </c>
      <c r="E20" s="576">
        <f>'IMPORTAÇÃO GENOTIPER'!BG13</f>
        <v>0</v>
      </c>
      <c r="F20" s="597">
        <f>IF((B20&gt;C20),C20,B20)</f>
        <v>0</v>
      </c>
      <c r="G20" s="597">
        <f>IF((C20&gt;B20),C20,B20)</f>
        <v>0</v>
      </c>
      <c r="H20" s="597">
        <f t="shared" si="2"/>
        <v>0</v>
      </c>
      <c r="I20" s="597">
        <f t="shared" si="3"/>
        <v>0</v>
      </c>
      <c r="J20" s="598"/>
      <c r="K20" s="598"/>
      <c r="L20" s="598"/>
      <c r="M20" s="599"/>
      <c r="N20" s="598">
        <f t="shared" si="4"/>
        <v>0</v>
      </c>
      <c r="O20" s="598">
        <f t="shared" si="5"/>
        <v>0</v>
      </c>
      <c r="P20" s="600">
        <f t="shared" si="6"/>
        <v>0</v>
      </c>
      <c r="Q20" s="601">
        <f t="shared" si="7"/>
        <v>0</v>
      </c>
      <c r="R20" s="602"/>
      <c r="S20" s="602"/>
      <c r="T20" s="583">
        <f>IF(P20=0,0,VLOOKUP(P20,[2]FREQUENCIAS!1:1048576,(IF(($A20=[2]FREQUENCIAS!$J$1),10,"ERRO")),[2]FREQUENCIAS!1:1048576))</f>
        <v>0</v>
      </c>
      <c r="U20" s="583">
        <f>IF(Q20=0,0,VLOOKUP(Q20,[2]FREQUENCIAS!1:1048576,(IF(($A20=[2]FREQUENCIAS!$J$1),10,"ERRO")),[2]FREQUENCIAS!1:1048576))</f>
        <v>0</v>
      </c>
      <c r="V20" s="603"/>
      <c r="W20" s="585" t="str">
        <f t="shared" si="8"/>
        <v>OK</v>
      </c>
      <c r="X20" s="604">
        <f>(IF((A20="   ERRO-FT"),"15",(IF((AND((P20=0),(Q20=0))),0,(IF((R20+S20+T20+U20+V20)&lt;=$Z$10,$Z$10,(R20+S20+T20+U20+V20)))))))</f>
        <v>0</v>
      </c>
      <c r="Y20" s="605">
        <f t="shared" si="16"/>
        <v>1</v>
      </c>
      <c r="Z20" s="588">
        <f t="shared" si="17"/>
        <v>0.5</v>
      </c>
      <c r="AA20" s="589"/>
      <c r="AB20" s="606" t="str">
        <f t="shared" si="9"/>
        <v>EXCLUI</v>
      </c>
      <c r="AC20" s="541" t="e">
        <f t="shared" si="10"/>
        <v>#DIV/0!</v>
      </c>
      <c r="AD20" s="541" t="s">
        <v>350</v>
      </c>
      <c r="AE20" s="541" t="str">
        <f t="shared" si="11"/>
        <v>1 / F</v>
      </c>
      <c r="AF20" s="591">
        <f t="shared" si="12"/>
        <v>1</v>
      </c>
      <c r="AH20" s="592">
        <f>IF(B20=0,0,VLOOKUP(B20,[2]FREQUENCIAS!$1:$1048576,(IF(($A20=[2]FREQUENCIAS!$J$1),10,"ERRO")),[2]FREQUENCIAS!$1:$1048576))</f>
        <v>0</v>
      </c>
      <c r="AI20" s="592"/>
      <c r="AJ20" s="592"/>
      <c r="AK20" s="593">
        <f t="shared" si="13"/>
        <v>0</v>
      </c>
      <c r="AL20" s="592">
        <f>IF(C20=0,0,VLOOKUP(C20,[2]FREQUENCIAS!$1:$1048576,(IF(($A20=[2]FREQUENCIAS!$J$1),10,"ERRO")),[2]FREQUENCIAS!$1:$1048576))</f>
        <v>0</v>
      </c>
      <c r="AM20" s="592"/>
      <c r="AN20" s="592"/>
      <c r="AO20" s="593">
        <f t="shared" si="14"/>
        <v>0</v>
      </c>
      <c r="AV20" s="607">
        <f>IF(B20=0,0,VLOOKUP(B20,[2]FREQUENCIAS!$1:$1048576,(IF(($A20=[2]FREQUENCIAS!$J$1),10,"ERRO")),[2]FREQUENCIAS!$1:$1048576))</f>
        <v>0</v>
      </c>
      <c r="AW20" s="607">
        <f>IF(C20=0,0,VLOOKUP(C20,[2]FREQUENCIAS!$1:$1048576,(IF(($A20=[2]FREQUENCIAS!$J$1),10,"ERRO")),[2]FREQUENCIAS!$1:$1048576))</f>
        <v>0</v>
      </c>
      <c r="AX20" s="607">
        <f>IF(D20=0,0,VLOOKUP(D20,[2]FREQUENCIAS!$1:$1048576,(IF(($A20=[2]FREQUENCIAS!$J$1),10,"ERRO")),[2]FREQUENCIAS!$1:$1048576))</f>
        <v>0</v>
      </c>
      <c r="AY20" s="607">
        <f>IF(E20=0,0,VLOOKUP(E20,[2]FREQUENCIAS!$1:$1048576,(IF(($A20=[2]FREQUENCIAS!$J$1),10,"ERRO")),[2]FREQUENCIAS!$1:$1048576))</f>
        <v>0</v>
      </c>
      <c r="BD20" s="541">
        <f t="shared" si="18"/>
        <v>1</v>
      </c>
      <c r="BE20" s="541">
        <f t="shared" si="19"/>
        <v>0</v>
      </c>
      <c r="BF20" s="595">
        <f t="shared" si="15"/>
        <v>1</v>
      </c>
    </row>
    <row r="21" spans="1:58" ht="15" customHeight="1" thickTop="1" thickBot="1" x14ac:dyDescent="0.25">
      <c r="A21" s="573" t="str">
        <f>'IMPORTAÇÃO GENOTIPER'!A14</f>
        <v>CSF1PO</v>
      </c>
      <c r="B21" s="574">
        <f>'IMPORTAÇÃO GENOTIPER'!AI14</f>
        <v>0</v>
      </c>
      <c r="C21" s="575">
        <f>'IMPORTAÇÃO GENOTIPER'!AQ14</f>
        <v>0</v>
      </c>
      <c r="D21" s="575">
        <f>'IMPORTAÇÃO GENOTIPER'!AY14</f>
        <v>0</v>
      </c>
      <c r="E21" s="576">
        <f>'IMPORTAÇÃO GENOTIPER'!BG14</f>
        <v>0</v>
      </c>
      <c r="F21" s="597">
        <f t="shared" si="0"/>
        <v>0</v>
      </c>
      <c r="G21" s="597">
        <f t="shared" si="1"/>
        <v>0</v>
      </c>
      <c r="H21" s="597">
        <f t="shared" si="2"/>
        <v>0</v>
      </c>
      <c r="I21" s="597">
        <f t="shared" si="3"/>
        <v>0</v>
      </c>
      <c r="J21" s="598"/>
      <c r="K21" s="598"/>
      <c r="L21" s="598"/>
      <c r="M21" s="599"/>
      <c r="N21" s="598">
        <f t="shared" si="4"/>
        <v>0</v>
      </c>
      <c r="O21" s="598">
        <f t="shared" si="5"/>
        <v>0</v>
      </c>
      <c r="P21" s="600">
        <f t="shared" si="6"/>
        <v>0</v>
      </c>
      <c r="Q21" s="601">
        <f t="shared" si="7"/>
        <v>0</v>
      </c>
      <c r="R21" s="602"/>
      <c r="S21" s="602"/>
      <c r="T21" s="583">
        <f>IF(P21=0,0,VLOOKUP(P21,[2]FREQUENCIAS!1:1048576,(IF(($A21=[2]FREQUENCIAS!$K$1),11,"ERRO")),[2]FREQUENCIAS!1:1048576))</f>
        <v>0</v>
      </c>
      <c r="U21" s="583">
        <f>IF(Q21=0,0,VLOOKUP(Q21,[2]FREQUENCIAS!1:1048576,(IF(($A21=[2]FREQUENCIAS!$K$1),11,"ERRO")),[2]FREQUENCIAS!1:1048576))</f>
        <v>0</v>
      </c>
      <c r="V21" s="603"/>
      <c r="W21" s="585" t="str">
        <f t="shared" si="8"/>
        <v>OK</v>
      </c>
      <c r="X21" s="604">
        <f>(IF((A21="   ERRO-FT"),"9",(IF((AND((P21=0),(Q21=0))),0,(IF((R21+S21+T21+U21+V21)&lt;=$Z$10,$Z$10,(R21+S21+T21+U21+V21)))))))</f>
        <v>0</v>
      </c>
      <c r="Y21" s="605">
        <f t="shared" si="16"/>
        <v>1</v>
      </c>
      <c r="Z21" s="588">
        <f t="shared" si="17"/>
        <v>0.5</v>
      </c>
      <c r="AA21" s="589"/>
      <c r="AB21" s="606" t="str">
        <f t="shared" si="9"/>
        <v>EXCLUI</v>
      </c>
      <c r="AC21" s="541" t="e">
        <f t="shared" si="10"/>
        <v>#DIV/0!</v>
      </c>
      <c r="AE21" s="541" t="str">
        <f t="shared" si="11"/>
        <v>1 / F</v>
      </c>
      <c r="AF21" s="591">
        <f t="shared" si="12"/>
        <v>1</v>
      </c>
      <c r="AH21" s="592">
        <f>IF(B21=0,0,VLOOKUP(B21,[2]FREQUENCIAS!$1:$1048576,(IF(($A21=[2]FREQUENCIAS!$K$1),11,"ERRO")),[2]FREQUENCIAS!$1:$1048576))</f>
        <v>0</v>
      </c>
      <c r="AI21" s="592"/>
      <c r="AJ21" s="592"/>
      <c r="AK21" s="593">
        <f t="shared" si="13"/>
        <v>0</v>
      </c>
      <c r="AL21" s="592">
        <f>IF(C21=0,0,VLOOKUP(C21,[2]FREQUENCIAS!$1:$1048576,(IF(($A21=[2]FREQUENCIAS!$K$1),11,"ERRO")),[2]FREQUENCIAS!$1:$1048576))</f>
        <v>0</v>
      </c>
      <c r="AM21" s="592"/>
      <c r="AN21" s="592"/>
      <c r="AO21" s="593">
        <f t="shared" si="14"/>
        <v>0</v>
      </c>
      <c r="AV21" s="607">
        <f>IF(B21=0,0,VLOOKUP(B21,[2]FREQUENCIAS!$1:$1048576,(IF(($A21=[2]FREQUENCIAS!$K$1),11,"ERRO")),[2]FREQUENCIAS!$1:$1048576))</f>
        <v>0</v>
      </c>
      <c r="AW21" s="607">
        <f>IF(C21=0,0,VLOOKUP(C21,[2]FREQUENCIAS!$1:$1048576,(IF(($A21=[2]FREQUENCIAS!$K$1),11,"ERRO")),[2]FREQUENCIAS!$1:$1048576))</f>
        <v>0</v>
      </c>
      <c r="AX21" s="607">
        <f>IF(D21=0,0,VLOOKUP(D21,[2]FREQUENCIAS!$1:$1048576,(IF(($A21=[2]FREQUENCIAS!$K$1),11,"ERRO")),[2]FREQUENCIAS!$1:$1048576))</f>
        <v>0</v>
      </c>
      <c r="AY21" s="607">
        <f>IF(E21=0,0,VLOOKUP(E21,[2]FREQUENCIAS!$1:$1048576,(IF(($A21=[2]FREQUENCIAS!$K$1),11,"ERRO")),[2]FREQUENCIAS!$1:$1048576))</f>
        <v>0</v>
      </c>
      <c r="BD21" s="541">
        <f t="shared" si="18"/>
        <v>1</v>
      </c>
      <c r="BE21" s="541">
        <f t="shared" si="19"/>
        <v>0</v>
      </c>
      <c r="BF21" s="595">
        <f t="shared" si="15"/>
        <v>1</v>
      </c>
    </row>
    <row r="22" spans="1:58" ht="15" customHeight="1" thickTop="1" thickBot="1" x14ac:dyDescent="0.25">
      <c r="A22" s="573" t="str">
        <f>'IMPORTAÇÃO GENOTIPER'!A15</f>
        <v>Penta_D</v>
      </c>
      <c r="B22" s="574">
        <f>'IMPORTAÇÃO GENOTIPER'!AI15</f>
        <v>0</v>
      </c>
      <c r="C22" s="575">
        <f>'IMPORTAÇÃO GENOTIPER'!AQ15</f>
        <v>0</v>
      </c>
      <c r="D22" s="575">
        <f>'IMPORTAÇÃO GENOTIPER'!AY15</f>
        <v>0</v>
      </c>
      <c r="E22" s="576">
        <f>'IMPORTAÇÃO GENOTIPER'!BG15</f>
        <v>0</v>
      </c>
      <c r="F22" s="597">
        <f t="shared" si="0"/>
        <v>0</v>
      </c>
      <c r="G22" s="597">
        <f t="shared" si="1"/>
        <v>0</v>
      </c>
      <c r="H22" s="597">
        <f t="shared" si="2"/>
        <v>0</v>
      </c>
      <c r="I22" s="597">
        <f t="shared" si="3"/>
        <v>0</v>
      </c>
      <c r="J22" s="598"/>
      <c r="K22" s="598"/>
      <c r="L22" s="598"/>
      <c r="M22" s="599"/>
      <c r="N22" s="598">
        <f t="shared" si="4"/>
        <v>0</v>
      </c>
      <c r="O22" s="598">
        <f t="shared" si="5"/>
        <v>0</v>
      </c>
      <c r="P22" s="600">
        <f t="shared" si="6"/>
        <v>0</v>
      </c>
      <c r="Q22" s="601">
        <f t="shared" si="7"/>
        <v>0</v>
      </c>
      <c r="R22" s="602"/>
      <c r="S22" s="602"/>
      <c r="T22" s="583">
        <f>IF(P22=0,0,VLOOKUP(P22,[2]FREQUENCIAS!1:1048576,(IF(($A22=[2]FREQUENCIAS!$L$1),12,"ERRO")),[2]FREQUENCIAS!1:1048576))</f>
        <v>0</v>
      </c>
      <c r="U22" s="583">
        <f>IF(Q22=0,0,VLOOKUP(Q22,[2]FREQUENCIAS!1:1048576,(IF(($A22=[2]FREQUENCIAS!$L$1),12,"ERRO")),[2]FREQUENCIAS!1:1048576))</f>
        <v>0</v>
      </c>
      <c r="V22" s="603"/>
      <c r="W22" s="585" t="str">
        <f t="shared" si="8"/>
        <v>OK</v>
      </c>
      <c r="X22" s="604">
        <f>(IF((A22="   ERRO-FT"),"11",(IF((AND((P22=0),(Q22=0))),0,(IF((R22+S22+T22+U22+V22)&lt;=$Z$10,$Z$10,(R22+S22+T22+U22+V22)))))))</f>
        <v>0</v>
      </c>
      <c r="Y22" s="605">
        <f t="shared" si="16"/>
        <v>1</v>
      </c>
      <c r="Z22" s="588">
        <f t="shared" si="17"/>
        <v>0.5</v>
      </c>
      <c r="AA22" s="589"/>
      <c r="AB22" s="606" t="str">
        <f t="shared" si="9"/>
        <v>EXCLUI</v>
      </c>
      <c r="AC22" s="541" t="e">
        <f t="shared" si="10"/>
        <v>#DIV/0!</v>
      </c>
      <c r="AD22" s="541" t="s">
        <v>351</v>
      </c>
      <c r="AE22" s="541" t="str">
        <f t="shared" si="11"/>
        <v>1 / F</v>
      </c>
      <c r="AF22" s="591">
        <f t="shared" si="12"/>
        <v>1</v>
      </c>
      <c r="AH22" s="592">
        <f>IF(B22=0,0,VLOOKUP(B22,[2]FREQUENCIAS!$1:$1048576,(IF(($A22=[2]FREQUENCIAS!$L$1),12,"ERRO")),[2]FREQUENCIAS!$1:$1048576))</f>
        <v>0</v>
      </c>
      <c r="AI22" s="592"/>
      <c r="AJ22" s="592"/>
      <c r="AK22" s="593">
        <f t="shared" si="13"/>
        <v>0</v>
      </c>
      <c r="AL22" s="592">
        <f>IF(C22=0,0,VLOOKUP(C22,[2]FREQUENCIAS!$1:$1048576,(IF(($A22=[2]FREQUENCIAS!$L$1),12,"ERRO")),[2]FREQUENCIAS!$1:$1048576))</f>
        <v>0</v>
      </c>
      <c r="AM22" s="592"/>
      <c r="AN22" s="592"/>
      <c r="AO22" s="593">
        <f t="shared" si="14"/>
        <v>0</v>
      </c>
      <c r="AV22" s="607">
        <f>IF(B22=0,0,VLOOKUP(B22,[2]FREQUENCIAS!$1:$1048576,(IF(($A22=[2]FREQUENCIAS!$L$1),12,"ERRO")),[2]FREQUENCIAS!$1:$1048576))</f>
        <v>0</v>
      </c>
      <c r="AW22" s="607">
        <f>IF(C22=0,0,VLOOKUP(C22,[2]FREQUENCIAS!$1:$1048576,(IF(($A22=[2]FREQUENCIAS!$L$1),12,"ERRO")),[2]FREQUENCIAS!$1:$1048576))</f>
        <v>0</v>
      </c>
      <c r="AX22" s="607">
        <f>IF(D22=0,0,VLOOKUP(D22,[2]FREQUENCIAS!$1:$1048576,(IF(($A22=[2]FREQUENCIAS!$L$1),12,"ERRO")),[2]FREQUENCIAS!$1:$1048576))</f>
        <v>0</v>
      </c>
      <c r="AY22" s="607">
        <f>IF(E22=0,0,VLOOKUP(E22,[2]FREQUENCIAS!$1:$1048576,(IF(($A22=[2]FREQUENCIAS!$L$1),12,"ERRO")),[2]FREQUENCIAS!$1:$1048576))</f>
        <v>0</v>
      </c>
      <c r="BD22" s="541">
        <f t="shared" si="18"/>
        <v>1</v>
      </c>
      <c r="BE22" s="541">
        <f t="shared" si="19"/>
        <v>0</v>
      </c>
      <c r="BF22" s="595">
        <f t="shared" si="15"/>
        <v>1</v>
      </c>
    </row>
    <row r="23" spans="1:58" ht="15" customHeight="1" thickTop="1" thickBot="1" x14ac:dyDescent="0.25">
      <c r="A23" s="573" t="str">
        <f>'IMPORTAÇÃO GENOTIPER'!A16</f>
        <v>TH01</v>
      </c>
      <c r="B23" s="574">
        <f>'IMPORTAÇÃO GENOTIPER'!AI16</f>
        <v>0</v>
      </c>
      <c r="C23" s="575">
        <f>'IMPORTAÇÃO GENOTIPER'!AQ16</f>
        <v>0</v>
      </c>
      <c r="D23" s="575">
        <f>'IMPORTAÇÃO GENOTIPER'!AY16</f>
        <v>0</v>
      </c>
      <c r="E23" s="576">
        <f>'IMPORTAÇÃO GENOTIPER'!BG16</f>
        <v>0</v>
      </c>
      <c r="F23" s="597">
        <f t="shared" si="0"/>
        <v>0</v>
      </c>
      <c r="G23" s="597">
        <f t="shared" si="1"/>
        <v>0</v>
      </c>
      <c r="H23" s="597">
        <f t="shared" si="2"/>
        <v>0</v>
      </c>
      <c r="I23" s="597">
        <f t="shared" si="3"/>
        <v>0</v>
      </c>
      <c r="J23" s="598"/>
      <c r="K23" s="598"/>
      <c r="L23" s="598"/>
      <c r="M23" s="599"/>
      <c r="N23" s="598">
        <f t="shared" si="4"/>
        <v>0</v>
      </c>
      <c r="O23" s="598">
        <f t="shared" si="5"/>
        <v>0</v>
      </c>
      <c r="P23" s="600">
        <f t="shared" si="6"/>
        <v>0</v>
      </c>
      <c r="Q23" s="601">
        <f t="shared" si="7"/>
        <v>0</v>
      </c>
      <c r="R23" s="602"/>
      <c r="S23" s="602"/>
      <c r="T23" s="583">
        <f>IF(P23=0,0,VLOOKUP(P23,[2]FREQUENCIAS!1:1048576,(IF(($A23=[2]FREQUENCIAS!$M$1),13,"ERRO")),[2]FREQUENCIAS!1:1048576))</f>
        <v>0</v>
      </c>
      <c r="U23" s="583">
        <f>IF(Q23=0,0,VLOOKUP(Q23,[2]FREQUENCIAS!1:1048576,(IF(($A23=[2]FREQUENCIAS!$M$1),13,"ERRO")),[2]FREQUENCIAS!1:1048576))</f>
        <v>0</v>
      </c>
      <c r="V23" s="603"/>
      <c r="W23" s="585" t="str">
        <f t="shared" si="8"/>
        <v>OK</v>
      </c>
      <c r="X23" s="604">
        <f>(IF((A23="   ERRO-FT"),"6",(IF((AND((P23=0),(Q23=0))),0,(IF((R23+S23+T23+U23+V23)&lt;=$Z$10,$Z$10,(R23+S23+T23+U23+V23)))))))</f>
        <v>0</v>
      </c>
      <c r="Y23" s="605">
        <f t="shared" si="16"/>
        <v>1</v>
      </c>
      <c r="Z23" s="588">
        <f t="shared" si="17"/>
        <v>0.5</v>
      </c>
      <c r="AA23" s="589"/>
      <c r="AB23" s="606" t="str">
        <f t="shared" si="9"/>
        <v>EXCLUI</v>
      </c>
      <c r="AC23" s="541" t="e">
        <f t="shared" si="10"/>
        <v>#DIV/0!</v>
      </c>
      <c r="AE23" s="541" t="str">
        <f t="shared" si="11"/>
        <v>1 / F</v>
      </c>
      <c r="AF23" s="591">
        <f t="shared" si="12"/>
        <v>1</v>
      </c>
      <c r="AH23" s="592">
        <f>IF(B23=0,0,VLOOKUP(B23,[2]FREQUENCIAS!$1:$1048576,(IF(($A23=[2]FREQUENCIAS!$M$1),13,"ERRO")),[2]FREQUENCIAS!$1:$1048576))</f>
        <v>0</v>
      </c>
      <c r="AI23" s="592"/>
      <c r="AJ23" s="592"/>
      <c r="AK23" s="593">
        <f t="shared" si="13"/>
        <v>0</v>
      </c>
      <c r="AL23" s="592">
        <f>IF(C23=0,0,VLOOKUP(C23,[2]FREQUENCIAS!$1:$1048576,(IF(($A23=[2]FREQUENCIAS!$M$1),13,"ERRO")),[2]FREQUENCIAS!$1:$1048576))</f>
        <v>0</v>
      </c>
      <c r="AM23" s="592"/>
      <c r="AN23" s="592"/>
      <c r="AO23" s="593">
        <f t="shared" si="14"/>
        <v>0</v>
      </c>
      <c r="AV23" s="607">
        <f>IF(B23=0,0,VLOOKUP(B23,[2]FREQUENCIAS!$1:$1048576,(IF(($A23=[2]FREQUENCIAS!$M$1),13,"ERRO")),[2]FREQUENCIAS!$1:$1048576))</f>
        <v>0</v>
      </c>
      <c r="AW23" s="607">
        <f>IF(C23=0,0,VLOOKUP(C23,[2]FREQUENCIAS!$1:$1048576,(IF(($A23=[2]FREQUENCIAS!$M$1),13,"ERRO")),[2]FREQUENCIAS!$1:$1048576))</f>
        <v>0</v>
      </c>
      <c r="AX23" s="607">
        <f>IF(D23=0,0,VLOOKUP(D23,[2]FREQUENCIAS!$1:$1048576,(IF(($A23=[2]FREQUENCIAS!$M$1),13,"ERRO")),[2]FREQUENCIAS!$1:$1048576))</f>
        <v>0</v>
      </c>
      <c r="AY23" s="607">
        <f>IF(E23=0,0,VLOOKUP(E23,[2]FREQUENCIAS!$1:$1048576,(IF(($A23=[2]FREQUENCIAS!$M$1),13,"ERRO")),[2]FREQUENCIAS!$1:$1048576))</f>
        <v>0</v>
      </c>
      <c r="BD23" s="541">
        <f t="shared" si="18"/>
        <v>1</v>
      </c>
      <c r="BE23" s="541">
        <f t="shared" si="19"/>
        <v>0</v>
      </c>
      <c r="BF23" s="595">
        <f t="shared" si="15"/>
        <v>1</v>
      </c>
    </row>
    <row r="24" spans="1:58" ht="15" customHeight="1" thickTop="1" thickBot="1" x14ac:dyDescent="0.25">
      <c r="A24" s="573" t="str">
        <f>'IMPORTAÇÃO GENOTIPER'!A17</f>
        <v>vWA</v>
      </c>
      <c r="B24" s="574">
        <f>'IMPORTAÇÃO GENOTIPER'!AI17</f>
        <v>0</v>
      </c>
      <c r="C24" s="575">
        <f>'IMPORTAÇÃO GENOTIPER'!AQ17</f>
        <v>0</v>
      </c>
      <c r="D24" s="575">
        <f>'IMPORTAÇÃO GENOTIPER'!AY17</f>
        <v>0</v>
      </c>
      <c r="E24" s="576">
        <f>'IMPORTAÇÃO GENOTIPER'!BG17</f>
        <v>0</v>
      </c>
      <c r="F24" s="597">
        <f t="shared" si="0"/>
        <v>0</v>
      </c>
      <c r="G24" s="597">
        <f t="shared" si="1"/>
        <v>0</v>
      </c>
      <c r="H24" s="597">
        <f t="shared" si="2"/>
        <v>0</v>
      </c>
      <c r="I24" s="597">
        <f t="shared" si="3"/>
        <v>0</v>
      </c>
      <c r="J24" s="598"/>
      <c r="K24" s="598"/>
      <c r="L24" s="598"/>
      <c r="M24" s="599"/>
      <c r="N24" s="598">
        <f t="shared" si="4"/>
        <v>0</v>
      </c>
      <c r="O24" s="598">
        <f t="shared" si="5"/>
        <v>0</v>
      </c>
      <c r="P24" s="600">
        <f t="shared" si="6"/>
        <v>0</v>
      </c>
      <c r="Q24" s="601">
        <f t="shared" si="7"/>
        <v>0</v>
      </c>
      <c r="R24" s="602"/>
      <c r="S24" s="602"/>
      <c r="T24" s="583">
        <f>IF(P24=0,0,VLOOKUP(P24,[2]FREQUENCIAS!1:1048576,(IF(($A24=[2]FREQUENCIAS!$N$1),14,"ERRO")),[2]FREQUENCIAS!1:1048576))</f>
        <v>0</v>
      </c>
      <c r="U24" s="583">
        <f>IF(Q24=0,0,VLOOKUP(Q24,[2]FREQUENCIAS!1:1048576,(IF(($A24=[2]FREQUENCIAS!$N$1),14,"ERRO")),[2]FREQUENCIAS!1:1048576))</f>
        <v>0</v>
      </c>
      <c r="V24" s="603"/>
      <c r="W24" s="585" t="str">
        <f t="shared" si="8"/>
        <v>OK</v>
      </c>
      <c r="X24" s="604">
        <f>(IF((A24="   ERRO-FT"),"7",(IF((AND((P24=0),(Q24=0))),0,(IF((R24+S24+T24+U24+V24)&lt;=$Z$10,$Z$10,(R24+S24+T24+U24+V24)))))))</f>
        <v>0</v>
      </c>
      <c r="Y24" s="605">
        <f t="shared" si="16"/>
        <v>1</v>
      </c>
      <c r="Z24" s="588">
        <f t="shared" si="17"/>
        <v>0.5</v>
      </c>
      <c r="AA24" s="589"/>
      <c r="AB24" s="606" t="str">
        <f t="shared" si="9"/>
        <v>EXCLUI</v>
      </c>
      <c r="AC24" s="541" t="e">
        <f t="shared" si="10"/>
        <v>#DIV/0!</v>
      </c>
      <c r="AE24" s="541" t="str">
        <f t="shared" si="11"/>
        <v>1 / F</v>
      </c>
      <c r="AF24" s="591">
        <f t="shared" si="12"/>
        <v>1</v>
      </c>
      <c r="AH24" s="592">
        <f>IF(B24=0,0,VLOOKUP(B24,[2]FREQUENCIAS!$1:$1048576,(IF(($A24=[2]FREQUENCIAS!$N$1),14,"ERRO")),[2]FREQUENCIAS!$1:$1048576))</f>
        <v>0</v>
      </c>
      <c r="AI24" s="592"/>
      <c r="AJ24" s="592"/>
      <c r="AK24" s="593">
        <f t="shared" si="13"/>
        <v>0</v>
      </c>
      <c r="AL24" s="592">
        <f>IF(C24=0,0,VLOOKUP(C24,[2]FREQUENCIAS!$1:$1048576,(IF(($A24=[2]FREQUENCIAS!$N$1),14,"ERRO")),[2]FREQUENCIAS!$1:$1048576))</f>
        <v>0</v>
      </c>
      <c r="AM24" s="592"/>
      <c r="AN24" s="592"/>
      <c r="AO24" s="593">
        <f t="shared" si="14"/>
        <v>0</v>
      </c>
      <c r="AV24" s="607">
        <f>IF(B24=0,0,VLOOKUP(B24,[2]FREQUENCIAS!$1:$1048576,(IF(($A24=[2]FREQUENCIAS!$N$1),14,"ERRO")),[2]FREQUENCIAS!$1:$1048576))</f>
        <v>0</v>
      </c>
      <c r="AW24" s="607">
        <f>IF(C24=0,0,VLOOKUP(C24,[2]FREQUENCIAS!$1:$1048576,(IF(($A24=[2]FREQUENCIAS!$N$1),14,"ERRO")),[2]FREQUENCIAS!$1:$1048576))</f>
        <v>0</v>
      </c>
      <c r="AX24" s="607">
        <f>IF(D24=0,0,VLOOKUP(D24,[2]FREQUENCIAS!$1:$1048576,(IF(($A24=[2]FREQUENCIAS!$N$1),14,"ERRO")),[2]FREQUENCIAS!$1:$1048576))</f>
        <v>0</v>
      </c>
      <c r="AY24" s="607">
        <f>IF(E24=0,0,VLOOKUP(E24,[2]FREQUENCIAS!$1:$1048576,(IF(($A24=[2]FREQUENCIAS!$N$1),14,"ERRO")),[2]FREQUENCIAS!$1:$1048576))</f>
        <v>0</v>
      </c>
      <c r="BD24" s="541">
        <f t="shared" si="18"/>
        <v>1</v>
      </c>
      <c r="BE24" s="541">
        <f t="shared" si="19"/>
        <v>0</v>
      </c>
      <c r="BF24" s="595">
        <f t="shared" si="15"/>
        <v>1</v>
      </c>
    </row>
    <row r="25" spans="1:58" ht="15" customHeight="1" thickTop="1" thickBot="1" x14ac:dyDescent="0.25">
      <c r="A25" s="573" t="str">
        <f>'IMPORTAÇÃO GENOTIPER'!A18</f>
        <v>D21S11</v>
      </c>
      <c r="B25" s="574">
        <f>'IMPORTAÇÃO GENOTIPER'!AI18</f>
        <v>0</v>
      </c>
      <c r="C25" s="575">
        <f>'IMPORTAÇÃO GENOTIPER'!AQ18</f>
        <v>0</v>
      </c>
      <c r="D25" s="575">
        <f>'IMPORTAÇÃO GENOTIPER'!AY18</f>
        <v>0</v>
      </c>
      <c r="E25" s="576">
        <f>'IMPORTAÇÃO GENOTIPER'!BG18</f>
        <v>0</v>
      </c>
      <c r="F25" s="597">
        <f t="shared" si="0"/>
        <v>0</v>
      </c>
      <c r="G25" s="597">
        <f t="shared" si="1"/>
        <v>0</v>
      </c>
      <c r="H25" s="597">
        <f t="shared" si="2"/>
        <v>0</v>
      </c>
      <c r="I25" s="597">
        <f t="shared" si="3"/>
        <v>0</v>
      </c>
      <c r="J25" s="598"/>
      <c r="K25" s="598"/>
      <c r="L25" s="598"/>
      <c r="M25" s="599"/>
      <c r="N25" s="598">
        <f t="shared" si="4"/>
        <v>0</v>
      </c>
      <c r="O25" s="598">
        <f t="shared" si="5"/>
        <v>0</v>
      </c>
      <c r="P25" s="600">
        <f t="shared" si="6"/>
        <v>0</v>
      </c>
      <c r="Q25" s="601">
        <f t="shared" si="7"/>
        <v>0</v>
      </c>
      <c r="R25" s="602"/>
      <c r="S25" s="602"/>
      <c r="T25" s="583">
        <f>IF(P25=0,0,VLOOKUP(P25,[2]FREQUENCIAS!1:1048576,(IF(($A25=[2]FREQUENCIAS!$O$1),15,"ERRO")),[2]FREQUENCIAS!1:1048576))</f>
        <v>0</v>
      </c>
      <c r="U25" s="583">
        <f>IF(Q25=0,0,VLOOKUP(Q25,[2]FREQUENCIAS!1:1048576,(IF(($A25=[2]FREQUENCIAS!$O$1),15,"ERRO")),[2]FREQUENCIAS!1:1048576))</f>
        <v>0</v>
      </c>
      <c r="V25" s="603"/>
      <c r="W25" s="585" t="str">
        <f t="shared" si="8"/>
        <v>OK</v>
      </c>
      <c r="X25" s="604">
        <f>(IF((A25="   ERRO-FT"),"7",(IF((AND((P25=0),(Q25=0))),0,(IF((R25+S25+T25+U25+V25)&lt;=$Z$10,$Z$10,(R25+S25+T25+U25+V25)))))))</f>
        <v>0</v>
      </c>
      <c r="Y25" s="605">
        <f t="shared" si="16"/>
        <v>1</v>
      </c>
      <c r="Z25" s="588">
        <f t="shared" si="17"/>
        <v>0.5</v>
      </c>
      <c r="AA25" s="589"/>
      <c r="AB25" s="606" t="str">
        <f t="shared" si="9"/>
        <v>EXCLUI</v>
      </c>
      <c r="AC25" s="541" t="e">
        <f t="shared" si="10"/>
        <v>#DIV/0!</v>
      </c>
      <c r="AE25" s="541" t="str">
        <f t="shared" si="11"/>
        <v>1 / F</v>
      </c>
      <c r="AF25" s="591">
        <f t="shared" si="12"/>
        <v>1</v>
      </c>
      <c r="AH25" s="592">
        <f>IF(B25=0,0,VLOOKUP(B25,[2]FREQUENCIAS!$1:$1048576,(IF(($A25=[2]FREQUENCIAS!$O$1),15,"ERRO")),[2]FREQUENCIAS!$1:$1048576))</f>
        <v>0</v>
      </c>
      <c r="AI25" s="592"/>
      <c r="AJ25" s="592"/>
      <c r="AK25" s="593">
        <f t="shared" si="13"/>
        <v>0</v>
      </c>
      <c r="AL25" s="592">
        <f>IF(C25=0,0,VLOOKUP(C25,[2]FREQUENCIAS!$1:$1048576,(IF(($A25=[2]FREQUENCIAS!$O$1),15,"ERRO")),[2]FREQUENCIAS!$1:$1048576))</f>
        <v>0</v>
      </c>
      <c r="AM25" s="592"/>
      <c r="AN25" s="592"/>
      <c r="AO25" s="593">
        <f t="shared" si="14"/>
        <v>0</v>
      </c>
      <c r="AV25" s="607">
        <f>IF(B25=0,0,VLOOKUP(B25,[2]FREQUENCIAS!$1:$1048576,(IF(($A25=[2]FREQUENCIAS!$O$1),15,"ERRO")),[2]FREQUENCIAS!$1:$1048576))</f>
        <v>0</v>
      </c>
      <c r="AW25" s="607">
        <f>IF(C25=0,0,VLOOKUP(C25,[2]FREQUENCIAS!$1:$1048576,(IF(($A25=[2]FREQUENCIAS!$O$1),15,"ERRO")),[2]FREQUENCIAS!$1:$1048576))</f>
        <v>0</v>
      </c>
      <c r="AX25" s="607">
        <f>IF(D25=0,0,VLOOKUP(D25,[2]FREQUENCIAS!$1:$1048576,(IF(($A25=[2]FREQUENCIAS!$O$1),15,"ERRO")),[2]FREQUENCIAS!$1:$1048576))</f>
        <v>0</v>
      </c>
      <c r="AY25" s="607">
        <f>IF(E25=0,0,VLOOKUP(E25,[2]FREQUENCIAS!$1:$1048576,(IF(($A25=[2]FREQUENCIAS!$O$1),15,"ERRO")),[2]FREQUENCIAS!$1:$1048576))</f>
        <v>0</v>
      </c>
      <c r="BD25" s="541">
        <f t="shared" si="18"/>
        <v>1</v>
      </c>
      <c r="BE25" s="541">
        <f t="shared" si="19"/>
        <v>0</v>
      </c>
      <c r="BF25" s="595">
        <f t="shared" si="15"/>
        <v>1</v>
      </c>
    </row>
    <row r="26" spans="1:58" ht="15" customHeight="1" thickTop="1" thickBot="1" x14ac:dyDescent="0.25">
      <c r="A26" s="573" t="str">
        <f>'IMPORTAÇÃO GENOTIPER'!A19</f>
        <v>D7S820</v>
      </c>
      <c r="B26" s="574">
        <f>'IMPORTAÇÃO GENOTIPER'!AI19</f>
        <v>0</v>
      </c>
      <c r="C26" s="575">
        <f>'IMPORTAÇÃO GENOTIPER'!AQ19</f>
        <v>0</v>
      </c>
      <c r="D26" s="575">
        <f>'IMPORTAÇÃO GENOTIPER'!AY19</f>
        <v>0</v>
      </c>
      <c r="E26" s="576">
        <f>'IMPORTAÇÃO GENOTIPER'!BG19</f>
        <v>0</v>
      </c>
      <c r="F26" s="597">
        <f t="shared" si="0"/>
        <v>0</v>
      </c>
      <c r="G26" s="597">
        <f t="shared" si="1"/>
        <v>0</v>
      </c>
      <c r="H26" s="597">
        <f t="shared" si="2"/>
        <v>0</v>
      </c>
      <c r="I26" s="597">
        <f t="shared" si="3"/>
        <v>0</v>
      </c>
      <c r="J26" s="598"/>
      <c r="K26" s="598"/>
      <c r="L26" s="598"/>
      <c r="M26" s="599"/>
      <c r="N26" s="598">
        <f t="shared" si="4"/>
        <v>0</v>
      </c>
      <c r="O26" s="598">
        <f t="shared" si="5"/>
        <v>0</v>
      </c>
      <c r="P26" s="600">
        <f t="shared" si="6"/>
        <v>0</v>
      </c>
      <c r="Q26" s="601">
        <f t="shared" si="7"/>
        <v>0</v>
      </c>
      <c r="R26" s="602"/>
      <c r="S26" s="602"/>
      <c r="T26" s="583">
        <f>IF(P26=0,0,VLOOKUP(P26,[2]FREQUENCIAS!1:1048576,(IF(($A26=[2]FREQUENCIAS!$P$1),16,"ERRO")),[2]FREQUENCIAS!1:1048576))</f>
        <v>0</v>
      </c>
      <c r="U26" s="583">
        <f>IF(Q26=0,0,VLOOKUP(Q26,[2]FREQUENCIAS!1:1048576,(IF(($A26=[2]FREQUENCIAS!$P$1),16,"ERRO")),[2]FREQUENCIAS!1:1048576))</f>
        <v>0</v>
      </c>
      <c r="V26" s="603"/>
      <c r="W26" s="585" t="str">
        <f t="shared" si="8"/>
        <v>OK</v>
      </c>
      <c r="X26" s="604">
        <f>(IF((A26="   ERRO-FT"),"16",(IF((AND((P26=0),(Q26=0))),0,(IF((R26+S26+T26+U26+V26)&lt;=$Z$10,$Z$10,(R26+S26+T26+U26+V26)))))))</f>
        <v>0</v>
      </c>
      <c r="Y26" s="605">
        <f t="shared" si="16"/>
        <v>1</v>
      </c>
      <c r="Z26" s="588">
        <f t="shared" si="17"/>
        <v>0.5</v>
      </c>
      <c r="AA26" s="611"/>
      <c r="AB26" s="606" t="str">
        <f t="shared" si="9"/>
        <v>EXCLUI</v>
      </c>
      <c r="AC26" s="541" t="e">
        <f t="shared" si="10"/>
        <v>#DIV/0!</v>
      </c>
      <c r="AD26" s="541" t="s">
        <v>350</v>
      </c>
      <c r="AE26" s="541" t="str">
        <f t="shared" si="11"/>
        <v>1 / F</v>
      </c>
      <c r="AF26" s="591">
        <f t="shared" si="12"/>
        <v>1</v>
      </c>
      <c r="AH26" s="592">
        <f>IF(B26=0,0,VLOOKUP(B26,[2]FREQUENCIAS!$1:$1048576,(IF(($A26=[2]FREQUENCIAS!$P$1),16,"ERRO")),[2]FREQUENCIAS!$1:$1048576))</f>
        <v>0</v>
      </c>
      <c r="AI26" s="592"/>
      <c r="AJ26" s="592"/>
      <c r="AK26" s="593">
        <f t="shared" si="13"/>
        <v>0</v>
      </c>
      <c r="AL26" s="592">
        <f>IF(C26=0,0,VLOOKUP(C26,[2]FREQUENCIAS!$1:$1048576,(IF(($A26=[2]FREQUENCIAS!$P$1),16,"ERRO")),[2]FREQUENCIAS!$1:$1048576))</f>
        <v>0</v>
      </c>
      <c r="AM26" s="592"/>
      <c r="AN26" s="592"/>
      <c r="AO26" s="593">
        <f t="shared" si="14"/>
        <v>0</v>
      </c>
      <c r="AV26" s="607">
        <f>IF(B26=0,0,VLOOKUP(B26,[2]FREQUENCIAS!$1:$1048576,(IF(($A26=[2]FREQUENCIAS!$P$1),16,"ERRO")),[2]FREQUENCIAS!$1:$1048576))</f>
        <v>0</v>
      </c>
      <c r="AW26" s="607">
        <f>IF(C26=0,0,VLOOKUP(C26,[2]FREQUENCIAS!$1:$1048576,(IF(($A26=[2]FREQUENCIAS!$P$1),16,"ERRO")),[2]FREQUENCIAS!$1:$1048576))</f>
        <v>0</v>
      </c>
      <c r="AX26" s="607">
        <f>IF(D26=0,0,VLOOKUP(D26,[2]FREQUENCIAS!$1:$1048576,(IF(($A26=[2]FREQUENCIAS!$P$1),16,"ERRO")),[2]FREQUENCIAS!$1:$1048576))</f>
        <v>0</v>
      </c>
      <c r="AY26" s="607">
        <f>IF(E26=0,0,VLOOKUP(E26,[2]FREQUENCIAS!$1:$1048576,(IF(($A26=[2]FREQUENCIAS!$P$1),16,"ERRO")),[2]FREQUENCIAS!$1:$1048576))</f>
        <v>0</v>
      </c>
      <c r="AZ26" s="608">
        <f>(IF((OR((B26=22.3),(B26=23.2),(B26=24.2),(B26=25.2),(B26=24.3),(B26=26.2),(B26=34.2),(B26="&gt;42,2"),(B26=42.2),(B26=43.2),(B26=44.2),(B26=45.2),(B26=46.2),(B26=47.2),(B26=48.2),(B26=50.2))),1,0))</f>
        <v>0</v>
      </c>
      <c r="BA26" s="608">
        <f>(IF((OR((C26=22.3),(C26=23.2),(C26=24.2),(C26=25.2),(C26=24.3),(C26=26.2),(C26=34.2),(C26="&gt;42,2"),(C26=42.2),(C26=43.2),(C26=44.2),(C26=45.2),(C26=46.2),(C26=47.2),(C26=48.2),(C26=50.2))),1,0))</f>
        <v>0</v>
      </c>
      <c r="BB26" s="608">
        <f>(IF((OR((D26=22.3),(D26=23.2),(D26=24.2),(D26=25.2),(D26=24.3),(D26=26.2),(D26=34.2),(D26="&gt;42,2"),(D26=42.2),(D26=43.2),(D26=44.2),(D26=45.2),(D26=46.2),(D26=47.2),(D26=48.2),(D26=50.2))),1,0))</f>
        <v>0</v>
      </c>
      <c r="BC26" s="608">
        <f>(IF((OR((E26=22.3),(E26=23.2),(E26=24.2),(E26=25.2),(E26=24.3),(E26=26.2),(E26=34.2),(E26="&gt;42,2"),(E26=42.2),(E26=43.2),(E26=44.2),(E26=45.2),(E26=46.2),(E26=47.2),(E26=48.2),(E26=50.2))),1,0))</f>
        <v>0</v>
      </c>
      <c r="BD26" s="541">
        <f t="shared" si="18"/>
        <v>1</v>
      </c>
      <c r="BE26" s="541">
        <f t="shared" si="19"/>
        <v>0</v>
      </c>
      <c r="BF26" s="595">
        <f t="shared" si="15"/>
        <v>1</v>
      </c>
    </row>
    <row r="27" spans="1:58" ht="15" customHeight="1" thickTop="1" thickBot="1" x14ac:dyDescent="0.25">
      <c r="A27" s="573" t="str">
        <f>'IMPORTAÇÃO GENOTIPER'!A20</f>
        <v>D5S818</v>
      </c>
      <c r="B27" s="574">
        <f>'IMPORTAÇÃO GENOTIPER'!AI20</f>
        <v>0</v>
      </c>
      <c r="C27" s="575">
        <f>'IMPORTAÇÃO GENOTIPER'!AQ20</f>
        <v>0</v>
      </c>
      <c r="D27" s="575">
        <f>'IMPORTAÇÃO GENOTIPER'!AY20</f>
        <v>0</v>
      </c>
      <c r="E27" s="576">
        <f>'IMPORTAÇÃO GENOTIPER'!BG20</f>
        <v>0</v>
      </c>
      <c r="F27" s="597">
        <f t="shared" si="0"/>
        <v>0</v>
      </c>
      <c r="G27" s="597">
        <f t="shared" si="1"/>
        <v>0</v>
      </c>
      <c r="H27" s="597">
        <f t="shared" si="2"/>
        <v>0</v>
      </c>
      <c r="I27" s="597">
        <f t="shared" si="3"/>
        <v>0</v>
      </c>
      <c r="J27" s="598"/>
      <c r="K27" s="598"/>
      <c r="L27" s="598"/>
      <c r="M27" s="599"/>
      <c r="N27" s="598">
        <f t="shared" si="4"/>
        <v>0</v>
      </c>
      <c r="O27" s="598">
        <f t="shared" si="5"/>
        <v>0</v>
      </c>
      <c r="P27" s="600">
        <f t="shared" si="6"/>
        <v>0</v>
      </c>
      <c r="Q27" s="601">
        <f t="shared" si="7"/>
        <v>0</v>
      </c>
      <c r="R27" s="602"/>
      <c r="S27" s="602"/>
      <c r="T27" s="583">
        <f>IF(P27=0,0,VLOOKUP(P27,[2]FREQUENCIAS!1:1048576,(IF(($A27=[2]FREQUENCIAS!$Q$1),17,"ERRO")),[2]FREQUENCIAS!1:1048576))</f>
        <v>0</v>
      </c>
      <c r="U27" s="583">
        <f>IF(Q27=0,0,VLOOKUP(Q27,[2]FREQUENCIAS!1:1048576,(IF(($A27=[2]FREQUENCIAS!$Q$1),17,"ERRO")),[2]FREQUENCIAS!1:1048576))</f>
        <v>0</v>
      </c>
      <c r="V27" s="603"/>
      <c r="W27" s="585" t="str">
        <f t="shared" si="8"/>
        <v>OK</v>
      </c>
      <c r="X27" s="604">
        <f t="shared" ref="X27:X45" si="20">(IF((A27="   ERRO-FT"),"16",(IF((AND((P27=0),(Q27=0))),0,(IF((R27+S27+T27+U27+V27)&lt;=$Z$10,$Z$10,(R27+S27+T27+U27+V27)))))))</f>
        <v>0</v>
      </c>
      <c r="Y27" s="605">
        <f t="shared" si="16"/>
        <v>1</v>
      </c>
      <c r="Z27" s="588">
        <f t="shared" si="17"/>
        <v>0.5</v>
      </c>
      <c r="AA27" s="612"/>
      <c r="AB27" s="606" t="str">
        <f t="shared" si="9"/>
        <v>EXCLUI</v>
      </c>
      <c r="AC27" s="541" t="e">
        <f t="shared" si="10"/>
        <v>#DIV/0!</v>
      </c>
      <c r="AD27" s="541" t="s">
        <v>350</v>
      </c>
      <c r="AE27" s="541" t="str">
        <f t="shared" si="11"/>
        <v>1 / F</v>
      </c>
      <c r="AF27" s="591">
        <f t="shared" si="12"/>
        <v>1</v>
      </c>
      <c r="AH27" s="592">
        <f>IF(B27=0,0,VLOOKUP(B27,[2]FREQUENCIAS!$1:$1048576,(IF(($A27=[2]FREQUENCIAS!$Q$1),17,"ERRO")),[2]FREQUENCIAS!$1:$1048576))</f>
        <v>0</v>
      </c>
      <c r="AI27" s="592"/>
      <c r="AJ27" s="592"/>
      <c r="AK27" s="593">
        <f t="shared" si="13"/>
        <v>0</v>
      </c>
      <c r="AL27" s="592">
        <f>IF(C27=0,0,VLOOKUP(C27,[2]FREQUENCIAS!$1:$1048576,(IF(($A27=[2]FREQUENCIAS!$Q$1),17,"ERRO")),[2]FREQUENCIAS!$1:$1048576))</f>
        <v>0</v>
      </c>
      <c r="AM27" s="592"/>
      <c r="AN27" s="592"/>
      <c r="AO27" s="593">
        <f t="shared" si="14"/>
        <v>0</v>
      </c>
      <c r="AV27" s="607">
        <f>IF(B27=0,0,VLOOKUP(B27,[2]FREQUENCIAS!$1:$1048576,(IF(($A27=[2]FREQUENCIAS!$Q$1),17,"ERRO")),[2]FREQUENCIAS!$1:$1048576))</f>
        <v>0</v>
      </c>
      <c r="AW27" s="607">
        <f>IF(C27=0,0,VLOOKUP(C27,[2]FREQUENCIAS!$1:$1048576,(IF(($A27=[2]FREQUENCIAS!$Q$1),17,"ERRO")),[2]FREQUENCIAS!$1:$1048576))</f>
        <v>0</v>
      </c>
      <c r="AX27" s="607">
        <f>IF(D27=0,0,VLOOKUP(D27,[2]FREQUENCIAS!$1:$1048576,(IF(($A27=[2]FREQUENCIAS!$Q$1),17,"ERRO")),[2]FREQUENCIAS!$1:$1048576))</f>
        <v>0</v>
      </c>
      <c r="AY27" s="607">
        <f>IF(E27=0,0,VLOOKUP(E27,[2]FREQUENCIAS!$1:$1048576,(IF(($A27=[2]FREQUENCIAS!$Q$1),17,"ERRO")),[2]FREQUENCIAS!$1:$1048576))</f>
        <v>0</v>
      </c>
      <c r="AZ27" s="608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608">
        <f t="shared" si="21"/>
        <v>0</v>
      </c>
      <c r="BB27" s="608">
        <f t="shared" si="21"/>
        <v>0</v>
      </c>
      <c r="BC27" s="608">
        <f t="shared" si="21"/>
        <v>0</v>
      </c>
      <c r="BD27" s="541">
        <f t="shared" si="18"/>
        <v>1</v>
      </c>
      <c r="BE27" s="541">
        <f t="shared" si="19"/>
        <v>0</v>
      </c>
      <c r="BF27" s="595">
        <f t="shared" si="15"/>
        <v>1</v>
      </c>
    </row>
    <row r="28" spans="1:58" ht="15" customHeight="1" thickTop="1" thickBot="1" x14ac:dyDescent="0.25">
      <c r="A28" s="573" t="str">
        <f>'IMPORTAÇÃO GENOTIPER'!A21</f>
        <v>TPOX</v>
      </c>
      <c r="B28" s="574">
        <f>'IMPORTAÇÃO GENOTIPER'!AI21</f>
        <v>0</v>
      </c>
      <c r="C28" s="575">
        <f>'IMPORTAÇÃO GENOTIPER'!AQ21</f>
        <v>0</v>
      </c>
      <c r="D28" s="575">
        <f>'IMPORTAÇÃO GENOTIPER'!AY21</f>
        <v>0</v>
      </c>
      <c r="E28" s="576">
        <f>'IMPORTAÇÃO GENOTIPER'!BG21</f>
        <v>0</v>
      </c>
      <c r="F28" s="597">
        <f t="shared" si="0"/>
        <v>0</v>
      </c>
      <c r="G28" s="597">
        <f t="shared" si="1"/>
        <v>0</v>
      </c>
      <c r="H28" s="597">
        <f t="shared" si="2"/>
        <v>0</v>
      </c>
      <c r="I28" s="597">
        <f t="shared" si="3"/>
        <v>0</v>
      </c>
      <c r="J28" s="598"/>
      <c r="K28" s="598"/>
      <c r="L28" s="598"/>
      <c r="M28" s="599"/>
      <c r="N28" s="598">
        <f t="shared" si="4"/>
        <v>0</v>
      </c>
      <c r="O28" s="598">
        <f t="shared" si="5"/>
        <v>0</v>
      </c>
      <c r="P28" s="600">
        <f t="shared" si="6"/>
        <v>0</v>
      </c>
      <c r="Q28" s="601">
        <f t="shared" si="7"/>
        <v>0</v>
      </c>
      <c r="R28" s="602"/>
      <c r="S28" s="602"/>
      <c r="T28" s="583">
        <f>IF(P28=0,0,VLOOKUP(P28,[2]FREQUENCIAS!1:1048576,(IF(($A28=[2]FREQUENCIAS!$R$1),18,"ERRO")),[2]FREQUENCIAS!1:1048576))</f>
        <v>0</v>
      </c>
      <c r="U28" s="583">
        <f>IF(Q28=0,0,VLOOKUP(Q28,[2]FREQUENCIAS!1:1048576,(IF(($A28=[2]FREQUENCIAS!$R$1),18,"ERRO")),[2]FREQUENCIAS!1:1048576))</f>
        <v>0</v>
      </c>
      <c r="V28" s="603"/>
      <c r="W28" s="585" t="str">
        <f t="shared" si="8"/>
        <v>OK</v>
      </c>
      <c r="X28" s="604">
        <f t="shared" si="20"/>
        <v>0</v>
      </c>
      <c r="Y28" s="605">
        <f t="shared" si="16"/>
        <v>1</v>
      </c>
      <c r="Z28" s="588">
        <f t="shared" si="17"/>
        <v>0.5</v>
      </c>
      <c r="AA28" s="612"/>
      <c r="AB28" s="606" t="str">
        <f t="shared" si="9"/>
        <v>EXCLUI</v>
      </c>
      <c r="AC28" s="541" t="e">
        <f t="shared" si="10"/>
        <v>#DIV/0!</v>
      </c>
      <c r="AD28" s="541" t="s">
        <v>350</v>
      </c>
      <c r="AE28" s="541" t="str">
        <f t="shared" si="11"/>
        <v>1 / F</v>
      </c>
      <c r="AF28" s="591">
        <f t="shared" si="12"/>
        <v>1</v>
      </c>
      <c r="AH28" s="592">
        <f>IF(B28=0,0,VLOOKUP(B28,[2]FREQUENCIAS!$1:$1048576,(IF(($A28=[2]FREQUENCIAS!$R$1),18,"ERRO")),[2]FREQUENCIAS!$1:$1048576))</f>
        <v>0</v>
      </c>
      <c r="AI28" s="592"/>
      <c r="AJ28" s="592"/>
      <c r="AK28" s="593">
        <f t="shared" si="13"/>
        <v>0</v>
      </c>
      <c r="AL28" s="592">
        <f>IF(C28=0,0,VLOOKUP(C28,[2]FREQUENCIAS!$1:$1048576,(IF(($A28=[2]FREQUENCIAS!$R$1),18,"ERRO")),[2]FREQUENCIAS!$1:$1048576))</f>
        <v>0</v>
      </c>
      <c r="AM28" s="592"/>
      <c r="AN28" s="592"/>
      <c r="AO28" s="593">
        <f t="shared" si="14"/>
        <v>0</v>
      </c>
      <c r="AV28" s="607">
        <f>IF(B28=0,0,VLOOKUP(B28,[2]FREQUENCIAS!$1:$1048576,(IF(($A28=[2]FREQUENCIAS!$R$1),18,"ERRO")),[2]FREQUENCIAS!$1:$1048576))</f>
        <v>0</v>
      </c>
      <c r="AW28" s="607">
        <f>IF(C28=0,0,VLOOKUP(C28,[2]FREQUENCIAS!$1:$1048576,(IF(($A28=[2]FREQUENCIAS!$R$1),18,"ERRO")),[2]FREQUENCIAS!$1:$1048576))</f>
        <v>0</v>
      </c>
      <c r="AX28" s="607">
        <f>IF(D28=0,0,VLOOKUP(D28,[2]FREQUENCIAS!$1:$1048576,(IF(($A28=[2]FREQUENCIAS!$R$1),18,"ERRO")),[2]FREQUENCIAS!$1:$1048576))</f>
        <v>0</v>
      </c>
      <c r="AY28" s="607">
        <f>IF(E28=0,0,VLOOKUP(E28,[2]FREQUENCIAS!$1:$1048576,(IF(($A28=[2]FREQUENCIAS!$R$1),18,"ERRO")),[2]FREQUENCIAS!$1:$1048576))</f>
        <v>0</v>
      </c>
      <c r="AZ28" s="608">
        <f t="shared" si="21"/>
        <v>0</v>
      </c>
      <c r="BA28" s="608">
        <f t="shared" si="21"/>
        <v>0</v>
      </c>
      <c r="BB28" s="608">
        <f t="shared" si="21"/>
        <v>0</v>
      </c>
      <c r="BC28" s="608">
        <f t="shared" si="21"/>
        <v>0</v>
      </c>
      <c r="BD28" s="541">
        <f t="shared" si="18"/>
        <v>1</v>
      </c>
      <c r="BE28" s="541">
        <f t="shared" si="19"/>
        <v>0</v>
      </c>
      <c r="BF28" s="595">
        <f t="shared" si="15"/>
        <v>1</v>
      </c>
    </row>
    <row r="29" spans="1:58" ht="15" customHeight="1" thickTop="1" thickBot="1" x14ac:dyDescent="0.25">
      <c r="A29" s="573" t="str">
        <f>'IMPORTAÇÃO GENOTIPER'!A22</f>
        <v>D8S1179</v>
      </c>
      <c r="B29" s="574">
        <f>'IMPORTAÇÃO GENOTIPER'!AI22</f>
        <v>0</v>
      </c>
      <c r="C29" s="575">
        <f>'IMPORTAÇÃO GENOTIPER'!AQ22</f>
        <v>0</v>
      </c>
      <c r="D29" s="575">
        <f>'IMPORTAÇÃO GENOTIPER'!AY22</f>
        <v>0</v>
      </c>
      <c r="E29" s="576">
        <f>'IMPORTAÇÃO GENOTIPER'!BG22</f>
        <v>0</v>
      </c>
      <c r="F29" s="597">
        <f t="shared" si="0"/>
        <v>0</v>
      </c>
      <c r="G29" s="597">
        <f t="shared" si="1"/>
        <v>0</v>
      </c>
      <c r="H29" s="597">
        <f t="shared" si="2"/>
        <v>0</v>
      </c>
      <c r="I29" s="597">
        <f t="shared" si="3"/>
        <v>0</v>
      </c>
      <c r="J29" s="598"/>
      <c r="K29" s="598"/>
      <c r="L29" s="598"/>
      <c r="M29" s="599"/>
      <c r="N29" s="598">
        <f t="shared" si="4"/>
        <v>0</v>
      </c>
      <c r="O29" s="598">
        <f t="shared" si="5"/>
        <v>0</v>
      </c>
      <c r="P29" s="600">
        <f t="shared" si="6"/>
        <v>0</v>
      </c>
      <c r="Q29" s="601">
        <f t="shared" si="7"/>
        <v>0</v>
      </c>
      <c r="R29" s="602"/>
      <c r="S29" s="602"/>
      <c r="T29" s="583">
        <f>IF(P29=0,0,VLOOKUP(P29,[2]FREQUENCIAS!1:1048576,(IF(($A29=[2]FREQUENCIAS!$S$1),19,"ERRO")),[2]FREQUENCIAS!1:1048576))</f>
        <v>0</v>
      </c>
      <c r="U29" s="583">
        <f>IF(Q29=0,0,VLOOKUP(Q29,[2]FREQUENCIAS!1:1048576,(IF(($A29=[2]FREQUENCIAS!$S$1),19,"ERRO")),[2]FREQUENCIAS!1:1048576))</f>
        <v>0</v>
      </c>
      <c r="V29" s="603"/>
      <c r="W29" s="585" t="str">
        <f t="shared" si="8"/>
        <v>OK</v>
      </c>
      <c r="X29" s="604">
        <f t="shared" si="20"/>
        <v>0</v>
      </c>
      <c r="Y29" s="605">
        <f t="shared" si="16"/>
        <v>1</v>
      </c>
      <c r="Z29" s="588">
        <f t="shared" si="17"/>
        <v>0.5</v>
      </c>
      <c r="AA29" s="612"/>
      <c r="AB29" s="606" t="str">
        <f t="shared" si="9"/>
        <v>EXCLUI</v>
      </c>
      <c r="AC29" s="541" t="e">
        <f t="shared" si="10"/>
        <v>#DIV/0!</v>
      </c>
      <c r="AD29" s="541" t="s">
        <v>350</v>
      </c>
      <c r="AE29" s="541" t="str">
        <f t="shared" si="11"/>
        <v>1 / F</v>
      </c>
      <c r="AF29" s="591">
        <f t="shared" si="12"/>
        <v>1</v>
      </c>
      <c r="AH29" s="592">
        <f>IF(B29=0,0,VLOOKUP(B29,[2]FREQUENCIAS!$1:$1048576,(IF(($A29=[2]FREQUENCIAS!$S$1),19,"ERRO")),[2]FREQUENCIAS!$1:$1048576))</f>
        <v>0</v>
      </c>
      <c r="AI29" s="592"/>
      <c r="AJ29" s="592"/>
      <c r="AK29" s="593">
        <f t="shared" si="13"/>
        <v>0</v>
      </c>
      <c r="AL29" s="592">
        <f>IF(C29=0,0,VLOOKUP(C29,[2]FREQUENCIAS!$1:$1048576,(IF(($A29=[2]FREQUENCIAS!$S$1),19,"ERRO")),[2]FREQUENCIAS!$1:$1048576))</f>
        <v>0</v>
      </c>
      <c r="AM29" s="592"/>
      <c r="AN29" s="592"/>
      <c r="AO29" s="593">
        <f t="shared" si="14"/>
        <v>0</v>
      </c>
      <c r="AV29" s="607">
        <f>IF(B29=0,0,VLOOKUP(B29,[2]FREQUENCIAS!$1:$1048576,(IF(($A29=[2]FREQUENCIAS!$S$1),19,"ERRO")),[2]FREQUENCIAS!$1:$1048576))</f>
        <v>0</v>
      </c>
      <c r="AW29" s="607">
        <f>IF(C29=0,0,VLOOKUP(C29,[2]FREQUENCIAS!$1:$1048576,(IF(($A29=[2]FREQUENCIAS!$S$1),19,"ERRO")),[2]FREQUENCIAS!$1:$1048576))</f>
        <v>0</v>
      </c>
      <c r="AX29" s="607">
        <f>IF(D29=0,0,VLOOKUP(D29,[2]FREQUENCIAS!$1:$1048576,(IF(($A29=[2]FREQUENCIAS!$S$1),19,"ERRO")),[2]FREQUENCIAS!$1:$1048576))</f>
        <v>0</v>
      </c>
      <c r="AY29" s="607">
        <f>IF(E29=0,0,VLOOKUP(E29,[2]FREQUENCIAS!$1:$1048576,(IF(($A29=[2]FREQUENCIAS!$S$1),19,"ERRO")),[2]FREQUENCIAS!$1:$1048576))</f>
        <v>0</v>
      </c>
      <c r="AZ29" s="608">
        <f t="shared" si="21"/>
        <v>0</v>
      </c>
      <c r="BA29" s="608">
        <f t="shared" si="21"/>
        <v>0</v>
      </c>
      <c r="BB29" s="608">
        <f t="shared" si="21"/>
        <v>0</v>
      </c>
      <c r="BC29" s="608">
        <f t="shared" si="21"/>
        <v>0</v>
      </c>
      <c r="BD29" s="541">
        <f t="shared" si="18"/>
        <v>1</v>
      </c>
      <c r="BE29" s="541">
        <f t="shared" si="19"/>
        <v>0</v>
      </c>
      <c r="BF29" s="595">
        <f t="shared" si="15"/>
        <v>1</v>
      </c>
    </row>
    <row r="30" spans="1:58" ht="15" customHeight="1" thickTop="1" thickBot="1" x14ac:dyDescent="0.25">
      <c r="A30" s="573" t="str">
        <f>'IMPORTAÇÃO GENOTIPER'!A23</f>
        <v>D12S391</v>
      </c>
      <c r="B30" s="574">
        <f>'IMPORTAÇÃO GENOTIPER'!AI23</f>
        <v>0</v>
      </c>
      <c r="C30" s="575">
        <f>'IMPORTAÇÃO GENOTIPER'!AQ23</f>
        <v>0</v>
      </c>
      <c r="D30" s="575">
        <f>'IMPORTAÇÃO GENOTIPER'!AY23</f>
        <v>0</v>
      </c>
      <c r="E30" s="576">
        <f>'IMPORTAÇÃO GENOTIPER'!BG23</f>
        <v>0</v>
      </c>
      <c r="F30" s="597">
        <f t="shared" si="0"/>
        <v>0</v>
      </c>
      <c r="G30" s="597">
        <f t="shared" si="1"/>
        <v>0</v>
      </c>
      <c r="H30" s="597">
        <f t="shared" si="2"/>
        <v>0</v>
      </c>
      <c r="I30" s="597">
        <f t="shared" si="3"/>
        <v>0</v>
      </c>
      <c r="J30" s="598"/>
      <c r="K30" s="598"/>
      <c r="L30" s="598"/>
      <c r="M30" s="599"/>
      <c r="N30" s="598">
        <f t="shared" si="4"/>
        <v>0</v>
      </c>
      <c r="O30" s="598">
        <f t="shared" si="5"/>
        <v>0</v>
      </c>
      <c r="P30" s="600">
        <f t="shared" si="6"/>
        <v>0</v>
      </c>
      <c r="Q30" s="601">
        <f t="shared" si="7"/>
        <v>0</v>
      </c>
      <c r="R30" s="602"/>
      <c r="S30" s="602"/>
      <c r="T30" s="583">
        <f>IF(P30=0,0,VLOOKUP(P30,[2]FREQUENCIAS!1:1048576,(IF(($A30=[2]FREQUENCIAS!$T$1),20,"ERRO")),[2]FREQUENCIAS!1:1048576))</f>
        <v>0</v>
      </c>
      <c r="U30" s="583">
        <f>IF(Q30=0,0,VLOOKUP(Q30,[2]FREQUENCIAS!1:1048576,(IF(($A30=[2]FREQUENCIAS!$T$1),20,"ERRO")),[2]FREQUENCIAS!1:1048576))</f>
        <v>0</v>
      </c>
      <c r="V30" s="603"/>
      <c r="W30" s="585" t="str">
        <f t="shared" si="8"/>
        <v>OK</v>
      </c>
      <c r="X30" s="604">
        <f t="shared" si="20"/>
        <v>0</v>
      </c>
      <c r="Y30" s="605">
        <f t="shared" si="16"/>
        <v>1</v>
      </c>
      <c r="Z30" s="588">
        <f t="shared" si="17"/>
        <v>0.5</v>
      </c>
      <c r="AA30" s="612"/>
      <c r="AB30" s="606" t="str">
        <f t="shared" si="9"/>
        <v>EXCLUI</v>
      </c>
      <c r="AC30" s="541" t="e">
        <f t="shared" si="10"/>
        <v>#DIV/0!</v>
      </c>
      <c r="AD30" s="541" t="s">
        <v>350</v>
      </c>
      <c r="AE30" s="541" t="str">
        <f t="shared" si="11"/>
        <v>1 / F</v>
      </c>
      <c r="AF30" s="591">
        <f t="shared" si="12"/>
        <v>1</v>
      </c>
      <c r="AH30" s="592">
        <f>IF(B30=0,0,VLOOKUP(B30,[2]FREQUENCIAS!$1:$1048576,(IF(($A30=[2]FREQUENCIAS!$T$1),20,"ERRO")),[2]FREQUENCIAS!$1:$1048576))</f>
        <v>0</v>
      </c>
      <c r="AI30" s="592"/>
      <c r="AJ30" s="592"/>
      <c r="AK30" s="593">
        <f t="shared" si="13"/>
        <v>0</v>
      </c>
      <c r="AL30" s="592">
        <f>IF(C30=0,0,VLOOKUP(C30,[2]FREQUENCIAS!$1:$1048576,(IF(($A30=[2]FREQUENCIAS!$T$1),20,"ERRO")),[2]FREQUENCIAS!$1:$1048576))</f>
        <v>0</v>
      </c>
      <c r="AM30" s="592"/>
      <c r="AN30" s="592"/>
      <c r="AO30" s="593">
        <f t="shared" si="14"/>
        <v>0</v>
      </c>
      <c r="AV30" s="607">
        <f>IF(B30=0,0,VLOOKUP(B30,[2]FREQUENCIAS!$1:$1048576,(IF(($A30=[2]FREQUENCIAS!$T$1),20,"ERRO")),[2]FREQUENCIAS!$1:$1048576))</f>
        <v>0</v>
      </c>
      <c r="AW30" s="607">
        <f>IF(C30=0,0,VLOOKUP(C30,[2]FREQUENCIAS!$1:$1048576,(IF(($A30=[2]FREQUENCIAS!$T$1),20,"ERRO")),[2]FREQUENCIAS!$1:$1048576))</f>
        <v>0</v>
      </c>
      <c r="AX30" s="607">
        <f>IF(D30=0,0,VLOOKUP(D30,[2]FREQUENCIAS!$1:$1048576,(IF(($A30=[2]FREQUENCIAS!$T$1),20,"ERRO")),[2]FREQUENCIAS!$1:$1048576))</f>
        <v>0</v>
      </c>
      <c r="AY30" s="607">
        <f>IF(E30=0,0,VLOOKUP(E30,[2]FREQUENCIAS!$1:$1048576,(IF(($A30=[2]FREQUENCIAS!$T$1),20,"ERRO")),[2]FREQUENCIAS!$1:$1048576))</f>
        <v>0</v>
      </c>
      <c r="AZ30" s="608">
        <f t="shared" si="21"/>
        <v>0</v>
      </c>
      <c r="BA30" s="608">
        <f t="shared" si="21"/>
        <v>0</v>
      </c>
      <c r="BB30" s="608">
        <f t="shared" si="21"/>
        <v>0</v>
      </c>
      <c r="BC30" s="608">
        <f t="shared" si="21"/>
        <v>0</v>
      </c>
      <c r="BD30" s="541">
        <f t="shared" si="18"/>
        <v>1</v>
      </c>
      <c r="BE30" s="541">
        <f t="shared" si="19"/>
        <v>0</v>
      </c>
      <c r="BF30" s="595">
        <f t="shared" si="15"/>
        <v>1</v>
      </c>
    </row>
    <row r="31" spans="1:58" ht="15" customHeight="1" thickTop="1" thickBot="1" x14ac:dyDescent="0.25">
      <c r="A31" s="573" t="str">
        <f>'IMPORTAÇÃO GENOTIPER'!A24</f>
        <v>D19S433</v>
      </c>
      <c r="B31" s="574">
        <f>'IMPORTAÇÃO GENOTIPER'!AI24</f>
        <v>0</v>
      </c>
      <c r="C31" s="575">
        <f>'IMPORTAÇÃO GENOTIPER'!AQ24</f>
        <v>0</v>
      </c>
      <c r="D31" s="575">
        <f>'IMPORTAÇÃO GENOTIPER'!AY24</f>
        <v>0</v>
      </c>
      <c r="E31" s="576">
        <f>'IMPORTAÇÃO GENOTIPER'!BG24</f>
        <v>0</v>
      </c>
      <c r="F31" s="597">
        <f t="shared" si="0"/>
        <v>0</v>
      </c>
      <c r="G31" s="597">
        <f t="shared" si="1"/>
        <v>0</v>
      </c>
      <c r="H31" s="597">
        <f t="shared" si="2"/>
        <v>0</v>
      </c>
      <c r="I31" s="597">
        <f t="shared" si="3"/>
        <v>0</v>
      </c>
      <c r="J31" s="598"/>
      <c r="K31" s="598"/>
      <c r="L31" s="598"/>
      <c r="M31" s="599"/>
      <c r="N31" s="598">
        <f t="shared" si="4"/>
        <v>0</v>
      </c>
      <c r="O31" s="598">
        <f t="shared" si="5"/>
        <v>0</v>
      </c>
      <c r="P31" s="600">
        <f t="shared" si="6"/>
        <v>0</v>
      </c>
      <c r="Q31" s="601">
        <f t="shared" si="7"/>
        <v>0</v>
      </c>
      <c r="R31" s="602"/>
      <c r="S31" s="602"/>
      <c r="T31" s="583">
        <f>IF(P31=0,0,VLOOKUP(P31,[2]FREQUENCIAS!1:1048576,(IF(($A31=[2]FREQUENCIAS!$U$1),21,"ERRO")),[2]FREQUENCIAS!1:1048576))</f>
        <v>0</v>
      </c>
      <c r="U31" s="583">
        <f>IF(Q31=0,0,VLOOKUP(Q31,[2]FREQUENCIAS!1:1048576,(IF(($A31=[2]FREQUENCIAS!$U$1),21,"ERRO")),[2]FREQUENCIAS!1:1048576))</f>
        <v>0</v>
      </c>
      <c r="V31" s="603"/>
      <c r="W31" s="585" t="str">
        <f t="shared" si="8"/>
        <v>OK</v>
      </c>
      <c r="X31" s="604">
        <f t="shared" si="20"/>
        <v>0</v>
      </c>
      <c r="Y31" s="605">
        <f t="shared" si="16"/>
        <v>1</v>
      </c>
      <c r="Z31" s="588">
        <f t="shared" si="17"/>
        <v>0.5</v>
      </c>
      <c r="AA31" s="612"/>
      <c r="AB31" s="606" t="str">
        <f t="shared" si="9"/>
        <v>EXCLUI</v>
      </c>
      <c r="AC31" s="541" t="e">
        <f t="shared" si="10"/>
        <v>#DIV/0!</v>
      </c>
      <c r="AD31" s="541" t="s">
        <v>350</v>
      </c>
      <c r="AE31" s="541" t="str">
        <f t="shared" si="11"/>
        <v>1 / F</v>
      </c>
      <c r="AF31" s="591">
        <f t="shared" si="12"/>
        <v>1</v>
      </c>
      <c r="AH31" s="592">
        <f>IF(B31=0,0,VLOOKUP(B31,[2]FREQUENCIAS!$1:$1048576,(IF(($A31=[2]FREQUENCIAS!$U$1),21,"ERRO")),[2]FREQUENCIAS!$1:$1048576))</f>
        <v>0</v>
      </c>
      <c r="AI31" s="592"/>
      <c r="AJ31" s="592"/>
      <c r="AK31" s="593">
        <f t="shared" si="13"/>
        <v>0</v>
      </c>
      <c r="AL31" s="592">
        <f>IF(C31=0,0,VLOOKUP(C31,[2]FREQUENCIAS!$1:$1048576,(IF(($A31=[2]FREQUENCIAS!$U$1),21,"ERRO")),[2]FREQUENCIAS!$1:$1048576))</f>
        <v>0</v>
      </c>
      <c r="AM31" s="592"/>
      <c r="AN31" s="592"/>
      <c r="AO31" s="593">
        <f t="shared" si="14"/>
        <v>0</v>
      </c>
      <c r="AV31" s="607">
        <f>IF(B31=0,0,VLOOKUP(B31,[2]FREQUENCIAS!$1:$1048576,(IF(($A31=[2]FREQUENCIAS!$U$1),21,"ERRO")),[2]FREQUENCIAS!$1:$1048576))</f>
        <v>0</v>
      </c>
      <c r="AW31" s="607">
        <f>IF(C31=0,0,VLOOKUP(C31,[2]FREQUENCIAS!$1:$1048576,(IF(($A31=[2]FREQUENCIAS!$U$1),21,"ERRO")),[2]FREQUENCIAS!$1:$1048576))</f>
        <v>0</v>
      </c>
      <c r="AX31" s="607">
        <f>IF(D31=0,0,VLOOKUP(D31,[2]FREQUENCIAS!$1:$1048576,(IF(($A31=[2]FREQUENCIAS!$U$1),21,"ERRO")),[2]FREQUENCIAS!$1:$1048576))</f>
        <v>0</v>
      </c>
      <c r="AY31" s="607">
        <f>IF(E31=0,0,VLOOKUP(E31,[2]FREQUENCIAS!$1:$1048576,(IF(($A31=[2]FREQUENCIAS!$U$1),21,"ERRO")),[2]FREQUENCIAS!$1:$1048576))</f>
        <v>0</v>
      </c>
      <c r="AZ31" s="608">
        <f t="shared" si="21"/>
        <v>0</v>
      </c>
      <c r="BA31" s="608">
        <f t="shared" si="21"/>
        <v>0</v>
      </c>
      <c r="BB31" s="608">
        <f t="shared" si="21"/>
        <v>0</v>
      </c>
      <c r="BC31" s="608">
        <f t="shared" si="21"/>
        <v>0</v>
      </c>
      <c r="BD31" s="541">
        <f t="shared" si="18"/>
        <v>1</v>
      </c>
      <c r="BE31" s="541">
        <f t="shared" si="19"/>
        <v>0</v>
      </c>
      <c r="BF31" s="595">
        <f t="shared" si="15"/>
        <v>1</v>
      </c>
    </row>
    <row r="32" spans="1:58" ht="15" customHeight="1" thickTop="1" thickBot="1" x14ac:dyDescent="0.25">
      <c r="A32" s="573" t="str">
        <f>'IMPORTAÇÃO GENOTIPER'!A25</f>
        <v>FGA</v>
      </c>
      <c r="B32" s="574">
        <f>'IMPORTAÇÃO GENOTIPER'!AI25</f>
        <v>0</v>
      </c>
      <c r="C32" s="575">
        <f>'IMPORTAÇÃO GENOTIPER'!AQ25</f>
        <v>0</v>
      </c>
      <c r="D32" s="575">
        <f>'IMPORTAÇÃO GENOTIPER'!AY25</f>
        <v>0</v>
      </c>
      <c r="E32" s="576">
        <f>'IMPORTAÇÃO GENOTIPER'!BG25</f>
        <v>0</v>
      </c>
      <c r="F32" s="597">
        <f t="shared" si="0"/>
        <v>0</v>
      </c>
      <c r="G32" s="597">
        <f t="shared" si="1"/>
        <v>0</v>
      </c>
      <c r="H32" s="597">
        <f t="shared" si="2"/>
        <v>0</v>
      </c>
      <c r="I32" s="597">
        <f t="shared" si="3"/>
        <v>0</v>
      </c>
      <c r="J32" s="598"/>
      <c r="K32" s="598"/>
      <c r="L32" s="598"/>
      <c r="M32" s="599"/>
      <c r="N32" s="598">
        <f t="shared" si="4"/>
        <v>0</v>
      </c>
      <c r="O32" s="598">
        <f t="shared" si="5"/>
        <v>0</v>
      </c>
      <c r="P32" s="600">
        <f t="shared" si="6"/>
        <v>0</v>
      </c>
      <c r="Q32" s="601">
        <f t="shared" si="7"/>
        <v>0</v>
      </c>
      <c r="R32" s="602"/>
      <c r="S32" s="602"/>
      <c r="T32" s="583">
        <f>IF(P32=0,0,VLOOKUP(P32,[2]FREQUENCIAS!1:1048576,(IF(($A32=[2]FREQUENCIAS!$V$1),22,"ERRO")),[2]FREQUENCIAS!1:1048576))</f>
        <v>0</v>
      </c>
      <c r="U32" s="583">
        <f>IF(Q32=0,0,VLOOKUP(Q32,[2]FREQUENCIAS!1:1048576,(IF(($A32=[2]FREQUENCIAS!$V$1),22,"ERRO")),[2]FREQUENCIAS!1:1048576))</f>
        <v>0</v>
      </c>
      <c r="V32" s="603"/>
      <c r="W32" s="585" t="str">
        <f t="shared" si="8"/>
        <v>OK</v>
      </c>
      <c r="X32" s="604">
        <f t="shared" si="20"/>
        <v>0</v>
      </c>
      <c r="Y32" s="605">
        <f t="shared" si="16"/>
        <v>1</v>
      </c>
      <c r="Z32" s="588">
        <f t="shared" si="17"/>
        <v>0.5</v>
      </c>
      <c r="AA32" s="612"/>
      <c r="AB32" s="606" t="str">
        <f t="shared" si="9"/>
        <v>EXCLUI</v>
      </c>
      <c r="AC32" s="541" t="e">
        <f t="shared" si="10"/>
        <v>#DIV/0!</v>
      </c>
      <c r="AD32" s="541" t="s">
        <v>350</v>
      </c>
      <c r="AE32" s="541" t="str">
        <f t="shared" si="11"/>
        <v>1 / F</v>
      </c>
      <c r="AF32" s="591">
        <f t="shared" si="12"/>
        <v>1</v>
      </c>
      <c r="AH32" s="592">
        <f>IF(B32=0,0,VLOOKUP(B32,[2]FREQUENCIAS!$1:$1048576,(IF(($A32=[2]FREQUENCIAS!$V$1),22,"ERRO")),[2]FREQUENCIAS!$1:$1048576))</f>
        <v>0</v>
      </c>
      <c r="AI32" s="592"/>
      <c r="AJ32" s="592"/>
      <c r="AK32" s="593">
        <f t="shared" si="13"/>
        <v>0</v>
      </c>
      <c r="AL32" s="592">
        <f>IF(C32=0,0,VLOOKUP(C32,[2]FREQUENCIAS!$1:$1048576,(IF(($A32=[2]FREQUENCIAS!$V$1),22,"ERRO")),[2]FREQUENCIAS!$1:$1048576))</f>
        <v>0</v>
      </c>
      <c r="AM32" s="592"/>
      <c r="AN32" s="592"/>
      <c r="AO32" s="593">
        <f t="shared" si="14"/>
        <v>0</v>
      </c>
      <c r="AV32" s="607">
        <f>IF(B32=0,0,VLOOKUP(B32,[2]FREQUENCIAS!$1:$1048576,(IF(($A32=[2]FREQUENCIAS!$V$1),22,"ERRO")),[2]FREQUENCIAS!$1:$1048576))</f>
        <v>0</v>
      </c>
      <c r="AW32" s="607">
        <f>IF(C32=0,0,VLOOKUP(C32,[2]FREQUENCIAS!$1:$1048576,(IF(($A32=[2]FREQUENCIAS!$V$1),22,"ERRO")),[2]FREQUENCIAS!$1:$1048576))</f>
        <v>0</v>
      </c>
      <c r="AX32" s="607">
        <f>IF(D32=0,0,VLOOKUP(D32,[2]FREQUENCIAS!$1:$1048576,(IF(($A32=[2]FREQUENCIAS!$V$1),22,"ERRO")),[2]FREQUENCIAS!$1:$1048576))</f>
        <v>0</v>
      </c>
      <c r="AY32" s="607">
        <f>IF(E32=0,0,VLOOKUP(E32,[2]FREQUENCIAS!$1:$1048576,(IF(($A32=[2]FREQUENCIAS!$V$1),22,"ERRO")),[2]FREQUENCIAS!$1:$1048576))</f>
        <v>0</v>
      </c>
      <c r="AZ32" s="608">
        <f t="shared" si="21"/>
        <v>0</v>
      </c>
      <c r="BA32" s="608">
        <f t="shared" si="21"/>
        <v>0</v>
      </c>
      <c r="BB32" s="608">
        <f t="shared" si="21"/>
        <v>0</v>
      </c>
      <c r="BC32" s="608">
        <f t="shared" si="21"/>
        <v>0</v>
      </c>
      <c r="BD32" s="541">
        <f t="shared" si="18"/>
        <v>1</v>
      </c>
      <c r="BE32" s="541">
        <f t="shared" si="19"/>
        <v>0</v>
      </c>
      <c r="BF32" s="595">
        <f t="shared" si="15"/>
        <v>1</v>
      </c>
    </row>
    <row r="33" spans="1:60" ht="15" customHeight="1" thickTop="1" thickBot="1" x14ac:dyDescent="0.25">
      <c r="A33" s="573" t="str">
        <f>'IMPORTAÇÃO GENOTIPER'!A26</f>
        <v>D22S1045</v>
      </c>
      <c r="B33" s="574">
        <f>'IMPORTAÇÃO GENOTIPER'!AI26</f>
        <v>0</v>
      </c>
      <c r="C33" s="575">
        <f>'IMPORTAÇÃO GENOTIPER'!AQ26</f>
        <v>0</v>
      </c>
      <c r="D33" s="575">
        <f>'IMPORTAÇÃO GENOTIPER'!AY26</f>
        <v>0</v>
      </c>
      <c r="E33" s="576">
        <f>'IMPORTAÇÃO GENOTIPER'!BG26</f>
        <v>0</v>
      </c>
      <c r="F33" s="597">
        <f t="shared" si="0"/>
        <v>0</v>
      </c>
      <c r="G33" s="597">
        <f t="shared" si="1"/>
        <v>0</v>
      </c>
      <c r="H33" s="597">
        <f t="shared" si="2"/>
        <v>0</v>
      </c>
      <c r="I33" s="597">
        <f t="shared" si="3"/>
        <v>0</v>
      </c>
      <c r="J33" s="598"/>
      <c r="K33" s="598"/>
      <c r="L33" s="598"/>
      <c r="M33" s="599"/>
      <c r="N33" s="598">
        <f t="shared" si="4"/>
        <v>0</v>
      </c>
      <c r="O33" s="598">
        <f t="shared" si="5"/>
        <v>0</v>
      </c>
      <c r="P33" s="600">
        <f t="shared" si="6"/>
        <v>0</v>
      </c>
      <c r="Q33" s="601">
        <f t="shared" si="7"/>
        <v>0</v>
      </c>
      <c r="R33" s="602"/>
      <c r="S33" s="602"/>
      <c r="T33" s="583">
        <f>IF(P33=0,0,VLOOKUP(P33,[2]FREQUENCIAS!1:1048576,(IF(($A33=[2]FREQUENCIAS!$W$1),23,"ERRO")),[2]FREQUENCIAS!1:1048576))</f>
        <v>0</v>
      </c>
      <c r="U33" s="583">
        <f>IF(Q33=0,0,VLOOKUP(Q33,[2]FREQUENCIAS!1:1048576,(IF(($A33=[2]FREQUENCIAS!$W$1),23,"ERRO")),[2]FREQUENCIAS!1:1048576))</f>
        <v>0</v>
      </c>
      <c r="V33" s="603"/>
      <c r="W33" s="585" t="str">
        <f t="shared" si="8"/>
        <v>OK</v>
      </c>
      <c r="X33" s="604">
        <f t="shared" si="20"/>
        <v>0</v>
      </c>
      <c r="Y33" s="605">
        <f t="shared" si="16"/>
        <v>1</v>
      </c>
      <c r="Z33" s="588">
        <f t="shared" si="17"/>
        <v>0.5</v>
      </c>
      <c r="AA33" s="612"/>
      <c r="AB33" s="606" t="str">
        <f t="shared" si="9"/>
        <v>EXCLUI</v>
      </c>
      <c r="AC33" s="541" t="e">
        <f t="shared" si="10"/>
        <v>#DIV/0!</v>
      </c>
      <c r="AD33" s="541" t="s">
        <v>350</v>
      </c>
      <c r="AE33" s="541" t="str">
        <f t="shared" si="11"/>
        <v>1 / F</v>
      </c>
      <c r="AF33" s="591">
        <f t="shared" si="12"/>
        <v>1</v>
      </c>
      <c r="AH33" s="592">
        <f>IF(B33=0,0,VLOOKUP(B33,[2]FREQUENCIAS!$1:$1048576,(IF(($A33=[2]FREQUENCIAS!$W$1),23,"ERRO")),[2]FREQUENCIAS!$1:$1048576))</f>
        <v>0</v>
      </c>
      <c r="AI33" s="592"/>
      <c r="AJ33" s="592"/>
      <c r="AK33" s="593">
        <f t="shared" si="13"/>
        <v>0</v>
      </c>
      <c r="AL33" s="592">
        <f>IF(C33=0,0,VLOOKUP(C33,[2]FREQUENCIAS!$1:$1048576,(IF(($A33=[2]FREQUENCIAS!$W$1),23,"ERRO")),[2]FREQUENCIAS!$1:$1048576))</f>
        <v>0</v>
      </c>
      <c r="AM33" s="592"/>
      <c r="AN33" s="592"/>
      <c r="AO33" s="593">
        <f t="shared" si="14"/>
        <v>0</v>
      </c>
      <c r="AV33" s="607">
        <f>IF(B33=0,0,VLOOKUP(B33,[2]FREQUENCIAS!$1:$1048576,(IF(($A33=[2]FREQUENCIAS!$W$1),23,"ERRO")),[2]FREQUENCIAS!$1:$1048576))</f>
        <v>0</v>
      </c>
      <c r="AW33" s="607">
        <f>IF(C33=0,0,VLOOKUP(C33,[2]FREQUENCIAS!$1:$1048576,(IF(($A33=[2]FREQUENCIAS!$W$1),23,"ERRO")),[2]FREQUENCIAS!$1:$1048576))</f>
        <v>0</v>
      </c>
      <c r="AX33" s="607">
        <f>IF(D33=0,0,VLOOKUP(D33,[2]FREQUENCIAS!$1:$1048576,(IF(($A33=[2]FREQUENCIAS!$W$1),23,"ERRO")),[2]FREQUENCIAS!$1:$1048576))</f>
        <v>0</v>
      </c>
      <c r="AY33" s="607">
        <f>IF(E33=0,0,VLOOKUP(E33,[2]FREQUENCIAS!$1:$1048576,(IF(($A33=[2]FREQUENCIAS!$W$1),23,"ERRO")),[2]FREQUENCIAS!$1:$1048576))</f>
        <v>0</v>
      </c>
      <c r="AZ33" s="608">
        <f t="shared" si="21"/>
        <v>0</v>
      </c>
      <c r="BA33" s="608">
        <f t="shared" si="21"/>
        <v>0</v>
      </c>
      <c r="BB33" s="608">
        <f t="shared" si="21"/>
        <v>0</v>
      </c>
      <c r="BC33" s="608">
        <f t="shared" si="21"/>
        <v>0</v>
      </c>
      <c r="BD33" s="541">
        <f t="shared" si="18"/>
        <v>1</v>
      </c>
      <c r="BE33" s="541">
        <f t="shared" si="19"/>
        <v>0</v>
      </c>
      <c r="BF33" s="595">
        <f t="shared" si="15"/>
        <v>1</v>
      </c>
    </row>
    <row r="34" spans="1:60" ht="15" hidden="1" customHeight="1" thickTop="1" thickBot="1" x14ac:dyDescent="0.25">
      <c r="A34" s="596" t="str">
        <f>'[2]IMPORTAÇÃO GENOTIPER'!A27</f>
        <v>SE33</v>
      </c>
      <c r="B34" s="574">
        <f>'[2]IMPORTAÇÃO GENOTIPER'!AE27</f>
        <v>0</v>
      </c>
      <c r="C34" s="575">
        <f>'[2]IMPORTAÇÃO GENOTIPER'!AM27</f>
        <v>0</v>
      </c>
      <c r="D34" s="575">
        <f>'[2]IMPORTAÇÃO GENOTIPER'!AU27</f>
        <v>0</v>
      </c>
      <c r="E34" s="576">
        <f>'[2]IMPORTAÇÃO GENOTIPER'!BC27</f>
        <v>0</v>
      </c>
      <c r="F34" s="613">
        <f t="shared" si="0"/>
        <v>0</v>
      </c>
      <c r="G34" s="613">
        <f t="shared" si="1"/>
        <v>0</v>
      </c>
      <c r="H34" s="613">
        <f t="shared" si="2"/>
        <v>0</v>
      </c>
      <c r="I34" s="613">
        <f t="shared" si="3"/>
        <v>0</v>
      </c>
      <c r="J34" s="614"/>
      <c r="K34" s="614"/>
      <c r="L34" s="614"/>
      <c r="M34" s="614"/>
      <c r="N34" s="614">
        <f t="shared" si="4"/>
        <v>0</v>
      </c>
      <c r="O34" s="614">
        <f t="shared" si="5"/>
        <v>0</v>
      </c>
      <c r="P34" s="615">
        <f t="shared" si="6"/>
        <v>0</v>
      </c>
      <c r="Q34" s="616">
        <f t="shared" si="7"/>
        <v>0</v>
      </c>
      <c r="R34" s="617"/>
      <c r="S34" s="617"/>
      <c r="T34" s="618">
        <f>IF(P34=0,0,VLOOKUP(P34,[2]FREQUENCIAS!1:1048576,(IF(($A34=[2]FREQUENCIAS!$X$1),24,"ERRO")),[2]FREQUENCIAS!1:1048576))</f>
        <v>0</v>
      </c>
      <c r="U34" s="618">
        <f>IF(Q34=0,0,VLOOKUP(Q34,[2]FREQUENCIAS!1:1048576,(IF(($A34=[2]FREQUENCIAS!$X$1),24,"ERRO")),[2]FREQUENCIAS!1:1048576))</f>
        <v>0</v>
      </c>
      <c r="V34" s="619"/>
      <c r="W34" s="585" t="str">
        <f t="shared" si="8"/>
        <v>OK</v>
      </c>
      <c r="X34" s="604">
        <f t="shared" si="20"/>
        <v>0</v>
      </c>
      <c r="Y34" s="605">
        <f t="shared" si="16"/>
        <v>1</v>
      </c>
      <c r="Z34" s="588">
        <f t="shared" si="17"/>
        <v>0.5</v>
      </c>
      <c r="AA34" s="612"/>
      <c r="AB34" s="606" t="str">
        <f t="shared" si="9"/>
        <v>EXCLUI</v>
      </c>
      <c r="AC34" s="541" t="e">
        <f t="shared" si="10"/>
        <v>#DIV/0!</v>
      </c>
      <c r="AD34" s="541" t="s">
        <v>350</v>
      </c>
      <c r="AE34" s="541" t="str">
        <f t="shared" si="11"/>
        <v>1 / F</v>
      </c>
      <c r="AF34" s="591">
        <f t="shared" si="12"/>
        <v>1</v>
      </c>
      <c r="AH34" s="592">
        <f>IF(B34=0,0,VLOOKUP(B34,[2]FREQUENCIAS!$1:$1048576,(IF(($A34=[2]FREQUENCIAS!$W$1),23,"ERRO")),[2]FREQUENCIAS!$1:$1048576))</f>
        <v>0</v>
      </c>
      <c r="AI34" s="592"/>
      <c r="AJ34" s="592"/>
      <c r="AK34" s="593">
        <f t="shared" si="13"/>
        <v>0</v>
      </c>
      <c r="AL34" s="592">
        <f>IF(C34=0,0,VLOOKUP(C34,[2]FREQUENCIAS!$1:$1048576,(IF(($A34=[2]FREQUENCIAS!$W$1),23,"ERRO")),[2]FREQUENCIAS!$1:$1048576))</f>
        <v>0</v>
      </c>
      <c r="AM34" s="592"/>
      <c r="AN34" s="592"/>
      <c r="AO34" s="593">
        <f t="shared" si="14"/>
        <v>0</v>
      </c>
      <c r="AV34" s="607">
        <f>IF(B34=0,0,VLOOKUP(B34,[2]FREQUENCIAS!$1:$1048576,(IF(($A34=[2]FREQUENCIAS!$W$1),23,"ERRO")),[2]FREQUENCIAS!$1:$1048576))</f>
        <v>0</v>
      </c>
      <c r="AW34" s="607">
        <f>IF(C34=0,0,VLOOKUP(C34,[2]FREQUENCIAS!$1:$1048576,(IF(($A34=[2]FREQUENCIAS!$W$1),23,"ERRO")),[2]FREQUENCIAS!$1:$1048576))</f>
        <v>0</v>
      </c>
      <c r="AX34" s="607">
        <f>IF(D34=0,0,VLOOKUP(D34,[2]FREQUENCIAS!$1:$1048576,(IF(($A34=[2]FREQUENCIAS!$W$1),23,"ERRO")),[2]FREQUENCIAS!$1:$1048576))</f>
        <v>0</v>
      </c>
      <c r="AY34" s="607">
        <f>IF(E34=0,0,VLOOKUP(E34,[2]FREQUENCIAS!$1:$1048576,(IF(($A34=[2]FREQUENCIAS!$W$1),23,"ERRO")),[2]FREQUENCIAS!$1:$1048576))</f>
        <v>0</v>
      </c>
      <c r="AZ34" s="608">
        <f t="shared" si="21"/>
        <v>0</v>
      </c>
      <c r="BA34" s="608">
        <f t="shared" si="21"/>
        <v>0</v>
      </c>
      <c r="BB34" s="608">
        <f t="shared" si="21"/>
        <v>0</v>
      </c>
      <c r="BC34" s="608">
        <f t="shared" si="21"/>
        <v>0</v>
      </c>
      <c r="BD34" s="541">
        <f t="shared" si="18"/>
        <v>1</v>
      </c>
      <c r="BE34" s="541">
        <f t="shared" si="19"/>
        <v>0</v>
      </c>
      <c r="BF34" s="595">
        <f t="shared" si="15"/>
        <v>1</v>
      </c>
    </row>
    <row r="35" spans="1:60" ht="15" hidden="1" customHeight="1" thickTop="1" thickBot="1" x14ac:dyDescent="0.25">
      <c r="A35" s="620">
        <f>'[2]IMPORTAÇÃO GENOTIPER'!A28</f>
        <v>1</v>
      </c>
      <c r="B35" s="574">
        <f>'[2]IMPORTAÇÃO GENOTIPER'!AE28</f>
        <v>0</v>
      </c>
      <c r="C35" s="575">
        <f>'[2]IMPORTAÇÃO GENOTIPER'!AM28</f>
        <v>0</v>
      </c>
      <c r="D35" s="575">
        <f>'[2]IMPORTAÇÃO GENOTIPER'!AU28</f>
        <v>0</v>
      </c>
      <c r="E35" s="576">
        <f>'[2]IMPORTAÇÃO GENOTIPER'!BC28</f>
        <v>0</v>
      </c>
      <c r="F35" s="577">
        <f t="shared" si="0"/>
        <v>0</v>
      </c>
      <c r="G35" s="577">
        <f t="shared" si="1"/>
        <v>0</v>
      </c>
      <c r="H35" s="577">
        <f t="shared" si="2"/>
        <v>0</v>
      </c>
      <c r="I35" s="577">
        <f t="shared" si="3"/>
        <v>0</v>
      </c>
      <c r="J35" s="578"/>
      <c r="K35" s="578"/>
      <c r="L35" s="578"/>
      <c r="M35" s="579"/>
      <c r="N35" s="578">
        <f t="shared" si="4"/>
        <v>0</v>
      </c>
      <c r="O35" s="578">
        <f t="shared" si="5"/>
        <v>0</v>
      </c>
      <c r="P35" s="580">
        <f t="shared" si="6"/>
        <v>0</v>
      </c>
      <c r="Q35" s="581">
        <f t="shared" si="7"/>
        <v>0</v>
      </c>
      <c r="R35" s="582"/>
      <c r="S35" s="582"/>
      <c r="T35" s="621">
        <f>IF(P35=0,0,VLOOKUP(P35,[2]FREQUENCIAS!1:1048576,(IF(($A35=[2]FREQUENCIAS!$Y$1),24,"ERRO")),[2]FREQUENCIAS!1:1048576))</f>
        <v>0</v>
      </c>
      <c r="U35" s="621">
        <f>IF(Q35=0,0,VLOOKUP(Q35,[2]FREQUENCIAS!1:1048576,(IF(($A35=[2]FREQUENCIAS!$Y$1),24,"ERRO")),[2]FREQUENCIAS!1:1048576))</f>
        <v>0</v>
      </c>
      <c r="V35" s="584"/>
      <c r="W35" s="622" t="str">
        <f t="shared" si="8"/>
        <v>OK</v>
      </c>
      <c r="X35" s="623">
        <f t="shared" si="20"/>
        <v>0</v>
      </c>
      <c r="Y35" s="605">
        <f t="shared" si="16"/>
        <v>1</v>
      </c>
      <c r="Z35" s="588">
        <f t="shared" si="17"/>
        <v>0.5</v>
      </c>
      <c r="AA35" s="611"/>
      <c r="AB35" s="624" t="str">
        <f t="shared" si="9"/>
        <v>EXCLUI</v>
      </c>
      <c r="AC35" s="541" t="e">
        <f t="shared" si="10"/>
        <v>#DIV/0!</v>
      </c>
      <c r="AD35" s="541" t="s">
        <v>350</v>
      </c>
      <c r="AE35" s="541" t="str">
        <f t="shared" si="11"/>
        <v>1 / F</v>
      </c>
      <c r="AF35" s="591">
        <f t="shared" si="12"/>
        <v>1</v>
      </c>
      <c r="AH35" s="592">
        <f>IF(B35=0,0,VLOOKUP(B35,[2]FREQUENCIAS!$1:$1048576,(IF(($A35=[2]FREQUENCIAS!$W$1),23,"ERRO")),[2]FREQUENCIAS!$1:$1048576))</f>
        <v>0</v>
      </c>
      <c r="AI35" s="592"/>
      <c r="AJ35" s="592"/>
      <c r="AK35" s="593">
        <f t="shared" si="13"/>
        <v>0</v>
      </c>
      <c r="AL35" s="592">
        <f>IF(C35=0,0,VLOOKUP(C35,[2]FREQUENCIAS!$1:$1048576,(IF(($A35=[2]FREQUENCIAS!$W$1),23,"ERRO")),[2]FREQUENCIAS!$1:$1048576))</f>
        <v>0</v>
      </c>
      <c r="AM35" s="592"/>
      <c r="AN35" s="592"/>
      <c r="AO35" s="593">
        <f t="shared" si="14"/>
        <v>0</v>
      </c>
      <c r="AV35" s="607">
        <f>IF(B35=0,0,VLOOKUP(B35,[2]FREQUENCIAS!$1:$1048576,(IF(($A35=[2]FREQUENCIAS!$W$1),23,"ERRO")),[2]FREQUENCIAS!$1:$1048576))</f>
        <v>0</v>
      </c>
      <c r="AW35" s="607">
        <f>IF(C35=0,0,VLOOKUP(C35,[2]FREQUENCIAS!$1:$1048576,(IF(($A35=[2]FREQUENCIAS!$W$1),23,"ERRO")),[2]FREQUENCIAS!$1:$1048576))</f>
        <v>0</v>
      </c>
      <c r="AX35" s="607">
        <f>IF(D35=0,0,VLOOKUP(D35,[2]FREQUENCIAS!$1:$1048576,(IF(($A35=[2]FREQUENCIAS!$W$1),23,"ERRO")),[2]FREQUENCIAS!$1:$1048576))</f>
        <v>0</v>
      </c>
      <c r="AY35" s="607">
        <f>IF(E35=0,0,VLOOKUP(E35,[2]FREQUENCIAS!$1:$1048576,(IF(($A35=[2]FREQUENCIAS!$W$1),23,"ERRO")),[2]FREQUENCIAS!$1:$1048576))</f>
        <v>0</v>
      </c>
      <c r="AZ35" s="608">
        <f t="shared" si="21"/>
        <v>0</v>
      </c>
      <c r="BA35" s="608">
        <f t="shared" si="21"/>
        <v>0</v>
      </c>
      <c r="BB35" s="608">
        <f t="shared" si="21"/>
        <v>0</v>
      </c>
      <c r="BC35" s="608">
        <f t="shared" si="21"/>
        <v>0</v>
      </c>
      <c r="BD35" s="541">
        <f t="shared" si="18"/>
        <v>1</v>
      </c>
      <c r="BE35" s="541">
        <f t="shared" si="19"/>
        <v>0</v>
      </c>
      <c r="BF35" s="595">
        <f t="shared" si="15"/>
        <v>1</v>
      </c>
    </row>
    <row r="36" spans="1:60" ht="15" hidden="1" customHeight="1" thickTop="1" thickBot="1" x14ac:dyDescent="0.25">
      <c r="A36" s="596">
        <f>'[2]IMPORTAÇÃO GENOTIPER'!A29</f>
        <v>2</v>
      </c>
      <c r="B36" s="574">
        <f>'[2]IMPORTAÇÃO GENOTIPER'!AE29</f>
        <v>0</v>
      </c>
      <c r="C36" s="575">
        <f>'[2]IMPORTAÇÃO GENOTIPER'!AM29</f>
        <v>0</v>
      </c>
      <c r="D36" s="575">
        <f>'[2]IMPORTAÇÃO GENOTIPER'!AU29</f>
        <v>0</v>
      </c>
      <c r="E36" s="576">
        <f>'[2]IMPORTAÇÃO GENOTIPER'!BC29</f>
        <v>0</v>
      </c>
      <c r="F36" s="597">
        <f t="shared" si="0"/>
        <v>0</v>
      </c>
      <c r="G36" s="597">
        <f t="shared" si="1"/>
        <v>0</v>
      </c>
      <c r="H36" s="597">
        <f t="shared" si="2"/>
        <v>0</v>
      </c>
      <c r="I36" s="597">
        <f t="shared" si="3"/>
        <v>0</v>
      </c>
      <c r="J36" s="598"/>
      <c r="K36" s="598"/>
      <c r="L36" s="598"/>
      <c r="M36" s="599"/>
      <c r="N36" s="598">
        <f t="shared" si="4"/>
        <v>0</v>
      </c>
      <c r="O36" s="598">
        <f t="shared" si="5"/>
        <v>0</v>
      </c>
      <c r="P36" s="600">
        <f t="shared" si="6"/>
        <v>0</v>
      </c>
      <c r="Q36" s="601">
        <f t="shared" si="7"/>
        <v>0</v>
      </c>
      <c r="R36" s="602"/>
      <c r="S36" s="602"/>
      <c r="T36" s="583">
        <f>IF(P36=0,0,VLOOKUP(P36,[2]FREQUENCIAS!1:1048576,(IF(($A36=[2]FREQUENCIAS!$Z$1),25,"ERRO")),[2]FREQUENCIAS!1:1048576))</f>
        <v>0</v>
      </c>
      <c r="U36" s="583">
        <f>IF(Q36=0,0,VLOOKUP(Q36,[2]FREQUENCIAS!1:1048576,(IF(($A36=[2]FREQUENCIAS!$Z$1),25,"ERRO")),[2]FREQUENCIAS!1:1048576))</f>
        <v>0</v>
      </c>
      <c r="V36" s="603"/>
      <c r="W36" s="585" t="str">
        <f t="shared" si="8"/>
        <v>OK</v>
      </c>
      <c r="X36" s="604">
        <f t="shared" si="20"/>
        <v>0</v>
      </c>
      <c r="Y36" s="605">
        <f t="shared" si="16"/>
        <v>1</v>
      </c>
      <c r="Z36" s="588">
        <f t="shared" si="17"/>
        <v>0.5</v>
      </c>
      <c r="AA36" s="612"/>
      <c r="AB36" s="606" t="str">
        <f t="shared" si="9"/>
        <v>EXCLUI</v>
      </c>
      <c r="AC36" s="541" t="e">
        <f t="shared" si="10"/>
        <v>#DIV/0!</v>
      </c>
      <c r="AD36" s="541" t="s">
        <v>350</v>
      </c>
      <c r="AE36" s="541" t="str">
        <f t="shared" si="11"/>
        <v>1 / F</v>
      </c>
      <c r="AF36" s="591">
        <f t="shared" si="12"/>
        <v>1</v>
      </c>
      <c r="AH36" s="592">
        <f>IF(B36=0,0,VLOOKUP(B36,[2]FREQUENCIAS!$1:$1048576,(IF(($A36=[2]FREQUENCIAS!$W$1),23,"ERRO")),[2]FREQUENCIAS!$1:$1048576))</f>
        <v>0</v>
      </c>
      <c r="AI36" s="592"/>
      <c r="AJ36" s="592"/>
      <c r="AK36" s="593">
        <f t="shared" si="13"/>
        <v>0</v>
      </c>
      <c r="AL36" s="592">
        <f>IF(C36=0,0,VLOOKUP(C36,[2]FREQUENCIAS!$1:$1048576,(IF(($A36=[2]FREQUENCIAS!$W$1),23,"ERRO")),[2]FREQUENCIAS!$1:$1048576))</f>
        <v>0</v>
      </c>
      <c r="AM36" s="592"/>
      <c r="AN36" s="592"/>
      <c r="AO36" s="593">
        <f t="shared" si="14"/>
        <v>0</v>
      </c>
      <c r="AV36" s="607">
        <f>IF(B36=0,0,VLOOKUP(B36,[2]FREQUENCIAS!$1:$1048576,(IF(($A36=[2]FREQUENCIAS!$W$1),23,"ERRO")),[2]FREQUENCIAS!$1:$1048576))</f>
        <v>0</v>
      </c>
      <c r="AW36" s="607">
        <f>IF(C36=0,0,VLOOKUP(C36,[2]FREQUENCIAS!$1:$1048576,(IF(($A36=[2]FREQUENCIAS!$W$1),23,"ERRO")),[2]FREQUENCIAS!$1:$1048576))</f>
        <v>0</v>
      </c>
      <c r="AX36" s="607">
        <f>IF(D36=0,0,VLOOKUP(D36,[2]FREQUENCIAS!$1:$1048576,(IF(($A36=[2]FREQUENCIAS!$W$1),23,"ERRO")),[2]FREQUENCIAS!$1:$1048576))</f>
        <v>0</v>
      </c>
      <c r="AY36" s="607">
        <f>IF(E36=0,0,VLOOKUP(E36,[2]FREQUENCIAS!$1:$1048576,(IF(($A36=[2]FREQUENCIAS!$W$1),23,"ERRO")),[2]FREQUENCIAS!$1:$1048576))</f>
        <v>0</v>
      </c>
      <c r="AZ36" s="608">
        <f t="shared" si="21"/>
        <v>0</v>
      </c>
      <c r="BA36" s="608">
        <f t="shared" si="21"/>
        <v>0</v>
      </c>
      <c r="BB36" s="608">
        <f t="shared" si="21"/>
        <v>0</v>
      </c>
      <c r="BC36" s="608">
        <f t="shared" si="21"/>
        <v>0</v>
      </c>
      <c r="BD36" s="541">
        <f t="shared" si="18"/>
        <v>1</v>
      </c>
      <c r="BE36" s="541">
        <f t="shared" si="19"/>
        <v>0</v>
      </c>
      <c r="BF36" s="595">
        <f t="shared" si="15"/>
        <v>1</v>
      </c>
    </row>
    <row r="37" spans="1:60" ht="15" hidden="1" customHeight="1" thickTop="1" thickBot="1" x14ac:dyDescent="0.25">
      <c r="A37" s="596">
        <f>'[2]IMPORTAÇÃO GENOTIPER'!A30</f>
        <v>3</v>
      </c>
      <c r="B37" s="574">
        <f>'[2]IMPORTAÇÃO GENOTIPER'!AE30</f>
        <v>0</v>
      </c>
      <c r="C37" s="575">
        <f>'[2]IMPORTAÇÃO GENOTIPER'!AM30</f>
        <v>0</v>
      </c>
      <c r="D37" s="575">
        <f>'[2]IMPORTAÇÃO GENOTIPER'!AU30</f>
        <v>0</v>
      </c>
      <c r="E37" s="576">
        <f>'[2]IMPORTAÇÃO GENOTIPER'!BC30</f>
        <v>0</v>
      </c>
      <c r="F37" s="597">
        <f t="shared" si="0"/>
        <v>0</v>
      </c>
      <c r="G37" s="597">
        <f t="shared" si="1"/>
        <v>0</v>
      </c>
      <c r="H37" s="597">
        <f t="shared" si="2"/>
        <v>0</v>
      </c>
      <c r="I37" s="597">
        <f t="shared" si="3"/>
        <v>0</v>
      </c>
      <c r="J37" s="598"/>
      <c r="K37" s="598"/>
      <c r="L37" s="598"/>
      <c r="M37" s="599"/>
      <c r="N37" s="598">
        <f t="shared" si="4"/>
        <v>0</v>
      </c>
      <c r="O37" s="598">
        <f t="shared" si="5"/>
        <v>0</v>
      </c>
      <c r="P37" s="600">
        <f t="shared" si="6"/>
        <v>0</v>
      </c>
      <c r="Q37" s="601">
        <f t="shared" si="7"/>
        <v>0</v>
      </c>
      <c r="R37" s="602"/>
      <c r="S37" s="602"/>
      <c r="T37" s="583">
        <f>IF(P37=0,0,VLOOKUP(P37,[2]FREQUENCIAS!1:1048576,(IF(($A37=[2]FREQUENCIAS!$AA$1),27,"ERRO")),[2]FREQUENCIAS!1:1048576))</f>
        <v>0</v>
      </c>
      <c r="U37" s="583">
        <f>IF(Q37=0,0,VLOOKUP(Q37,[2]FREQUENCIAS!1:1048576,(IF(($A37=[2]FREQUENCIAS!$AA$1),27,"ERRO")),[2]FREQUENCIAS!1:1048576))</f>
        <v>0</v>
      </c>
      <c r="V37" s="603"/>
      <c r="W37" s="585" t="str">
        <f t="shared" si="8"/>
        <v>OK</v>
      </c>
      <c r="X37" s="604">
        <f t="shared" si="20"/>
        <v>0</v>
      </c>
      <c r="Y37" s="605">
        <f t="shared" si="16"/>
        <v>1</v>
      </c>
      <c r="Z37" s="588">
        <f t="shared" si="17"/>
        <v>0.5</v>
      </c>
      <c r="AA37" s="612"/>
      <c r="AB37" s="606" t="str">
        <f t="shared" si="9"/>
        <v>EXCLUI</v>
      </c>
      <c r="AC37" s="541" t="e">
        <f t="shared" si="10"/>
        <v>#DIV/0!</v>
      </c>
      <c r="AD37" s="541" t="s">
        <v>350</v>
      </c>
      <c r="AE37" s="541" t="str">
        <f t="shared" si="11"/>
        <v>1 / F</v>
      </c>
      <c r="AF37" s="591">
        <f t="shared" si="12"/>
        <v>1</v>
      </c>
      <c r="AH37" s="592">
        <f>IF(B37=0,0,VLOOKUP(B37,[2]FREQUENCIAS!$1:$1048576,(IF(($A37=[2]FREQUENCIAS!$W$1),23,"ERRO")),[2]FREQUENCIAS!$1:$1048576))</f>
        <v>0</v>
      </c>
      <c r="AI37" s="592"/>
      <c r="AJ37" s="592"/>
      <c r="AK37" s="593">
        <f t="shared" si="13"/>
        <v>0</v>
      </c>
      <c r="AL37" s="592">
        <f>IF(C37=0,0,VLOOKUP(C37,[2]FREQUENCIAS!$1:$1048576,(IF(($A37=[2]FREQUENCIAS!$W$1),23,"ERRO")),[2]FREQUENCIAS!$1:$1048576))</f>
        <v>0</v>
      </c>
      <c r="AM37" s="592"/>
      <c r="AN37" s="592"/>
      <c r="AO37" s="593">
        <f t="shared" si="14"/>
        <v>0</v>
      </c>
      <c r="AV37" s="607">
        <f>IF(B37=0,0,VLOOKUP(B37,[2]FREQUENCIAS!$1:$1048576,(IF(($A37=[2]FREQUENCIAS!$W$1),23,"ERRO")),[2]FREQUENCIAS!$1:$1048576))</f>
        <v>0</v>
      </c>
      <c r="AW37" s="607">
        <f>IF(C37=0,0,VLOOKUP(C37,[2]FREQUENCIAS!$1:$1048576,(IF(($A37=[2]FREQUENCIAS!$W$1),23,"ERRO")),[2]FREQUENCIAS!$1:$1048576))</f>
        <v>0</v>
      </c>
      <c r="AX37" s="607">
        <f>IF(D37=0,0,VLOOKUP(D37,[2]FREQUENCIAS!$1:$1048576,(IF(($A37=[2]FREQUENCIAS!$W$1),23,"ERRO")),[2]FREQUENCIAS!$1:$1048576))</f>
        <v>0</v>
      </c>
      <c r="AY37" s="607">
        <f>IF(E37=0,0,VLOOKUP(E37,[2]FREQUENCIAS!$1:$1048576,(IF(($A37=[2]FREQUENCIAS!$W$1),23,"ERRO")),[2]FREQUENCIAS!$1:$1048576))</f>
        <v>0</v>
      </c>
      <c r="AZ37" s="608">
        <f t="shared" si="21"/>
        <v>0</v>
      </c>
      <c r="BA37" s="608">
        <f t="shared" si="21"/>
        <v>0</v>
      </c>
      <c r="BB37" s="608">
        <f t="shared" si="21"/>
        <v>0</v>
      </c>
      <c r="BC37" s="608">
        <f t="shared" si="21"/>
        <v>0</v>
      </c>
      <c r="BD37" s="541">
        <f t="shared" si="18"/>
        <v>1</v>
      </c>
      <c r="BE37" s="541">
        <f t="shared" si="19"/>
        <v>0</v>
      </c>
      <c r="BF37" s="595">
        <f t="shared" si="15"/>
        <v>1</v>
      </c>
    </row>
    <row r="38" spans="1:60" ht="15" hidden="1" customHeight="1" thickTop="1" thickBot="1" x14ac:dyDescent="0.25">
      <c r="A38" s="596">
        <f>'[2]IMPORTAÇÃO GENOTIPER'!A31</f>
        <v>4</v>
      </c>
      <c r="B38" s="574">
        <f>'[2]IMPORTAÇÃO GENOTIPER'!AE31</f>
        <v>0</v>
      </c>
      <c r="C38" s="575">
        <f>'[2]IMPORTAÇÃO GENOTIPER'!AM31</f>
        <v>0</v>
      </c>
      <c r="D38" s="575">
        <f>'[2]IMPORTAÇÃO GENOTIPER'!AU31</f>
        <v>0</v>
      </c>
      <c r="E38" s="576">
        <f>'[2]IMPORTAÇÃO GENOTIPER'!BC31</f>
        <v>0</v>
      </c>
      <c r="F38" s="597">
        <f t="shared" si="0"/>
        <v>0</v>
      </c>
      <c r="G38" s="597">
        <f t="shared" si="1"/>
        <v>0</v>
      </c>
      <c r="H38" s="597">
        <f t="shared" si="2"/>
        <v>0</v>
      </c>
      <c r="I38" s="597">
        <f t="shared" si="3"/>
        <v>0</v>
      </c>
      <c r="J38" s="598"/>
      <c r="K38" s="598"/>
      <c r="L38" s="598"/>
      <c r="M38" s="599"/>
      <c r="N38" s="598">
        <f t="shared" si="4"/>
        <v>0</v>
      </c>
      <c r="O38" s="598">
        <f t="shared" si="5"/>
        <v>0</v>
      </c>
      <c r="P38" s="600">
        <f t="shared" si="6"/>
        <v>0</v>
      </c>
      <c r="Q38" s="601">
        <f t="shared" si="7"/>
        <v>0</v>
      </c>
      <c r="R38" s="602"/>
      <c r="S38" s="602"/>
      <c r="T38" s="583">
        <f>IF(P38=0,0,VLOOKUP(P38,[2]FREQUENCIAS!1:1048576,(IF(($A38=[2]FREQUENCIAS!$AB$1),28,"ERRO")),[2]FREQUENCIAS!1:1048576))</f>
        <v>0</v>
      </c>
      <c r="U38" s="583">
        <f>IF(Q38=0,0,VLOOKUP(Q38,[2]FREQUENCIAS!1:1048576,(IF(($A38=[2]FREQUENCIAS!$AB$1),28,"ERRO")),[2]FREQUENCIAS!1:1048576))</f>
        <v>0</v>
      </c>
      <c r="V38" s="603"/>
      <c r="W38" s="585" t="str">
        <f t="shared" si="8"/>
        <v>OK</v>
      </c>
      <c r="X38" s="604">
        <f t="shared" si="20"/>
        <v>0</v>
      </c>
      <c r="Y38" s="605">
        <f t="shared" si="16"/>
        <v>1</v>
      </c>
      <c r="Z38" s="588">
        <f t="shared" si="17"/>
        <v>0.5</v>
      </c>
      <c r="AA38" s="612"/>
      <c r="AB38" s="606" t="str">
        <f t="shared" si="9"/>
        <v>EXCLUI</v>
      </c>
      <c r="AC38" s="541" t="e">
        <f t="shared" si="10"/>
        <v>#DIV/0!</v>
      </c>
      <c r="AD38" s="541" t="s">
        <v>350</v>
      </c>
      <c r="AE38" s="541" t="str">
        <f t="shared" si="11"/>
        <v>1 / F</v>
      </c>
      <c r="AF38" s="591">
        <f t="shared" si="12"/>
        <v>1</v>
      </c>
      <c r="AH38" s="592">
        <f>IF(B38=0,0,VLOOKUP(B38,[2]FREQUENCIAS!$1:$1048576,(IF(($A38=[2]FREQUENCIAS!$W$1),23,"ERRO")),[2]FREQUENCIAS!$1:$1048576))</f>
        <v>0</v>
      </c>
      <c r="AI38" s="592"/>
      <c r="AJ38" s="592"/>
      <c r="AK38" s="593">
        <f t="shared" si="13"/>
        <v>0</v>
      </c>
      <c r="AL38" s="592">
        <f>IF(C38=0,0,VLOOKUP(C38,[2]FREQUENCIAS!$1:$1048576,(IF(($A38=[2]FREQUENCIAS!$W$1),23,"ERRO")),[2]FREQUENCIAS!$1:$1048576))</f>
        <v>0</v>
      </c>
      <c r="AM38" s="592"/>
      <c r="AN38" s="592"/>
      <c r="AO38" s="593">
        <f t="shared" si="14"/>
        <v>0</v>
      </c>
      <c r="AV38" s="607">
        <f>IF(B38=0,0,VLOOKUP(B38,[2]FREQUENCIAS!$1:$1048576,(IF(($A38=[2]FREQUENCIAS!$W$1),23,"ERRO")),[2]FREQUENCIAS!$1:$1048576))</f>
        <v>0</v>
      </c>
      <c r="AW38" s="607">
        <f>IF(C38=0,0,VLOOKUP(C38,[2]FREQUENCIAS!$1:$1048576,(IF(($A38=[2]FREQUENCIAS!$W$1),23,"ERRO")),[2]FREQUENCIAS!$1:$1048576))</f>
        <v>0</v>
      </c>
      <c r="AX38" s="607">
        <f>IF(D38=0,0,VLOOKUP(D38,[2]FREQUENCIAS!$1:$1048576,(IF(($A38=[2]FREQUENCIAS!$W$1),23,"ERRO")),[2]FREQUENCIAS!$1:$1048576))</f>
        <v>0</v>
      </c>
      <c r="AY38" s="607">
        <f>IF(E38=0,0,VLOOKUP(E38,[2]FREQUENCIAS!$1:$1048576,(IF(($A38=[2]FREQUENCIAS!$W$1),23,"ERRO")),[2]FREQUENCIAS!$1:$1048576))</f>
        <v>0</v>
      </c>
      <c r="AZ38" s="608">
        <f t="shared" si="21"/>
        <v>0</v>
      </c>
      <c r="BA38" s="608">
        <f t="shared" si="21"/>
        <v>0</v>
      </c>
      <c r="BB38" s="608">
        <f t="shared" si="21"/>
        <v>0</v>
      </c>
      <c r="BC38" s="608">
        <f t="shared" si="21"/>
        <v>0</v>
      </c>
      <c r="BD38" s="541">
        <f t="shared" si="18"/>
        <v>1</v>
      </c>
      <c r="BE38" s="541">
        <f t="shared" si="19"/>
        <v>0</v>
      </c>
      <c r="BF38" s="595">
        <f t="shared" si="15"/>
        <v>1</v>
      </c>
    </row>
    <row r="39" spans="1:60" ht="15" hidden="1" customHeight="1" thickTop="1" thickBot="1" x14ac:dyDescent="0.25">
      <c r="A39" s="596">
        <f>'[2]IMPORTAÇÃO GENOTIPER'!A32</f>
        <v>5</v>
      </c>
      <c r="B39" s="574">
        <f>'[2]IMPORTAÇÃO GENOTIPER'!AE32</f>
        <v>0</v>
      </c>
      <c r="C39" s="575">
        <f>'[2]IMPORTAÇÃO GENOTIPER'!AM32</f>
        <v>0</v>
      </c>
      <c r="D39" s="575">
        <f>'[2]IMPORTAÇÃO GENOTIPER'!AU32</f>
        <v>0</v>
      </c>
      <c r="E39" s="576">
        <f>'[2]IMPORTAÇÃO GENOTIPER'!BC32</f>
        <v>0</v>
      </c>
      <c r="F39" s="597">
        <f t="shared" si="0"/>
        <v>0</v>
      </c>
      <c r="G39" s="597">
        <f t="shared" si="1"/>
        <v>0</v>
      </c>
      <c r="H39" s="597">
        <f t="shared" si="2"/>
        <v>0</v>
      </c>
      <c r="I39" s="597">
        <f t="shared" si="3"/>
        <v>0</v>
      </c>
      <c r="J39" s="598"/>
      <c r="K39" s="598"/>
      <c r="L39" s="598"/>
      <c r="M39" s="599"/>
      <c r="N39" s="598">
        <f t="shared" si="4"/>
        <v>0</v>
      </c>
      <c r="O39" s="598">
        <f t="shared" si="5"/>
        <v>0</v>
      </c>
      <c r="P39" s="600">
        <f t="shared" si="6"/>
        <v>0</v>
      </c>
      <c r="Q39" s="601">
        <f t="shared" si="7"/>
        <v>0</v>
      </c>
      <c r="R39" s="602"/>
      <c r="S39" s="602"/>
      <c r="T39" s="583">
        <f>IF(P39=0,0,VLOOKUP(P39,[2]FREQUENCIAS!1:1048576,(IF(($A39=[2]FREQUENCIAS!$AC$1),29,"ERRO")),[2]FREQUENCIAS!1:1048576))</f>
        <v>0</v>
      </c>
      <c r="U39" s="583">
        <f>IF(Q39=0,0,VLOOKUP(Q39,[2]FREQUENCIAS!1:1048576,(IF(($A39=[2]FREQUENCIAS!$AC$1),29,"ERRO")),[2]FREQUENCIAS!1:1048576))</f>
        <v>0</v>
      </c>
      <c r="V39" s="603"/>
      <c r="W39" s="585" t="str">
        <f t="shared" si="8"/>
        <v>OK</v>
      </c>
      <c r="X39" s="604">
        <f t="shared" si="20"/>
        <v>0</v>
      </c>
      <c r="Y39" s="605">
        <f t="shared" si="16"/>
        <v>1</v>
      </c>
      <c r="Z39" s="588">
        <f t="shared" si="17"/>
        <v>0.5</v>
      </c>
      <c r="AA39" s="612"/>
      <c r="AB39" s="606" t="str">
        <f t="shared" si="9"/>
        <v>EXCLUI</v>
      </c>
      <c r="AC39" s="541" t="e">
        <f t="shared" si="10"/>
        <v>#DIV/0!</v>
      </c>
      <c r="AD39" s="541" t="s">
        <v>350</v>
      </c>
      <c r="AE39" s="541" t="str">
        <f t="shared" si="11"/>
        <v>1 / F</v>
      </c>
      <c r="AF39" s="591">
        <f t="shared" si="12"/>
        <v>1</v>
      </c>
      <c r="AH39" s="592">
        <f>IF(B39=0,0,VLOOKUP(B39,[2]FREQUENCIAS!$1:$1048576,(IF(($A39=[2]FREQUENCIAS!$W$1),23,"ERRO")),[2]FREQUENCIAS!$1:$1048576))</f>
        <v>0</v>
      </c>
      <c r="AI39" s="592"/>
      <c r="AJ39" s="592"/>
      <c r="AK39" s="593">
        <f t="shared" si="13"/>
        <v>0</v>
      </c>
      <c r="AL39" s="592">
        <f>IF(C39=0,0,VLOOKUP(C39,[2]FREQUENCIAS!$1:$1048576,(IF(($A39=[2]FREQUENCIAS!$W$1),23,"ERRO")),[2]FREQUENCIAS!$1:$1048576))</f>
        <v>0</v>
      </c>
      <c r="AM39" s="592"/>
      <c r="AN39" s="592"/>
      <c r="AO39" s="593">
        <f t="shared" si="14"/>
        <v>0</v>
      </c>
      <c r="AV39" s="607">
        <f>IF(B39=0,0,VLOOKUP(B39,[2]FREQUENCIAS!$1:$1048576,(IF(($A39=[2]FREQUENCIAS!$W$1),23,"ERRO")),[2]FREQUENCIAS!$1:$1048576))</f>
        <v>0</v>
      </c>
      <c r="AW39" s="607">
        <f>IF(C39=0,0,VLOOKUP(C39,[2]FREQUENCIAS!$1:$1048576,(IF(($A39=[2]FREQUENCIAS!$W$1),23,"ERRO")),[2]FREQUENCIAS!$1:$1048576))</f>
        <v>0</v>
      </c>
      <c r="AX39" s="607">
        <f>IF(D39=0,0,VLOOKUP(D39,[2]FREQUENCIAS!$1:$1048576,(IF(($A39=[2]FREQUENCIAS!$W$1),23,"ERRO")),[2]FREQUENCIAS!$1:$1048576))</f>
        <v>0</v>
      </c>
      <c r="AY39" s="607">
        <f>IF(E39=0,0,VLOOKUP(E39,[2]FREQUENCIAS!$1:$1048576,(IF(($A39=[2]FREQUENCIAS!$W$1),23,"ERRO")),[2]FREQUENCIAS!$1:$1048576))</f>
        <v>0</v>
      </c>
      <c r="AZ39" s="608">
        <f t="shared" si="21"/>
        <v>0</v>
      </c>
      <c r="BA39" s="608">
        <f t="shared" si="21"/>
        <v>0</v>
      </c>
      <c r="BB39" s="608">
        <f t="shared" si="21"/>
        <v>0</v>
      </c>
      <c r="BC39" s="608">
        <f t="shared" si="21"/>
        <v>0</v>
      </c>
      <c r="BD39" s="541">
        <f t="shared" si="18"/>
        <v>1</v>
      </c>
      <c r="BE39" s="541">
        <f t="shared" si="19"/>
        <v>0</v>
      </c>
      <c r="BF39" s="595">
        <f t="shared" si="15"/>
        <v>1</v>
      </c>
    </row>
    <row r="40" spans="1:60" ht="15" hidden="1" customHeight="1" thickTop="1" thickBot="1" x14ac:dyDescent="0.25">
      <c r="A40" s="596">
        <f>'[2]IMPORTAÇÃO GENOTIPER'!A33</f>
        <v>6</v>
      </c>
      <c r="B40" s="574">
        <f>'[2]IMPORTAÇÃO GENOTIPER'!AE33</f>
        <v>0</v>
      </c>
      <c r="C40" s="575">
        <f>'[2]IMPORTAÇÃO GENOTIPER'!AM33</f>
        <v>0</v>
      </c>
      <c r="D40" s="575">
        <f>'[2]IMPORTAÇÃO GENOTIPER'!AU33</f>
        <v>0</v>
      </c>
      <c r="E40" s="576">
        <f>'[2]IMPORTAÇÃO GENOTIPER'!BC33</f>
        <v>0</v>
      </c>
      <c r="F40" s="597">
        <f t="shared" si="0"/>
        <v>0</v>
      </c>
      <c r="G40" s="597">
        <f t="shared" si="1"/>
        <v>0</v>
      </c>
      <c r="H40" s="597">
        <f t="shared" si="2"/>
        <v>0</v>
      </c>
      <c r="I40" s="597">
        <f t="shared" si="3"/>
        <v>0</v>
      </c>
      <c r="J40" s="598"/>
      <c r="K40" s="598"/>
      <c r="L40" s="598"/>
      <c r="M40" s="599"/>
      <c r="N40" s="598">
        <f t="shared" si="4"/>
        <v>0</v>
      </c>
      <c r="O40" s="598">
        <f t="shared" si="5"/>
        <v>0</v>
      </c>
      <c r="P40" s="600">
        <f t="shared" si="6"/>
        <v>0</v>
      </c>
      <c r="Q40" s="601">
        <f t="shared" si="7"/>
        <v>0</v>
      </c>
      <c r="R40" s="602"/>
      <c r="S40" s="602"/>
      <c r="T40" s="583">
        <f>IF(P40=0,0,VLOOKUP(P40,[2]FREQUENCIAS!1:1048576,(IF(($A40=[2]FREQUENCIAS!$AD$1),30,"ERRO")),[2]FREQUENCIAS!1:1048576))</f>
        <v>0</v>
      </c>
      <c r="U40" s="583">
        <f>IF(Q40=0,0,VLOOKUP(Q40,[2]FREQUENCIAS!1:1048576,(IF(($A40=[2]FREQUENCIAS!$AD$1),30,"ERRO")),[2]FREQUENCIAS!1:1048576))</f>
        <v>0</v>
      </c>
      <c r="V40" s="603"/>
      <c r="W40" s="585" t="str">
        <f t="shared" si="8"/>
        <v>OK</v>
      </c>
      <c r="X40" s="604">
        <f t="shared" si="20"/>
        <v>0</v>
      </c>
      <c r="Y40" s="605">
        <f t="shared" si="16"/>
        <v>1</v>
      </c>
      <c r="Z40" s="588">
        <f t="shared" si="17"/>
        <v>0.5</v>
      </c>
      <c r="AA40" s="612"/>
      <c r="AB40" s="606" t="str">
        <f t="shared" si="9"/>
        <v>EXCLUI</v>
      </c>
      <c r="AC40" s="541" t="e">
        <f t="shared" si="10"/>
        <v>#DIV/0!</v>
      </c>
      <c r="AD40" s="541" t="s">
        <v>350</v>
      </c>
      <c r="AE40" s="541" t="str">
        <f t="shared" si="11"/>
        <v>1 / F</v>
      </c>
      <c r="AF40" s="591">
        <f t="shared" si="12"/>
        <v>1</v>
      </c>
      <c r="AH40" s="592">
        <f>IF(B40=0,0,VLOOKUP(B40,[2]FREQUENCIAS!$1:$1048576,(IF(($A40=[2]FREQUENCIAS!$W$1),23,"ERRO")),[2]FREQUENCIAS!$1:$1048576))</f>
        <v>0</v>
      </c>
      <c r="AI40" s="592"/>
      <c r="AJ40" s="592"/>
      <c r="AK40" s="593">
        <f t="shared" si="13"/>
        <v>0</v>
      </c>
      <c r="AL40" s="592">
        <f>IF(C40=0,0,VLOOKUP(C40,[2]FREQUENCIAS!$1:$1048576,(IF(($A40=[2]FREQUENCIAS!$W$1),23,"ERRO")),[2]FREQUENCIAS!$1:$1048576))</f>
        <v>0</v>
      </c>
      <c r="AM40" s="592"/>
      <c r="AN40" s="592"/>
      <c r="AO40" s="593">
        <f t="shared" si="14"/>
        <v>0</v>
      </c>
      <c r="AV40" s="607">
        <f>IF(B40=0,0,VLOOKUP(B40,[2]FREQUENCIAS!$1:$1048576,(IF(($A40=[2]FREQUENCIAS!$W$1),23,"ERRO")),[2]FREQUENCIAS!$1:$1048576))</f>
        <v>0</v>
      </c>
      <c r="AW40" s="607">
        <f>IF(C40=0,0,VLOOKUP(C40,[2]FREQUENCIAS!$1:$1048576,(IF(($A40=[2]FREQUENCIAS!$W$1),23,"ERRO")),[2]FREQUENCIAS!$1:$1048576))</f>
        <v>0</v>
      </c>
      <c r="AX40" s="607">
        <f>IF(D40=0,0,VLOOKUP(D40,[2]FREQUENCIAS!$1:$1048576,(IF(($A40=[2]FREQUENCIAS!$W$1),23,"ERRO")),[2]FREQUENCIAS!$1:$1048576))</f>
        <v>0</v>
      </c>
      <c r="AY40" s="607">
        <f>IF(E40=0,0,VLOOKUP(E40,[2]FREQUENCIAS!$1:$1048576,(IF(($A40=[2]FREQUENCIAS!$W$1),23,"ERRO")),[2]FREQUENCIAS!$1:$1048576))</f>
        <v>0</v>
      </c>
      <c r="AZ40" s="608">
        <f t="shared" si="21"/>
        <v>0</v>
      </c>
      <c r="BA40" s="608">
        <f t="shared" si="21"/>
        <v>0</v>
      </c>
      <c r="BB40" s="608">
        <f t="shared" si="21"/>
        <v>0</v>
      </c>
      <c r="BC40" s="608">
        <f t="shared" si="21"/>
        <v>0</v>
      </c>
      <c r="BD40" s="541">
        <f t="shared" si="18"/>
        <v>1</v>
      </c>
      <c r="BE40" s="541">
        <f t="shared" si="19"/>
        <v>0</v>
      </c>
      <c r="BF40" s="595">
        <f t="shared" si="15"/>
        <v>1</v>
      </c>
    </row>
    <row r="41" spans="1:60" ht="15" hidden="1" customHeight="1" thickTop="1" thickBot="1" x14ac:dyDescent="0.25">
      <c r="A41" s="596">
        <f>'[2]IMPORTAÇÃO GENOTIPER'!A34</f>
        <v>7</v>
      </c>
      <c r="B41" s="574">
        <f>'[2]IMPORTAÇÃO GENOTIPER'!AE34</f>
        <v>0</v>
      </c>
      <c r="C41" s="575">
        <f>'[2]IMPORTAÇÃO GENOTIPER'!AM34</f>
        <v>0</v>
      </c>
      <c r="D41" s="575">
        <f>'[2]IMPORTAÇÃO GENOTIPER'!AU34</f>
        <v>0</v>
      </c>
      <c r="E41" s="576">
        <f>'[2]IMPORTAÇÃO GENOTIPER'!BC34</f>
        <v>0</v>
      </c>
      <c r="F41" s="597">
        <f t="shared" si="0"/>
        <v>0</v>
      </c>
      <c r="G41" s="597">
        <f t="shared" si="1"/>
        <v>0</v>
      </c>
      <c r="H41" s="597">
        <f t="shared" si="2"/>
        <v>0</v>
      </c>
      <c r="I41" s="597">
        <f t="shared" si="3"/>
        <v>0</v>
      </c>
      <c r="J41" s="598"/>
      <c r="K41" s="598"/>
      <c r="L41" s="598"/>
      <c r="M41" s="599"/>
      <c r="N41" s="598">
        <f t="shared" si="4"/>
        <v>0</v>
      </c>
      <c r="O41" s="598">
        <f t="shared" si="5"/>
        <v>0</v>
      </c>
      <c r="P41" s="600">
        <f t="shared" si="6"/>
        <v>0</v>
      </c>
      <c r="Q41" s="601">
        <f t="shared" si="7"/>
        <v>0</v>
      </c>
      <c r="R41" s="602"/>
      <c r="S41" s="602"/>
      <c r="T41" s="583">
        <f>IF(P41=0,0,VLOOKUP(P41,[2]FREQUENCIAS!1:1048576,(IF(($A41=[2]FREQUENCIAS!$AE$1),31,"ERRO")),[2]FREQUENCIAS!1:1048576))</f>
        <v>0</v>
      </c>
      <c r="U41" s="583">
        <f>IF(Q41=0,0,VLOOKUP(Q41,[2]FREQUENCIAS!1:1048576,(IF(($A41=[2]FREQUENCIAS!$AE$1),31,"ERRO")),[2]FREQUENCIAS!1:1048576))</f>
        <v>0</v>
      </c>
      <c r="V41" s="603"/>
      <c r="W41" s="585" t="str">
        <f t="shared" si="8"/>
        <v>OK</v>
      </c>
      <c r="X41" s="604">
        <f t="shared" si="20"/>
        <v>0</v>
      </c>
      <c r="Y41" s="605">
        <f t="shared" si="16"/>
        <v>1</v>
      </c>
      <c r="Z41" s="588">
        <f t="shared" si="17"/>
        <v>0.5</v>
      </c>
      <c r="AA41" s="612"/>
      <c r="AB41" s="606" t="str">
        <f t="shared" si="9"/>
        <v>EXCLUI</v>
      </c>
      <c r="AC41" s="541" t="e">
        <f t="shared" si="10"/>
        <v>#DIV/0!</v>
      </c>
      <c r="AD41" s="541" t="s">
        <v>350</v>
      </c>
      <c r="AE41" s="541" t="str">
        <f t="shared" si="11"/>
        <v>1 / F</v>
      </c>
      <c r="AF41" s="591">
        <f t="shared" si="12"/>
        <v>1</v>
      </c>
      <c r="AH41" s="592">
        <f>IF(B41=0,0,VLOOKUP(B41,[2]FREQUENCIAS!$1:$1048576,(IF(($A41=[2]FREQUENCIAS!$W$1),23,"ERRO")),[2]FREQUENCIAS!$1:$1048576))</f>
        <v>0</v>
      </c>
      <c r="AI41" s="592"/>
      <c r="AJ41" s="592"/>
      <c r="AK41" s="593">
        <f t="shared" si="13"/>
        <v>0</v>
      </c>
      <c r="AL41" s="592">
        <f>IF(C41=0,0,VLOOKUP(C41,[2]FREQUENCIAS!$1:$1048576,(IF(($A41=[2]FREQUENCIAS!$W$1),23,"ERRO")),[2]FREQUENCIAS!$1:$1048576))</f>
        <v>0</v>
      </c>
      <c r="AM41" s="592"/>
      <c r="AN41" s="592"/>
      <c r="AO41" s="593">
        <f t="shared" si="14"/>
        <v>0</v>
      </c>
      <c r="AV41" s="607">
        <f>IF(B41=0,0,VLOOKUP(B41,[2]FREQUENCIAS!$1:$1048576,(IF(($A41=[2]FREQUENCIAS!$W$1),23,"ERRO")),[2]FREQUENCIAS!$1:$1048576))</f>
        <v>0</v>
      </c>
      <c r="AW41" s="607">
        <f>IF(C41=0,0,VLOOKUP(C41,[2]FREQUENCIAS!$1:$1048576,(IF(($A41=[2]FREQUENCIAS!$W$1),23,"ERRO")),[2]FREQUENCIAS!$1:$1048576))</f>
        <v>0</v>
      </c>
      <c r="AX41" s="607">
        <f>IF(D41=0,0,VLOOKUP(D41,[2]FREQUENCIAS!$1:$1048576,(IF(($A41=[2]FREQUENCIAS!$W$1),23,"ERRO")),[2]FREQUENCIAS!$1:$1048576))</f>
        <v>0</v>
      </c>
      <c r="AY41" s="607">
        <f>IF(E41=0,0,VLOOKUP(E41,[2]FREQUENCIAS!$1:$1048576,(IF(($A41=[2]FREQUENCIAS!$W$1),23,"ERRO")),[2]FREQUENCIAS!$1:$1048576))</f>
        <v>0</v>
      </c>
      <c r="AZ41" s="608">
        <f t="shared" si="21"/>
        <v>0</v>
      </c>
      <c r="BA41" s="608">
        <f t="shared" si="21"/>
        <v>0</v>
      </c>
      <c r="BB41" s="608">
        <f t="shared" si="21"/>
        <v>0</v>
      </c>
      <c r="BC41" s="608">
        <f t="shared" si="21"/>
        <v>0</v>
      </c>
      <c r="BD41" s="541">
        <f t="shared" si="18"/>
        <v>1</v>
      </c>
      <c r="BE41" s="541">
        <f t="shared" si="19"/>
        <v>0</v>
      </c>
      <c r="BF41" s="595">
        <f t="shared" si="15"/>
        <v>1</v>
      </c>
    </row>
    <row r="42" spans="1:60" ht="15" hidden="1" customHeight="1" thickTop="1" thickBot="1" x14ac:dyDescent="0.25">
      <c r="A42" s="596">
        <f>'[2]IMPORTAÇÃO GENOTIPER'!A35</f>
        <v>8</v>
      </c>
      <c r="B42" s="574">
        <f>'[2]IMPORTAÇÃO GENOTIPER'!AE35</f>
        <v>0</v>
      </c>
      <c r="C42" s="575">
        <f>'[2]IMPORTAÇÃO GENOTIPER'!AM35</f>
        <v>0</v>
      </c>
      <c r="D42" s="575">
        <f>'[2]IMPORTAÇÃO GENOTIPER'!AU35</f>
        <v>0</v>
      </c>
      <c r="E42" s="576">
        <f>'[2]IMPORTAÇÃO GENOTIPER'!BC35</f>
        <v>0</v>
      </c>
      <c r="F42" s="613">
        <f t="shared" si="0"/>
        <v>0</v>
      </c>
      <c r="G42" s="613">
        <f t="shared" si="1"/>
        <v>0</v>
      </c>
      <c r="H42" s="613">
        <f t="shared" si="2"/>
        <v>0</v>
      </c>
      <c r="I42" s="613">
        <f t="shared" si="3"/>
        <v>0</v>
      </c>
      <c r="J42" s="614"/>
      <c r="K42" s="614"/>
      <c r="L42" s="614"/>
      <c r="M42" s="614"/>
      <c r="N42" s="614">
        <f t="shared" si="4"/>
        <v>0</v>
      </c>
      <c r="O42" s="614">
        <f t="shared" si="5"/>
        <v>0</v>
      </c>
      <c r="P42" s="615">
        <f t="shared" si="6"/>
        <v>0</v>
      </c>
      <c r="Q42" s="616">
        <f t="shared" si="7"/>
        <v>0</v>
      </c>
      <c r="R42" s="617"/>
      <c r="S42" s="617"/>
      <c r="T42" s="618">
        <f>IF(P42=0,0,VLOOKUP(P42,[2]FREQUENCIAS!1:1048576,(IF(($A42=[2]FREQUENCIAS!$AF$1),32,"ERRO")),[2]FREQUENCIAS!1:1048576))</f>
        <v>0</v>
      </c>
      <c r="U42" s="618">
        <f>IF(Q42=0,0,VLOOKUP(Q42,[2]FREQUENCIAS!1:1048576,(IF(($A42=[2]FREQUENCIAS!$AF$1),32,"ERRO")),[2]FREQUENCIAS!1:1048576))</f>
        <v>0</v>
      </c>
      <c r="V42" s="619"/>
      <c r="W42" s="585" t="str">
        <f t="shared" si="8"/>
        <v>OK</v>
      </c>
      <c r="X42" s="604">
        <f t="shared" si="20"/>
        <v>0</v>
      </c>
      <c r="Y42" s="605">
        <f t="shared" si="16"/>
        <v>1</v>
      </c>
      <c r="Z42" s="588">
        <f t="shared" si="17"/>
        <v>0.5</v>
      </c>
      <c r="AA42" s="612"/>
      <c r="AB42" s="606" t="str">
        <f t="shared" si="9"/>
        <v>EXCLUI</v>
      </c>
      <c r="AC42" s="541" t="e">
        <f t="shared" si="10"/>
        <v>#DIV/0!</v>
      </c>
      <c r="AD42" s="541" t="s">
        <v>350</v>
      </c>
      <c r="AE42" s="541" t="str">
        <f t="shared" si="11"/>
        <v>1 / F</v>
      </c>
      <c r="AF42" s="591">
        <f t="shared" si="12"/>
        <v>1</v>
      </c>
      <c r="AH42" s="592">
        <f>IF(B42=0,0,VLOOKUP(B42,[2]FREQUENCIAS!$1:$1048576,(IF(($A42=[2]FREQUENCIAS!$W$1),23,"ERRO")),[2]FREQUENCIAS!$1:$1048576))</f>
        <v>0</v>
      </c>
      <c r="AI42" s="592"/>
      <c r="AJ42" s="592"/>
      <c r="AK42" s="593">
        <f t="shared" si="13"/>
        <v>0</v>
      </c>
      <c r="AL42" s="592">
        <f>IF(C42=0,0,VLOOKUP(C42,[2]FREQUENCIAS!$1:$1048576,(IF(($A42=[2]FREQUENCIAS!$W$1),23,"ERRO")),[2]FREQUENCIAS!$1:$1048576))</f>
        <v>0</v>
      </c>
      <c r="AM42" s="592"/>
      <c r="AN42" s="592"/>
      <c r="AO42" s="593">
        <f t="shared" si="14"/>
        <v>0</v>
      </c>
      <c r="AV42" s="607">
        <f>IF(B42=0,0,VLOOKUP(B42,[2]FREQUENCIAS!$1:$1048576,(IF(($A42=[2]FREQUENCIAS!$W$1),23,"ERRO")),[2]FREQUENCIAS!$1:$1048576))</f>
        <v>0</v>
      </c>
      <c r="AW42" s="607">
        <f>IF(C42=0,0,VLOOKUP(C42,[2]FREQUENCIAS!$1:$1048576,(IF(($A42=[2]FREQUENCIAS!$W$1),23,"ERRO")),[2]FREQUENCIAS!$1:$1048576))</f>
        <v>0</v>
      </c>
      <c r="AX42" s="607">
        <f>IF(D42=0,0,VLOOKUP(D42,[2]FREQUENCIAS!$1:$1048576,(IF(($A42=[2]FREQUENCIAS!$W$1),23,"ERRO")),[2]FREQUENCIAS!$1:$1048576))</f>
        <v>0</v>
      </c>
      <c r="AY42" s="607">
        <f>IF(E42=0,0,VLOOKUP(E42,[2]FREQUENCIAS!$1:$1048576,(IF(($A42=[2]FREQUENCIAS!$W$1),23,"ERRO")),[2]FREQUENCIAS!$1:$1048576))</f>
        <v>0</v>
      </c>
      <c r="AZ42" s="608">
        <f t="shared" si="21"/>
        <v>0</v>
      </c>
      <c r="BA42" s="608">
        <f t="shared" si="21"/>
        <v>0</v>
      </c>
      <c r="BB42" s="608">
        <f t="shared" si="21"/>
        <v>0</v>
      </c>
      <c r="BC42" s="608">
        <f t="shared" si="21"/>
        <v>0</v>
      </c>
      <c r="BD42" s="541">
        <f t="shared" si="18"/>
        <v>1</v>
      </c>
      <c r="BE42" s="541">
        <f t="shared" si="19"/>
        <v>0</v>
      </c>
      <c r="BF42" s="595">
        <f t="shared" si="15"/>
        <v>1</v>
      </c>
    </row>
    <row r="43" spans="1:60" ht="15" hidden="1" customHeight="1" thickTop="1" thickBot="1" x14ac:dyDescent="0.25">
      <c r="A43" s="596">
        <f>'[2]IMPORTAÇÃO GENOTIPER'!A36</f>
        <v>9</v>
      </c>
      <c r="B43" s="574">
        <f>'[2]IMPORTAÇÃO GENOTIPER'!AE36</f>
        <v>0</v>
      </c>
      <c r="C43" s="575">
        <f>'[2]IMPORTAÇÃO GENOTIPER'!AM36</f>
        <v>0</v>
      </c>
      <c r="D43" s="575">
        <f>'[2]IMPORTAÇÃO GENOTIPER'!AU36</f>
        <v>0</v>
      </c>
      <c r="E43" s="576">
        <f>'[2]IMPORTAÇÃO GENOTIPER'!BC36</f>
        <v>0</v>
      </c>
      <c r="F43" s="625">
        <f t="shared" si="0"/>
        <v>0</v>
      </c>
      <c r="G43" s="625">
        <f t="shared" si="1"/>
        <v>0</v>
      </c>
      <c r="H43" s="625">
        <f t="shared" si="2"/>
        <v>0</v>
      </c>
      <c r="I43" s="625">
        <f t="shared" si="3"/>
        <v>0</v>
      </c>
      <c r="J43" s="626"/>
      <c r="K43" s="626"/>
      <c r="L43" s="626"/>
      <c r="M43" s="626"/>
      <c r="N43" s="626">
        <f t="shared" si="4"/>
        <v>0</v>
      </c>
      <c r="O43" s="626">
        <f t="shared" si="5"/>
        <v>0</v>
      </c>
      <c r="P43" s="627">
        <f t="shared" si="6"/>
        <v>0</v>
      </c>
      <c r="Q43" s="628">
        <f t="shared" si="7"/>
        <v>0</v>
      </c>
      <c r="R43" s="629"/>
      <c r="S43" s="629"/>
      <c r="T43" s="630">
        <f>IF(P43=0,0,VLOOKUP(P43,[2]FREQUENCIAS!1:1048576,(IF(($A43=[2]FREQUENCIAS!$AG$1),33,"ERRO")),[2]FREQUENCIAS!1:1048576))</f>
        <v>0</v>
      </c>
      <c r="U43" s="630">
        <f>IF(Q43=0,0,VLOOKUP(Q43,[2]FREQUENCIAS!1:1048576,(IF(($A43=[2]FREQUENCIAS!$AG$1),33,"ERRO")),[2]FREQUENCIAS!1:1048576))</f>
        <v>0</v>
      </c>
      <c r="V43" s="631"/>
      <c r="W43" s="585" t="str">
        <f t="shared" si="8"/>
        <v>OK</v>
      </c>
      <c r="X43" s="604">
        <f t="shared" si="20"/>
        <v>0</v>
      </c>
      <c r="Y43" s="605">
        <f t="shared" si="16"/>
        <v>1</v>
      </c>
      <c r="Z43" s="588">
        <f t="shared" si="17"/>
        <v>0.5</v>
      </c>
      <c r="AA43" s="612"/>
      <c r="AB43" s="606" t="str">
        <f t="shared" si="9"/>
        <v>EXCLUI</v>
      </c>
      <c r="AC43" s="541" t="e">
        <f t="shared" si="10"/>
        <v>#DIV/0!</v>
      </c>
      <c r="AD43" s="541" t="s">
        <v>350</v>
      </c>
      <c r="AE43" s="541" t="str">
        <f t="shared" si="11"/>
        <v>1 / F</v>
      </c>
      <c r="AF43" s="591">
        <f t="shared" si="12"/>
        <v>1</v>
      </c>
      <c r="AH43" s="592">
        <f>IF(B43=0,0,VLOOKUP(B43,[2]FREQUENCIAS!$1:$1048576,(IF(($A43=[2]FREQUENCIAS!$W$1),23,"ERRO")),[2]FREQUENCIAS!$1:$1048576))</f>
        <v>0</v>
      </c>
      <c r="AI43" s="592"/>
      <c r="AJ43" s="592"/>
      <c r="AK43" s="593">
        <f t="shared" si="13"/>
        <v>0</v>
      </c>
      <c r="AL43" s="592">
        <f>IF(C43=0,0,VLOOKUP(C43,[2]FREQUENCIAS!$1:$1048576,(IF(($A43=[2]FREQUENCIAS!$W$1),23,"ERRO")),[2]FREQUENCIAS!$1:$1048576))</f>
        <v>0</v>
      </c>
      <c r="AM43" s="592"/>
      <c r="AN43" s="592"/>
      <c r="AO43" s="593">
        <f t="shared" si="14"/>
        <v>0</v>
      </c>
      <c r="AV43" s="607">
        <f>IF(B43=0,0,VLOOKUP(B43,[2]FREQUENCIAS!$1:$1048576,(IF(($A43=[2]FREQUENCIAS!$W$1),23,"ERRO")),[2]FREQUENCIAS!$1:$1048576))</f>
        <v>0</v>
      </c>
      <c r="AW43" s="607">
        <f>IF(C43=0,0,VLOOKUP(C43,[2]FREQUENCIAS!$1:$1048576,(IF(($A43=[2]FREQUENCIAS!$W$1),23,"ERRO")),[2]FREQUENCIAS!$1:$1048576))</f>
        <v>0</v>
      </c>
      <c r="AX43" s="607">
        <f>IF(D43=0,0,VLOOKUP(D43,[2]FREQUENCIAS!$1:$1048576,(IF(($A43=[2]FREQUENCIAS!$W$1),23,"ERRO")),[2]FREQUENCIAS!$1:$1048576))</f>
        <v>0</v>
      </c>
      <c r="AY43" s="607">
        <f>IF(E43=0,0,VLOOKUP(E43,[2]FREQUENCIAS!$1:$1048576,(IF(($A43=[2]FREQUENCIAS!$W$1),23,"ERRO")),[2]FREQUENCIAS!$1:$1048576))</f>
        <v>0</v>
      </c>
      <c r="AZ43" s="608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608">
        <f t="shared" si="22"/>
        <v>0</v>
      </c>
      <c r="BB43" s="608">
        <f t="shared" si="22"/>
        <v>0</v>
      </c>
      <c r="BC43" s="608">
        <f t="shared" si="22"/>
        <v>0</v>
      </c>
      <c r="BD43" s="541">
        <f t="shared" si="18"/>
        <v>1</v>
      </c>
      <c r="BE43" s="541">
        <f t="shared" si="19"/>
        <v>0</v>
      </c>
      <c r="BF43" s="595">
        <f t="shared" si="15"/>
        <v>1</v>
      </c>
    </row>
    <row r="44" spans="1:60" ht="15" hidden="1" customHeight="1" thickTop="1" thickBot="1" x14ac:dyDescent="0.25">
      <c r="A44" s="596">
        <f>'[2]IMPORTAÇÃO GENOTIPER'!A37</f>
        <v>10</v>
      </c>
      <c r="B44" s="574">
        <f>'[2]IMPORTAÇÃO GENOTIPER'!AE37</f>
        <v>0</v>
      </c>
      <c r="C44" s="575">
        <f>'[2]IMPORTAÇÃO GENOTIPER'!AM37</f>
        <v>0</v>
      </c>
      <c r="D44" s="575">
        <f>'[2]IMPORTAÇÃO GENOTIPER'!AU37</f>
        <v>0</v>
      </c>
      <c r="E44" s="576">
        <f>'[2]IMPORTAÇÃO GENOTIPER'!BC37</f>
        <v>0</v>
      </c>
      <c r="F44" s="625">
        <f t="shared" si="0"/>
        <v>0</v>
      </c>
      <c r="G44" s="625">
        <f t="shared" si="1"/>
        <v>0</v>
      </c>
      <c r="H44" s="625">
        <f t="shared" si="2"/>
        <v>0</v>
      </c>
      <c r="I44" s="625">
        <f t="shared" si="3"/>
        <v>0</v>
      </c>
      <c r="J44" s="626"/>
      <c r="K44" s="626"/>
      <c r="L44" s="626"/>
      <c r="M44" s="626"/>
      <c r="N44" s="626">
        <f t="shared" si="4"/>
        <v>0</v>
      </c>
      <c r="O44" s="626">
        <f t="shared" si="5"/>
        <v>0</v>
      </c>
      <c r="P44" s="627">
        <f t="shared" si="6"/>
        <v>0</v>
      </c>
      <c r="Q44" s="628">
        <f t="shared" si="7"/>
        <v>0</v>
      </c>
      <c r="R44" s="629"/>
      <c r="S44" s="629"/>
      <c r="T44" s="630">
        <f>IF(P44=0,0,VLOOKUP(P44,[2]FREQUENCIAS!1:1048576,(IF(($A44=[2]FREQUENCIAS!$AH$1),34,"ERRO")),[2]FREQUENCIAS!1:1048576))</f>
        <v>0</v>
      </c>
      <c r="U44" s="630">
        <f>IF(Q44=0,0,VLOOKUP(Q44,[2]FREQUENCIAS!1:1048576,(IF(($A44=[2]FREQUENCIAS!$AH$1),34,"ERRO")),[2]FREQUENCIAS!1:1048576))</f>
        <v>0</v>
      </c>
      <c r="V44" s="631"/>
      <c r="W44" s="585" t="str">
        <f t="shared" si="8"/>
        <v>OK</v>
      </c>
      <c r="X44" s="604">
        <f t="shared" si="20"/>
        <v>0</v>
      </c>
      <c r="Y44" s="605">
        <f t="shared" si="16"/>
        <v>1</v>
      </c>
      <c r="Z44" s="588">
        <f t="shared" si="17"/>
        <v>0.5</v>
      </c>
      <c r="AA44" s="612"/>
      <c r="AB44" s="606" t="str">
        <f t="shared" si="9"/>
        <v>EXCLUI</v>
      </c>
      <c r="AC44" s="541" t="e">
        <f t="shared" si="10"/>
        <v>#DIV/0!</v>
      </c>
      <c r="AD44" s="541" t="s">
        <v>350</v>
      </c>
      <c r="AE44" s="541" t="str">
        <f t="shared" si="11"/>
        <v>1 / F</v>
      </c>
      <c r="AF44" s="591">
        <f t="shared" si="12"/>
        <v>1</v>
      </c>
      <c r="AH44" s="592">
        <f>IF(B44=0,0,VLOOKUP(B44,[2]FREQUENCIAS!$1:$1048576,(IF(($A44=[2]FREQUENCIAS!$W$1),23,"ERRO")),[2]FREQUENCIAS!$1:$1048576))</f>
        <v>0</v>
      </c>
      <c r="AI44" s="592"/>
      <c r="AJ44" s="592"/>
      <c r="AK44" s="593">
        <f t="shared" si="13"/>
        <v>0</v>
      </c>
      <c r="AL44" s="592">
        <f>IF(C44=0,0,VLOOKUP(C44,[2]FREQUENCIAS!$1:$1048576,(IF(($A44=[2]FREQUENCIAS!$W$1),23,"ERRO")),[2]FREQUENCIAS!$1:$1048576))</f>
        <v>0</v>
      </c>
      <c r="AM44" s="592"/>
      <c r="AN44" s="592"/>
      <c r="AO44" s="593">
        <f t="shared" si="14"/>
        <v>0</v>
      </c>
      <c r="AV44" s="607">
        <f>IF(B44=0,0,VLOOKUP(B44,[2]FREQUENCIAS!$1:$1048576,(IF(($A44=[2]FREQUENCIAS!$W$1),23,"ERRO")),[2]FREQUENCIAS!$1:$1048576))</f>
        <v>0</v>
      </c>
      <c r="AW44" s="607">
        <f>IF(C44=0,0,VLOOKUP(C44,[2]FREQUENCIAS!$1:$1048576,(IF(($A44=[2]FREQUENCIAS!$W$1),23,"ERRO")),[2]FREQUENCIAS!$1:$1048576))</f>
        <v>0</v>
      </c>
      <c r="AX44" s="607">
        <f>IF(D44=0,0,VLOOKUP(D44,[2]FREQUENCIAS!$1:$1048576,(IF(($A44=[2]FREQUENCIAS!$W$1),23,"ERRO")),[2]FREQUENCIAS!$1:$1048576))</f>
        <v>0</v>
      </c>
      <c r="AY44" s="607">
        <f>IF(E44=0,0,VLOOKUP(E44,[2]FREQUENCIAS!$1:$1048576,(IF(($A44=[2]FREQUENCIAS!$W$1),23,"ERRO")),[2]FREQUENCIAS!$1:$1048576))</f>
        <v>0</v>
      </c>
      <c r="AZ44" s="608">
        <f t="shared" si="22"/>
        <v>0</v>
      </c>
      <c r="BA44" s="608">
        <f t="shared" si="22"/>
        <v>0</v>
      </c>
      <c r="BB44" s="608">
        <f t="shared" si="22"/>
        <v>0</v>
      </c>
      <c r="BC44" s="608">
        <f t="shared" si="22"/>
        <v>0</v>
      </c>
      <c r="BD44" s="541">
        <f t="shared" si="18"/>
        <v>1</v>
      </c>
      <c r="BE44" s="541">
        <f t="shared" si="19"/>
        <v>0</v>
      </c>
      <c r="BF44" s="595">
        <f t="shared" si="15"/>
        <v>1</v>
      </c>
    </row>
    <row r="45" spans="1:60" ht="15" hidden="1" customHeight="1" thickTop="1" thickBot="1" x14ac:dyDescent="0.25">
      <c r="A45" s="632">
        <f>'[2]IMPORTAÇÃO GENOTIPER'!A38</f>
        <v>11</v>
      </c>
      <c r="B45" s="574">
        <f>'[2]IMPORTAÇÃO GENOTIPER'!AE38</f>
        <v>0</v>
      </c>
      <c r="C45" s="575">
        <f>'[2]IMPORTAÇÃO GENOTIPER'!AM38</f>
        <v>0</v>
      </c>
      <c r="D45" s="575">
        <f>'[2]IMPORTAÇÃO GENOTIPER'!AU38</f>
        <v>0</v>
      </c>
      <c r="E45" s="576">
        <f>'[2]IMPORTAÇÃO GENOTIPER'!BC38</f>
        <v>0</v>
      </c>
      <c r="F45" s="633">
        <f t="shared" si="0"/>
        <v>0</v>
      </c>
      <c r="G45" s="633">
        <f t="shared" si="1"/>
        <v>0</v>
      </c>
      <c r="H45" s="633">
        <f t="shared" si="2"/>
        <v>0</v>
      </c>
      <c r="I45" s="633">
        <f t="shared" si="3"/>
        <v>0</v>
      </c>
      <c r="J45" s="634"/>
      <c r="K45" s="634"/>
      <c r="L45" s="634"/>
      <c r="M45" s="635"/>
      <c r="N45" s="634">
        <f t="shared" si="4"/>
        <v>0</v>
      </c>
      <c r="O45" s="634">
        <f t="shared" si="5"/>
        <v>0</v>
      </c>
      <c r="P45" s="636">
        <f t="shared" si="6"/>
        <v>0</v>
      </c>
      <c r="Q45" s="637">
        <f t="shared" si="7"/>
        <v>0</v>
      </c>
      <c r="R45" s="638"/>
      <c r="S45" s="638"/>
      <c r="T45" s="639">
        <f>IF(P45=0,0,VLOOKUP(P45,[2]FREQUENCIAS!1:1048576,(IF(($A45=[2]FREQUENCIAS!$AI$1),35,"ERRO")),[2]FREQUENCIAS!1:1048576))</f>
        <v>0</v>
      </c>
      <c r="U45" s="639">
        <f>IF(Q45=0,0,VLOOKUP(Q45,[2]FREQUENCIAS!1:1048576,(IF(($A45=[2]FREQUENCIAS!$AI$1),35,"ERRO")),[2]FREQUENCIAS!1:1048576))</f>
        <v>0</v>
      </c>
      <c r="V45" s="640"/>
      <c r="W45" s="641" t="str">
        <f t="shared" si="8"/>
        <v>OK</v>
      </c>
      <c r="X45" s="642">
        <f t="shared" si="20"/>
        <v>0</v>
      </c>
      <c r="Y45" s="643">
        <f t="shared" si="16"/>
        <v>1</v>
      </c>
      <c r="Z45" s="588">
        <f t="shared" si="17"/>
        <v>0.5</v>
      </c>
      <c r="AA45" s="644"/>
      <c r="AB45" s="645" t="str">
        <f t="shared" si="9"/>
        <v>EXCLUI</v>
      </c>
      <c r="AC45" s="541" t="e">
        <f t="shared" si="10"/>
        <v>#DIV/0!</v>
      </c>
      <c r="AD45" s="541" t="s">
        <v>350</v>
      </c>
      <c r="AE45" s="541" t="str">
        <f t="shared" si="11"/>
        <v>1 / F</v>
      </c>
      <c r="AF45" s="591">
        <f t="shared" si="12"/>
        <v>1</v>
      </c>
      <c r="AH45" s="592">
        <f>IF(B45=0,0,VLOOKUP(B45,[2]FREQUENCIAS!$1:$1048576,(IF(($A45=[2]FREQUENCIAS!$W$1),23,"ERRO")),[2]FREQUENCIAS!$1:$1048576))</f>
        <v>0</v>
      </c>
      <c r="AI45" s="592"/>
      <c r="AJ45" s="592"/>
      <c r="AK45" s="593">
        <f t="shared" si="13"/>
        <v>0</v>
      </c>
      <c r="AL45" s="592">
        <f>IF(C45=0,0,VLOOKUP(C45,[2]FREQUENCIAS!$1:$1048576,(IF(($A45=[2]FREQUENCIAS!$W$1),23,"ERRO")),[2]FREQUENCIAS!$1:$1048576))</f>
        <v>0</v>
      </c>
      <c r="AM45" s="592"/>
      <c r="AN45" s="592"/>
      <c r="AO45" s="593">
        <f t="shared" si="14"/>
        <v>0</v>
      </c>
      <c r="AV45" s="607">
        <f>IF(B45=0,0,VLOOKUP(B45,[2]FREQUENCIAS!$1:$1048576,(IF(($A45=[2]FREQUENCIAS!$W$1),23,"ERRO")),[2]FREQUENCIAS!$1:$1048576))</f>
        <v>0</v>
      </c>
      <c r="AW45" s="607">
        <f>IF(C45=0,0,VLOOKUP(C45,[2]FREQUENCIAS!$1:$1048576,(IF(($A45=[2]FREQUENCIAS!$W$1),23,"ERRO")),[2]FREQUENCIAS!$1:$1048576))</f>
        <v>0</v>
      </c>
      <c r="AX45" s="607">
        <f>IF(D45=0,0,VLOOKUP(D45,[2]FREQUENCIAS!$1:$1048576,(IF(($A45=[2]FREQUENCIAS!$W$1),23,"ERRO")),[2]FREQUENCIAS!$1:$1048576))</f>
        <v>0</v>
      </c>
      <c r="AY45" s="607">
        <f>IF(E45=0,0,VLOOKUP(E45,[2]FREQUENCIAS!$1:$1048576,(IF(($A45=[2]FREQUENCIAS!$W$1),23,"ERRO")),[2]FREQUENCIAS!$1:$1048576))</f>
        <v>0</v>
      </c>
      <c r="AZ45" s="608">
        <f t="shared" si="22"/>
        <v>0</v>
      </c>
      <c r="BA45" s="608">
        <f t="shared" si="22"/>
        <v>0</v>
      </c>
      <c r="BB45" s="608">
        <f t="shared" si="22"/>
        <v>0</v>
      </c>
      <c r="BC45" s="608">
        <f t="shared" si="22"/>
        <v>0</v>
      </c>
      <c r="BD45" s="541">
        <f t="shared" si="18"/>
        <v>1</v>
      </c>
      <c r="BE45" s="541">
        <f t="shared" si="19"/>
        <v>0</v>
      </c>
      <c r="BF45" s="595">
        <f t="shared" si="15"/>
        <v>1</v>
      </c>
    </row>
    <row r="46" spans="1:60" ht="12" customHeight="1" thickTop="1" x14ac:dyDescent="0.25">
      <c r="A46" s="646"/>
      <c r="B46" s="647"/>
      <c r="C46" s="648"/>
      <c r="D46" s="648"/>
      <c r="E46" s="649"/>
      <c r="F46" s="650"/>
      <c r="G46" s="650"/>
      <c r="H46" s="650"/>
      <c r="I46" s="650"/>
      <c r="J46" s="650"/>
      <c r="K46" s="650"/>
      <c r="L46" s="650"/>
      <c r="M46" s="650"/>
      <c r="N46" s="650"/>
      <c r="O46" s="650"/>
      <c r="P46" s="650"/>
      <c r="Q46" s="650"/>
      <c r="R46" s="650"/>
      <c r="S46" s="650"/>
      <c r="T46" s="650"/>
      <c r="U46" s="650"/>
      <c r="V46" s="650"/>
      <c r="W46" s="651"/>
      <c r="X46" s="652" t="s">
        <v>357</v>
      </c>
      <c r="Y46" s="904">
        <f>(IF((AND(($BE$46=1),($Z$52="SIM"))),($BF$11),(IF((PRODUCT(Z12:Z45)&lt;&gt;0),PRODUCT(Y12:Y45),"NIHIL"))))</f>
        <v>1</v>
      </c>
      <c r="Z46" s="904"/>
      <c r="AA46" s="653"/>
      <c r="AB46" s="654"/>
      <c r="AF46" s="842">
        <f>(IF(($Y$46&lt;&gt;0),((1-AF12)*(1-AF13)*(1-AF14)*(1-AF15)*(1-AF16)*(1-AF17)*(1-AF18)*(1-AF19)*(1-AF20)*(1-AF21)*(1-AF22)*(1-AF23)*(1-AF24)*(1-AF25)*(1-AF26)*(1-AF27)*(1-AF28)*(1-AF29)*(1-AF30)*(1-AF31)*(1-AF32)*(1-AF33)),$AE$26))</f>
        <v>0</v>
      </c>
      <c r="AG46" s="842"/>
      <c r="BD46" s="541">
        <f>SUM(BD12:BD33)</f>
        <v>22</v>
      </c>
      <c r="BE46" s="541">
        <f>SUM(BE12:BE45)</f>
        <v>0</v>
      </c>
      <c r="BF46" s="655">
        <v>2.7E-2</v>
      </c>
      <c r="BG46" s="656" t="s">
        <v>352</v>
      </c>
      <c r="BH46" s="656"/>
    </row>
    <row r="47" spans="1:60" ht="12" customHeight="1" x14ac:dyDescent="0.25">
      <c r="A47" s="657"/>
      <c r="B47" s="562"/>
      <c r="C47" s="562"/>
      <c r="D47" s="562"/>
      <c r="E47" s="562"/>
      <c r="F47" s="562"/>
      <c r="G47" s="562"/>
      <c r="H47" s="562"/>
      <c r="I47" s="562"/>
      <c r="J47" s="562"/>
      <c r="K47" s="562"/>
      <c r="L47" s="562"/>
      <c r="M47" s="562"/>
      <c r="N47" s="562"/>
      <c r="O47" s="562"/>
      <c r="P47" s="562"/>
      <c r="Q47" s="562"/>
      <c r="R47" s="562"/>
      <c r="S47" s="562"/>
      <c r="T47" s="562"/>
      <c r="U47" s="562"/>
      <c r="V47" s="562"/>
      <c r="W47" s="562"/>
      <c r="X47" s="658" t="s">
        <v>356</v>
      </c>
      <c r="Y47" s="888">
        <f>(IF(AND((Y46&lt;&gt;"NIHIL"),(Y46&lt;&gt;0)),(ROUNDDOWN((Y46/(Y46+1)),11)),"EXCLUSÃO"))</f>
        <v>0.5</v>
      </c>
      <c r="Z47" s="888"/>
      <c r="AB47" s="659"/>
      <c r="BF47" s="660" t="s">
        <v>353</v>
      </c>
    </row>
    <row r="48" spans="1:60" ht="12" customHeight="1" x14ac:dyDescent="0.2">
      <c r="A48" s="565"/>
      <c r="B48" s="562"/>
      <c r="C48" s="562"/>
      <c r="D48" s="562"/>
      <c r="E48" s="562"/>
      <c r="F48" s="562"/>
      <c r="G48" s="562"/>
      <c r="H48" s="562"/>
      <c r="I48" s="562"/>
      <c r="J48" s="562"/>
      <c r="K48" s="562"/>
      <c r="L48" s="562"/>
      <c r="M48" s="562"/>
      <c r="N48" s="562"/>
      <c r="O48" s="562"/>
      <c r="P48" s="562"/>
      <c r="Q48" s="562"/>
      <c r="R48" s="562"/>
      <c r="S48" s="562"/>
      <c r="T48" s="562"/>
      <c r="U48" s="562"/>
      <c r="V48" s="562"/>
      <c r="W48" s="562"/>
      <c r="X48" s="658" t="s">
        <v>355</v>
      </c>
      <c r="Y48" s="888">
        <f>(IF(AND((Y46&lt;&gt;"NIHIL"),(Y46&lt;&gt;0)),(ROUNDDOWN((1-$AF46),11)),"EXCLUSÃO"))</f>
        <v>1</v>
      </c>
      <c r="Z48" s="888"/>
      <c r="AB48" s="661"/>
      <c r="BF48" s="541" t="s">
        <v>139</v>
      </c>
    </row>
    <row r="49" spans="1:58" ht="12" customHeight="1" thickBot="1" x14ac:dyDescent="0.25">
      <c r="A49" s="662"/>
      <c r="B49" s="663"/>
      <c r="C49" s="663"/>
      <c r="D49" s="663"/>
      <c r="E49" s="663"/>
      <c r="F49" s="663"/>
      <c r="G49" s="663"/>
      <c r="H49" s="663"/>
      <c r="I49" s="663"/>
      <c r="J49" s="663"/>
      <c r="K49" s="663"/>
      <c r="L49" s="663"/>
      <c r="M49" s="663"/>
      <c r="N49" s="663"/>
      <c r="O49" s="663"/>
      <c r="P49" s="663"/>
      <c r="Q49" s="663"/>
      <c r="R49" s="663"/>
      <c r="S49" s="663"/>
      <c r="T49" s="663"/>
      <c r="U49" s="663"/>
      <c r="V49" s="663"/>
      <c r="W49" s="663"/>
      <c r="X49" s="664" t="str">
        <f>(IF(AND(($BE$46=1),($Z$52="SIM")),"RESULTADO CONSIDERANDO 1 MUTAÇÃO:     ","RESULTADO:"))</f>
        <v>RESULTADO:</v>
      </c>
      <c r="Y49" s="665" t="str">
        <f>(IF(AND(($BE$46=1),($Z$52="SIM")),"PATERNIDADE POSSÍVEL",(IF(AND((Y46&lt;&gt;"NIHIL"),(Y46&lt;&gt;0)),"VÍNCULO BIOLOGICAMENTE PROVADO","EXCLUSÃO"))))</f>
        <v>VÍNCULO BIOLOGICAMENTE PROVADO</v>
      </c>
      <c r="Z49" s="665"/>
      <c r="AA49" s="666"/>
      <c r="AB49" s="667"/>
      <c r="BF49" s="541" t="s">
        <v>140</v>
      </c>
    </row>
    <row r="50" spans="1:58" ht="14.25" hidden="1" thickTop="1" thickBot="1" x14ac:dyDescent="0.25">
      <c r="A50" s="662"/>
      <c r="B50" s="562"/>
      <c r="C50" s="562"/>
      <c r="D50" s="562"/>
      <c r="E50" s="562"/>
      <c r="F50" s="562"/>
      <c r="G50" s="562"/>
      <c r="H50" s="562"/>
      <c r="I50" s="562"/>
      <c r="J50" s="562"/>
      <c r="K50" s="562"/>
      <c r="L50" s="562"/>
      <c r="M50" s="562"/>
      <c r="N50" s="562"/>
      <c r="O50" s="562"/>
      <c r="P50" s="562"/>
      <c r="Q50" s="562"/>
      <c r="R50" s="562"/>
      <c r="S50" s="562"/>
      <c r="T50" s="562"/>
      <c r="U50" s="562"/>
      <c r="V50" s="562"/>
      <c r="W50" s="562"/>
      <c r="X50" s="562"/>
      <c r="Y50" s="562"/>
      <c r="Z50" s="562"/>
      <c r="AB50" s="555"/>
    </row>
    <row r="51" spans="1:58" ht="14.25" hidden="1" thickTop="1" thickBot="1" x14ac:dyDescent="0.25">
      <c r="A51" s="565"/>
      <c r="B51" s="562"/>
      <c r="C51" s="562"/>
      <c r="D51" s="562"/>
      <c r="E51" s="562"/>
      <c r="F51" s="562"/>
      <c r="G51" s="562"/>
      <c r="H51" s="562"/>
      <c r="I51" s="562"/>
      <c r="J51" s="562"/>
      <c r="K51" s="562"/>
      <c r="L51" s="562"/>
      <c r="M51" s="562"/>
      <c r="N51" s="562"/>
      <c r="O51" s="562"/>
      <c r="P51" s="562"/>
      <c r="Q51" s="562"/>
      <c r="R51" s="562"/>
      <c r="S51" s="562"/>
      <c r="T51" s="562"/>
      <c r="U51" s="562"/>
      <c r="V51" s="562"/>
      <c r="W51" s="562"/>
      <c r="X51" s="562"/>
      <c r="Y51" s="562"/>
      <c r="Z51" s="562"/>
      <c r="AB51" s="555"/>
    </row>
    <row r="52" spans="1:58" s="674" customFormat="1" ht="15.75" customHeight="1" thickTop="1" x14ac:dyDescent="0.2">
      <c r="A52" s="565"/>
      <c r="B52" s="668"/>
      <c r="C52" s="668"/>
      <c r="D52" s="668"/>
      <c r="E52" s="668"/>
      <c r="F52" s="668"/>
      <c r="G52" s="668"/>
      <c r="H52" s="668"/>
      <c r="I52" s="668"/>
      <c r="J52" s="668"/>
      <c r="K52" s="668"/>
      <c r="L52" s="668"/>
      <c r="M52" s="668"/>
      <c r="N52" s="668"/>
      <c r="O52" s="668"/>
      <c r="P52" s="668"/>
      <c r="Q52" s="668"/>
      <c r="R52" s="668"/>
      <c r="S52" s="668"/>
      <c r="T52" s="668"/>
      <c r="U52" s="668"/>
      <c r="V52" s="668"/>
      <c r="W52" s="668"/>
      <c r="X52" s="669"/>
      <c r="Y52" s="670" t="s">
        <v>354</v>
      </c>
      <c r="Z52" s="671" t="s">
        <v>139</v>
      </c>
      <c r="AA52" s="672"/>
      <c r="AB52" s="673"/>
    </row>
    <row r="53" spans="1:58" s="674" customFormat="1" ht="15" hidden="1" customHeight="1" x14ac:dyDescent="0.2">
      <c r="A53" s="675"/>
      <c r="B53" s="676"/>
      <c r="C53" s="676"/>
      <c r="D53" s="676"/>
      <c r="E53" s="676"/>
      <c r="F53" s="676"/>
      <c r="G53" s="676"/>
      <c r="H53" s="676"/>
      <c r="I53" s="676"/>
      <c r="J53" s="676"/>
      <c r="K53" s="676"/>
      <c r="L53" s="676"/>
      <c r="M53" s="676"/>
      <c r="N53" s="676"/>
      <c r="O53" s="676"/>
      <c r="P53" s="676"/>
      <c r="Q53" s="676"/>
      <c r="R53" s="676"/>
      <c r="S53" s="676"/>
      <c r="T53" s="676"/>
      <c r="U53" s="676"/>
      <c r="V53" s="676"/>
      <c r="W53" s="676"/>
      <c r="X53" s="676"/>
      <c r="Y53" s="676"/>
      <c r="Z53" s="676"/>
      <c r="AA53" s="676"/>
      <c r="AB53" s="677"/>
    </row>
    <row r="54" spans="1:58" s="674" customFormat="1" ht="9.75" customHeight="1" x14ac:dyDescent="0.2">
      <c r="A54" s="678" t="str">
        <f>(IF(AND(($BE$46=1),($Z$52="SIM")),"Aconselhável a genotipagem dos materiais da Genitora do(a) Investigante",""))</f>
        <v/>
      </c>
      <c r="B54" s="676"/>
      <c r="C54" s="676"/>
      <c r="D54" s="676"/>
      <c r="E54" s="676"/>
      <c r="F54" s="676"/>
      <c r="G54" s="676"/>
      <c r="H54" s="676"/>
      <c r="I54" s="676"/>
      <c r="J54" s="676"/>
      <c r="K54" s="676"/>
      <c r="L54" s="676"/>
      <c r="M54" s="676"/>
      <c r="N54" s="676"/>
      <c r="O54" s="676"/>
      <c r="P54" s="676"/>
      <c r="Q54" s="676"/>
      <c r="R54" s="676"/>
      <c r="S54" s="676"/>
      <c r="T54" s="676"/>
      <c r="U54" s="676"/>
      <c r="V54" s="676"/>
      <c r="W54" s="676"/>
      <c r="X54" s="676"/>
      <c r="Y54" s="676"/>
      <c r="Z54" s="676"/>
      <c r="AA54" s="676"/>
      <c r="AB54" s="677"/>
    </row>
    <row r="55" spans="1:58" ht="9" customHeight="1" x14ac:dyDescent="0.2">
      <c r="A55" s="679" t="str">
        <f>(IF(AND(($BE$46=1),($Z$52="SIM")),"Taxa de mutação empregada nos cálculos: 0,027",""))</f>
        <v/>
      </c>
      <c r="B55" s="562"/>
      <c r="C55" s="562"/>
      <c r="D55" s="562"/>
      <c r="E55" s="562"/>
      <c r="F55" s="562"/>
      <c r="G55" s="562"/>
      <c r="H55" s="562"/>
      <c r="I55" s="562"/>
      <c r="J55" s="562"/>
      <c r="K55" s="562"/>
      <c r="L55" s="562"/>
      <c r="M55" s="562"/>
      <c r="N55" s="562"/>
      <c r="O55" s="562"/>
      <c r="P55" s="562"/>
      <c r="Q55" s="562"/>
      <c r="R55" s="562"/>
      <c r="S55" s="562"/>
      <c r="T55" s="562"/>
      <c r="U55" s="562"/>
      <c r="V55" s="562"/>
      <c r="W55" s="562"/>
      <c r="X55" s="562"/>
      <c r="Y55" s="562"/>
      <c r="Z55" s="562"/>
      <c r="AB55" s="555"/>
    </row>
    <row r="56" spans="1:58" ht="38.25" customHeight="1" x14ac:dyDescent="0.2">
      <c r="A56" s="565"/>
      <c r="B56" s="562"/>
      <c r="C56" s="562"/>
      <c r="D56" s="562"/>
      <c r="E56" s="562"/>
      <c r="F56" s="562"/>
      <c r="G56" s="562"/>
      <c r="H56" s="562"/>
      <c r="I56" s="562"/>
      <c r="J56" s="562"/>
      <c r="K56" s="562"/>
      <c r="L56" s="562"/>
      <c r="M56" s="562"/>
      <c r="N56" s="562"/>
      <c r="O56" s="562"/>
      <c r="P56" s="562"/>
      <c r="Q56" s="562"/>
      <c r="R56" s="562"/>
      <c r="S56" s="562"/>
      <c r="T56" s="562"/>
      <c r="U56" s="562"/>
      <c r="V56" s="562"/>
      <c r="W56" s="562"/>
      <c r="X56" s="562"/>
      <c r="Y56" s="562"/>
      <c r="Z56" s="562"/>
      <c r="AB56" s="555"/>
    </row>
    <row r="57" spans="1:58" ht="11.1" customHeight="1" x14ac:dyDescent="0.2">
      <c r="A57" s="908" t="s">
        <v>249</v>
      </c>
      <c r="B57" s="909"/>
      <c r="C57" s="909"/>
      <c r="D57" s="909"/>
      <c r="E57" s="909"/>
      <c r="F57" s="909"/>
      <c r="G57" s="909"/>
      <c r="H57" s="909"/>
      <c r="I57" s="909"/>
      <c r="J57" s="909"/>
      <c r="K57" s="909"/>
      <c r="L57" s="909"/>
      <c r="M57" s="909"/>
      <c r="N57" s="909"/>
      <c r="O57" s="909"/>
      <c r="P57" s="909"/>
      <c r="Q57" s="909"/>
      <c r="R57" s="909"/>
      <c r="S57" s="909"/>
      <c r="T57" s="909"/>
      <c r="U57" s="909"/>
      <c r="V57" s="909"/>
      <c r="W57" s="909"/>
      <c r="X57" s="909"/>
      <c r="Y57" s="909"/>
      <c r="Z57" s="909"/>
      <c r="AA57" s="909"/>
      <c r="AB57" s="910"/>
      <c r="AC57" s="680"/>
      <c r="AD57" s="680"/>
      <c r="AE57" s="681"/>
      <c r="AF57" s="682"/>
      <c r="AG57" s="911" t="s">
        <v>205</v>
      </c>
      <c r="AH57" s="911"/>
      <c r="AI57" s="911"/>
      <c r="AJ57" s="911"/>
      <c r="AK57" s="911"/>
      <c r="AL57" s="911"/>
      <c r="AM57" s="911"/>
      <c r="AN57" s="912"/>
      <c r="AO57" s="683"/>
      <c r="AP57" s="683"/>
      <c r="AQ57" s="683"/>
      <c r="AR57" s="683"/>
      <c r="AS57" s="683"/>
      <c r="AT57" s="683"/>
      <c r="AU57" s="683"/>
      <c r="AV57" s="683"/>
      <c r="AW57" s="683"/>
      <c r="AX57" s="683"/>
      <c r="AY57" s="683"/>
      <c r="AZ57" s="683"/>
      <c r="BA57" s="683"/>
      <c r="BB57" s="683"/>
      <c r="BC57" s="683"/>
      <c r="BD57" s="684"/>
    </row>
    <row r="58" spans="1:58" ht="11.1" customHeight="1" x14ac:dyDescent="0.2">
      <c r="A58" s="913" t="s">
        <v>242</v>
      </c>
      <c r="B58" s="914"/>
      <c r="C58" s="914"/>
      <c r="D58" s="914"/>
      <c r="E58" s="914"/>
      <c r="F58" s="914"/>
      <c r="G58" s="914"/>
      <c r="H58" s="914"/>
      <c r="I58" s="914"/>
      <c r="J58" s="914"/>
      <c r="K58" s="914"/>
      <c r="L58" s="914"/>
      <c r="M58" s="914"/>
      <c r="N58" s="914"/>
      <c r="O58" s="914"/>
      <c r="P58" s="914"/>
      <c r="Q58" s="914"/>
      <c r="R58" s="914"/>
      <c r="S58" s="914"/>
      <c r="T58" s="914"/>
      <c r="U58" s="914"/>
      <c r="V58" s="914"/>
      <c r="W58" s="914"/>
      <c r="X58" s="914"/>
      <c r="Y58" s="914"/>
      <c r="Z58" s="914"/>
      <c r="AA58" s="914"/>
      <c r="AB58" s="915"/>
      <c r="AC58" s="682"/>
      <c r="AD58" s="682"/>
      <c r="AE58" s="685"/>
      <c r="AF58" s="682"/>
      <c r="AG58" s="916" t="s">
        <v>206</v>
      </c>
      <c r="AH58" s="916"/>
      <c r="AI58" s="916"/>
      <c r="AJ58" s="916"/>
      <c r="AK58" s="916"/>
      <c r="AL58" s="916"/>
      <c r="AM58" s="916"/>
      <c r="AN58" s="917"/>
      <c r="AO58" s="683"/>
      <c r="AP58" s="683"/>
      <c r="AQ58" s="683"/>
      <c r="AR58" s="683"/>
      <c r="AS58" s="683"/>
      <c r="AT58" s="683"/>
      <c r="AU58" s="683"/>
      <c r="AV58" s="683"/>
      <c r="AW58" s="683"/>
      <c r="AX58" s="683"/>
      <c r="AY58" s="683"/>
      <c r="AZ58" s="683"/>
      <c r="BA58" s="683"/>
      <c r="BB58" s="683"/>
      <c r="BC58" s="683"/>
      <c r="BD58" s="684"/>
    </row>
    <row r="59" spans="1:58" ht="11.1" customHeight="1" thickBot="1" x14ac:dyDescent="0.25">
      <c r="A59" s="918" t="s">
        <v>243</v>
      </c>
      <c r="B59" s="919"/>
      <c r="C59" s="919"/>
      <c r="D59" s="919"/>
      <c r="E59" s="919"/>
      <c r="F59" s="919"/>
      <c r="G59" s="919"/>
      <c r="H59" s="919"/>
      <c r="I59" s="919"/>
      <c r="J59" s="919"/>
      <c r="K59" s="919"/>
      <c r="L59" s="919"/>
      <c r="M59" s="919"/>
      <c r="N59" s="919"/>
      <c r="O59" s="919"/>
      <c r="P59" s="919"/>
      <c r="Q59" s="919"/>
      <c r="R59" s="919"/>
      <c r="S59" s="919"/>
      <c r="T59" s="919"/>
      <c r="U59" s="919"/>
      <c r="V59" s="919"/>
      <c r="W59" s="919"/>
      <c r="X59" s="919"/>
      <c r="Y59" s="919"/>
      <c r="Z59" s="919"/>
      <c r="AA59" s="919"/>
      <c r="AB59" s="920"/>
      <c r="AC59" s="682"/>
      <c r="AD59" s="682"/>
      <c r="AE59" s="685"/>
      <c r="AF59" s="682"/>
      <c r="AG59" s="916" t="s">
        <v>207</v>
      </c>
      <c r="AH59" s="916"/>
      <c r="AI59" s="916"/>
      <c r="AJ59" s="916"/>
      <c r="AK59" s="916"/>
      <c r="AL59" s="916"/>
      <c r="AM59" s="916"/>
      <c r="AN59" s="917"/>
      <c r="AO59" s="683"/>
      <c r="AP59" s="683"/>
      <c r="AQ59" s="683"/>
      <c r="AR59" s="683"/>
      <c r="AS59" s="683"/>
      <c r="AT59" s="683"/>
      <c r="AU59" s="683"/>
      <c r="AV59" s="683"/>
      <c r="AW59" s="683"/>
      <c r="AX59" s="683"/>
      <c r="AY59" s="683"/>
      <c r="AZ59" s="683"/>
      <c r="BA59" s="683"/>
      <c r="BB59" s="683"/>
      <c r="BC59" s="683"/>
      <c r="BD59" s="684"/>
    </row>
    <row r="60" spans="1:58" ht="9.75" hidden="1" customHeight="1" thickBot="1" x14ac:dyDescent="0.25">
      <c r="A60" s="905"/>
      <c r="B60" s="906"/>
      <c r="C60" s="906"/>
      <c r="D60" s="906"/>
      <c r="E60" s="906"/>
      <c r="F60" s="906"/>
      <c r="G60" s="906"/>
      <c r="H60" s="906"/>
      <c r="I60" s="906"/>
      <c r="J60" s="906"/>
      <c r="K60" s="906"/>
      <c r="L60" s="906"/>
      <c r="M60" s="906"/>
      <c r="N60" s="906"/>
      <c r="O60" s="906"/>
      <c r="P60" s="906"/>
      <c r="Q60" s="906"/>
      <c r="R60" s="906"/>
      <c r="S60" s="906"/>
      <c r="T60" s="906"/>
      <c r="U60" s="906"/>
      <c r="V60" s="906"/>
      <c r="W60" s="906"/>
      <c r="X60" s="906"/>
      <c r="Y60" s="906"/>
      <c r="Z60" s="906"/>
      <c r="AA60" s="906"/>
      <c r="AB60" s="907"/>
      <c r="AC60" s="686"/>
      <c r="AD60" s="686"/>
      <c r="AE60" s="686"/>
      <c r="AF60" s="686"/>
      <c r="AG60" s="686"/>
      <c r="AH60" s="686"/>
      <c r="AI60" s="686"/>
      <c r="AJ60" s="686"/>
      <c r="AK60" s="686"/>
      <c r="AL60" s="686"/>
      <c r="AM60" s="686"/>
      <c r="AN60" s="687"/>
      <c r="AO60" s="683"/>
      <c r="AP60" s="683"/>
      <c r="AQ60" s="683"/>
      <c r="AR60" s="683"/>
      <c r="AS60" s="683"/>
      <c r="AT60" s="683"/>
      <c r="AU60" s="683"/>
      <c r="AV60" s="683"/>
      <c r="AW60" s="683"/>
      <c r="AX60" s="683"/>
      <c r="AY60" s="683"/>
      <c r="AZ60" s="683"/>
      <c r="BA60" s="683"/>
      <c r="BB60" s="683"/>
      <c r="BC60" s="683"/>
      <c r="BD60" s="684"/>
    </row>
    <row r="61" spans="1:58" ht="25.5" customHeight="1" thickTop="1" x14ac:dyDescent="0.5">
      <c r="B61" s="688" t="s">
        <v>197</v>
      </c>
      <c r="C61" s="688" t="s">
        <v>198</v>
      </c>
      <c r="D61" s="688" t="s">
        <v>199</v>
      </c>
      <c r="E61" s="688" t="s">
        <v>200</v>
      </c>
      <c r="F61" s="688"/>
      <c r="G61" s="688"/>
      <c r="H61" s="688"/>
      <c r="I61" s="688"/>
      <c r="J61" s="688"/>
      <c r="K61" s="688"/>
      <c r="L61" s="688"/>
      <c r="M61" s="688"/>
      <c r="N61" s="688"/>
      <c r="O61" s="688"/>
      <c r="P61" s="688"/>
      <c r="Q61" s="688"/>
      <c r="R61" s="688"/>
      <c r="S61" s="688"/>
      <c r="T61" s="688"/>
      <c r="U61" s="688"/>
      <c r="V61" s="688"/>
      <c r="W61" s="688"/>
      <c r="X61" s="688" t="s">
        <v>201</v>
      </c>
      <c r="Y61" s="688"/>
      <c r="AB61" s="689" t="s">
        <v>195</v>
      </c>
    </row>
    <row r="62" spans="1:58" ht="11.25" customHeight="1" x14ac:dyDescent="0.2">
      <c r="A62" s="688" t="s">
        <v>195</v>
      </c>
      <c r="AB62" s="690" t="s">
        <v>196</v>
      </c>
    </row>
  </sheetData>
  <mergeCells count="23">
    <mergeCell ref="A60:AB60"/>
    <mergeCell ref="A57:AB57"/>
    <mergeCell ref="AG57:AN57"/>
    <mergeCell ref="A58:AB58"/>
    <mergeCell ref="AG58:AN58"/>
    <mergeCell ref="A59:AB59"/>
    <mergeCell ref="AG59:AN59"/>
    <mergeCell ref="AH11:AK11"/>
    <mergeCell ref="AL11:AO11"/>
    <mergeCell ref="Y46:Z46"/>
    <mergeCell ref="AF46:AG46"/>
    <mergeCell ref="Y47:Z47"/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</mergeCells>
  <conditionalFormatting sqref="X12:X26 X34:X42">
    <cfRule type="expression" dxfId="32" priority="19" stopIfTrue="1">
      <formula>(A12="   ERRO-FT")</formula>
    </cfRule>
  </conditionalFormatting>
  <conditionalFormatting sqref="Y12:Y45">
    <cfRule type="cellIs" dxfId="31" priority="20" stopIfTrue="1" operator="equal">
      <formula>"EXCLUI"</formula>
    </cfRule>
    <cfRule type="expression" dxfId="30" priority="21" stopIfTrue="1">
      <formula>(A12="   ERRO-FT")</formula>
    </cfRule>
  </conditionalFormatting>
  <conditionalFormatting sqref="AB12:AB26">
    <cfRule type="cellIs" dxfId="29" priority="16" stopIfTrue="1" operator="equal">
      <formula>"EXCLUI"</formula>
    </cfRule>
  </conditionalFormatting>
  <conditionalFormatting sqref="Y48:Z49 A54:A55">
    <cfRule type="cellIs" dxfId="28" priority="17" stopIfTrue="1" operator="equal">
      <formula>"EXCLUSÃO"</formula>
    </cfRule>
  </conditionalFormatting>
  <conditionalFormatting sqref="X11:Y11">
    <cfRule type="cellIs" dxfId="27" priority="18" stopIfTrue="1" operator="equal">
      <formula>"AL.INF."</formula>
    </cfRule>
  </conditionalFormatting>
  <conditionalFormatting sqref="X52">
    <cfRule type="expression" dxfId="26" priority="22" stopIfTrue="1">
      <formula>$BE$46=1</formula>
    </cfRule>
    <cfRule type="expression" dxfId="25" priority="23" stopIfTrue="1">
      <formula>$BE$46&lt;&gt;1</formula>
    </cfRule>
  </conditionalFormatting>
  <conditionalFormatting sqref="Z52">
    <cfRule type="expression" dxfId="24" priority="24" stopIfTrue="1">
      <formula>$BE$46=1</formula>
    </cfRule>
    <cfRule type="expression" dxfId="23" priority="25" stopIfTrue="1">
      <formula>$BE$46&lt;&gt;1</formula>
    </cfRule>
  </conditionalFormatting>
  <conditionalFormatting sqref="Y47:Z47">
    <cfRule type="cellIs" dxfId="22" priority="26" stopIfTrue="1" operator="equal">
      <formula>"EXCLUSÃO"</formula>
    </cfRule>
  </conditionalFormatting>
  <conditionalFormatting sqref="Y52">
    <cfRule type="expression" dxfId="21" priority="27" stopIfTrue="1">
      <formula>$BE$46=1</formula>
    </cfRule>
    <cfRule type="expression" dxfId="20" priority="28" stopIfTrue="1">
      <formula>$BE$46&lt;&gt;1</formula>
    </cfRule>
  </conditionalFormatting>
  <conditionalFormatting sqref="W12:W26">
    <cfRule type="cellIs" dxfId="19" priority="29" stopIfTrue="1" operator="equal">
      <formula>"M?"</formula>
    </cfRule>
  </conditionalFormatting>
  <conditionalFormatting sqref="X27:X33">
    <cfRule type="expression" dxfId="18" priority="14" stopIfTrue="1">
      <formula>(A27="   ERRO-FT")</formula>
    </cfRule>
  </conditionalFormatting>
  <conditionalFormatting sqref="AB27:AB33">
    <cfRule type="cellIs" dxfId="17" priority="13" stopIfTrue="1" operator="equal">
      <formula>"EXCLUI"</formula>
    </cfRule>
  </conditionalFormatting>
  <conditionalFormatting sqref="W27:W33">
    <cfRule type="cellIs" dxfId="16" priority="15" stopIfTrue="1" operator="equal">
      <formula>"M?"</formula>
    </cfRule>
  </conditionalFormatting>
  <conditionalFormatting sqref="A12:A46">
    <cfRule type="cellIs" dxfId="15" priority="12" stopIfTrue="1" operator="equal">
      <formula>"ERRO-FT"</formula>
    </cfRule>
  </conditionalFormatting>
  <conditionalFormatting sqref="AB34:AB41">
    <cfRule type="cellIs" dxfId="14" priority="11" stopIfTrue="1" operator="equal">
      <formula>"EXCLUI"</formula>
    </cfRule>
  </conditionalFormatting>
  <conditionalFormatting sqref="W34:W41">
    <cfRule type="cellIs" dxfId="13" priority="30" stopIfTrue="1" operator="equal">
      <formula>"M?"</formula>
    </cfRule>
  </conditionalFormatting>
  <conditionalFormatting sqref="AB42">
    <cfRule type="cellIs" dxfId="12" priority="9" stopIfTrue="1" operator="equal">
      <formula>"EXCLUI"</formula>
    </cfRule>
  </conditionalFormatting>
  <conditionalFormatting sqref="W42">
    <cfRule type="cellIs" dxfId="11" priority="10" stopIfTrue="1" operator="equal">
      <formula>"M?"</formula>
    </cfRule>
  </conditionalFormatting>
  <conditionalFormatting sqref="X43">
    <cfRule type="expression" dxfId="10" priority="8" stopIfTrue="1">
      <formula>(A43="   ERRO-FT")</formula>
    </cfRule>
  </conditionalFormatting>
  <conditionalFormatting sqref="A43 A45">
    <cfRule type="cellIs" dxfId="9" priority="7" stopIfTrue="1" operator="equal">
      <formula>"ERRO-FT"</formula>
    </cfRule>
  </conditionalFormatting>
  <conditionalFormatting sqref="AB43">
    <cfRule type="cellIs" dxfId="8" priority="5" stopIfTrue="1" operator="equal">
      <formula>"EXCLUI"</formula>
    </cfRule>
  </conditionalFormatting>
  <conditionalFormatting sqref="W43">
    <cfRule type="cellIs" dxfId="7" priority="6" stopIfTrue="1" operator="equal">
      <formula>"M?"</formula>
    </cfRule>
  </conditionalFormatting>
  <conditionalFormatting sqref="X44:X45">
    <cfRule type="expression" dxfId="6" priority="4" stopIfTrue="1">
      <formula>(A44="   ERRO-FT")</formula>
    </cfRule>
  </conditionalFormatting>
  <conditionalFormatting sqref="A44:A45">
    <cfRule type="cellIs" dxfId="5" priority="3" stopIfTrue="1" operator="equal">
      <formula>"ERRO-FT"</formula>
    </cfRule>
  </conditionalFormatting>
  <conditionalFormatting sqref="AB44:AB45">
    <cfRule type="cellIs" dxfId="4" priority="1" stopIfTrue="1" operator="equal">
      <formula>"EXCLUI"</formula>
    </cfRule>
  </conditionalFormatting>
  <conditionalFormatting sqref="W44:W45">
    <cfRule type="cellIs" dxfId="3" priority="2" stopIfTrue="1" operator="equal">
      <formula>"M?"</formula>
    </cfRule>
  </conditionalFormatting>
  <dataValidations count="3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46" xr:uid="{C40277D3-9188-4EB8-9C32-687ADFE0697B}">
      <formula1>(AQ12=1)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57058D5EE1974382F918D3EA26C5C3" ma:contentTypeVersion="13" ma:contentTypeDescription="Crie um novo documento." ma:contentTypeScope="" ma:versionID="b9b7ac597f9fdeeadfec12e885c6a6e9">
  <xsd:schema xmlns:xsd="http://www.w3.org/2001/XMLSchema" xmlns:xs="http://www.w3.org/2001/XMLSchema" xmlns:p="http://schemas.microsoft.com/office/2006/metadata/properties" xmlns:ns2="792135f9-d248-4f60-9378-f099ef44a51f" xmlns:ns3="042cf7c8-e069-4885-b04d-c4a8be76d028" targetNamespace="http://schemas.microsoft.com/office/2006/metadata/properties" ma:root="true" ma:fieldsID="71e96c8097dec98c2e5cb4106607d73f" ns2:_="" ns3:_="">
    <xsd:import namespace="792135f9-d248-4f60-9378-f099ef44a51f"/>
    <xsd:import namespace="042cf7c8-e069-4885-b04d-c4a8be76d0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135f9-d248-4f60-9378-f099ef44a5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5d94f631-c3c5-49eb-b42c-714fc04ba5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cf7c8-e069-4885-b04d-c4a8be76d02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8155930-89a1-4d30-b7e6-01e84008691a}" ma:internalName="TaxCatchAll" ma:showField="CatchAllData" ma:web="042cf7c8-e069-4885-b04d-c4a8be76d0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42cf7c8-e069-4885-b04d-c4a8be76d028" xsi:nil="true"/>
    <lcf76f155ced4ddcb4097134ff3c332f xmlns="792135f9-d248-4f60-9378-f099ef44a51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E1911EC-8C03-4744-B57F-DDDC85FC6908}"/>
</file>

<file path=customXml/itemProps2.xml><?xml version="1.0" encoding="utf-8"?>
<ds:datastoreItem xmlns:ds="http://schemas.openxmlformats.org/officeDocument/2006/customXml" ds:itemID="{FE5FA82C-66B8-4D94-B777-3E1D385038C7}"/>
</file>

<file path=customXml/itemProps3.xml><?xml version="1.0" encoding="utf-8"?>
<ds:datastoreItem xmlns:ds="http://schemas.openxmlformats.org/officeDocument/2006/customXml" ds:itemID="{7F75B2CB-EDD8-400F-9693-2CB24506905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SUPERVISÃO 4</vt:lpstr>
      <vt:lpstr>SUPERVISÃO 3</vt:lpstr>
      <vt:lpstr>SUPERVISÃO 2</vt:lpstr>
      <vt:lpstr>SUPERVISÃO 1</vt:lpstr>
      <vt:lpstr>FREQUENCIAS</vt:lpstr>
      <vt:lpstr>RD0301</vt:lpstr>
      <vt:lpstr>PD0201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2022-10-07T23:56:33Z</cp:lastPrinted>
  <dcterms:created xsi:type="dcterms:W3CDTF">2000-11-01T18:17:47Z</dcterms:created>
  <dcterms:modified xsi:type="dcterms:W3CDTF">2022-10-10T01:15:52Z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0x0101002E57058D5EE1974382F918D3EA26C5C3</vt:lpwstr>
  </property>
</Properties>
</file>