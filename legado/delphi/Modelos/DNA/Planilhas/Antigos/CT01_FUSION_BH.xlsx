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U:\CPG\SCPG\Modelos\Planilhas\"/>
    </mc:Choice>
  </mc:AlternateContent>
  <bookViews>
    <workbookView xWindow="0" yWindow="0" windowWidth="20490" windowHeight="7155" tabRatio="703" firstSheet="4" activeTab="6"/>
  </bookViews>
  <sheets>
    <sheet name="SUPERVISÃO 4" sheetId="16" state="hidden" r:id="rId1"/>
    <sheet name="SUPERVISÃO 3" sheetId="15" state="hidden" r:id="rId2"/>
    <sheet name="SUPERVISÃO 2" sheetId="14" state="hidden" r:id="rId3"/>
    <sheet name="SUPERVISÃO 1" sheetId="13" state="hidden" r:id="rId4"/>
    <sheet name="IMPORTAÇÃO GENOTIPER" sheetId="9" r:id="rId5"/>
    <sheet name="FREQUENCIAS" sheetId="10" state="hidden" r:id="rId6"/>
    <sheet name="DADOS FINAIS" sheetId="12" r:id="rId7"/>
  </sheets>
  <definedNames>
    <definedName name="Print_Area" localSheetId="6">'DADOS FINAIS'!$A$1:$AN$54</definedName>
    <definedName name="Print_Area" localSheetId="1">'SUPERVISÃO 3'!$1:$1048576</definedName>
    <definedName name="Print_Titles" localSheetId="5">FREQUENCIAS!$A:$A,FREQUENCIAS!$1:$1</definedName>
  </definedNames>
  <calcPr calcId="152511"/>
</workbook>
</file>

<file path=xl/calcChain.xml><?xml version="1.0" encoding="utf-8"?>
<calcChain xmlns="http://schemas.openxmlformats.org/spreadsheetml/2006/main">
  <c r="AH6" i="12" l="1"/>
  <c r="AH5" i="12"/>
  <c r="AH4" i="12"/>
  <c r="F32" i="12"/>
  <c r="F34" i="12" s="1"/>
  <c r="F33" i="12"/>
  <c r="AK31" i="12"/>
  <c r="E33" i="12"/>
  <c r="F44" i="12"/>
  <c r="AM4" i="15" l="1"/>
  <c r="AM4" i="13"/>
  <c r="AM4" i="14"/>
  <c r="AM5" i="13"/>
  <c r="AM5" i="14"/>
  <c r="AM5" i="15"/>
  <c r="AM6" i="13"/>
  <c r="AM6" i="14"/>
  <c r="AM6" i="15"/>
  <c r="BB30" i="13"/>
  <c r="BA30" i="13"/>
  <c r="BB29" i="13"/>
  <c r="BA29" i="13"/>
  <c r="BB28" i="13"/>
  <c r="BA28" i="13"/>
  <c r="BB27" i="13"/>
  <c r="BA27" i="13"/>
  <c r="BB26" i="13"/>
  <c r="BA26" i="13"/>
  <c r="BB25" i="13"/>
  <c r="BA25" i="13"/>
  <c r="BB24" i="13"/>
  <c r="BA24" i="13"/>
  <c r="BB23" i="13"/>
  <c r="BA23" i="13"/>
  <c r="BB22" i="13"/>
  <c r="BA22" i="13"/>
  <c r="BB21" i="13"/>
  <c r="BA21" i="13"/>
  <c r="BB20" i="13"/>
  <c r="BA20" i="13"/>
  <c r="BB19" i="13"/>
  <c r="BA19" i="13"/>
  <c r="BB18" i="13"/>
  <c r="BA18" i="13"/>
  <c r="BB17" i="13"/>
  <c r="BA17" i="13"/>
  <c r="BB16" i="13"/>
  <c r="BA16" i="13"/>
  <c r="BB15" i="13"/>
  <c r="BA15" i="13"/>
  <c r="BB14" i="13"/>
  <c r="BA14" i="13"/>
  <c r="BB13" i="13"/>
  <c r="BA13" i="13"/>
  <c r="BB12" i="13"/>
  <c r="BA12" i="13"/>
  <c r="BB11" i="13"/>
  <c r="BA11" i="13"/>
  <c r="BB10" i="13"/>
  <c r="BA10" i="13"/>
  <c r="BB9" i="13"/>
  <c r="BA9" i="13"/>
  <c r="BB30" i="14"/>
  <c r="BA30" i="14"/>
  <c r="BB29" i="14"/>
  <c r="BA29" i="14"/>
  <c r="BB28" i="14"/>
  <c r="BA28" i="14"/>
  <c r="BB27" i="14"/>
  <c r="BA27" i="14"/>
  <c r="BB26" i="14"/>
  <c r="BA26" i="14"/>
  <c r="BB25" i="14"/>
  <c r="BA25" i="14"/>
  <c r="BB24" i="14"/>
  <c r="BA24" i="14"/>
  <c r="BB23" i="14"/>
  <c r="BA23" i="14"/>
  <c r="BB22" i="14"/>
  <c r="BA22" i="14"/>
  <c r="BB21" i="14"/>
  <c r="BA21" i="14"/>
  <c r="BB20" i="14"/>
  <c r="BA20" i="14"/>
  <c r="BB19" i="14"/>
  <c r="BA19" i="14"/>
  <c r="BB18" i="14"/>
  <c r="BA18" i="14"/>
  <c r="BB17" i="14"/>
  <c r="BA17" i="14"/>
  <c r="BB16" i="14"/>
  <c r="BA16" i="14"/>
  <c r="BB15" i="14"/>
  <c r="BA15" i="14"/>
  <c r="BB14" i="14"/>
  <c r="BA14" i="14"/>
  <c r="BB13" i="14"/>
  <c r="BA13" i="14"/>
  <c r="BB12" i="14"/>
  <c r="BA12" i="14"/>
  <c r="BB11" i="14"/>
  <c r="BA11" i="14"/>
  <c r="BB10" i="14"/>
  <c r="BA10" i="14"/>
  <c r="BB9" i="14"/>
  <c r="BA9" i="14"/>
  <c r="BB30" i="15"/>
  <c r="BA30" i="15"/>
  <c r="BB29" i="15"/>
  <c r="BA29" i="15"/>
  <c r="BB28" i="15"/>
  <c r="BA28" i="15"/>
  <c r="BB27" i="15"/>
  <c r="BA27" i="15"/>
  <c r="BB26" i="15"/>
  <c r="BA26" i="15"/>
  <c r="BB25" i="15"/>
  <c r="BA25" i="15"/>
  <c r="BB24" i="15"/>
  <c r="BA24" i="15"/>
  <c r="BB23" i="15"/>
  <c r="BA23" i="15"/>
  <c r="BB22" i="15"/>
  <c r="BA22" i="15"/>
  <c r="BB21" i="15"/>
  <c r="BA21" i="15"/>
  <c r="BB20" i="15"/>
  <c r="BA20" i="15"/>
  <c r="BB19" i="15"/>
  <c r="BA19" i="15"/>
  <c r="BB18" i="15"/>
  <c r="BA18" i="15"/>
  <c r="BB17" i="15"/>
  <c r="BA17" i="15"/>
  <c r="BB16" i="15"/>
  <c r="BA16" i="15"/>
  <c r="BB15" i="15"/>
  <c r="BA15" i="15"/>
  <c r="BB14" i="15"/>
  <c r="BA14" i="15"/>
  <c r="BB13" i="15"/>
  <c r="BA13" i="15"/>
  <c r="BB12" i="15"/>
  <c r="BA12" i="15"/>
  <c r="BB11" i="15"/>
  <c r="BA11" i="15"/>
  <c r="BB10" i="15"/>
  <c r="BA10" i="15"/>
  <c r="BB9" i="15"/>
  <c r="BA9" i="15"/>
  <c r="AC7" i="16"/>
  <c r="B6" i="16"/>
  <c r="B5" i="16"/>
  <c r="B4" i="16"/>
  <c r="B3" i="16"/>
  <c r="AH34" i="16"/>
  <c r="G44" i="15"/>
  <c r="AX32" i="15"/>
  <c r="BC31" i="15" s="1"/>
  <c r="AH8" i="15"/>
  <c r="AG8" i="15"/>
  <c r="G44" i="14"/>
  <c r="AX32" i="14"/>
  <c r="AY25" i="14"/>
  <c r="AY24" i="14"/>
  <c r="AY22" i="14"/>
  <c r="AY21" i="14"/>
  <c r="AY20" i="14"/>
  <c r="AY19" i="14"/>
  <c r="AY18" i="14"/>
  <c r="AY17" i="14"/>
  <c r="AY16" i="14"/>
  <c r="AY15" i="14"/>
  <c r="AY14" i="14"/>
  <c r="AY13" i="14"/>
  <c r="AY12" i="14"/>
  <c r="AY11" i="14"/>
  <c r="AY10" i="14"/>
  <c r="AY9" i="14"/>
  <c r="AH8" i="14"/>
  <c r="AG8" i="14"/>
  <c r="G44" i="13"/>
  <c r="AX32" i="13"/>
  <c r="BC31" i="13"/>
  <c r="AY30" i="13"/>
  <c r="AY29" i="13"/>
  <c r="AY27" i="13"/>
  <c r="AY26" i="13"/>
  <c r="AY25" i="13"/>
  <c r="AY24" i="13"/>
  <c r="AY23" i="13"/>
  <c r="AY22" i="13"/>
  <c r="AY21" i="13"/>
  <c r="AY20" i="13"/>
  <c r="AY19" i="13"/>
  <c r="AY18" i="13"/>
  <c r="AY17" i="13"/>
  <c r="AY16" i="13"/>
  <c r="AY15" i="13"/>
  <c r="AY14" i="13"/>
  <c r="AY13" i="13"/>
  <c r="AY12" i="13"/>
  <c r="AY11" i="13"/>
  <c r="AY10" i="13"/>
  <c r="AY9" i="13"/>
  <c r="AH8" i="13"/>
  <c r="AG8" i="13"/>
  <c r="AY20" i="15"/>
  <c r="AY9" i="15"/>
  <c r="AY13" i="15"/>
  <c r="AY17" i="15"/>
  <c r="AY21" i="15"/>
  <c r="AY25" i="15"/>
  <c r="AY11" i="15"/>
  <c r="AY15" i="15"/>
  <c r="AY19" i="15"/>
  <c r="AY23" i="15"/>
  <c r="AY12" i="15"/>
  <c r="AY16" i="15"/>
  <c r="AY24" i="15"/>
  <c r="AY28" i="13"/>
  <c r="AY10" i="15"/>
  <c r="AY14" i="15"/>
  <c r="AY18" i="15"/>
  <c r="AY22" i="15"/>
  <c r="AY30" i="15"/>
  <c r="AY29" i="15"/>
  <c r="AY28" i="15"/>
  <c r="AY27" i="15"/>
  <c r="AY26" i="15"/>
  <c r="AY30" i="14"/>
  <c r="AY29" i="14"/>
  <c r="AY28" i="14"/>
  <c r="AY27" i="14"/>
  <c r="AY26" i="14"/>
  <c r="BC31" i="14"/>
  <c r="AY23" i="14"/>
  <c r="BB30" i="12"/>
  <c r="BB29" i="12"/>
  <c r="BB28" i="12"/>
  <c r="BB27" i="12"/>
  <c r="AY27" i="12" s="1"/>
  <c r="BB26" i="12"/>
  <c r="BB25" i="12"/>
  <c r="BB24" i="12"/>
  <c r="BB23" i="12"/>
  <c r="AY23" i="12" s="1"/>
  <c r="BB22" i="12"/>
  <c r="BB21" i="12"/>
  <c r="BB20" i="12"/>
  <c r="BB19" i="12"/>
  <c r="AY19" i="12" s="1"/>
  <c r="BB18" i="12"/>
  <c r="BB17" i="12"/>
  <c r="BB16" i="12"/>
  <c r="BB15" i="12"/>
  <c r="AY15" i="12" s="1"/>
  <c r="BB14" i="12"/>
  <c r="BB13" i="12"/>
  <c r="BB12" i="12"/>
  <c r="BB11" i="12"/>
  <c r="AY11" i="12" s="1"/>
  <c r="BB10" i="12"/>
  <c r="BB9" i="12"/>
  <c r="BA30" i="12"/>
  <c r="BA29" i="12"/>
  <c r="AY29" i="12" s="1"/>
  <c r="BA28" i="12"/>
  <c r="BA27" i="12"/>
  <c r="BA26" i="12"/>
  <c r="BA25" i="12"/>
  <c r="AY25" i="12" s="1"/>
  <c r="BA24" i="12"/>
  <c r="BA23" i="12"/>
  <c r="BA22" i="12"/>
  <c r="BA21" i="12"/>
  <c r="AY21" i="12" s="1"/>
  <c r="BA20" i="12"/>
  <c r="BA19" i="12"/>
  <c r="BA18" i="12"/>
  <c r="BA17" i="12"/>
  <c r="AY17" i="12" s="1"/>
  <c r="BA16" i="12"/>
  <c r="BA15" i="12"/>
  <c r="BA14" i="12"/>
  <c r="BA13" i="12"/>
  <c r="AY13" i="12" s="1"/>
  <c r="BA12" i="12"/>
  <c r="BA11" i="12"/>
  <c r="BA10" i="12"/>
  <c r="BA9" i="12"/>
  <c r="AY9" i="12" s="1"/>
  <c r="AY12" i="12"/>
  <c r="AY16" i="12"/>
  <c r="AY20" i="12"/>
  <c r="AY24" i="12"/>
  <c r="AY28" i="12"/>
  <c r="AY10" i="12"/>
  <c r="AY14" i="12"/>
  <c r="AY18" i="12"/>
  <c r="AY22" i="12"/>
  <c r="AY26" i="12"/>
  <c r="AY30" i="12"/>
  <c r="AV4" i="9"/>
  <c r="AN4" i="9"/>
  <c r="AF4" i="9"/>
  <c r="X4" i="9"/>
  <c r="P4" i="9"/>
  <c r="BA4" i="9"/>
  <c r="AZ4" i="9"/>
  <c r="AY4" i="9"/>
  <c r="AX4" i="9"/>
  <c r="AW4" i="9"/>
  <c r="AS4" i="9"/>
  <c r="AR4" i="9"/>
  <c r="AQ4" i="9"/>
  <c r="AP4" i="9"/>
  <c r="AO4" i="9"/>
  <c r="AK4" i="9"/>
  <c r="AJ4" i="9"/>
  <c r="AI4" i="9"/>
  <c r="AH4" i="9"/>
  <c r="AG4" i="9"/>
  <c r="AC4" i="9"/>
  <c r="AB4" i="9"/>
  <c r="AE4" i="9" s="1"/>
  <c r="AA4" i="9"/>
  <c r="Z4" i="9"/>
  <c r="Y4" i="9"/>
  <c r="U4" i="9"/>
  <c r="T4" i="9"/>
  <c r="S4" i="9"/>
  <c r="R4" i="9"/>
  <c r="Q4" i="9"/>
  <c r="BA27" i="9"/>
  <c r="AZ27" i="9"/>
  <c r="AY27" i="9"/>
  <c r="AX27" i="9"/>
  <c r="BC27" i="9" s="1"/>
  <c r="AW27" i="9"/>
  <c r="AV27" i="9"/>
  <c r="AS27" i="9"/>
  <c r="AR27" i="9"/>
  <c r="AQ27" i="9"/>
  <c r="AP27" i="9"/>
  <c r="AO27" i="9"/>
  <c r="AN27" i="9"/>
  <c r="AU27" i="9" s="1"/>
  <c r="AK27" i="9"/>
  <c r="AJ27" i="9"/>
  <c r="AI27" i="9"/>
  <c r="AH27" i="9"/>
  <c r="AM27" i="9" s="1"/>
  <c r="E30" i="12" s="1"/>
  <c r="AG27" i="9"/>
  <c r="AF27" i="9"/>
  <c r="AC27" i="9"/>
  <c r="AB27" i="9"/>
  <c r="AA27" i="9"/>
  <c r="Z27" i="9"/>
  <c r="Y27" i="9"/>
  <c r="X27" i="9"/>
  <c r="AE27" i="9" s="1"/>
  <c r="D30" i="12" s="1"/>
  <c r="U27" i="9"/>
  <c r="T27" i="9"/>
  <c r="S27" i="9"/>
  <c r="R27" i="9"/>
  <c r="W27" i="9" s="1"/>
  <c r="C30" i="12" s="1"/>
  <c r="Q27" i="9"/>
  <c r="P27" i="9"/>
  <c r="M27" i="9"/>
  <c r="L27" i="9"/>
  <c r="K27" i="9"/>
  <c r="J27" i="9"/>
  <c r="I27" i="9"/>
  <c r="H27" i="9"/>
  <c r="O27" i="9" s="1"/>
  <c r="B30" i="12" s="1"/>
  <c r="BA26" i="9"/>
  <c r="AZ26" i="9"/>
  <c r="AY26" i="9"/>
  <c r="AX26" i="9"/>
  <c r="BC26" i="9" s="1"/>
  <c r="AW26" i="9"/>
  <c r="AV26" i="9"/>
  <c r="AS26" i="9"/>
  <c r="AR26" i="9"/>
  <c r="AQ26" i="9"/>
  <c r="AP26" i="9"/>
  <c r="AO26" i="9"/>
  <c r="AN26" i="9"/>
  <c r="AU26" i="9" s="1"/>
  <c r="F29" i="13" s="1"/>
  <c r="AU29" i="13" s="1"/>
  <c r="AK26" i="9"/>
  <c r="AJ26" i="9"/>
  <c r="AI26" i="9"/>
  <c r="AH26" i="9"/>
  <c r="AM26" i="9" s="1"/>
  <c r="E29" i="12" s="1"/>
  <c r="AG26" i="9"/>
  <c r="AF26" i="9"/>
  <c r="AC26" i="9"/>
  <c r="AB26" i="9"/>
  <c r="AA26" i="9"/>
  <c r="Z26" i="9"/>
  <c r="Y26" i="9"/>
  <c r="X26" i="9"/>
  <c r="U26" i="9"/>
  <c r="T26" i="9"/>
  <c r="S26" i="9"/>
  <c r="R26" i="9"/>
  <c r="W26" i="9" s="1"/>
  <c r="C29" i="12" s="1"/>
  <c r="Q26" i="9"/>
  <c r="P26" i="9"/>
  <c r="M26" i="9"/>
  <c r="L26" i="9"/>
  <c r="K26" i="9"/>
  <c r="J26" i="9"/>
  <c r="I26" i="9"/>
  <c r="H26" i="9"/>
  <c r="O26" i="9" s="1"/>
  <c r="B29" i="12" s="1"/>
  <c r="BA25" i="9"/>
  <c r="AZ25" i="9"/>
  <c r="AY25" i="9"/>
  <c r="AX25" i="9"/>
  <c r="BC25" i="9" s="1"/>
  <c r="AW25" i="9"/>
  <c r="AV25" i="9"/>
  <c r="AS25" i="9"/>
  <c r="AR25" i="9"/>
  <c r="AQ25" i="9"/>
  <c r="AP25" i="9"/>
  <c r="AO25" i="9"/>
  <c r="AN25" i="9"/>
  <c r="AU25" i="9" s="1"/>
  <c r="AK25" i="9"/>
  <c r="AJ25" i="9"/>
  <c r="AI25" i="9"/>
  <c r="AH25" i="9"/>
  <c r="AM25" i="9" s="1"/>
  <c r="E28" i="12" s="1"/>
  <c r="AG25" i="9"/>
  <c r="AF25" i="9"/>
  <c r="AC25" i="9"/>
  <c r="AB25" i="9"/>
  <c r="AA25" i="9"/>
  <c r="Z25" i="9"/>
  <c r="Y25" i="9"/>
  <c r="X25" i="9"/>
  <c r="AE25" i="9" s="1"/>
  <c r="D28" i="12" s="1"/>
  <c r="U25" i="9"/>
  <c r="T25" i="9"/>
  <c r="S25" i="9"/>
  <c r="R25" i="9"/>
  <c r="W25" i="9" s="1"/>
  <c r="C28" i="12" s="1"/>
  <c r="Q25" i="9"/>
  <c r="P25" i="9"/>
  <c r="M25" i="9"/>
  <c r="L25" i="9"/>
  <c r="K25" i="9"/>
  <c r="J25" i="9"/>
  <c r="I25" i="9"/>
  <c r="H25" i="9"/>
  <c r="O25" i="9" s="1"/>
  <c r="B28" i="12" s="1"/>
  <c r="BA24" i="9"/>
  <c r="AZ24" i="9"/>
  <c r="AY24" i="9"/>
  <c r="AX24" i="9"/>
  <c r="BC24" i="9" s="1"/>
  <c r="AW24" i="9"/>
  <c r="AV24" i="9"/>
  <c r="AS24" i="9"/>
  <c r="AR24" i="9"/>
  <c r="AQ24" i="9"/>
  <c r="AP24" i="9"/>
  <c r="AO24" i="9"/>
  <c r="AN24" i="9"/>
  <c r="AU24" i="9" s="1"/>
  <c r="AK24" i="9"/>
  <c r="AJ24" i="9"/>
  <c r="AI24" i="9"/>
  <c r="AH24" i="9"/>
  <c r="AM24" i="9" s="1"/>
  <c r="E27" i="12" s="1"/>
  <c r="AG24" i="9"/>
  <c r="AF24" i="9"/>
  <c r="AC24" i="9"/>
  <c r="AB24" i="9"/>
  <c r="AA24" i="9"/>
  <c r="Z24" i="9"/>
  <c r="Y24" i="9"/>
  <c r="X24" i="9"/>
  <c r="U24" i="9"/>
  <c r="T24" i="9"/>
  <c r="S24" i="9"/>
  <c r="R24" i="9"/>
  <c r="W24" i="9" s="1"/>
  <c r="C27" i="12" s="1"/>
  <c r="Q24" i="9"/>
  <c r="P24" i="9"/>
  <c r="M24" i="9"/>
  <c r="L24" i="9"/>
  <c r="K24" i="9"/>
  <c r="J24" i="9"/>
  <c r="I24" i="9"/>
  <c r="H24" i="9"/>
  <c r="BA23" i="9"/>
  <c r="AZ23" i="9"/>
  <c r="AY23" i="9"/>
  <c r="AX23" i="9"/>
  <c r="BC23" i="9" s="1"/>
  <c r="AW23" i="9"/>
  <c r="AV23" i="9"/>
  <c r="AS23" i="9"/>
  <c r="AR23" i="9"/>
  <c r="AQ23" i="9"/>
  <c r="AP23" i="9"/>
  <c r="AO23" i="9"/>
  <c r="AN23" i="9"/>
  <c r="AU23" i="9" s="1"/>
  <c r="AK23" i="9"/>
  <c r="AJ23" i="9"/>
  <c r="AI23" i="9"/>
  <c r="AH23" i="9"/>
  <c r="AM23" i="9" s="1"/>
  <c r="E26" i="12" s="1"/>
  <c r="AG23" i="9"/>
  <c r="AF23" i="9"/>
  <c r="AC23" i="9"/>
  <c r="AB23" i="9"/>
  <c r="AA23" i="9"/>
  <c r="Z23" i="9"/>
  <c r="Y23" i="9"/>
  <c r="X23" i="9"/>
  <c r="AE23" i="9" s="1"/>
  <c r="D26" i="12" s="1"/>
  <c r="U23" i="9"/>
  <c r="T23" i="9"/>
  <c r="S23" i="9"/>
  <c r="R23" i="9"/>
  <c r="W23" i="9" s="1"/>
  <c r="C26" i="12" s="1"/>
  <c r="Q23" i="9"/>
  <c r="P23" i="9"/>
  <c r="M23" i="9"/>
  <c r="L23" i="9"/>
  <c r="K23" i="9"/>
  <c r="J23" i="9"/>
  <c r="I23" i="9"/>
  <c r="H23" i="9"/>
  <c r="O23" i="9" s="1"/>
  <c r="B26" i="12" s="1"/>
  <c r="BA22" i="9"/>
  <c r="AZ22" i="9"/>
  <c r="AY22" i="9"/>
  <c r="AX22" i="9"/>
  <c r="BC22" i="9" s="1"/>
  <c r="AW22" i="9"/>
  <c r="AV22" i="9"/>
  <c r="AS22" i="9"/>
  <c r="AR22" i="9"/>
  <c r="AQ22" i="9"/>
  <c r="AP22" i="9"/>
  <c r="AO22" i="9"/>
  <c r="AN22" i="9"/>
  <c r="AU22" i="9" s="1"/>
  <c r="AK22" i="9"/>
  <c r="AJ22" i="9"/>
  <c r="AI22" i="9"/>
  <c r="AH22" i="9"/>
  <c r="AM22" i="9" s="1"/>
  <c r="AG22" i="9"/>
  <c r="AF22" i="9"/>
  <c r="AC22" i="9"/>
  <c r="AB22" i="9"/>
  <c r="AA22" i="9"/>
  <c r="Z22" i="9"/>
  <c r="Y22" i="9"/>
  <c r="X22" i="9"/>
  <c r="AE22" i="9" s="1"/>
  <c r="U22" i="9"/>
  <c r="T22" i="9"/>
  <c r="S22" i="9"/>
  <c r="R22" i="9"/>
  <c r="W22" i="9" s="1"/>
  <c r="Q22" i="9"/>
  <c r="P22" i="9"/>
  <c r="M22" i="9"/>
  <c r="L22" i="9"/>
  <c r="K22" i="9"/>
  <c r="J22" i="9"/>
  <c r="I22" i="9"/>
  <c r="H22" i="9"/>
  <c r="O22" i="9" s="1"/>
  <c r="BA21" i="9"/>
  <c r="AZ21" i="9"/>
  <c r="AY21" i="9"/>
  <c r="AX21" i="9"/>
  <c r="BC21" i="9" s="1"/>
  <c r="AW21" i="9"/>
  <c r="AV21" i="9"/>
  <c r="AS21" i="9"/>
  <c r="AR21" i="9"/>
  <c r="AQ21" i="9"/>
  <c r="AP21" i="9"/>
  <c r="AO21" i="9"/>
  <c r="AN21" i="9"/>
  <c r="AU21" i="9" s="1"/>
  <c r="F25" i="13" s="1"/>
  <c r="AK21" i="9"/>
  <c r="AJ21" i="9"/>
  <c r="AI21" i="9"/>
  <c r="AH21" i="9"/>
  <c r="AM21" i="9" s="1"/>
  <c r="E25" i="12" s="1"/>
  <c r="AG21" i="9"/>
  <c r="AF21" i="9"/>
  <c r="AC21" i="9"/>
  <c r="AB21" i="9"/>
  <c r="AA21" i="9"/>
  <c r="Z21" i="9"/>
  <c r="Y21" i="9"/>
  <c r="X21" i="9"/>
  <c r="AE21" i="9" s="1"/>
  <c r="D25" i="12" s="1"/>
  <c r="U21" i="9"/>
  <c r="T21" i="9"/>
  <c r="S21" i="9"/>
  <c r="R21" i="9"/>
  <c r="W21" i="9" s="1"/>
  <c r="C25" i="12" s="1"/>
  <c r="Q21" i="9"/>
  <c r="P21" i="9"/>
  <c r="M21" i="9"/>
  <c r="L21" i="9"/>
  <c r="K21" i="9"/>
  <c r="J21" i="9"/>
  <c r="I21" i="9"/>
  <c r="H21" i="9"/>
  <c r="O21" i="9" s="1"/>
  <c r="B25" i="12" s="1"/>
  <c r="BA20" i="9"/>
  <c r="AZ20" i="9"/>
  <c r="AY20" i="9"/>
  <c r="AX20" i="9"/>
  <c r="BC20" i="9" s="1"/>
  <c r="AW20" i="9"/>
  <c r="AV20" i="9"/>
  <c r="AS20" i="9"/>
  <c r="AR20" i="9"/>
  <c r="AQ20" i="9"/>
  <c r="AP20" i="9"/>
  <c r="AO20" i="9"/>
  <c r="AN20" i="9"/>
  <c r="AU20" i="9" s="1"/>
  <c r="AK20" i="9"/>
  <c r="AJ20" i="9"/>
  <c r="AI20" i="9"/>
  <c r="AH20" i="9"/>
  <c r="AM20" i="9" s="1"/>
  <c r="E24" i="12" s="1"/>
  <c r="AG20" i="9"/>
  <c r="AF20" i="9"/>
  <c r="AC20" i="9"/>
  <c r="AB20" i="9"/>
  <c r="AA20" i="9"/>
  <c r="Z20" i="9"/>
  <c r="Y20" i="9"/>
  <c r="X20" i="9"/>
  <c r="AE20" i="9" s="1"/>
  <c r="D24" i="12" s="1"/>
  <c r="U20" i="9"/>
  <c r="T20" i="9"/>
  <c r="S20" i="9"/>
  <c r="R20" i="9"/>
  <c r="W20" i="9" s="1"/>
  <c r="C24" i="12" s="1"/>
  <c r="Q20" i="9"/>
  <c r="P20" i="9"/>
  <c r="M20" i="9"/>
  <c r="L20" i="9"/>
  <c r="K20" i="9"/>
  <c r="J20" i="9"/>
  <c r="I20" i="9"/>
  <c r="H20" i="9"/>
  <c r="O20" i="9" s="1"/>
  <c r="B24" i="12" s="1"/>
  <c r="BA19" i="9"/>
  <c r="AZ19" i="9"/>
  <c r="AY19" i="9"/>
  <c r="AX19" i="9"/>
  <c r="BC19" i="9" s="1"/>
  <c r="AW19" i="9"/>
  <c r="AV19" i="9"/>
  <c r="AS19" i="9"/>
  <c r="AR19" i="9"/>
  <c r="AQ19" i="9"/>
  <c r="AP19" i="9"/>
  <c r="AO19" i="9"/>
  <c r="AN19" i="9"/>
  <c r="AU19" i="9" s="1"/>
  <c r="AK19" i="9"/>
  <c r="AJ19" i="9"/>
  <c r="AI19" i="9"/>
  <c r="AH19" i="9"/>
  <c r="AM19" i="9" s="1"/>
  <c r="E23" i="12" s="1"/>
  <c r="E23" i="15" s="1"/>
  <c r="AT23" i="15" s="1"/>
  <c r="AG19" i="9"/>
  <c r="AF19" i="9"/>
  <c r="AC19" i="9"/>
  <c r="AB19" i="9"/>
  <c r="AA19" i="9"/>
  <c r="Z19" i="9"/>
  <c r="Y19" i="9"/>
  <c r="X19" i="9"/>
  <c r="AE19" i="9" s="1"/>
  <c r="D23" i="12" s="1"/>
  <c r="U19" i="9"/>
  <c r="T19" i="9"/>
  <c r="S19" i="9"/>
  <c r="R19" i="9"/>
  <c r="Q19" i="9"/>
  <c r="P19" i="9"/>
  <c r="M19" i="9"/>
  <c r="L19" i="9"/>
  <c r="K19" i="9"/>
  <c r="J19" i="9"/>
  <c r="I19" i="9"/>
  <c r="H19" i="9"/>
  <c r="O19" i="9" s="1"/>
  <c r="B23" i="12" s="1"/>
  <c r="B23" i="14" s="1"/>
  <c r="BA18" i="9"/>
  <c r="AZ18" i="9"/>
  <c r="AY18" i="9"/>
  <c r="AX18" i="9"/>
  <c r="BC18" i="9" s="1"/>
  <c r="AW18" i="9"/>
  <c r="AV18" i="9"/>
  <c r="AS18" i="9"/>
  <c r="AR18" i="9"/>
  <c r="AQ18" i="9"/>
  <c r="AP18" i="9"/>
  <c r="AO18" i="9"/>
  <c r="AN18" i="9"/>
  <c r="AU18" i="9" s="1"/>
  <c r="AK18" i="9"/>
  <c r="AJ18" i="9"/>
  <c r="AI18" i="9"/>
  <c r="AH18" i="9"/>
  <c r="AM18" i="9" s="1"/>
  <c r="E22" i="12" s="1"/>
  <c r="AG18" i="9"/>
  <c r="AF18" i="9"/>
  <c r="AC18" i="9"/>
  <c r="AB18" i="9"/>
  <c r="AA18" i="9"/>
  <c r="Z18" i="9"/>
  <c r="Y18" i="9"/>
  <c r="X18" i="9"/>
  <c r="AE18" i="9" s="1"/>
  <c r="D22" i="12" s="1"/>
  <c r="F22" i="14" s="1"/>
  <c r="L22" i="14" s="1"/>
  <c r="U18" i="9"/>
  <c r="T18" i="9"/>
  <c r="S18" i="9"/>
  <c r="R18" i="9"/>
  <c r="W18" i="9" s="1"/>
  <c r="C22" i="12" s="1"/>
  <c r="Q18" i="9"/>
  <c r="P18" i="9"/>
  <c r="M18" i="9"/>
  <c r="L18" i="9"/>
  <c r="K18" i="9"/>
  <c r="J18" i="9"/>
  <c r="I18" i="9"/>
  <c r="H18" i="9"/>
  <c r="O18" i="9" s="1"/>
  <c r="B22" i="12" s="1"/>
  <c r="D22" i="13" s="1"/>
  <c r="BA17" i="9"/>
  <c r="AZ17" i="9"/>
  <c r="AY17" i="9"/>
  <c r="AX17" i="9"/>
  <c r="BC17" i="9" s="1"/>
  <c r="AW17" i="9"/>
  <c r="AV17" i="9"/>
  <c r="AS17" i="9"/>
  <c r="AR17" i="9"/>
  <c r="AQ17" i="9"/>
  <c r="AP17" i="9"/>
  <c r="AO17" i="9"/>
  <c r="AN17" i="9"/>
  <c r="AU17" i="9" s="1"/>
  <c r="AK17" i="9"/>
  <c r="AJ17" i="9"/>
  <c r="AI17" i="9"/>
  <c r="AH17" i="9"/>
  <c r="AM17" i="9" s="1"/>
  <c r="E21" i="12" s="1"/>
  <c r="AG17" i="9"/>
  <c r="AF17" i="9"/>
  <c r="AC17" i="9"/>
  <c r="AB17" i="9"/>
  <c r="AA17" i="9"/>
  <c r="Z17" i="9"/>
  <c r="Y17" i="9"/>
  <c r="X17" i="9"/>
  <c r="AE17" i="9" s="1"/>
  <c r="D21" i="12" s="1"/>
  <c r="U17" i="9"/>
  <c r="T17" i="9"/>
  <c r="S17" i="9"/>
  <c r="R17" i="9"/>
  <c r="W17" i="9" s="1"/>
  <c r="C21" i="12" s="1"/>
  <c r="C21" i="14" s="1"/>
  <c r="AR21" i="14" s="1"/>
  <c r="Q17" i="9"/>
  <c r="P17" i="9"/>
  <c r="M17" i="9"/>
  <c r="L17" i="9"/>
  <c r="K17" i="9"/>
  <c r="J17" i="9"/>
  <c r="I17" i="9"/>
  <c r="H17" i="9"/>
  <c r="O17" i="9" s="1"/>
  <c r="BA16" i="9"/>
  <c r="AZ16" i="9"/>
  <c r="AY16" i="9"/>
  <c r="AX16" i="9"/>
  <c r="BC16" i="9" s="1"/>
  <c r="AW16" i="9"/>
  <c r="AV16" i="9"/>
  <c r="AS16" i="9"/>
  <c r="AR16" i="9"/>
  <c r="AQ16" i="9"/>
  <c r="AP16" i="9"/>
  <c r="AO16" i="9"/>
  <c r="AN16" i="9"/>
  <c r="AK16" i="9"/>
  <c r="AJ16" i="9"/>
  <c r="AI16" i="9"/>
  <c r="AH16" i="9"/>
  <c r="AM16" i="9" s="1"/>
  <c r="E20" i="12" s="1"/>
  <c r="AG16" i="9"/>
  <c r="AF16" i="9"/>
  <c r="AC16" i="9"/>
  <c r="AB16" i="9"/>
  <c r="AA16" i="9"/>
  <c r="Z16" i="9"/>
  <c r="Y16" i="9"/>
  <c r="X16" i="9"/>
  <c r="AE16" i="9" s="1"/>
  <c r="D20" i="12" s="1"/>
  <c r="U16" i="9"/>
  <c r="T16" i="9"/>
  <c r="S16" i="9"/>
  <c r="R16" i="9"/>
  <c r="W16" i="9" s="1"/>
  <c r="C20" i="12" s="1"/>
  <c r="Q16" i="9"/>
  <c r="P16" i="9"/>
  <c r="M16" i="9"/>
  <c r="L16" i="9"/>
  <c r="K16" i="9"/>
  <c r="J16" i="9"/>
  <c r="I16" i="9"/>
  <c r="H16" i="9"/>
  <c r="O16" i="9" s="1"/>
  <c r="B20" i="12" s="1"/>
  <c r="BA15" i="9"/>
  <c r="AZ15" i="9"/>
  <c r="AY15" i="9"/>
  <c r="AX15" i="9"/>
  <c r="BC15" i="9" s="1"/>
  <c r="AW15" i="9"/>
  <c r="AV15" i="9"/>
  <c r="AS15" i="9"/>
  <c r="AR15" i="9"/>
  <c r="AQ15" i="9"/>
  <c r="AP15" i="9"/>
  <c r="AO15" i="9"/>
  <c r="AN15" i="9"/>
  <c r="AU15" i="9" s="1"/>
  <c r="F19" i="13" s="1"/>
  <c r="AK15" i="9"/>
  <c r="AJ15" i="9"/>
  <c r="AI15" i="9"/>
  <c r="AH15" i="9"/>
  <c r="AM15" i="9" s="1"/>
  <c r="E19" i="12" s="1"/>
  <c r="E19" i="16" s="1"/>
  <c r="AG15" i="9"/>
  <c r="AF15" i="9"/>
  <c r="AC15" i="9"/>
  <c r="AB15" i="9"/>
  <c r="AA15" i="9"/>
  <c r="Z15" i="9"/>
  <c r="Y15" i="9"/>
  <c r="X15" i="9"/>
  <c r="AE15" i="9" s="1"/>
  <c r="D19" i="12" s="1"/>
  <c r="J19" i="12" s="1"/>
  <c r="U15" i="9"/>
  <c r="T15" i="9"/>
  <c r="S15" i="9"/>
  <c r="R15" i="9"/>
  <c r="W15" i="9" s="1"/>
  <c r="C19" i="12" s="1"/>
  <c r="AR19" i="12" s="1"/>
  <c r="Q15" i="9"/>
  <c r="P15" i="9"/>
  <c r="M15" i="9"/>
  <c r="L15" i="9"/>
  <c r="K15" i="9"/>
  <c r="J15" i="9"/>
  <c r="I15" i="9"/>
  <c r="H15" i="9"/>
  <c r="O15" i="9" s="1"/>
  <c r="B19" i="12" s="1"/>
  <c r="BA14" i="9"/>
  <c r="AZ14" i="9"/>
  <c r="AY14" i="9"/>
  <c r="AX14" i="9"/>
  <c r="BC14" i="9" s="1"/>
  <c r="AW14" i="9"/>
  <c r="AV14" i="9"/>
  <c r="AS14" i="9"/>
  <c r="AR14" i="9"/>
  <c r="AQ14" i="9"/>
  <c r="AP14" i="9"/>
  <c r="AO14" i="9"/>
  <c r="AN14" i="9"/>
  <c r="AU14" i="9" s="1"/>
  <c r="AK14" i="9"/>
  <c r="AJ14" i="9"/>
  <c r="AI14" i="9"/>
  <c r="AH14" i="9"/>
  <c r="AM14" i="9" s="1"/>
  <c r="E18" i="12" s="1"/>
  <c r="AG14" i="9"/>
  <c r="AF14" i="9"/>
  <c r="AC14" i="9"/>
  <c r="AB14" i="9"/>
  <c r="AA14" i="9"/>
  <c r="Z14" i="9"/>
  <c r="Y14" i="9"/>
  <c r="X14" i="9"/>
  <c r="AE14" i="9" s="1"/>
  <c r="D18" i="12" s="1"/>
  <c r="U14" i="9"/>
  <c r="T14" i="9"/>
  <c r="S14" i="9"/>
  <c r="R14" i="9"/>
  <c r="W14" i="9" s="1"/>
  <c r="C18" i="12" s="1"/>
  <c r="Q14" i="9"/>
  <c r="P14" i="9"/>
  <c r="M14" i="9"/>
  <c r="L14" i="9"/>
  <c r="K14" i="9"/>
  <c r="J14" i="9"/>
  <c r="I14" i="9"/>
  <c r="H14" i="9"/>
  <c r="O14" i="9" s="1"/>
  <c r="B18" i="12" s="1"/>
  <c r="BA13" i="9"/>
  <c r="AZ13" i="9"/>
  <c r="AY13" i="9"/>
  <c r="AX13" i="9"/>
  <c r="BC13" i="9" s="1"/>
  <c r="AW13" i="9"/>
  <c r="AV13" i="9"/>
  <c r="AS13" i="9"/>
  <c r="AR13" i="9"/>
  <c r="AQ13" i="9"/>
  <c r="AP13" i="9"/>
  <c r="AO13" i="9"/>
  <c r="AN13" i="9"/>
  <c r="AU13" i="9" s="1"/>
  <c r="AK13" i="9"/>
  <c r="AJ13" i="9"/>
  <c r="AI13" i="9"/>
  <c r="AH13" i="9"/>
  <c r="AM13" i="9" s="1"/>
  <c r="E17" i="12" s="1"/>
  <c r="AG13" i="9"/>
  <c r="AF13" i="9"/>
  <c r="AC13" i="9"/>
  <c r="AB13" i="9"/>
  <c r="AA13" i="9"/>
  <c r="Z13" i="9"/>
  <c r="Y13" i="9"/>
  <c r="X13" i="9"/>
  <c r="AE13" i="9" s="1"/>
  <c r="D17" i="12" s="1"/>
  <c r="U13" i="9"/>
  <c r="T13" i="9"/>
  <c r="S13" i="9"/>
  <c r="R13" i="9"/>
  <c r="W13" i="9" s="1"/>
  <c r="C17" i="12" s="1"/>
  <c r="Q13" i="9"/>
  <c r="P13" i="9"/>
  <c r="M13" i="9"/>
  <c r="L13" i="9"/>
  <c r="K13" i="9"/>
  <c r="J13" i="9"/>
  <c r="I13" i="9"/>
  <c r="H13" i="9"/>
  <c r="O13" i="9" s="1"/>
  <c r="B17" i="12" s="1"/>
  <c r="BA12" i="9"/>
  <c r="AZ12" i="9"/>
  <c r="AY12" i="9"/>
  <c r="AX12" i="9"/>
  <c r="BC12" i="9" s="1"/>
  <c r="AW12" i="9"/>
  <c r="AV12" i="9"/>
  <c r="AS12" i="9"/>
  <c r="AR12" i="9"/>
  <c r="AQ12" i="9"/>
  <c r="AP12" i="9"/>
  <c r="AO12" i="9"/>
  <c r="AN12" i="9"/>
  <c r="AU12" i="9" s="1"/>
  <c r="AK12" i="9"/>
  <c r="AJ12" i="9"/>
  <c r="AI12" i="9"/>
  <c r="AH12" i="9"/>
  <c r="AM12" i="9" s="1"/>
  <c r="E16" i="12" s="1"/>
  <c r="AG12" i="9"/>
  <c r="AF12" i="9"/>
  <c r="AC12" i="9"/>
  <c r="AB12" i="9"/>
  <c r="AA12" i="9"/>
  <c r="Z12" i="9"/>
  <c r="Y12" i="9"/>
  <c r="X12" i="9"/>
  <c r="AE12" i="9" s="1"/>
  <c r="D16" i="12" s="1"/>
  <c r="U12" i="9"/>
  <c r="T12" i="9"/>
  <c r="S12" i="9"/>
  <c r="R12" i="9"/>
  <c r="Q12" i="9"/>
  <c r="P12" i="9"/>
  <c r="M12" i="9"/>
  <c r="L12" i="9"/>
  <c r="K12" i="9"/>
  <c r="J12" i="9"/>
  <c r="I12" i="9"/>
  <c r="H12" i="9"/>
  <c r="O12" i="9" s="1"/>
  <c r="B16" i="12" s="1"/>
  <c r="BA11" i="9"/>
  <c r="AZ11" i="9"/>
  <c r="AY11" i="9"/>
  <c r="AX11" i="9"/>
  <c r="BC11" i="9" s="1"/>
  <c r="AW11" i="9"/>
  <c r="AV11" i="9"/>
  <c r="AS11" i="9"/>
  <c r="AR11" i="9"/>
  <c r="AQ11" i="9"/>
  <c r="AP11" i="9"/>
  <c r="AO11" i="9"/>
  <c r="AN11" i="9"/>
  <c r="AU11" i="9" s="1"/>
  <c r="AK11" i="9"/>
  <c r="AJ11" i="9"/>
  <c r="AI11" i="9"/>
  <c r="AH11" i="9"/>
  <c r="AM11" i="9" s="1"/>
  <c r="E15" i="12" s="1"/>
  <c r="AG11" i="9"/>
  <c r="AF11" i="9"/>
  <c r="AC11" i="9"/>
  <c r="AB11" i="9"/>
  <c r="AA11" i="9"/>
  <c r="Z11" i="9"/>
  <c r="Y11" i="9"/>
  <c r="X11" i="9"/>
  <c r="AE11" i="9" s="1"/>
  <c r="D15" i="12" s="1"/>
  <c r="U11" i="9"/>
  <c r="T11" i="9"/>
  <c r="S11" i="9"/>
  <c r="R11" i="9"/>
  <c r="W11" i="9" s="1"/>
  <c r="C15" i="12" s="1"/>
  <c r="Q11" i="9"/>
  <c r="P11" i="9"/>
  <c r="M11" i="9"/>
  <c r="L11" i="9"/>
  <c r="K11" i="9"/>
  <c r="J11" i="9"/>
  <c r="I11" i="9"/>
  <c r="H11" i="9"/>
  <c r="O11" i="9" s="1"/>
  <c r="B15" i="12" s="1"/>
  <c r="BA10" i="9"/>
  <c r="AZ10" i="9"/>
  <c r="AY10" i="9"/>
  <c r="AX10" i="9"/>
  <c r="BC10" i="9" s="1"/>
  <c r="AW10" i="9"/>
  <c r="AV10" i="9"/>
  <c r="AS10" i="9"/>
  <c r="AR10" i="9"/>
  <c r="AQ10" i="9"/>
  <c r="AP10" i="9"/>
  <c r="AO10" i="9"/>
  <c r="AN10" i="9"/>
  <c r="AU10" i="9" s="1"/>
  <c r="AK10" i="9"/>
  <c r="AJ10" i="9"/>
  <c r="AI10" i="9"/>
  <c r="AH10" i="9"/>
  <c r="AM10" i="9" s="1"/>
  <c r="E14" i="12" s="1"/>
  <c r="AG10" i="9"/>
  <c r="AF10" i="9"/>
  <c r="AC10" i="9"/>
  <c r="AB10" i="9"/>
  <c r="AA10" i="9"/>
  <c r="Z10" i="9"/>
  <c r="Y10" i="9"/>
  <c r="X10" i="9"/>
  <c r="AE10" i="9" s="1"/>
  <c r="D14" i="12" s="1"/>
  <c r="U10" i="9"/>
  <c r="T10" i="9"/>
  <c r="S10" i="9"/>
  <c r="R10" i="9"/>
  <c r="W10" i="9" s="1"/>
  <c r="C14" i="12" s="1"/>
  <c r="Q10" i="9"/>
  <c r="P10" i="9"/>
  <c r="M10" i="9"/>
  <c r="L10" i="9"/>
  <c r="K10" i="9"/>
  <c r="J10" i="9"/>
  <c r="I10" i="9"/>
  <c r="H10" i="9"/>
  <c r="O10" i="9" s="1"/>
  <c r="B14" i="12" s="1"/>
  <c r="BA9" i="9"/>
  <c r="AZ9" i="9"/>
  <c r="AY9" i="9"/>
  <c r="AX9" i="9"/>
  <c r="BC9" i="9" s="1"/>
  <c r="AW9" i="9"/>
  <c r="AV9" i="9"/>
  <c r="AS9" i="9"/>
  <c r="AR9" i="9"/>
  <c r="AQ9" i="9"/>
  <c r="AP9" i="9"/>
  <c r="AO9" i="9"/>
  <c r="AN9" i="9"/>
  <c r="AU9" i="9" s="1"/>
  <c r="AK9" i="9"/>
  <c r="AJ9" i="9"/>
  <c r="AI9" i="9"/>
  <c r="AH9" i="9"/>
  <c r="AM9" i="9" s="1"/>
  <c r="E13" i="12" s="1"/>
  <c r="AG9" i="9"/>
  <c r="AF9" i="9"/>
  <c r="AC9" i="9"/>
  <c r="AB9" i="9"/>
  <c r="AA9" i="9"/>
  <c r="Z9" i="9"/>
  <c r="Y9" i="9"/>
  <c r="X9" i="9"/>
  <c r="AE9" i="9" s="1"/>
  <c r="D13" i="12" s="1"/>
  <c r="U9" i="9"/>
  <c r="T9" i="9"/>
  <c r="S9" i="9"/>
  <c r="R9" i="9"/>
  <c r="W9" i="9" s="1"/>
  <c r="C13" i="12" s="1"/>
  <c r="Q9" i="9"/>
  <c r="P9" i="9"/>
  <c r="M9" i="9"/>
  <c r="L9" i="9"/>
  <c r="K9" i="9"/>
  <c r="J9" i="9"/>
  <c r="I9" i="9"/>
  <c r="H9" i="9"/>
  <c r="O9" i="9" s="1"/>
  <c r="B13" i="12" s="1"/>
  <c r="BA8" i="9"/>
  <c r="AZ8" i="9"/>
  <c r="AY8" i="9"/>
  <c r="AX8" i="9"/>
  <c r="BC8" i="9" s="1"/>
  <c r="AW8" i="9"/>
  <c r="AV8" i="9"/>
  <c r="AS8" i="9"/>
  <c r="AR8" i="9"/>
  <c r="AQ8" i="9"/>
  <c r="AP8" i="9"/>
  <c r="AO8" i="9"/>
  <c r="AN8" i="9"/>
  <c r="AU8" i="9" s="1"/>
  <c r="AK8" i="9"/>
  <c r="AJ8" i="9"/>
  <c r="AI8" i="9"/>
  <c r="AH8" i="9"/>
  <c r="AM8" i="9" s="1"/>
  <c r="E12" i="12" s="1"/>
  <c r="AG8" i="9"/>
  <c r="AF8" i="9"/>
  <c r="AC8" i="9"/>
  <c r="AB8" i="9"/>
  <c r="AA8" i="9"/>
  <c r="Z8" i="9"/>
  <c r="Y8" i="9"/>
  <c r="X8" i="9"/>
  <c r="AE8" i="9" s="1"/>
  <c r="D12" i="12" s="1"/>
  <c r="U8" i="9"/>
  <c r="T8" i="9"/>
  <c r="S8" i="9"/>
  <c r="R8" i="9"/>
  <c r="W8" i="9" s="1"/>
  <c r="C12" i="12" s="1"/>
  <c r="Q8" i="9"/>
  <c r="P8" i="9"/>
  <c r="M8" i="9"/>
  <c r="L8" i="9"/>
  <c r="K8" i="9"/>
  <c r="J8" i="9"/>
  <c r="I8" i="9"/>
  <c r="H8" i="9"/>
  <c r="O8" i="9" s="1"/>
  <c r="B12" i="12" s="1"/>
  <c r="BA7" i="9"/>
  <c r="AZ7" i="9"/>
  <c r="AY7" i="9"/>
  <c r="AX7" i="9"/>
  <c r="BC7" i="9" s="1"/>
  <c r="AW7" i="9"/>
  <c r="AV7" i="9"/>
  <c r="AS7" i="9"/>
  <c r="AR7" i="9"/>
  <c r="AQ7" i="9"/>
  <c r="AP7" i="9"/>
  <c r="AO7" i="9"/>
  <c r="AN7" i="9"/>
  <c r="AU7" i="9" s="1"/>
  <c r="AK7" i="9"/>
  <c r="AJ7" i="9"/>
  <c r="AI7" i="9"/>
  <c r="AH7" i="9"/>
  <c r="AM7" i="9" s="1"/>
  <c r="E11" i="12" s="1"/>
  <c r="AG7" i="9"/>
  <c r="AF7" i="9"/>
  <c r="AC7" i="9"/>
  <c r="AB7" i="9"/>
  <c r="AA7" i="9"/>
  <c r="Z7" i="9"/>
  <c r="Y7" i="9"/>
  <c r="X7" i="9"/>
  <c r="AE7" i="9" s="1"/>
  <c r="D11" i="12" s="1"/>
  <c r="U7" i="9"/>
  <c r="T7" i="9"/>
  <c r="S7" i="9"/>
  <c r="R7" i="9"/>
  <c r="W7" i="9" s="1"/>
  <c r="C11" i="12" s="1"/>
  <c r="Q7" i="9"/>
  <c r="P7" i="9"/>
  <c r="M7" i="9"/>
  <c r="L7" i="9"/>
  <c r="K7" i="9"/>
  <c r="J7" i="9"/>
  <c r="I7" i="9"/>
  <c r="H7" i="9"/>
  <c r="O7" i="9" s="1"/>
  <c r="B11" i="12" s="1"/>
  <c r="BA6" i="9"/>
  <c r="AZ6" i="9"/>
  <c r="AY6" i="9"/>
  <c r="AX6" i="9"/>
  <c r="BC6" i="9" s="1"/>
  <c r="AW6" i="9"/>
  <c r="AV6" i="9"/>
  <c r="AS6" i="9"/>
  <c r="AR6" i="9"/>
  <c r="AQ6" i="9"/>
  <c r="AP6" i="9"/>
  <c r="AO6" i="9"/>
  <c r="AN6" i="9"/>
  <c r="AU6" i="9" s="1"/>
  <c r="AK6" i="9"/>
  <c r="AJ6" i="9"/>
  <c r="AI6" i="9"/>
  <c r="AH6" i="9"/>
  <c r="AM6" i="9" s="1"/>
  <c r="E10" i="12" s="1"/>
  <c r="AG6" i="9"/>
  <c r="AF6" i="9"/>
  <c r="AC6" i="9"/>
  <c r="AB6" i="9"/>
  <c r="AA6" i="9"/>
  <c r="Z6" i="9"/>
  <c r="Y6" i="9"/>
  <c r="X6" i="9"/>
  <c r="AE6" i="9" s="1"/>
  <c r="D10" i="12" s="1"/>
  <c r="U6" i="9"/>
  <c r="T6" i="9"/>
  <c r="S6" i="9"/>
  <c r="R6" i="9"/>
  <c r="W6" i="9" s="1"/>
  <c r="C10" i="12" s="1"/>
  <c r="Q6" i="9"/>
  <c r="P6" i="9"/>
  <c r="M6" i="9"/>
  <c r="L6" i="9"/>
  <c r="K6" i="9"/>
  <c r="J6" i="9"/>
  <c r="I6" i="9"/>
  <c r="H6" i="9"/>
  <c r="O6" i="9" s="1"/>
  <c r="B10" i="12" s="1"/>
  <c r="BA5" i="9"/>
  <c r="AZ5" i="9"/>
  <c r="AY5" i="9"/>
  <c r="AX5" i="9"/>
  <c r="BC5" i="9" s="1"/>
  <c r="AW5" i="9"/>
  <c r="AV5" i="9"/>
  <c r="AS5" i="9"/>
  <c r="AR5" i="9"/>
  <c r="AQ5" i="9"/>
  <c r="AP5" i="9"/>
  <c r="AO5" i="9"/>
  <c r="AN5" i="9"/>
  <c r="AU5" i="9" s="1"/>
  <c r="AK5" i="9"/>
  <c r="AJ5" i="9"/>
  <c r="AI5" i="9"/>
  <c r="AH5" i="9"/>
  <c r="AM5" i="9" s="1"/>
  <c r="E9" i="12" s="1"/>
  <c r="AG5" i="9"/>
  <c r="AF5" i="9"/>
  <c r="AC5" i="9"/>
  <c r="AB5" i="9"/>
  <c r="AA5" i="9"/>
  <c r="Z5" i="9"/>
  <c r="Y5" i="9"/>
  <c r="X5" i="9"/>
  <c r="AE5" i="9" s="1"/>
  <c r="D9" i="12" s="1"/>
  <c r="U5" i="9"/>
  <c r="T5" i="9"/>
  <c r="S5" i="9"/>
  <c r="R5" i="9"/>
  <c r="W5" i="9" s="1"/>
  <c r="C9" i="12" s="1"/>
  <c r="Q5" i="9"/>
  <c r="P5" i="9"/>
  <c r="M5" i="9"/>
  <c r="L5" i="9"/>
  <c r="K5" i="9"/>
  <c r="J5" i="9"/>
  <c r="I5" i="9"/>
  <c r="H5" i="9"/>
  <c r="O5" i="9" s="1"/>
  <c r="B9" i="12" s="1"/>
  <c r="M4" i="9"/>
  <c r="L4" i="9"/>
  <c r="K4" i="9"/>
  <c r="J4" i="9"/>
  <c r="I4" i="9"/>
  <c r="H4" i="9"/>
  <c r="BC31" i="12"/>
  <c r="AD19" i="9"/>
  <c r="AL19" i="9"/>
  <c r="N19" i="9"/>
  <c r="V19" i="9"/>
  <c r="AT19" i="9"/>
  <c r="BB19" i="9"/>
  <c r="O1" i="9"/>
  <c r="AG8" i="12"/>
  <c r="AH8" i="12"/>
  <c r="A54" i="13"/>
  <c r="A54" i="14"/>
  <c r="A54" i="15"/>
  <c r="AE24" i="9"/>
  <c r="D27" i="12" s="1"/>
  <c r="AM4" i="9"/>
  <c r="F19" i="12"/>
  <c r="AS15" i="12"/>
  <c r="L29" i="13"/>
  <c r="D22" i="15"/>
  <c r="AS22" i="15" s="1"/>
  <c r="AR22" i="12"/>
  <c r="AT23" i="12"/>
  <c r="I21" i="12"/>
  <c r="BZ23" i="15"/>
  <c r="K23" i="15"/>
  <c r="J22" i="15"/>
  <c r="AG43" i="12"/>
  <c r="AM4" i="12"/>
  <c r="AM5" i="12"/>
  <c r="AM6" i="12"/>
  <c r="AU22" i="14" l="1"/>
  <c r="J22" i="13"/>
  <c r="AS22" i="13"/>
  <c r="I21" i="14"/>
  <c r="H22" i="12"/>
  <c r="C16" i="13"/>
  <c r="E16" i="15"/>
  <c r="G16" i="14"/>
  <c r="AT16" i="12"/>
  <c r="E16" i="16"/>
  <c r="K16" i="12"/>
  <c r="F9" i="13"/>
  <c r="F9" i="12"/>
  <c r="G9" i="13"/>
  <c r="G9" i="12"/>
  <c r="E10" i="16"/>
  <c r="K10" i="12"/>
  <c r="C10" i="13"/>
  <c r="BZ10" i="12"/>
  <c r="G10" i="14"/>
  <c r="E10" i="15"/>
  <c r="AT10" i="12"/>
  <c r="C11" i="14"/>
  <c r="AR11" i="12"/>
  <c r="G11" i="15"/>
  <c r="C11" i="16"/>
  <c r="G11" i="14"/>
  <c r="E11" i="16"/>
  <c r="E11" i="15"/>
  <c r="C11" i="13"/>
  <c r="K11" i="12"/>
  <c r="AT11" i="12"/>
  <c r="G11" i="13"/>
  <c r="G11" i="12"/>
  <c r="E12" i="16"/>
  <c r="G12" i="14"/>
  <c r="C12" i="13"/>
  <c r="AT12" i="12"/>
  <c r="E11" i="13"/>
  <c r="K12" i="12"/>
  <c r="D19" i="14"/>
  <c r="AS19" i="14" s="1"/>
  <c r="B19" i="15"/>
  <c r="AU19" i="12"/>
  <c r="F19" i="16"/>
  <c r="L19" i="12"/>
  <c r="G10" i="12"/>
  <c r="G10" i="13"/>
  <c r="E12" i="13"/>
  <c r="C12" i="14"/>
  <c r="I12" i="12"/>
  <c r="AR12" i="12"/>
  <c r="G12" i="15"/>
  <c r="C12" i="16"/>
  <c r="D16" i="13"/>
  <c r="B16" i="14"/>
  <c r="AQ16" i="12"/>
  <c r="B16" i="16"/>
  <c r="F16" i="15"/>
  <c r="H16" i="12"/>
  <c r="F17" i="13"/>
  <c r="F17" i="12"/>
  <c r="BH17" i="12" s="1"/>
  <c r="G25" i="12"/>
  <c r="G25" i="13"/>
  <c r="B9" i="16"/>
  <c r="D9" i="13"/>
  <c r="F9" i="15"/>
  <c r="H9" i="12"/>
  <c r="AQ9" i="12"/>
  <c r="B9" i="14"/>
  <c r="E9" i="16"/>
  <c r="C9" i="13"/>
  <c r="E9" i="15"/>
  <c r="K9" i="12"/>
  <c r="G9" i="14"/>
  <c r="F10" i="12"/>
  <c r="F10" i="13"/>
  <c r="F11" i="13"/>
  <c r="F11" i="12"/>
  <c r="F12" i="13"/>
  <c r="L12" i="13" s="1"/>
  <c r="F12" i="12"/>
  <c r="G12" i="13"/>
  <c r="G12" i="12"/>
  <c r="F13" i="13"/>
  <c r="F13" i="12"/>
  <c r="G13" i="13"/>
  <c r="G13" i="12"/>
  <c r="F14" i="14"/>
  <c r="B14" i="13"/>
  <c r="D14" i="16"/>
  <c r="J14" i="12"/>
  <c r="AS14" i="12"/>
  <c r="D14" i="15"/>
  <c r="F14" i="13"/>
  <c r="F14" i="12"/>
  <c r="G14" i="12"/>
  <c r="G14" i="13"/>
  <c r="D15" i="16"/>
  <c r="D15" i="15"/>
  <c r="B15" i="13"/>
  <c r="J15" i="12"/>
  <c r="F15" i="14"/>
  <c r="F15" i="13"/>
  <c r="F15" i="12"/>
  <c r="G15" i="13"/>
  <c r="G15" i="12"/>
  <c r="B16" i="13"/>
  <c r="D16" i="15"/>
  <c r="F16" i="14"/>
  <c r="AS16" i="12"/>
  <c r="D16" i="16"/>
  <c r="J16" i="16" s="1"/>
  <c r="J16" i="12"/>
  <c r="P16" i="12" s="1"/>
  <c r="F16" i="12"/>
  <c r="F16" i="13"/>
  <c r="G16" i="13"/>
  <c r="G16" i="12"/>
  <c r="G17" i="13"/>
  <c r="G17" i="12"/>
  <c r="F19" i="14"/>
  <c r="D19" i="16"/>
  <c r="J19" i="16" s="1"/>
  <c r="B19" i="13"/>
  <c r="AS19" i="12"/>
  <c r="D19" i="15"/>
  <c r="AT9" i="12"/>
  <c r="I11" i="12"/>
  <c r="E12" i="15"/>
  <c r="AQ23" i="14"/>
  <c r="H23" i="14"/>
  <c r="K23" i="12"/>
  <c r="F29" i="12"/>
  <c r="AI5" i="13"/>
  <c r="AI5" i="14"/>
  <c r="F19" i="15"/>
  <c r="AQ19" i="12"/>
  <c r="B19" i="16"/>
  <c r="D19" i="13"/>
  <c r="H19" i="12"/>
  <c r="C19" i="14"/>
  <c r="G19" i="15"/>
  <c r="E19" i="13"/>
  <c r="I19" i="12"/>
  <c r="O19" i="12" s="1"/>
  <c r="L19" i="13"/>
  <c r="AU19" i="13"/>
  <c r="B21" i="12"/>
  <c r="B2" i="9"/>
  <c r="G21" i="15"/>
  <c r="E21" i="13"/>
  <c r="AR21" i="12"/>
  <c r="G21" i="13"/>
  <c r="G21" i="12"/>
  <c r="C22" i="16"/>
  <c r="E22" i="13"/>
  <c r="G22" i="15"/>
  <c r="I22" i="12"/>
  <c r="F22" i="12"/>
  <c r="F22" i="13"/>
  <c r="G22" i="13"/>
  <c r="G22" i="12"/>
  <c r="W19" i="9"/>
  <c r="C23" i="12" s="1"/>
  <c r="F23" i="13"/>
  <c r="F23" i="12"/>
  <c r="BH23" i="12" s="1"/>
  <c r="G23" i="13"/>
  <c r="M23" i="13" s="1"/>
  <c r="G23" i="12"/>
  <c r="G24" i="13"/>
  <c r="G24" i="12"/>
  <c r="G26" i="13"/>
  <c r="G26" i="12"/>
  <c r="O24" i="9"/>
  <c r="B27" i="12" s="1"/>
  <c r="F27" i="12"/>
  <c r="L27" i="12" s="1"/>
  <c r="F27" i="13"/>
  <c r="G27" i="12"/>
  <c r="G27" i="13"/>
  <c r="F28" i="12"/>
  <c r="BH28" i="12" s="1"/>
  <c r="F28" i="13"/>
  <c r="G28" i="12"/>
  <c r="G28" i="13"/>
  <c r="G29" i="13"/>
  <c r="M29" i="13" s="1"/>
  <c r="G29" i="12"/>
  <c r="F18" i="13"/>
  <c r="F18" i="12"/>
  <c r="G18" i="13"/>
  <c r="G18" i="12"/>
  <c r="BH18" i="12" s="1"/>
  <c r="G19" i="14"/>
  <c r="E19" i="15"/>
  <c r="C19" i="13"/>
  <c r="K19" i="12"/>
  <c r="Q19" i="12" s="1"/>
  <c r="G19" i="13"/>
  <c r="G19" i="12"/>
  <c r="AU16" i="9"/>
  <c r="G20" i="12"/>
  <c r="G20" i="13"/>
  <c r="F21" i="13"/>
  <c r="F21" i="12"/>
  <c r="F22" i="15"/>
  <c r="B22" i="16"/>
  <c r="H22" i="16" s="1"/>
  <c r="B22" i="14"/>
  <c r="AQ22" i="12"/>
  <c r="D22" i="16"/>
  <c r="B22" i="13"/>
  <c r="J22" i="12"/>
  <c r="F23" i="15"/>
  <c r="BW23" i="12"/>
  <c r="B23" i="16"/>
  <c r="D23" i="13"/>
  <c r="AQ23" i="12"/>
  <c r="E23" i="16"/>
  <c r="C23" i="13"/>
  <c r="G23" i="14"/>
  <c r="BZ23" i="12"/>
  <c r="F24" i="12"/>
  <c r="F24" i="13"/>
  <c r="CA25" i="13"/>
  <c r="AU25" i="13"/>
  <c r="F26" i="13"/>
  <c r="F26" i="12"/>
  <c r="AS22" i="12"/>
  <c r="AT19" i="12"/>
  <c r="C21" i="16"/>
  <c r="BW23" i="14"/>
  <c r="C22" i="14"/>
  <c r="C19" i="16"/>
  <c r="H23" i="12"/>
  <c r="B19" i="14"/>
  <c r="F25" i="12"/>
  <c r="F30" i="13"/>
  <c r="F30" i="12"/>
  <c r="BH30" i="12" s="1"/>
  <c r="G30" i="12"/>
  <c r="G30" i="13"/>
  <c r="O4" i="9"/>
  <c r="W4" i="9"/>
  <c r="AI4" i="15" s="1"/>
  <c r="BC4" i="9"/>
  <c r="AU4" i="9"/>
  <c r="AE26" i="9"/>
  <c r="D29" i="12" s="1"/>
  <c r="D29" i="15" s="1"/>
  <c r="W12" i="9"/>
  <c r="C16" i="12" s="1"/>
  <c r="G16" i="15" s="1"/>
  <c r="AV29" i="13"/>
  <c r="AU27" i="12"/>
  <c r="AT30" i="12"/>
  <c r="C30" i="13"/>
  <c r="E30" i="16"/>
  <c r="G30" i="14"/>
  <c r="E30" i="15"/>
  <c r="K30" i="12"/>
  <c r="AI5" i="15"/>
  <c r="L25" i="13"/>
  <c r="B25" i="15"/>
  <c r="AV23" i="13"/>
  <c r="CA23" i="13"/>
  <c r="AU23" i="13"/>
  <c r="L23" i="13"/>
  <c r="AV21" i="13"/>
  <c r="M21" i="13"/>
  <c r="L21" i="13"/>
  <c r="AU21" i="13"/>
  <c r="M19" i="13"/>
  <c r="AV19" i="13"/>
  <c r="J19" i="14"/>
  <c r="M18" i="13"/>
  <c r="AV18" i="13"/>
  <c r="L18" i="13"/>
  <c r="AU18" i="13"/>
  <c r="M17" i="13"/>
  <c r="AV17" i="13"/>
  <c r="L17" i="13"/>
  <c r="AU17" i="13"/>
  <c r="AV16" i="13"/>
  <c r="M16" i="13"/>
  <c r="AV15" i="13"/>
  <c r="M15" i="13"/>
  <c r="L14" i="13"/>
  <c r="AU14" i="13"/>
  <c r="M13" i="13"/>
  <c r="AV13" i="13"/>
  <c r="AV12" i="13"/>
  <c r="M12" i="13"/>
  <c r="AU12" i="13"/>
  <c r="M11" i="13"/>
  <c r="AV11" i="13"/>
  <c r="AV9" i="13"/>
  <c r="M9" i="13"/>
  <c r="L9" i="13"/>
  <c r="AU9" i="13"/>
  <c r="B30" i="13"/>
  <c r="D30" i="16"/>
  <c r="J30" i="12"/>
  <c r="F30" i="14"/>
  <c r="D30" i="15"/>
  <c r="AS30" i="12"/>
  <c r="E29" i="15"/>
  <c r="E29" i="16"/>
  <c r="AT29" i="12"/>
  <c r="C29" i="13"/>
  <c r="G29" i="14"/>
  <c r="K29" i="12"/>
  <c r="AS29" i="12"/>
  <c r="G28" i="14"/>
  <c r="E28" i="15"/>
  <c r="AT28" i="12"/>
  <c r="K28" i="12"/>
  <c r="E28" i="16"/>
  <c r="C28" i="13"/>
  <c r="B28" i="13"/>
  <c r="D28" i="16"/>
  <c r="AS28" i="12"/>
  <c r="F28" i="14"/>
  <c r="D28" i="15"/>
  <c r="J28" i="12"/>
  <c r="E27" i="16"/>
  <c r="G27" i="14"/>
  <c r="K27" i="12"/>
  <c r="E27" i="15"/>
  <c r="C27" i="13"/>
  <c r="AT27" i="12"/>
  <c r="B27" i="13"/>
  <c r="D27" i="16"/>
  <c r="AS27" i="12"/>
  <c r="D27" i="15"/>
  <c r="F27" i="14"/>
  <c r="J27" i="12"/>
  <c r="C26" i="13"/>
  <c r="E26" i="16"/>
  <c r="AT26" i="12"/>
  <c r="G26" i="14"/>
  <c r="E26" i="15"/>
  <c r="K26" i="12"/>
  <c r="F26" i="14"/>
  <c r="D26" i="15"/>
  <c r="AS26" i="12"/>
  <c r="B26" i="13"/>
  <c r="D26" i="16"/>
  <c r="J26" i="12"/>
  <c r="K25" i="12"/>
  <c r="C25" i="13"/>
  <c r="E25" i="16"/>
  <c r="E25" i="15"/>
  <c r="G25" i="14"/>
  <c r="AT25" i="12"/>
  <c r="BZ25" i="12"/>
  <c r="J25" i="12"/>
  <c r="AS25" i="12"/>
  <c r="D25" i="15"/>
  <c r="F25" i="14"/>
  <c r="BY25" i="12"/>
  <c r="B25" i="13"/>
  <c r="D25" i="16"/>
  <c r="G24" i="14"/>
  <c r="E24" i="16"/>
  <c r="K24" i="12"/>
  <c r="E24" i="15"/>
  <c r="C24" i="13"/>
  <c r="AT24" i="12"/>
  <c r="F24" i="14"/>
  <c r="D24" i="15"/>
  <c r="AS24" i="12"/>
  <c r="J24" i="12"/>
  <c r="B24" i="13"/>
  <c r="D24" i="16"/>
  <c r="B23" i="13"/>
  <c r="D23" i="16"/>
  <c r="J23" i="12"/>
  <c r="AS23" i="12"/>
  <c r="D23" i="15"/>
  <c r="F23" i="14"/>
  <c r="BY23" i="12"/>
  <c r="C22" i="13"/>
  <c r="E22" i="16"/>
  <c r="AT22" i="12"/>
  <c r="BH22" i="12"/>
  <c r="G22" i="14"/>
  <c r="E22" i="15"/>
  <c r="K22" i="12"/>
  <c r="C21" i="13"/>
  <c r="G21" i="14"/>
  <c r="AT21" i="12"/>
  <c r="E21" i="15"/>
  <c r="E21" i="16"/>
  <c r="K21" i="12"/>
  <c r="D21" i="15"/>
  <c r="F21" i="14"/>
  <c r="J21" i="12"/>
  <c r="B21" i="13"/>
  <c r="D21" i="16"/>
  <c r="AS21" i="12"/>
  <c r="E20" i="16"/>
  <c r="C20" i="13"/>
  <c r="K20" i="12"/>
  <c r="G20" i="14"/>
  <c r="E20" i="15"/>
  <c r="AT20" i="12"/>
  <c r="F20" i="14"/>
  <c r="D20" i="15"/>
  <c r="J20" i="12"/>
  <c r="B20" i="13"/>
  <c r="D20" i="16"/>
  <c r="AS20" i="12"/>
  <c r="C18" i="13"/>
  <c r="E18" i="16"/>
  <c r="K18" i="12"/>
  <c r="G18" i="14"/>
  <c r="E18" i="15"/>
  <c r="AT18" i="12"/>
  <c r="B18" i="13"/>
  <c r="D18" i="16"/>
  <c r="AS18" i="12"/>
  <c r="F18" i="14"/>
  <c r="D18" i="15"/>
  <c r="J18" i="12"/>
  <c r="E17" i="15"/>
  <c r="G17" i="14"/>
  <c r="K17" i="12"/>
  <c r="C17" i="13"/>
  <c r="E17" i="16"/>
  <c r="AT17" i="12"/>
  <c r="B17" i="13"/>
  <c r="D17" i="16"/>
  <c r="AS17" i="12"/>
  <c r="D17" i="15"/>
  <c r="F17" i="14"/>
  <c r="J17" i="12"/>
  <c r="E15" i="15"/>
  <c r="E15" i="16"/>
  <c r="AT15" i="12"/>
  <c r="G15" i="14"/>
  <c r="C15" i="13"/>
  <c r="K15" i="12"/>
  <c r="AT14" i="12"/>
  <c r="C14" i="13"/>
  <c r="E14" i="16"/>
  <c r="K14" i="12"/>
  <c r="G14" i="14"/>
  <c r="E14" i="15"/>
  <c r="C13" i="13"/>
  <c r="E13" i="16"/>
  <c r="K13" i="12"/>
  <c r="E13" i="15"/>
  <c r="G13" i="14"/>
  <c r="AT13" i="12"/>
  <c r="B13" i="13"/>
  <c r="D13" i="16"/>
  <c r="AS13" i="12"/>
  <c r="D13" i="15"/>
  <c r="F13" i="14"/>
  <c r="J13" i="12"/>
  <c r="B12" i="13"/>
  <c r="D12" i="16"/>
  <c r="J12" i="12"/>
  <c r="F12" i="14"/>
  <c r="D12" i="15"/>
  <c r="AS12" i="12"/>
  <c r="B11" i="13"/>
  <c r="D11" i="16"/>
  <c r="AS11" i="12"/>
  <c r="D11" i="15"/>
  <c r="F11" i="14"/>
  <c r="J11" i="12"/>
  <c r="F10" i="14"/>
  <c r="D10" i="15"/>
  <c r="BY10" i="12"/>
  <c r="J10" i="12"/>
  <c r="B10" i="13"/>
  <c r="D10" i="16"/>
  <c r="AS10" i="12"/>
  <c r="B9" i="13"/>
  <c r="D9" i="16"/>
  <c r="AS9" i="12"/>
  <c r="F9" i="14"/>
  <c r="D9" i="15"/>
  <c r="J9" i="12"/>
  <c r="AR30" i="12"/>
  <c r="C30" i="14"/>
  <c r="C30" i="16"/>
  <c r="E30" i="13"/>
  <c r="G30" i="15"/>
  <c r="I30" i="12"/>
  <c r="D30" i="13"/>
  <c r="F30" i="15"/>
  <c r="AQ30" i="12"/>
  <c r="B30" i="14"/>
  <c r="B30" i="16"/>
  <c r="H30" i="12"/>
  <c r="C29" i="14"/>
  <c r="C29" i="16"/>
  <c r="AR29" i="12"/>
  <c r="E29" i="13"/>
  <c r="G29" i="15"/>
  <c r="I29" i="12"/>
  <c r="B29" i="14"/>
  <c r="B29" i="16"/>
  <c r="AQ29" i="12"/>
  <c r="D29" i="13"/>
  <c r="F29" i="15"/>
  <c r="H29" i="12"/>
  <c r="AR28" i="12"/>
  <c r="C28" i="14"/>
  <c r="C28" i="16"/>
  <c r="I28" i="12"/>
  <c r="E28" i="13"/>
  <c r="G28" i="15"/>
  <c r="B28" i="14"/>
  <c r="B28" i="16"/>
  <c r="H28" i="12"/>
  <c r="D28" i="13"/>
  <c r="F28" i="15"/>
  <c r="AQ28" i="12"/>
  <c r="E27" i="13"/>
  <c r="G27" i="15"/>
  <c r="I27" i="12"/>
  <c r="C27" i="14"/>
  <c r="C27" i="16"/>
  <c r="AR27" i="12"/>
  <c r="B27" i="14"/>
  <c r="B27" i="16"/>
  <c r="H27" i="12"/>
  <c r="BH27" i="12"/>
  <c r="D27" i="13"/>
  <c r="F27" i="15"/>
  <c r="AQ27" i="12"/>
  <c r="C26" i="14"/>
  <c r="C26" i="16"/>
  <c r="AR26" i="12"/>
  <c r="E26" i="13"/>
  <c r="G26" i="15"/>
  <c r="I26" i="12"/>
  <c r="B26" i="14"/>
  <c r="B26" i="16"/>
  <c r="AQ26" i="12"/>
  <c r="BH26" i="12"/>
  <c r="D26" i="13"/>
  <c r="F26" i="15"/>
  <c r="H26" i="12"/>
  <c r="C25" i="16"/>
  <c r="G25" i="15"/>
  <c r="I25" i="12"/>
  <c r="E25" i="13"/>
  <c r="C25" i="14"/>
  <c r="BX25" i="12"/>
  <c r="AR25" i="12"/>
  <c r="B25" i="14"/>
  <c r="B25" i="16"/>
  <c r="BH25" i="12"/>
  <c r="BW25" i="12"/>
  <c r="D25" i="13"/>
  <c r="F25" i="15"/>
  <c r="H25" i="12"/>
  <c r="AQ25" i="12"/>
  <c r="E24" i="13"/>
  <c r="G24" i="15"/>
  <c r="I24" i="12"/>
  <c r="C24" i="14"/>
  <c r="C24" i="16"/>
  <c r="AR24" i="12"/>
  <c r="D24" i="13"/>
  <c r="F24" i="15"/>
  <c r="H24" i="12"/>
  <c r="B24" i="14"/>
  <c r="B24" i="16"/>
  <c r="AQ24" i="12"/>
  <c r="D21" i="13"/>
  <c r="F21" i="15"/>
  <c r="H21" i="12"/>
  <c r="B21" i="14"/>
  <c r="B21" i="16"/>
  <c r="AQ21" i="12"/>
  <c r="C20" i="14"/>
  <c r="C20" i="16"/>
  <c r="I20" i="12"/>
  <c r="E20" i="13"/>
  <c r="G20" i="15"/>
  <c r="AR20" i="12"/>
  <c r="B20" i="14"/>
  <c r="B20" i="16"/>
  <c r="H20" i="12"/>
  <c r="D20" i="13"/>
  <c r="F20" i="15"/>
  <c r="AQ20" i="12"/>
  <c r="E18" i="13"/>
  <c r="G18" i="15"/>
  <c r="I18" i="12"/>
  <c r="C18" i="14"/>
  <c r="C18" i="16"/>
  <c r="AR18" i="12"/>
  <c r="B18" i="14"/>
  <c r="B18" i="16"/>
  <c r="H18" i="12"/>
  <c r="D18" i="13"/>
  <c r="F18" i="15"/>
  <c r="AQ18" i="12"/>
  <c r="C17" i="16"/>
  <c r="G17" i="15"/>
  <c r="AR17" i="12"/>
  <c r="E17" i="13"/>
  <c r="C17" i="14"/>
  <c r="I17" i="12"/>
  <c r="B17" i="14"/>
  <c r="B17" i="16"/>
  <c r="H17" i="12"/>
  <c r="D17" i="13"/>
  <c r="F17" i="15"/>
  <c r="AQ17" i="12"/>
  <c r="E16" i="13"/>
  <c r="C16" i="16"/>
  <c r="C15" i="14"/>
  <c r="C15" i="16"/>
  <c r="E15" i="13"/>
  <c r="G15" i="15"/>
  <c r="AR15" i="12"/>
  <c r="I15" i="12"/>
  <c r="D15" i="13"/>
  <c r="F15" i="15"/>
  <c r="AQ15" i="12"/>
  <c r="B15" i="14"/>
  <c r="B15" i="16"/>
  <c r="H15" i="12"/>
  <c r="C14" i="14"/>
  <c r="C14" i="16"/>
  <c r="AR14" i="12"/>
  <c r="E14" i="13"/>
  <c r="G14" i="15"/>
  <c r="I14" i="12"/>
  <c r="D14" i="13"/>
  <c r="F14" i="15"/>
  <c r="H14" i="12"/>
  <c r="B14" i="14"/>
  <c r="B14" i="16"/>
  <c r="AQ14" i="12"/>
  <c r="AR13" i="12"/>
  <c r="C13" i="14"/>
  <c r="C13" i="16"/>
  <c r="I13" i="12"/>
  <c r="E13" i="13"/>
  <c r="G13" i="15"/>
  <c r="D13" i="13"/>
  <c r="F13" i="15"/>
  <c r="H13" i="12"/>
  <c r="BH13" i="12"/>
  <c r="B13" i="14"/>
  <c r="B13" i="16"/>
  <c r="AQ13" i="12"/>
  <c r="B12" i="14"/>
  <c r="B12" i="16"/>
  <c r="AQ12" i="12"/>
  <c r="BH12" i="12"/>
  <c r="D12" i="13"/>
  <c r="F12" i="15"/>
  <c r="H12" i="12"/>
  <c r="B11" i="14"/>
  <c r="B11" i="16"/>
  <c r="AQ11" i="12"/>
  <c r="D11" i="13"/>
  <c r="F11" i="15"/>
  <c r="H11" i="12"/>
  <c r="BH11" i="12"/>
  <c r="C10" i="14"/>
  <c r="C10" i="16"/>
  <c r="I10" i="12"/>
  <c r="AR10" i="12"/>
  <c r="E10" i="13"/>
  <c r="G10" i="15"/>
  <c r="BX10" i="12"/>
  <c r="B10" i="14"/>
  <c r="B10" i="16"/>
  <c r="AQ10" i="12"/>
  <c r="D10" i="13"/>
  <c r="F10" i="15"/>
  <c r="BW10" i="12"/>
  <c r="H10" i="12"/>
  <c r="G9" i="15"/>
  <c r="C9" i="14"/>
  <c r="I9" i="12"/>
  <c r="N9" i="12" s="1"/>
  <c r="E9" i="13"/>
  <c r="C9" i="16"/>
  <c r="AR9" i="12"/>
  <c r="BH19" i="13" l="1"/>
  <c r="J15" i="16"/>
  <c r="J14" i="16"/>
  <c r="K14" i="16"/>
  <c r="J29" i="12"/>
  <c r="D29" i="16"/>
  <c r="B27" i="15"/>
  <c r="AQ27" i="15" s="1"/>
  <c r="BH29" i="12"/>
  <c r="K15" i="16"/>
  <c r="F29" i="14"/>
  <c r="B29" i="13"/>
  <c r="H29" i="13" s="1"/>
  <c r="F27" i="16"/>
  <c r="M27" i="16" s="1"/>
  <c r="H19" i="16"/>
  <c r="D27" i="14"/>
  <c r="L26" i="13"/>
  <c r="AU26" i="13"/>
  <c r="F24" i="16"/>
  <c r="AU24" i="12"/>
  <c r="B24" i="15"/>
  <c r="L24" i="12"/>
  <c r="D24" i="14"/>
  <c r="O22" i="12"/>
  <c r="N22" i="12"/>
  <c r="G21" i="16"/>
  <c r="M21" i="12"/>
  <c r="E21" i="14"/>
  <c r="AV21" i="12"/>
  <c r="C21" i="15"/>
  <c r="AV21" i="15"/>
  <c r="M21" i="15"/>
  <c r="I19" i="14"/>
  <c r="AR19" i="14"/>
  <c r="E16" i="14"/>
  <c r="AV16" i="12"/>
  <c r="G16" i="16"/>
  <c r="C16" i="15"/>
  <c r="BH16" i="15" s="1"/>
  <c r="M16" i="12"/>
  <c r="AS16" i="15"/>
  <c r="J16" i="15"/>
  <c r="AT11" i="13"/>
  <c r="K11" i="13"/>
  <c r="C9" i="15"/>
  <c r="G9" i="16"/>
  <c r="E9" i="14"/>
  <c r="M9" i="12"/>
  <c r="AV9" i="12"/>
  <c r="L30" i="13"/>
  <c r="AU30" i="13"/>
  <c r="I19" i="16"/>
  <c r="N19" i="16" s="1"/>
  <c r="AU23" i="15"/>
  <c r="CA23" i="15"/>
  <c r="L23" i="15"/>
  <c r="D21" i="14"/>
  <c r="F21" i="16"/>
  <c r="L21" i="12"/>
  <c r="R21" i="12" s="1"/>
  <c r="B21" i="15"/>
  <c r="BH21" i="15" s="1"/>
  <c r="AU21" i="12"/>
  <c r="F20" i="12"/>
  <c r="F20" i="13"/>
  <c r="I19" i="13"/>
  <c r="AR19" i="13"/>
  <c r="D28" i="14"/>
  <c r="B28" i="15"/>
  <c r="F28" i="16"/>
  <c r="L28" i="12"/>
  <c r="AU28" i="12"/>
  <c r="M24" i="12"/>
  <c r="E24" i="14"/>
  <c r="BH24" i="14" s="1"/>
  <c r="G24" i="16"/>
  <c r="M24" i="16" s="1"/>
  <c r="C24" i="15"/>
  <c r="AV24" i="12"/>
  <c r="F23" i="16"/>
  <c r="B23" i="15"/>
  <c r="AU23" i="12"/>
  <c r="CA23" i="12"/>
  <c r="L23" i="12"/>
  <c r="D23" i="14"/>
  <c r="M22" i="13"/>
  <c r="AV22" i="13"/>
  <c r="M22" i="15"/>
  <c r="AV22" i="15"/>
  <c r="N19" i="12"/>
  <c r="U19" i="12" s="1"/>
  <c r="J19" i="15"/>
  <c r="AS19" i="15"/>
  <c r="L19" i="14"/>
  <c r="AU19" i="14"/>
  <c r="AQ16" i="13"/>
  <c r="H16" i="13"/>
  <c r="L15" i="13"/>
  <c r="AU15" i="13"/>
  <c r="J15" i="15"/>
  <c r="AS15" i="15"/>
  <c r="B14" i="15"/>
  <c r="D14" i="14"/>
  <c r="AU14" i="12"/>
  <c r="L14" i="12"/>
  <c r="F14" i="16"/>
  <c r="C13" i="15"/>
  <c r="M13" i="12"/>
  <c r="E13" i="14"/>
  <c r="BH13" i="14" s="1"/>
  <c r="AV13" i="12"/>
  <c r="G13" i="16"/>
  <c r="E12" i="14"/>
  <c r="C12" i="15"/>
  <c r="BH12" i="15" s="1"/>
  <c r="M12" i="12"/>
  <c r="G12" i="16"/>
  <c r="AV12" i="12"/>
  <c r="F11" i="16"/>
  <c r="D11" i="14"/>
  <c r="L11" i="12"/>
  <c r="B11" i="15"/>
  <c r="AU11" i="12"/>
  <c r="M9" i="14"/>
  <c r="AV9" i="14"/>
  <c r="L9" i="15"/>
  <c r="AU9" i="15"/>
  <c r="E25" i="14"/>
  <c r="M25" i="12"/>
  <c r="C25" i="15"/>
  <c r="BH25" i="15" s="1"/>
  <c r="AV25" i="12"/>
  <c r="G25" i="16"/>
  <c r="CB25" i="12"/>
  <c r="AU16" i="15"/>
  <c r="L16" i="15"/>
  <c r="J16" i="13"/>
  <c r="AS16" i="13"/>
  <c r="G10" i="16"/>
  <c r="CB10" i="12"/>
  <c r="AV10" i="12"/>
  <c r="E10" i="14"/>
  <c r="M10" i="12"/>
  <c r="C10" i="15"/>
  <c r="H19" i="15"/>
  <c r="AQ19" i="15"/>
  <c r="C11" i="15"/>
  <c r="AV11" i="12"/>
  <c r="G11" i="16"/>
  <c r="M11" i="12"/>
  <c r="S11" i="12" s="1"/>
  <c r="E11" i="14"/>
  <c r="BH11" i="14" s="1"/>
  <c r="I11" i="13"/>
  <c r="AR11" i="13"/>
  <c r="I10" i="13"/>
  <c r="BX10" i="13"/>
  <c r="AR10" i="13"/>
  <c r="Q16" i="12"/>
  <c r="K16" i="15"/>
  <c r="AT16" i="15"/>
  <c r="AU22" i="15"/>
  <c r="L22" i="15"/>
  <c r="C20" i="15"/>
  <c r="AV20" i="12"/>
  <c r="G20" i="16"/>
  <c r="M20" i="12"/>
  <c r="E20" i="14"/>
  <c r="C18" i="15"/>
  <c r="E18" i="14"/>
  <c r="M18" i="12"/>
  <c r="G18" i="16"/>
  <c r="AV18" i="12"/>
  <c r="E29" i="14"/>
  <c r="M29" i="12"/>
  <c r="C29" i="15"/>
  <c r="AV29" i="12"/>
  <c r="G29" i="16"/>
  <c r="AU27" i="13"/>
  <c r="L27" i="13"/>
  <c r="AV26" i="13"/>
  <c r="M26" i="13"/>
  <c r="S26" i="13" s="1"/>
  <c r="M22" i="12"/>
  <c r="AV22" i="12"/>
  <c r="C22" i="15"/>
  <c r="G22" i="16"/>
  <c r="E22" i="14"/>
  <c r="AU15" i="12"/>
  <c r="D15" i="14"/>
  <c r="L15" i="12"/>
  <c r="B15" i="15"/>
  <c r="F15" i="16"/>
  <c r="AQ15" i="13"/>
  <c r="H15" i="13"/>
  <c r="C14" i="15"/>
  <c r="G14" i="16"/>
  <c r="M14" i="16" s="1"/>
  <c r="E14" i="14"/>
  <c r="AV14" i="12"/>
  <c r="M14" i="12"/>
  <c r="L14" i="14"/>
  <c r="AU14" i="14"/>
  <c r="B10" i="15"/>
  <c r="BH10" i="15" s="1"/>
  <c r="D10" i="14"/>
  <c r="L10" i="12"/>
  <c r="R10" i="12" s="1"/>
  <c r="F10" i="16"/>
  <c r="CA10" i="12"/>
  <c r="AU10" i="12"/>
  <c r="M11" i="14"/>
  <c r="AV11" i="14"/>
  <c r="I11" i="14"/>
  <c r="AR11" i="14"/>
  <c r="AV16" i="14"/>
  <c r="M16" i="14"/>
  <c r="C16" i="14"/>
  <c r="I16" i="14" s="1"/>
  <c r="BH16" i="12"/>
  <c r="AR16" i="12"/>
  <c r="BH21" i="12"/>
  <c r="BH24" i="12"/>
  <c r="CB23" i="13"/>
  <c r="H27" i="15"/>
  <c r="AV30" i="13"/>
  <c r="M30" i="13"/>
  <c r="S30" i="13" s="1"/>
  <c r="D25" i="14"/>
  <c r="AU25" i="12"/>
  <c r="F25" i="16"/>
  <c r="L25" i="16" s="1"/>
  <c r="L25" i="12"/>
  <c r="R25" i="12" s="1"/>
  <c r="CA25" i="12"/>
  <c r="AR22" i="14"/>
  <c r="I22" i="14"/>
  <c r="AV23" i="14"/>
  <c r="M23" i="14"/>
  <c r="CB23" i="14"/>
  <c r="BY23" i="13"/>
  <c r="AS23" i="13"/>
  <c r="J23" i="13"/>
  <c r="H22" i="14"/>
  <c r="AQ22" i="14"/>
  <c r="G19" i="16"/>
  <c r="M19" i="16" s="1"/>
  <c r="M19" i="12"/>
  <c r="S19" i="12" s="1"/>
  <c r="C19" i="15"/>
  <c r="AV19" i="12"/>
  <c r="E19" i="14"/>
  <c r="K19" i="15"/>
  <c r="AT19" i="15"/>
  <c r="B18" i="15"/>
  <c r="D18" i="14"/>
  <c r="BH18" i="14" s="1"/>
  <c r="L18" i="12"/>
  <c r="R18" i="12" s="1"/>
  <c r="F18" i="16"/>
  <c r="L18" i="16" s="1"/>
  <c r="AU18" i="12"/>
  <c r="M28" i="13"/>
  <c r="AV28" i="13"/>
  <c r="M27" i="13"/>
  <c r="S27" i="13" s="1"/>
  <c r="AV27" i="13"/>
  <c r="AV24" i="13"/>
  <c r="M24" i="13"/>
  <c r="AU22" i="13"/>
  <c r="L22" i="13"/>
  <c r="R22" i="13" s="1"/>
  <c r="K22" i="13"/>
  <c r="AT22" i="13"/>
  <c r="AT19" i="13"/>
  <c r="K19" i="13"/>
  <c r="BH19" i="12"/>
  <c r="AU19" i="15"/>
  <c r="L19" i="15"/>
  <c r="F29" i="16"/>
  <c r="L29" i="12"/>
  <c r="R29" i="12" s="1"/>
  <c r="AU29" i="12"/>
  <c r="D29" i="14"/>
  <c r="B29" i="15"/>
  <c r="K12" i="15"/>
  <c r="AT12" i="15"/>
  <c r="G17" i="16"/>
  <c r="M17" i="12"/>
  <c r="E17" i="14"/>
  <c r="BH17" i="14" s="1"/>
  <c r="AV17" i="12"/>
  <c r="C17" i="15"/>
  <c r="AU16" i="13"/>
  <c r="L16" i="13"/>
  <c r="R16" i="13" s="1"/>
  <c r="C15" i="15"/>
  <c r="E15" i="14"/>
  <c r="BH15" i="14" s="1"/>
  <c r="AV15" i="12"/>
  <c r="M15" i="12"/>
  <c r="G15" i="16"/>
  <c r="AU15" i="14"/>
  <c r="L15" i="14"/>
  <c r="L11" i="13"/>
  <c r="R11" i="13" s="1"/>
  <c r="AU11" i="13"/>
  <c r="AQ9" i="14"/>
  <c r="H9" i="14"/>
  <c r="AS9" i="13"/>
  <c r="J9" i="13"/>
  <c r="F17" i="16"/>
  <c r="L17" i="16" s="1"/>
  <c r="B17" i="15"/>
  <c r="L17" i="12"/>
  <c r="D17" i="14"/>
  <c r="AU17" i="12"/>
  <c r="I12" i="14"/>
  <c r="AR12" i="14"/>
  <c r="R19" i="12"/>
  <c r="AR12" i="13"/>
  <c r="I12" i="13"/>
  <c r="AT11" i="15"/>
  <c r="K11" i="15"/>
  <c r="AV11" i="15"/>
  <c r="M11" i="15"/>
  <c r="BZ10" i="15"/>
  <c r="K10" i="15"/>
  <c r="AT10" i="15"/>
  <c r="D9" i="14"/>
  <c r="AU9" i="12"/>
  <c r="F9" i="16"/>
  <c r="B9" i="15"/>
  <c r="BH9" i="15" s="1"/>
  <c r="L9" i="12"/>
  <c r="R9" i="12" s="1"/>
  <c r="K16" i="16"/>
  <c r="I16" i="13"/>
  <c r="AR16" i="13"/>
  <c r="S15" i="13"/>
  <c r="AI4" i="14"/>
  <c r="AI4" i="13"/>
  <c r="L30" i="12"/>
  <c r="AU30" i="12"/>
  <c r="B30" i="15"/>
  <c r="F30" i="16"/>
  <c r="D30" i="14"/>
  <c r="L28" i="13"/>
  <c r="R28" i="13" s="1"/>
  <c r="AU28" i="13"/>
  <c r="AU13" i="13"/>
  <c r="L13" i="13"/>
  <c r="R13" i="13" s="1"/>
  <c r="AR9" i="13"/>
  <c r="I9" i="13"/>
  <c r="AV25" i="13"/>
  <c r="M25" i="13"/>
  <c r="R25" i="13" s="1"/>
  <c r="CB25" i="13"/>
  <c r="H16" i="14"/>
  <c r="AQ16" i="14"/>
  <c r="M10" i="13"/>
  <c r="S10" i="13" s="1"/>
  <c r="AV10" i="13"/>
  <c r="CB10" i="13"/>
  <c r="K19" i="16"/>
  <c r="BH14" i="12"/>
  <c r="BH9" i="12"/>
  <c r="BH10" i="12"/>
  <c r="BH15" i="12"/>
  <c r="I16" i="12"/>
  <c r="O16" i="12" s="1"/>
  <c r="AI6" i="14"/>
  <c r="AI6" i="13"/>
  <c r="AI6" i="15"/>
  <c r="G30" i="16"/>
  <c r="M30" i="12"/>
  <c r="E30" i="14"/>
  <c r="AV30" i="12"/>
  <c r="C30" i="15"/>
  <c r="BH30" i="15" s="1"/>
  <c r="AQ19" i="14"/>
  <c r="H19" i="14"/>
  <c r="N19" i="14" s="1"/>
  <c r="B26" i="15"/>
  <c r="D26" i="14"/>
  <c r="BH26" i="14" s="1"/>
  <c r="AU26" i="12"/>
  <c r="L26" i="12"/>
  <c r="F26" i="16"/>
  <c r="L24" i="13"/>
  <c r="R24" i="13" s="1"/>
  <c r="AU24" i="13"/>
  <c r="AR23" i="13"/>
  <c r="BX23" i="13"/>
  <c r="I23" i="13"/>
  <c r="AQ22" i="13"/>
  <c r="H22" i="13"/>
  <c r="M20" i="13"/>
  <c r="AV20" i="13"/>
  <c r="M19" i="14"/>
  <c r="AV19" i="14"/>
  <c r="E28" i="14"/>
  <c r="C28" i="15"/>
  <c r="AV28" i="12"/>
  <c r="M28" i="12"/>
  <c r="G28" i="16"/>
  <c r="C27" i="15"/>
  <c r="E27" i="14"/>
  <c r="G27" i="16"/>
  <c r="AV27" i="12"/>
  <c r="M27" i="12"/>
  <c r="S27" i="12" s="1"/>
  <c r="E26" i="14"/>
  <c r="C26" i="15"/>
  <c r="G26" i="16"/>
  <c r="M26" i="12"/>
  <c r="AV26" i="12"/>
  <c r="G23" i="16"/>
  <c r="C23" i="15"/>
  <c r="E23" i="14"/>
  <c r="M23" i="12"/>
  <c r="S23" i="12" s="1"/>
  <c r="CB23" i="12"/>
  <c r="AV23" i="12"/>
  <c r="C23" i="16"/>
  <c r="I23" i="16" s="1"/>
  <c r="AR23" i="12"/>
  <c r="C23" i="14"/>
  <c r="I23" i="12"/>
  <c r="O23" i="12" s="1"/>
  <c r="E23" i="13"/>
  <c r="BH23" i="13" s="1"/>
  <c r="G23" i="15"/>
  <c r="BX23" i="12"/>
  <c r="D22" i="14"/>
  <c r="L22" i="12"/>
  <c r="R22" i="12" s="1"/>
  <c r="B22" i="15"/>
  <c r="AU22" i="12"/>
  <c r="F22" i="16"/>
  <c r="I22" i="16"/>
  <c r="AT21" i="13"/>
  <c r="K21" i="13"/>
  <c r="AV19" i="15"/>
  <c r="M19" i="15"/>
  <c r="AS19" i="13"/>
  <c r="J19" i="13"/>
  <c r="AQ19" i="13"/>
  <c r="H19" i="13"/>
  <c r="N19" i="13" s="1"/>
  <c r="B16" i="15"/>
  <c r="D16" i="14"/>
  <c r="F16" i="16"/>
  <c r="L16" i="12"/>
  <c r="R16" i="12" s="1"/>
  <c r="AU16" i="12"/>
  <c r="AU16" i="14"/>
  <c r="L16" i="14"/>
  <c r="R16" i="14" s="1"/>
  <c r="AV14" i="13"/>
  <c r="M14" i="13"/>
  <c r="R14" i="13" s="1"/>
  <c r="J14" i="15"/>
  <c r="AS14" i="15"/>
  <c r="H14" i="13"/>
  <c r="AQ14" i="13"/>
  <c r="B13" i="15"/>
  <c r="BH13" i="15" s="1"/>
  <c r="D13" i="14"/>
  <c r="F13" i="16"/>
  <c r="L13" i="16" s="1"/>
  <c r="AU13" i="12"/>
  <c r="L13" i="12"/>
  <c r="R13" i="12" s="1"/>
  <c r="B12" i="15"/>
  <c r="D12" i="14"/>
  <c r="L12" i="12"/>
  <c r="R12" i="12" s="1"/>
  <c r="AU12" i="12"/>
  <c r="F12" i="16"/>
  <c r="L12" i="16" s="1"/>
  <c r="AU10" i="13"/>
  <c r="L10" i="13"/>
  <c r="CA10" i="13"/>
  <c r="AT9" i="15"/>
  <c r="K9" i="15"/>
  <c r="AV12" i="15"/>
  <c r="M12" i="15"/>
  <c r="K12" i="13"/>
  <c r="AT12" i="13"/>
  <c r="AV12" i="14"/>
  <c r="M12" i="14"/>
  <c r="CB10" i="14"/>
  <c r="M10" i="14"/>
  <c r="AV10" i="14"/>
  <c r="P19" i="12"/>
  <c r="T19" i="12" s="1"/>
  <c r="R29" i="13"/>
  <c r="S29" i="13"/>
  <c r="J27" i="14"/>
  <c r="AS27" i="14"/>
  <c r="K30" i="15"/>
  <c r="AT30" i="15"/>
  <c r="M30" i="14"/>
  <c r="AV30" i="14"/>
  <c r="AR30" i="13"/>
  <c r="I30" i="13"/>
  <c r="O9" i="12"/>
  <c r="BW25" i="15"/>
  <c r="H25" i="15"/>
  <c r="AQ25" i="15"/>
  <c r="R23" i="13"/>
  <c r="S23" i="13"/>
  <c r="S21" i="13"/>
  <c r="R21" i="13"/>
  <c r="S19" i="13"/>
  <c r="R19" i="13"/>
  <c r="R18" i="13"/>
  <c r="S18" i="13"/>
  <c r="S17" i="13"/>
  <c r="R17" i="13"/>
  <c r="R15" i="13"/>
  <c r="S14" i="13"/>
  <c r="R12" i="13"/>
  <c r="S12" i="13"/>
  <c r="S9" i="13"/>
  <c r="R9" i="13"/>
  <c r="J30" i="15"/>
  <c r="AS30" i="15"/>
  <c r="P30" i="12"/>
  <c r="Q30" i="12"/>
  <c r="AQ30" i="13"/>
  <c r="H30" i="13"/>
  <c r="L30" i="14"/>
  <c r="AU30" i="14"/>
  <c r="K30" i="16"/>
  <c r="J30" i="16"/>
  <c r="M29" i="14"/>
  <c r="AV29" i="14"/>
  <c r="K29" i="15"/>
  <c r="AT29" i="15"/>
  <c r="AR29" i="13"/>
  <c r="I29" i="13"/>
  <c r="AU29" i="14"/>
  <c r="L29" i="14"/>
  <c r="AQ29" i="13"/>
  <c r="P29" i="12"/>
  <c r="Q29" i="12"/>
  <c r="J29" i="15"/>
  <c r="AS29" i="15"/>
  <c r="J29" i="16"/>
  <c r="K29" i="16"/>
  <c r="M28" i="14"/>
  <c r="AV28" i="14"/>
  <c r="AR28" i="13"/>
  <c r="I28" i="13"/>
  <c r="K28" i="15"/>
  <c r="AT28" i="15"/>
  <c r="J28" i="15"/>
  <c r="AS28" i="15"/>
  <c r="H28" i="13"/>
  <c r="AQ28" i="13"/>
  <c r="P28" i="12"/>
  <c r="Q28" i="12"/>
  <c r="L28" i="14"/>
  <c r="AU28" i="14"/>
  <c r="K28" i="16"/>
  <c r="J28" i="16"/>
  <c r="AR27" i="13"/>
  <c r="I27" i="13"/>
  <c r="AT27" i="15"/>
  <c r="K27" i="15"/>
  <c r="M27" i="14"/>
  <c r="AV27" i="14"/>
  <c r="L27" i="14"/>
  <c r="AU27" i="14"/>
  <c r="AQ27" i="13"/>
  <c r="H27" i="13"/>
  <c r="P27" i="12"/>
  <c r="Q27" i="12"/>
  <c r="J27" i="15"/>
  <c r="AS27" i="15"/>
  <c r="J27" i="16"/>
  <c r="K27" i="16"/>
  <c r="AT26" i="15"/>
  <c r="K26" i="15"/>
  <c r="AR26" i="13"/>
  <c r="I26" i="13"/>
  <c r="AV26" i="14"/>
  <c r="M26" i="14"/>
  <c r="J26" i="16"/>
  <c r="K26" i="16"/>
  <c r="AU26" i="14"/>
  <c r="L26" i="14"/>
  <c r="Q26" i="12"/>
  <c r="P26" i="12"/>
  <c r="H26" i="13"/>
  <c r="AQ26" i="13"/>
  <c r="J26" i="15"/>
  <c r="AS26" i="15"/>
  <c r="AV25" i="14"/>
  <c r="CB25" i="14"/>
  <c r="M25" i="14"/>
  <c r="K25" i="15"/>
  <c r="BZ25" i="15"/>
  <c r="AT25" i="15"/>
  <c r="I25" i="13"/>
  <c r="AR25" i="13"/>
  <c r="BX25" i="13"/>
  <c r="J25" i="16"/>
  <c r="K25" i="16"/>
  <c r="AS25" i="15"/>
  <c r="J25" i="15"/>
  <c r="BY25" i="15"/>
  <c r="P25" i="12"/>
  <c r="Q25" i="12"/>
  <c r="BW25" i="13"/>
  <c r="AQ25" i="13"/>
  <c r="H25" i="13"/>
  <c r="L25" i="14"/>
  <c r="AU25" i="14"/>
  <c r="CA25" i="14"/>
  <c r="I24" i="13"/>
  <c r="AR24" i="13"/>
  <c r="AV24" i="14"/>
  <c r="M24" i="14"/>
  <c r="K24" i="15"/>
  <c r="AT24" i="15"/>
  <c r="H24" i="13"/>
  <c r="AQ24" i="13"/>
  <c r="L24" i="14"/>
  <c r="AU24" i="14"/>
  <c r="K24" i="16"/>
  <c r="J24" i="16"/>
  <c r="P24" i="12"/>
  <c r="Q24" i="12"/>
  <c r="J24" i="15"/>
  <c r="AS24" i="15"/>
  <c r="AU23" i="14"/>
  <c r="CA23" i="14"/>
  <c r="L23" i="14"/>
  <c r="Q23" i="12"/>
  <c r="P23" i="12"/>
  <c r="H23" i="13"/>
  <c r="AQ23" i="13"/>
  <c r="BW23" i="13"/>
  <c r="BY23" i="15"/>
  <c r="J23" i="15"/>
  <c r="AS23" i="15"/>
  <c r="BH23" i="15"/>
  <c r="J23" i="16"/>
  <c r="K23" i="16"/>
  <c r="P22" i="12"/>
  <c r="Q22" i="12"/>
  <c r="M22" i="14"/>
  <c r="AV22" i="14"/>
  <c r="BH22" i="14"/>
  <c r="I22" i="13"/>
  <c r="BH22" i="13"/>
  <c r="AR22" i="13"/>
  <c r="AT22" i="15"/>
  <c r="K22" i="15"/>
  <c r="K22" i="16"/>
  <c r="O22" i="16" s="1"/>
  <c r="J22" i="16"/>
  <c r="I21" i="13"/>
  <c r="AR21" i="13"/>
  <c r="K21" i="15"/>
  <c r="AT21" i="15"/>
  <c r="AV21" i="14"/>
  <c r="M21" i="14"/>
  <c r="J21" i="16"/>
  <c r="K21" i="16"/>
  <c r="P21" i="12"/>
  <c r="Q21" i="12"/>
  <c r="J21" i="15"/>
  <c r="AS21" i="15"/>
  <c r="AQ21" i="13"/>
  <c r="H21" i="13"/>
  <c r="AU21" i="14"/>
  <c r="L21" i="14"/>
  <c r="K20" i="15"/>
  <c r="AT20" i="15"/>
  <c r="M20" i="14"/>
  <c r="AV20" i="14"/>
  <c r="I20" i="13"/>
  <c r="AR20" i="13"/>
  <c r="J20" i="16"/>
  <c r="K20" i="16"/>
  <c r="P20" i="12"/>
  <c r="Q20" i="12"/>
  <c r="AU20" i="14"/>
  <c r="L20" i="14"/>
  <c r="AQ20" i="13"/>
  <c r="H20" i="13"/>
  <c r="AS20" i="15"/>
  <c r="J20" i="15"/>
  <c r="K18" i="15"/>
  <c r="AT18" i="15"/>
  <c r="AR18" i="13"/>
  <c r="I18" i="13"/>
  <c r="AV18" i="14"/>
  <c r="M18" i="14"/>
  <c r="AS18" i="15"/>
  <c r="J18" i="15"/>
  <c r="AQ18" i="13"/>
  <c r="H18" i="13"/>
  <c r="Q18" i="12"/>
  <c r="P18" i="12"/>
  <c r="L18" i="14"/>
  <c r="AU18" i="14"/>
  <c r="J18" i="16"/>
  <c r="K18" i="16"/>
  <c r="AT17" i="15"/>
  <c r="K17" i="15"/>
  <c r="I17" i="13"/>
  <c r="AR17" i="13"/>
  <c r="M17" i="14"/>
  <c r="AV17" i="14"/>
  <c r="L17" i="14"/>
  <c r="AU17" i="14"/>
  <c r="AQ17" i="13"/>
  <c r="H17" i="13"/>
  <c r="Q17" i="12"/>
  <c r="P17" i="12"/>
  <c r="AS17" i="15"/>
  <c r="J17" i="15"/>
  <c r="K17" i="16"/>
  <c r="J17" i="16"/>
  <c r="AR15" i="13"/>
  <c r="I15" i="13"/>
  <c r="K15" i="15"/>
  <c r="AT15" i="15"/>
  <c r="P15" i="12"/>
  <c r="Q15" i="12"/>
  <c r="M15" i="14"/>
  <c r="AV15" i="14"/>
  <c r="M14" i="14"/>
  <c r="AV14" i="14"/>
  <c r="AT14" i="15"/>
  <c r="K14" i="15"/>
  <c r="Q14" i="12"/>
  <c r="P14" i="12"/>
  <c r="I14" i="13"/>
  <c r="AR14" i="13"/>
  <c r="M13" i="14"/>
  <c r="AV13" i="14"/>
  <c r="AR13" i="13"/>
  <c r="I13" i="13"/>
  <c r="K13" i="15"/>
  <c r="AT13" i="15"/>
  <c r="L13" i="14"/>
  <c r="AU13" i="14"/>
  <c r="AQ13" i="13"/>
  <c r="H13" i="13"/>
  <c r="Q13" i="12"/>
  <c r="P13" i="12"/>
  <c r="J13" i="15"/>
  <c r="AS13" i="15"/>
  <c r="J13" i="16"/>
  <c r="K13" i="16"/>
  <c r="AS12" i="15"/>
  <c r="J12" i="15"/>
  <c r="Q12" i="12"/>
  <c r="P12" i="12"/>
  <c r="AQ12" i="13"/>
  <c r="H12" i="13"/>
  <c r="AU12" i="14"/>
  <c r="L12" i="14"/>
  <c r="K12" i="16"/>
  <c r="J12" i="16"/>
  <c r="L11" i="14"/>
  <c r="AU11" i="14"/>
  <c r="H11" i="13"/>
  <c r="AQ11" i="13"/>
  <c r="Q11" i="12"/>
  <c r="P11" i="12"/>
  <c r="J11" i="15"/>
  <c r="AS11" i="15"/>
  <c r="K11" i="16"/>
  <c r="J11" i="16"/>
  <c r="AQ10" i="13"/>
  <c r="H10" i="13"/>
  <c r="BW10" i="13"/>
  <c r="L10" i="14"/>
  <c r="CA10" i="14"/>
  <c r="AU10" i="14"/>
  <c r="K10" i="16"/>
  <c r="J10" i="16"/>
  <c r="Q10" i="12"/>
  <c r="P10" i="12"/>
  <c r="BY10" i="15"/>
  <c r="J10" i="15"/>
  <c r="AS10" i="15"/>
  <c r="AS9" i="15"/>
  <c r="J9" i="15"/>
  <c r="AQ9" i="13"/>
  <c r="H9" i="13"/>
  <c r="P9" i="12"/>
  <c r="Q9" i="12"/>
  <c r="L9" i="14"/>
  <c r="AU9" i="14"/>
  <c r="J9" i="16"/>
  <c r="K9" i="16"/>
  <c r="M30" i="15"/>
  <c r="AV30" i="15"/>
  <c r="AT30" i="13"/>
  <c r="K30" i="13"/>
  <c r="AR30" i="14"/>
  <c r="I30" i="14"/>
  <c r="H30" i="16"/>
  <c r="I30" i="16"/>
  <c r="AS30" i="13"/>
  <c r="BH30" i="13"/>
  <c r="J30" i="13"/>
  <c r="O30" i="12"/>
  <c r="N30" i="12"/>
  <c r="H30" i="14"/>
  <c r="AQ30" i="14"/>
  <c r="AU30" i="15"/>
  <c r="L30" i="15"/>
  <c r="AV29" i="15"/>
  <c r="M29" i="15"/>
  <c r="I29" i="14"/>
  <c r="AR29" i="14"/>
  <c r="K29" i="13"/>
  <c r="AT29" i="13"/>
  <c r="O29" i="12"/>
  <c r="N29" i="12"/>
  <c r="J29" i="13"/>
  <c r="AS29" i="13"/>
  <c r="AQ29" i="14"/>
  <c r="H29" i="14"/>
  <c r="AU29" i="15"/>
  <c r="BH29" i="15"/>
  <c r="L29" i="15"/>
  <c r="I29" i="16"/>
  <c r="H29" i="16"/>
  <c r="K28" i="13"/>
  <c r="AT28" i="13"/>
  <c r="AV28" i="15"/>
  <c r="M28" i="15"/>
  <c r="AR28" i="14"/>
  <c r="I28" i="14"/>
  <c r="L28" i="15"/>
  <c r="AU28" i="15"/>
  <c r="O28" i="12"/>
  <c r="N28" i="12"/>
  <c r="H28" i="14"/>
  <c r="BH28" i="14"/>
  <c r="AQ28" i="14"/>
  <c r="BH28" i="13"/>
  <c r="J28" i="13"/>
  <c r="AS28" i="13"/>
  <c r="H28" i="16"/>
  <c r="I28" i="16"/>
  <c r="K27" i="13"/>
  <c r="AT27" i="13"/>
  <c r="I27" i="14"/>
  <c r="AR27" i="14"/>
  <c r="AV27" i="15"/>
  <c r="M27" i="15"/>
  <c r="AS27" i="13"/>
  <c r="BH27" i="13"/>
  <c r="J27" i="13"/>
  <c r="N27" i="12"/>
  <c r="O27" i="12"/>
  <c r="BH27" i="14"/>
  <c r="H27" i="14"/>
  <c r="AQ27" i="14"/>
  <c r="L27" i="15"/>
  <c r="AU27" i="15"/>
  <c r="H27" i="16"/>
  <c r="I27" i="16"/>
  <c r="AV26" i="15"/>
  <c r="M26" i="15"/>
  <c r="I26" i="14"/>
  <c r="AR26" i="14"/>
  <c r="K26" i="13"/>
  <c r="AT26" i="13"/>
  <c r="N26" i="12"/>
  <c r="O26" i="12"/>
  <c r="J26" i="13"/>
  <c r="BH26" i="13"/>
  <c r="AS26" i="13"/>
  <c r="AQ26" i="14"/>
  <c r="H26" i="14"/>
  <c r="L26" i="15"/>
  <c r="BH26" i="15"/>
  <c r="AU26" i="15"/>
  <c r="I26" i="16"/>
  <c r="H26" i="16"/>
  <c r="AR25" i="14"/>
  <c r="BX25" i="14"/>
  <c r="I25" i="14"/>
  <c r="BZ25" i="13"/>
  <c r="K25" i="13"/>
  <c r="AT25" i="13"/>
  <c r="M25" i="15"/>
  <c r="AV25" i="15"/>
  <c r="CB25" i="15"/>
  <c r="O25" i="12"/>
  <c r="N25" i="12"/>
  <c r="BY25" i="13"/>
  <c r="J25" i="13"/>
  <c r="BH25" i="13"/>
  <c r="AS25" i="13"/>
  <c r="H25" i="14"/>
  <c r="BW25" i="14"/>
  <c r="BH25" i="14"/>
  <c r="AQ25" i="14"/>
  <c r="AU25" i="15"/>
  <c r="L25" i="15"/>
  <c r="CA25" i="15"/>
  <c r="H25" i="16"/>
  <c r="I25" i="16"/>
  <c r="AT24" i="13"/>
  <c r="K24" i="13"/>
  <c r="AR24" i="14"/>
  <c r="I24" i="14"/>
  <c r="M24" i="15"/>
  <c r="AV24" i="15"/>
  <c r="H24" i="16"/>
  <c r="I24" i="16"/>
  <c r="O24" i="12"/>
  <c r="N24" i="12"/>
  <c r="BH24" i="13"/>
  <c r="J24" i="13"/>
  <c r="AS24" i="13"/>
  <c r="AQ24" i="14"/>
  <c r="H24" i="14"/>
  <c r="L24" i="15"/>
  <c r="AU24" i="15"/>
  <c r="AQ21" i="14"/>
  <c r="H21" i="14"/>
  <c r="BH21" i="14"/>
  <c r="J21" i="13"/>
  <c r="AS21" i="13"/>
  <c r="BH21" i="13"/>
  <c r="I21" i="16"/>
  <c r="H21" i="16"/>
  <c r="N21" i="12"/>
  <c r="O21" i="12"/>
  <c r="L21" i="15"/>
  <c r="AU21" i="15"/>
  <c r="M20" i="15"/>
  <c r="AV20" i="15"/>
  <c r="AR20" i="14"/>
  <c r="I20" i="14"/>
  <c r="K20" i="13"/>
  <c r="AT20" i="13"/>
  <c r="L20" i="15"/>
  <c r="AU20" i="15"/>
  <c r="O20" i="12"/>
  <c r="N20" i="12"/>
  <c r="H20" i="14"/>
  <c r="AQ20" i="14"/>
  <c r="BH20" i="13"/>
  <c r="J20" i="13"/>
  <c r="AS20" i="13"/>
  <c r="I20" i="16"/>
  <c r="H20" i="16"/>
  <c r="W19" i="12"/>
  <c r="Y19" i="12" s="1"/>
  <c r="AC19" i="12" s="1"/>
  <c r="V19" i="12"/>
  <c r="X19" i="12"/>
  <c r="AT18" i="13"/>
  <c r="K18" i="13"/>
  <c r="AR18" i="14"/>
  <c r="I18" i="14"/>
  <c r="M18" i="15"/>
  <c r="AV18" i="15"/>
  <c r="AS18" i="13"/>
  <c r="BH18" i="13"/>
  <c r="J18" i="13"/>
  <c r="N18" i="12"/>
  <c r="O18" i="12"/>
  <c r="H18" i="14"/>
  <c r="AQ18" i="14"/>
  <c r="AU18" i="15"/>
  <c r="BH18" i="15"/>
  <c r="L18" i="15"/>
  <c r="H18" i="16"/>
  <c r="I18" i="16"/>
  <c r="AR17" i="14"/>
  <c r="I17" i="14"/>
  <c r="K17" i="13"/>
  <c r="AT17" i="13"/>
  <c r="M17" i="15"/>
  <c r="AV17" i="15"/>
  <c r="AS17" i="13"/>
  <c r="J17" i="13"/>
  <c r="BH17" i="13"/>
  <c r="N17" i="12"/>
  <c r="O17" i="12"/>
  <c r="H17" i="14"/>
  <c r="AQ17" i="14"/>
  <c r="AU17" i="15"/>
  <c r="L17" i="15"/>
  <c r="I17" i="16"/>
  <c r="H17" i="16"/>
  <c r="H16" i="16"/>
  <c r="I16" i="16"/>
  <c r="AT16" i="13"/>
  <c r="BH16" i="13"/>
  <c r="K16" i="13"/>
  <c r="M16" i="15"/>
  <c r="AV16" i="15"/>
  <c r="K15" i="13"/>
  <c r="AT15" i="13"/>
  <c r="AR15" i="14"/>
  <c r="I15" i="14"/>
  <c r="M15" i="15"/>
  <c r="AV15" i="15"/>
  <c r="O15" i="12"/>
  <c r="N15" i="12"/>
  <c r="H15" i="16"/>
  <c r="I15" i="16"/>
  <c r="J15" i="13"/>
  <c r="AS15" i="13"/>
  <c r="BH15" i="13"/>
  <c r="AQ15" i="14"/>
  <c r="H15" i="14"/>
  <c r="L15" i="15"/>
  <c r="BH15" i="15"/>
  <c r="AU15" i="15"/>
  <c r="AV14" i="15"/>
  <c r="M14" i="15"/>
  <c r="I14" i="14"/>
  <c r="AR14" i="14"/>
  <c r="AT14" i="13"/>
  <c r="K14" i="13"/>
  <c r="H14" i="16"/>
  <c r="I14" i="16"/>
  <c r="O14" i="12"/>
  <c r="N14" i="12"/>
  <c r="J14" i="13"/>
  <c r="AS14" i="13"/>
  <c r="BH14" i="13"/>
  <c r="AQ14" i="14"/>
  <c r="BH14" i="14"/>
  <c r="H14" i="14"/>
  <c r="L14" i="15"/>
  <c r="BH14" i="15"/>
  <c r="AU14" i="15"/>
  <c r="K13" i="13"/>
  <c r="AT13" i="13"/>
  <c r="AV13" i="15"/>
  <c r="M13" i="15"/>
  <c r="AR13" i="14"/>
  <c r="I13" i="14"/>
  <c r="H13" i="14"/>
  <c r="AQ13" i="14"/>
  <c r="N13" i="12"/>
  <c r="O13" i="12"/>
  <c r="AS13" i="13"/>
  <c r="J13" i="13"/>
  <c r="BH13" i="13"/>
  <c r="I13" i="16"/>
  <c r="H13" i="16"/>
  <c r="L13" i="15"/>
  <c r="AU13" i="15"/>
  <c r="O12" i="12"/>
  <c r="N12" i="12"/>
  <c r="J12" i="13"/>
  <c r="BH12" i="13"/>
  <c r="AS12" i="13"/>
  <c r="AQ12" i="14"/>
  <c r="H12" i="14"/>
  <c r="AU12" i="15"/>
  <c r="L12" i="15"/>
  <c r="I12" i="16"/>
  <c r="H12" i="16"/>
  <c r="AU11" i="15"/>
  <c r="L11" i="15"/>
  <c r="H11" i="14"/>
  <c r="AQ11" i="14"/>
  <c r="O11" i="12"/>
  <c r="N11" i="12"/>
  <c r="J11" i="13"/>
  <c r="AS11" i="13"/>
  <c r="BH11" i="13"/>
  <c r="I11" i="16"/>
  <c r="H11" i="16"/>
  <c r="K10" i="13"/>
  <c r="BZ10" i="13"/>
  <c r="AT10" i="13"/>
  <c r="BX10" i="14"/>
  <c r="I10" i="14"/>
  <c r="AR10" i="14"/>
  <c r="AV10" i="15"/>
  <c r="CB10" i="15"/>
  <c r="M10" i="15"/>
  <c r="AS10" i="13"/>
  <c r="BY10" i="13"/>
  <c r="BH10" i="13"/>
  <c r="J10" i="13"/>
  <c r="AQ10" i="14"/>
  <c r="H10" i="14"/>
  <c r="BW10" i="14"/>
  <c r="BH10" i="14"/>
  <c r="N10" i="12"/>
  <c r="O10" i="12"/>
  <c r="L10" i="15"/>
  <c r="CA10" i="15"/>
  <c r="AU10" i="15"/>
  <c r="H10" i="16"/>
  <c r="I10" i="16"/>
  <c r="AT9" i="13"/>
  <c r="BH9" i="13"/>
  <c r="K9" i="13"/>
  <c r="U9" i="12"/>
  <c r="T9" i="12"/>
  <c r="AV9" i="15"/>
  <c r="M9" i="15"/>
  <c r="H9" i="16"/>
  <c r="I9" i="16"/>
  <c r="I9" i="14"/>
  <c r="BH9" i="14"/>
  <c r="AR9" i="14"/>
  <c r="BH16" i="14" l="1"/>
  <c r="M23" i="16"/>
  <c r="L27" i="16"/>
  <c r="AR16" i="14"/>
  <c r="L22" i="16"/>
  <c r="L29" i="16"/>
  <c r="BH11" i="15"/>
  <c r="BH24" i="15"/>
  <c r="BH29" i="14"/>
  <c r="L19" i="16"/>
  <c r="R22" i="15"/>
  <c r="AC19" i="16"/>
  <c r="L9" i="16"/>
  <c r="M15" i="16"/>
  <c r="Q19" i="15"/>
  <c r="AB19" i="16"/>
  <c r="Q16" i="15"/>
  <c r="BH29" i="13"/>
  <c r="U22" i="12"/>
  <c r="S19" i="15"/>
  <c r="S26" i="12"/>
  <c r="M30" i="16"/>
  <c r="R15" i="12"/>
  <c r="R19" i="14"/>
  <c r="R28" i="12"/>
  <c r="L16" i="16"/>
  <c r="L26" i="16"/>
  <c r="R30" i="12"/>
  <c r="S17" i="12"/>
  <c r="Q19" i="13"/>
  <c r="O22" i="14"/>
  <c r="L10" i="16"/>
  <c r="AB10" i="16" s="1"/>
  <c r="L11" i="16"/>
  <c r="R14" i="12"/>
  <c r="N16" i="13"/>
  <c r="M21" i="16"/>
  <c r="R24" i="12"/>
  <c r="J12" i="14"/>
  <c r="AS12" i="14"/>
  <c r="AT23" i="13"/>
  <c r="K23" i="13"/>
  <c r="Q23" i="13" s="1"/>
  <c r="BZ23" i="13"/>
  <c r="K23" i="14"/>
  <c r="AT23" i="14"/>
  <c r="BZ23" i="14"/>
  <c r="I27" i="15"/>
  <c r="AR27" i="15"/>
  <c r="I28" i="15"/>
  <c r="AR28" i="15"/>
  <c r="R26" i="12"/>
  <c r="AT30" i="14"/>
  <c r="K30" i="14"/>
  <c r="Q30" i="14" s="1"/>
  <c r="AS30" i="14"/>
  <c r="J30" i="14"/>
  <c r="J9" i="14"/>
  <c r="AS9" i="14"/>
  <c r="AQ17" i="15"/>
  <c r="H17" i="15"/>
  <c r="AQ29" i="15"/>
  <c r="H29" i="15"/>
  <c r="U19" i="13"/>
  <c r="H18" i="15"/>
  <c r="AQ18" i="15"/>
  <c r="H10" i="15"/>
  <c r="BW10" i="15"/>
  <c r="AQ10" i="15"/>
  <c r="I22" i="15"/>
  <c r="AR22" i="15"/>
  <c r="AR18" i="15"/>
  <c r="I18" i="15"/>
  <c r="O18" i="15" s="1"/>
  <c r="AT11" i="14"/>
  <c r="K11" i="14"/>
  <c r="AR11" i="15"/>
  <c r="I11" i="15"/>
  <c r="AR10" i="15"/>
  <c r="BX10" i="15"/>
  <c r="I10" i="15"/>
  <c r="AR12" i="15"/>
  <c r="I12" i="15"/>
  <c r="AT13" i="14"/>
  <c r="K13" i="14"/>
  <c r="AS23" i="14"/>
  <c r="BY23" i="14"/>
  <c r="J23" i="14"/>
  <c r="H23" i="15"/>
  <c r="BW23" i="15"/>
  <c r="AQ23" i="15"/>
  <c r="J21" i="14"/>
  <c r="AS21" i="14"/>
  <c r="I9" i="15"/>
  <c r="AR9" i="15"/>
  <c r="I21" i="15"/>
  <c r="AR21" i="15"/>
  <c r="N16" i="12"/>
  <c r="T16" i="12" s="1"/>
  <c r="BH12" i="14"/>
  <c r="BH17" i="15"/>
  <c r="BH27" i="15"/>
  <c r="BH28" i="15"/>
  <c r="H12" i="15"/>
  <c r="N12" i="15" s="1"/>
  <c r="AQ12" i="15"/>
  <c r="AS13" i="14"/>
  <c r="J13" i="14"/>
  <c r="P13" i="14" s="1"/>
  <c r="J22" i="14"/>
  <c r="AS22" i="14"/>
  <c r="BX23" i="15"/>
  <c r="I23" i="15"/>
  <c r="O23" i="15" s="1"/>
  <c r="AR23" i="15"/>
  <c r="M26" i="16"/>
  <c r="AC26" i="16" s="1"/>
  <c r="K28" i="14"/>
  <c r="AT28" i="14"/>
  <c r="H23" i="16"/>
  <c r="S30" i="12"/>
  <c r="O19" i="16"/>
  <c r="P19" i="16" s="1"/>
  <c r="L30" i="16"/>
  <c r="H9" i="15"/>
  <c r="N9" i="15" s="1"/>
  <c r="AQ9" i="15"/>
  <c r="K15" i="14"/>
  <c r="AT15" i="14"/>
  <c r="I17" i="15"/>
  <c r="O17" i="15" s="1"/>
  <c r="AR17" i="15"/>
  <c r="M17" i="16"/>
  <c r="J29" i="14"/>
  <c r="AS29" i="14"/>
  <c r="R19" i="15"/>
  <c r="AR19" i="15"/>
  <c r="I19" i="15"/>
  <c r="O19" i="15" s="1"/>
  <c r="N22" i="14"/>
  <c r="S16" i="14"/>
  <c r="AT14" i="14"/>
  <c r="K14" i="14"/>
  <c r="J15" i="14"/>
  <c r="P15" i="14" s="1"/>
  <c r="AS15" i="14"/>
  <c r="AA19" i="16"/>
  <c r="R27" i="13"/>
  <c r="I29" i="15"/>
  <c r="AR29" i="15"/>
  <c r="M18" i="16"/>
  <c r="K20" i="14"/>
  <c r="AT20" i="14"/>
  <c r="AR20" i="15"/>
  <c r="I20" i="15"/>
  <c r="BH19" i="15"/>
  <c r="S10" i="12"/>
  <c r="M10" i="16"/>
  <c r="AR25" i="15"/>
  <c r="I25" i="15"/>
  <c r="BX25" i="15"/>
  <c r="AQ11" i="15"/>
  <c r="H11" i="15"/>
  <c r="N11" i="15" s="1"/>
  <c r="K12" i="14"/>
  <c r="Q12" i="14" s="1"/>
  <c r="AT12" i="14"/>
  <c r="S13" i="12"/>
  <c r="S22" i="15"/>
  <c r="R23" i="12"/>
  <c r="L23" i="16"/>
  <c r="AC23" i="16" s="1"/>
  <c r="K24" i="14"/>
  <c r="AT24" i="14"/>
  <c r="M28" i="16"/>
  <c r="L28" i="16"/>
  <c r="AC28" i="16" s="1"/>
  <c r="O19" i="13"/>
  <c r="H21" i="15"/>
  <c r="AQ21" i="15"/>
  <c r="S9" i="12"/>
  <c r="S16" i="12"/>
  <c r="K16" i="14"/>
  <c r="AT16" i="14"/>
  <c r="O19" i="14"/>
  <c r="AQ24" i="15"/>
  <c r="H24" i="15"/>
  <c r="R26" i="13"/>
  <c r="AC30" i="16"/>
  <c r="AC10" i="16"/>
  <c r="BH23" i="14"/>
  <c r="S25" i="13"/>
  <c r="AQ13" i="15"/>
  <c r="H13" i="15"/>
  <c r="AS16" i="14"/>
  <c r="J16" i="14"/>
  <c r="P19" i="13"/>
  <c r="AR23" i="14"/>
  <c r="I23" i="14"/>
  <c r="BX23" i="14"/>
  <c r="I26" i="15"/>
  <c r="AR26" i="15"/>
  <c r="S28" i="12"/>
  <c r="AS26" i="14"/>
  <c r="J26" i="14"/>
  <c r="AR30" i="15"/>
  <c r="I30" i="15"/>
  <c r="AQ30" i="15"/>
  <c r="H30" i="15"/>
  <c r="O16" i="13"/>
  <c r="J17" i="14"/>
  <c r="AS17" i="14"/>
  <c r="I15" i="15"/>
  <c r="AR15" i="15"/>
  <c r="S24" i="13"/>
  <c r="P23" i="13"/>
  <c r="BY25" i="14"/>
  <c r="AS25" i="14"/>
  <c r="J25" i="14"/>
  <c r="L15" i="16"/>
  <c r="AC15" i="16" s="1"/>
  <c r="K22" i="14"/>
  <c r="AT22" i="14"/>
  <c r="S22" i="12"/>
  <c r="S29" i="12"/>
  <c r="S18" i="12"/>
  <c r="U16" i="12"/>
  <c r="M11" i="16"/>
  <c r="AB11" i="16" s="1"/>
  <c r="BZ10" i="14"/>
  <c r="K10" i="14"/>
  <c r="AT10" i="14"/>
  <c r="S25" i="12"/>
  <c r="R11" i="12"/>
  <c r="M12" i="16"/>
  <c r="AB12" i="16" s="1"/>
  <c r="M13" i="16"/>
  <c r="AB13" i="16" s="1"/>
  <c r="AR13" i="15"/>
  <c r="I13" i="15"/>
  <c r="AS14" i="14"/>
  <c r="J14" i="14"/>
  <c r="P14" i="14" s="1"/>
  <c r="P19" i="15"/>
  <c r="S24" i="12"/>
  <c r="AQ28" i="15"/>
  <c r="H28" i="15"/>
  <c r="N28" i="15" s="1"/>
  <c r="AU20" i="13"/>
  <c r="L20" i="13"/>
  <c r="R20" i="13" s="1"/>
  <c r="R30" i="13"/>
  <c r="K9" i="14"/>
  <c r="AT9" i="14"/>
  <c r="AR16" i="15"/>
  <c r="I16" i="15"/>
  <c r="AT21" i="14"/>
  <c r="K21" i="14"/>
  <c r="N23" i="12"/>
  <c r="U23" i="12" s="1"/>
  <c r="R27" i="12"/>
  <c r="BH30" i="14"/>
  <c r="AC18" i="16"/>
  <c r="BH22" i="15"/>
  <c r="R10" i="13"/>
  <c r="AQ16" i="15"/>
  <c r="H16" i="15"/>
  <c r="AQ22" i="15"/>
  <c r="H22" i="15"/>
  <c r="CB23" i="15"/>
  <c r="M23" i="15"/>
  <c r="S23" i="15" s="1"/>
  <c r="AV23" i="15"/>
  <c r="AT26" i="14"/>
  <c r="K26" i="14"/>
  <c r="AT27" i="14"/>
  <c r="K27" i="14"/>
  <c r="S19" i="14"/>
  <c r="AQ26" i="15"/>
  <c r="H26" i="15"/>
  <c r="S13" i="13"/>
  <c r="R17" i="12"/>
  <c r="S15" i="12"/>
  <c r="AT17" i="14"/>
  <c r="K17" i="14"/>
  <c r="Q22" i="13"/>
  <c r="P22" i="13"/>
  <c r="S28" i="13"/>
  <c r="J18" i="14"/>
  <c r="AS18" i="14"/>
  <c r="K19" i="14"/>
  <c r="AT19" i="14"/>
  <c r="BH19" i="14"/>
  <c r="S11" i="13"/>
  <c r="J10" i="14"/>
  <c r="AS10" i="14"/>
  <c r="BY10" i="14"/>
  <c r="S14" i="12"/>
  <c r="I14" i="15"/>
  <c r="AR14" i="15"/>
  <c r="AQ15" i="15"/>
  <c r="H15" i="15"/>
  <c r="N15" i="15" s="1"/>
  <c r="M22" i="16"/>
  <c r="AB22" i="16" s="1"/>
  <c r="M29" i="16"/>
  <c r="AC29" i="16" s="1"/>
  <c r="AT29" i="14"/>
  <c r="K29" i="14"/>
  <c r="Q29" i="14" s="1"/>
  <c r="K18" i="14"/>
  <c r="Q18" i="14" s="1"/>
  <c r="AT18" i="14"/>
  <c r="N19" i="15"/>
  <c r="M25" i="16"/>
  <c r="AC25" i="16" s="1"/>
  <c r="BZ25" i="14"/>
  <c r="K25" i="14"/>
  <c r="Q25" i="14" s="1"/>
  <c r="AT25" i="14"/>
  <c r="AS11" i="14"/>
  <c r="J11" i="14"/>
  <c r="P11" i="14" s="1"/>
  <c r="S12" i="12"/>
  <c r="L14" i="16"/>
  <c r="AC14" i="16" s="1"/>
  <c r="H14" i="15"/>
  <c r="AQ14" i="15"/>
  <c r="S22" i="13"/>
  <c r="AR24" i="15"/>
  <c r="I24" i="15"/>
  <c r="O24" i="15" s="1"/>
  <c r="J28" i="14"/>
  <c r="P28" i="14" s="1"/>
  <c r="AS28" i="14"/>
  <c r="F20" i="16"/>
  <c r="L20" i="16" s="1"/>
  <c r="D20" i="14"/>
  <c r="AU20" i="12"/>
  <c r="B20" i="15"/>
  <c r="L20" i="12"/>
  <c r="BH20" i="12"/>
  <c r="L21" i="16"/>
  <c r="AC21" i="16" s="1"/>
  <c r="S16" i="13"/>
  <c r="M9" i="16"/>
  <c r="AC9" i="16" s="1"/>
  <c r="P16" i="15"/>
  <c r="M16" i="16"/>
  <c r="AC16" i="16" s="1"/>
  <c r="S21" i="12"/>
  <c r="J24" i="14"/>
  <c r="AS24" i="14"/>
  <c r="L24" i="16"/>
  <c r="AC24" i="16" s="1"/>
  <c r="P27" i="14"/>
  <c r="Q27" i="14"/>
  <c r="AC17" i="16"/>
  <c r="O25" i="15"/>
  <c r="N25" i="15"/>
  <c r="S30" i="14"/>
  <c r="R30" i="14"/>
  <c r="P30" i="15"/>
  <c r="Q30" i="15"/>
  <c r="O30" i="13"/>
  <c r="N30" i="13"/>
  <c r="Q29" i="15"/>
  <c r="P29" i="15"/>
  <c r="N29" i="13"/>
  <c r="O29" i="13"/>
  <c r="R29" i="14"/>
  <c r="S29" i="14"/>
  <c r="R28" i="14"/>
  <c r="S28" i="14"/>
  <c r="O28" i="13"/>
  <c r="N28" i="13"/>
  <c r="P28" i="15"/>
  <c r="Q28" i="15"/>
  <c r="P27" i="15"/>
  <c r="Q27" i="15"/>
  <c r="S27" i="14"/>
  <c r="R27" i="14"/>
  <c r="AC27" i="16"/>
  <c r="O27" i="13"/>
  <c r="N27" i="13"/>
  <c r="Q26" i="15"/>
  <c r="P26" i="15"/>
  <c r="O26" i="13"/>
  <c r="N26" i="13"/>
  <c r="S26" i="14"/>
  <c r="R26" i="14"/>
  <c r="S25" i="14"/>
  <c r="R25" i="14"/>
  <c r="O25" i="13"/>
  <c r="N25" i="13"/>
  <c r="P25" i="15"/>
  <c r="Q25" i="15"/>
  <c r="Q24" i="15"/>
  <c r="P24" i="15"/>
  <c r="R24" i="14"/>
  <c r="S24" i="14"/>
  <c r="O24" i="13"/>
  <c r="N24" i="13"/>
  <c r="AA23" i="16"/>
  <c r="N23" i="13"/>
  <c r="O23" i="13"/>
  <c r="S23" i="14"/>
  <c r="R23" i="14"/>
  <c r="P23" i="15"/>
  <c r="Q23" i="15"/>
  <c r="T23" i="12"/>
  <c r="AA22" i="16"/>
  <c r="N22" i="16"/>
  <c r="R22" i="14"/>
  <c r="S22" i="14"/>
  <c r="T22" i="12"/>
  <c r="Q22" i="15"/>
  <c r="P22" i="15"/>
  <c r="N22" i="13"/>
  <c r="O22" i="13"/>
  <c r="Q21" i="15"/>
  <c r="P21" i="15"/>
  <c r="R21" i="14"/>
  <c r="S21" i="14"/>
  <c r="O21" i="13"/>
  <c r="N21" i="13"/>
  <c r="P20" i="15"/>
  <c r="Q20" i="15"/>
  <c r="O20" i="13"/>
  <c r="N20" i="13"/>
  <c r="S20" i="14"/>
  <c r="R20" i="14"/>
  <c r="S18" i="14"/>
  <c r="R18" i="14"/>
  <c r="O18" i="13"/>
  <c r="N18" i="13"/>
  <c r="P18" i="15"/>
  <c r="Q18" i="15"/>
  <c r="S17" i="14"/>
  <c r="R17" i="14"/>
  <c r="P17" i="15"/>
  <c r="Q17" i="15"/>
  <c r="N17" i="13"/>
  <c r="O17" i="13"/>
  <c r="S15" i="14"/>
  <c r="R15" i="14"/>
  <c r="P15" i="15"/>
  <c r="Q15" i="15"/>
  <c r="O15" i="13"/>
  <c r="N15" i="13"/>
  <c r="O14" i="13"/>
  <c r="N14" i="13"/>
  <c r="R14" i="14"/>
  <c r="S14" i="14"/>
  <c r="Q14" i="15"/>
  <c r="P14" i="15"/>
  <c r="P13" i="15"/>
  <c r="Q13" i="15"/>
  <c r="S13" i="14"/>
  <c r="R13" i="14"/>
  <c r="AC13" i="16"/>
  <c r="O13" i="13"/>
  <c r="N13" i="13"/>
  <c r="S12" i="14"/>
  <c r="R12" i="14"/>
  <c r="O12" i="13"/>
  <c r="N12" i="13"/>
  <c r="Q12" i="15"/>
  <c r="P12" i="15"/>
  <c r="P11" i="15"/>
  <c r="Q11" i="15"/>
  <c r="O11" i="13"/>
  <c r="N11" i="13"/>
  <c r="S11" i="14"/>
  <c r="R11" i="14"/>
  <c r="Q10" i="15"/>
  <c r="P10" i="15"/>
  <c r="R10" i="14"/>
  <c r="S10" i="14"/>
  <c r="O10" i="13"/>
  <c r="N10" i="13"/>
  <c r="S9" i="14"/>
  <c r="R9" i="14"/>
  <c r="N9" i="13"/>
  <c r="O9" i="13"/>
  <c r="Q9" i="15"/>
  <c r="P9" i="15"/>
  <c r="S30" i="15"/>
  <c r="R30" i="15"/>
  <c r="U30" i="12"/>
  <c r="T30" i="12"/>
  <c r="P30" i="13"/>
  <c r="Q30" i="13"/>
  <c r="N30" i="16"/>
  <c r="AB30" i="16"/>
  <c r="O30" i="16"/>
  <c r="AA30" i="16"/>
  <c r="O30" i="14"/>
  <c r="N30" i="14"/>
  <c r="O29" i="16"/>
  <c r="N29" i="16"/>
  <c r="AA29" i="16"/>
  <c r="R29" i="15"/>
  <c r="S29" i="15"/>
  <c r="O29" i="14"/>
  <c r="N29" i="14"/>
  <c r="P29" i="13"/>
  <c r="Q29" i="13"/>
  <c r="U29" i="12"/>
  <c r="T29" i="12"/>
  <c r="T28" i="12"/>
  <c r="U28" i="12"/>
  <c r="S28" i="15"/>
  <c r="R28" i="15"/>
  <c r="AA28" i="16"/>
  <c r="O28" i="16"/>
  <c r="N28" i="16"/>
  <c r="Q28" i="13"/>
  <c r="U28" i="13" s="1"/>
  <c r="P28" i="13"/>
  <c r="O28" i="14"/>
  <c r="N28" i="14"/>
  <c r="S27" i="15"/>
  <c r="R27" i="15"/>
  <c r="N27" i="14"/>
  <c r="O27" i="14"/>
  <c r="Q27" i="13"/>
  <c r="U27" i="13" s="1"/>
  <c r="P27" i="13"/>
  <c r="N27" i="16"/>
  <c r="O27" i="16"/>
  <c r="AB27" i="16"/>
  <c r="AA27" i="16"/>
  <c r="T27" i="12"/>
  <c r="U27" i="12"/>
  <c r="O26" i="16"/>
  <c r="AA26" i="16"/>
  <c r="N26" i="16"/>
  <c r="S26" i="15"/>
  <c r="R26" i="15"/>
  <c r="Q26" i="13"/>
  <c r="U26" i="13" s="1"/>
  <c r="P26" i="13"/>
  <c r="U26" i="12"/>
  <c r="T26" i="12"/>
  <c r="N26" i="14"/>
  <c r="O26" i="14"/>
  <c r="AA25" i="16"/>
  <c r="AB25" i="16"/>
  <c r="N25" i="16"/>
  <c r="O25" i="16"/>
  <c r="O25" i="14"/>
  <c r="N25" i="14"/>
  <c r="S25" i="15"/>
  <c r="R25" i="15"/>
  <c r="P25" i="13"/>
  <c r="Q25" i="13"/>
  <c r="U25" i="12"/>
  <c r="T25" i="12"/>
  <c r="S24" i="15"/>
  <c r="R24" i="15"/>
  <c r="O24" i="16"/>
  <c r="AA24" i="16"/>
  <c r="N24" i="16"/>
  <c r="O24" i="14"/>
  <c r="N24" i="14"/>
  <c r="Q24" i="13"/>
  <c r="U24" i="13" s="1"/>
  <c r="P24" i="13"/>
  <c r="U24" i="12"/>
  <c r="T24" i="12"/>
  <c r="S21" i="15"/>
  <c r="R21" i="15"/>
  <c r="T21" i="12"/>
  <c r="U21" i="12"/>
  <c r="N21" i="16"/>
  <c r="AA21" i="16"/>
  <c r="O21" i="16"/>
  <c r="P21" i="13"/>
  <c r="Q21" i="13"/>
  <c r="O21" i="14"/>
  <c r="N21" i="14"/>
  <c r="AA20" i="16"/>
  <c r="N20" i="16"/>
  <c r="O20" i="16"/>
  <c r="T20" i="12"/>
  <c r="U20" i="12"/>
  <c r="S20" i="15"/>
  <c r="R20" i="15"/>
  <c r="Q20" i="13"/>
  <c r="P20" i="13"/>
  <c r="O20" i="14"/>
  <c r="N20" i="14"/>
  <c r="BD19" i="12"/>
  <c r="BI19" i="12"/>
  <c r="BK19" i="12" s="1"/>
  <c r="BJ19" i="12"/>
  <c r="AB19" i="12"/>
  <c r="Z19" i="12"/>
  <c r="S18" i="15"/>
  <c r="R18" i="15"/>
  <c r="O18" i="14"/>
  <c r="N18" i="14"/>
  <c r="P18" i="13"/>
  <c r="Q18" i="13"/>
  <c r="O18" i="16"/>
  <c r="AA18" i="16"/>
  <c r="N18" i="16"/>
  <c r="AB18" i="16"/>
  <c r="U18" i="12"/>
  <c r="T18" i="12"/>
  <c r="N17" i="16"/>
  <c r="O17" i="16"/>
  <c r="AB17" i="16"/>
  <c r="AA17" i="16"/>
  <c r="S17" i="15"/>
  <c r="R17" i="15"/>
  <c r="O17" i="14"/>
  <c r="N17" i="14"/>
  <c r="T17" i="12"/>
  <c r="U17" i="12"/>
  <c r="P17" i="13"/>
  <c r="Q17" i="13"/>
  <c r="S16" i="15"/>
  <c r="R16" i="15"/>
  <c r="P16" i="13"/>
  <c r="Q16" i="13"/>
  <c r="AB16" i="16"/>
  <c r="O16" i="16"/>
  <c r="N16" i="16"/>
  <c r="AA16" i="16"/>
  <c r="N16" i="14"/>
  <c r="O16" i="14"/>
  <c r="S15" i="15"/>
  <c r="R15" i="15"/>
  <c r="P15" i="13"/>
  <c r="Q15" i="13"/>
  <c r="AA15" i="16"/>
  <c r="AB15" i="16"/>
  <c r="O15" i="16"/>
  <c r="N15" i="16"/>
  <c r="N15" i="14"/>
  <c r="O15" i="14"/>
  <c r="U15" i="12"/>
  <c r="T15" i="12"/>
  <c r="S14" i="15"/>
  <c r="R14" i="15"/>
  <c r="P14" i="13"/>
  <c r="Q14" i="13"/>
  <c r="AA14" i="16"/>
  <c r="AB14" i="16"/>
  <c r="O14" i="16"/>
  <c r="N14" i="16"/>
  <c r="O14" i="14"/>
  <c r="N14" i="14"/>
  <c r="T14" i="12"/>
  <c r="U14" i="12"/>
  <c r="R13" i="15"/>
  <c r="S13" i="15"/>
  <c r="Q13" i="13"/>
  <c r="P13" i="13"/>
  <c r="N13" i="16"/>
  <c r="O13" i="16"/>
  <c r="AA13" i="16"/>
  <c r="U13" i="12"/>
  <c r="T13" i="12"/>
  <c r="N13" i="14"/>
  <c r="O13" i="14"/>
  <c r="N12" i="16"/>
  <c r="O12" i="16"/>
  <c r="AA12" i="16"/>
  <c r="S12" i="15"/>
  <c r="R12" i="15"/>
  <c r="Q12" i="13"/>
  <c r="P12" i="13"/>
  <c r="O12" i="14"/>
  <c r="N12" i="14"/>
  <c r="U12" i="12"/>
  <c r="T12" i="12"/>
  <c r="AA11" i="16"/>
  <c r="O11" i="16"/>
  <c r="N11" i="16"/>
  <c r="Q11" i="13"/>
  <c r="U11" i="13" s="1"/>
  <c r="P11" i="13"/>
  <c r="S11" i="15"/>
  <c r="R11" i="15"/>
  <c r="U11" i="12"/>
  <c r="T11" i="12"/>
  <c r="O11" i="14"/>
  <c r="N11" i="14"/>
  <c r="N10" i="16"/>
  <c r="AA10" i="16"/>
  <c r="O10" i="16"/>
  <c r="S10" i="15"/>
  <c r="R10" i="15"/>
  <c r="U10" i="12"/>
  <c r="T10" i="12"/>
  <c r="N10" i="14"/>
  <c r="O10" i="14"/>
  <c r="Q10" i="13"/>
  <c r="P10" i="13"/>
  <c r="O9" i="14"/>
  <c r="N9" i="14"/>
  <c r="N9" i="16"/>
  <c r="AA9" i="16"/>
  <c r="O9" i="16"/>
  <c r="AB9" i="16"/>
  <c r="V9" i="12"/>
  <c r="W9" i="12"/>
  <c r="Y9" i="12" s="1"/>
  <c r="AC9" i="12" s="1"/>
  <c r="Q9" i="13"/>
  <c r="U9" i="13" s="1"/>
  <c r="P9" i="13"/>
  <c r="S9" i="15"/>
  <c r="R9" i="15"/>
  <c r="U20" i="13" l="1"/>
  <c r="AC22" i="16"/>
  <c r="U28" i="15"/>
  <c r="O29" i="15"/>
  <c r="AB26" i="16"/>
  <c r="U10" i="13"/>
  <c r="P24" i="14"/>
  <c r="T24" i="14" s="1"/>
  <c r="T9" i="13"/>
  <c r="U15" i="13"/>
  <c r="U21" i="13"/>
  <c r="AB21" i="16"/>
  <c r="AB24" i="16"/>
  <c r="U25" i="13"/>
  <c r="Q21" i="14"/>
  <c r="N21" i="15"/>
  <c r="U21" i="15" s="1"/>
  <c r="O10" i="15"/>
  <c r="U12" i="13"/>
  <c r="U13" i="13"/>
  <c r="U30" i="13"/>
  <c r="AC12" i="16"/>
  <c r="P16" i="14"/>
  <c r="U16" i="13"/>
  <c r="U17" i="13"/>
  <c r="N26" i="15"/>
  <c r="U26" i="15" s="1"/>
  <c r="N16" i="15"/>
  <c r="O30" i="15"/>
  <c r="AB23" i="16"/>
  <c r="P10" i="14"/>
  <c r="Q26" i="14"/>
  <c r="V22" i="12"/>
  <c r="AC11" i="16"/>
  <c r="AG11" i="16" s="1"/>
  <c r="Q9" i="14"/>
  <c r="U14" i="13"/>
  <c r="U18" i="13"/>
  <c r="U29" i="13"/>
  <c r="AB29" i="16"/>
  <c r="N14" i="15"/>
  <c r="N22" i="15"/>
  <c r="Q22" i="14"/>
  <c r="U22" i="14" s="1"/>
  <c r="W22" i="14" s="1"/>
  <c r="O23" i="16"/>
  <c r="AB28" i="16"/>
  <c r="N23" i="16"/>
  <c r="U25" i="15"/>
  <c r="U19" i="15"/>
  <c r="Q17" i="14"/>
  <c r="O13" i="15"/>
  <c r="P23" i="14"/>
  <c r="AS20" i="14"/>
  <c r="J20" i="14"/>
  <c r="P20" i="14" s="1"/>
  <c r="T20" i="14" s="1"/>
  <c r="BH20" i="14"/>
  <c r="O14" i="15"/>
  <c r="Q19" i="14"/>
  <c r="U19" i="14" s="1"/>
  <c r="P19" i="14"/>
  <c r="T19" i="15"/>
  <c r="P25" i="14"/>
  <c r="T25" i="14" s="1"/>
  <c r="N24" i="15"/>
  <c r="U24" i="15" s="1"/>
  <c r="Q16" i="14"/>
  <c r="U16" i="14" s="1"/>
  <c r="Q14" i="14"/>
  <c r="P29" i="14"/>
  <c r="T29" i="14" s="1"/>
  <c r="S20" i="13"/>
  <c r="P22" i="14"/>
  <c r="T22" i="14" s="1"/>
  <c r="O21" i="15"/>
  <c r="P21" i="14"/>
  <c r="Q11" i="14"/>
  <c r="N10" i="15"/>
  <c r="U10" i="15" s="1"/>
  <c r="N29" i="15"/>
  <c r="O28" i="15"/>
  <c r="V23" i="12"/>
  <c r="S20" i="12"/>
  <c r="R20" i="12"/>
  <c r="P17" i="14"/>
  <c r="T17" i="14" s="1"/>
  <c r="AE19" i="16"/>
  <c r="AG19" i="16"/>
  <c r="Q15" i="14"/>
  <c r="O12" i="15"/>
  <c r="U12" i="15" s="1"/>
  <c r="O22" i="15"/>
  <c r="U22" i="15" s="1"/>
  <c r="P9" i="14"/>
  <c r="Q23" i="14"/>
  <c r="AQ20" i="15"/>
  <c r="H20" i="15"/>
  <c r="N20" i="15" s="1"/>
  <c r="U20" i="15" s="1"/>
  <c r="BH20" i="15"/>
  <c r="M20" i="16"/>
  <c r="P18" i="14"/>
  <c r="T18" i="14" s="1"/>
  <c r="O16" i="15"/>
  <c r="Q10" i="14"/>
  <c r="O23" i="14"/>
  <c r="N23" i="14"/>
  <c r="T19" i="13"/>
  <c r="V19" i="13" s="1"/>
  <c r="Q24" i="14"/>
  <c r="Q28" i="14"/>
  <c r="V16" i="12"/>
  <c r="W16" i="12"/>
  <c r="O9" i="15"/>
  <c r="U9" i="15" s="1"/>
  <c r="O11" i="15"/>
  <c r="U11" i="15" s="1"/>
  <c r="N18" i="15"/>
  <c r="U18" i="15" s="1"/>
  <c r="N17" i="15"/>
  <c r="U17" i="15" s="1"/>
  <c r="P30" i="14"/>
  <c r="O27" i="15"/>
  <c r="N27" i="15"/>
  <c r="U27" i="15" s="1"/>
  <c r="P12" i="14"/>
  <c r="T12" i="14" s="1"/>
  <c r="Q19" i="16"/>
  <c r="O15" i="15"/>
  <c r="U15" i="15" s="1"/>
  <c r="N30" i="15"/>
  <c r="U30" i="15" s="1"/>
  <c r="P26" i="14"/>
  <c r="T26" i="14" s="1"/>
  <c r="O26" i="15"/>
  <c r="T26" i="15" s="1"/>
  <c r="N13" i="15"/>
  <c r="U13" i="15" s="1"/>
  <c r="R23" i="15"/>
  <c r="N23" i="15"/>
  <c r="U23" i="15" s="1"/>
  <c r="Q13" i="14"/>
  <c r="T29" i="15"/>
  <c r="T28" i="15"/>
  <c r="V28" i="15" s="1"/>
  <c r="T25" i="15"/>
  <c r="T24" i="15"/>
  <c r="AE23" i="16"/>
  <c r="AG23" i="16"/>
  <c r="U23" i="13"/>
  <c r="T23" i="13"/>
  <c r="Q23" i="16"/>
  <c r="P23" i="16"/>
  <c r="W23" i="12"/>
  <c r="X23" i="12" s="1"/>
  <c r="T22" i="15"/>
  <c r="P22" i="16"/>
  <c r="Q22" i="16"/>
  <c r="AG22" i="16"/>
  <c r="AE22" i="16"/>
  <c r="T22" i="13"/>
  <c r="U22" i="13"/>
  <c r="W22" i="12"/>
  <c r="X22" i="12"/>
  <c r="T17" i="15"/>
  <c r="V17" i="15" s="1"/>
  <c r="T15" i="15"/>
  <c r="T13" i="15"/>
  <c r="T11" i="15"/>
  <c r="V11" i="15" s="1"/>
  <c r="T10" i="15"/>
  <c r="X9" i="12"/>
  <c r="T9" i="15"/>
  <c r="P30" i="16"/>
  <c r="Q30" i="16"/>
  <c r="T30" i="13"/>
  <c r="T30" i="14"/>
  <c r="U30" i="14"/>
  <c r="AE30" i="16"/>
  <c r="AG30" i="16"/>
  <c r="W30" i="12"/>
  <c r="V30" i="12"/>
  <c r="X30" i="12" s="1"/>
  <c r="Y30" i="12"/>
  <c r="AC30" i="12" s="1"/>
  <c r="T29" i="13"/>
  <c r="P29" i="16"/>
  <c r="Q29" i="16"/>
  <c r="W29" i="12"/>
  <c r="Y29" i="12" s="1"/>
  <c r="AC29" i="12" s="1"/>
  <c r="V29" i="12"/>
  <c r="U29" i="14"/>
  <c r="AE29" i="16"/>
  <c r="AG29" i="16"/>
  <c r="V28" i="12"/>
  <c r="W28" i="12"/>
  <c r="Y28" i="12" s="1"/>
  <c r="AC28" i="12" s="1"/>
  <c r="T28" i="14"/>
  <c r="U28" i="14"/>
  <c r="T28" i="13"/>
  <c r="V28" i="13" s="1"/>
  <c r="Q28" i="16"/>
  <c r="P28" i="16"/>
  <c r="AE28" i="16"/>
  <c r="AG28" i="16"/>
  <c r="V27" i="12"/>
  <c r="X27" i="12" s="1"/>
  <c r="W27" i="12"/>
  <c r="Y27" i="12" s="1"/>
  <c r="AC27" i="12" s="1"/>
  <c r="Q27" i="16"/>
  <c r="P27" i="16"/>
  <c r="T27" i="14"/>
  <c r="U27" i="14"/>
  <c r="AE27" i="16"/>
  <c r="AG27" i="16"/>
  <c r="T27" i="13"/>
  <c r="V27" i="13" s="1"/>
  <c r="U26" i="14"/>
  <c r="AG26" i="16"/>
  <c r="AE26" i="16"/>
  <c r="V26" i="12"/>
  <c r="W26" i="12"/>
  <c r="Y26" i="12" s="1"/>
  <c r="AC26" i="12" s="1"/>
  <c r="T26" i="13"/>
  <c r="P26" i="16"/>
  <c r="Q26" i="16"/>
  <c r="T25" i="13"/>
  <c r="V25" i="13" s="1"/>
  <c r="Q25" i="16"/>
  <c r="P25" i="16"/>
  <c r="AE25" i="16"/>
  <c r="AG25" i="16"/>
  <c r="W25" i="12"/>
  <c r="Y25" i="12" s="1"/>
  <c r="AC25" i="12" s="1"/>
  <c r="V25" i="12"/>
  <c r="U25" i="14"/>
  <c r="P24" i="16"/>
  <c r="Q24" i="16"/>
  <c r="V24" i="12"/>
  <c r="W24" i="12"/>
  <c r="T24" i="13"/>
  <c r="V24" i="13" s="1"/>
  <c r="U24" i="14"/>
  <c r="AE24" i="16"/>
  <c r="AG24" i="16"/>
  <c r="T21" i="13"/>
  <c r="V21" i="13" s="1"/>
  <c r="AE21" i="16"/>
  <c r="AG21" i="16"/>
  <c r="Q21" i="16"/>
  <c r="P21" i="16"/>
  <c r="V21" i="12"/>
  <c r="W21" i="12"/>
  <c r="T21" i="14"/>
  <c r="U21" i="14"/>
  <c r="V20" i="12"/>
  <c r="W20" i="12"/>
  <c r="Y20" i="12" s="1"/>
  <c r="AC20" i="12" s="1"/>
  <c r="P20" i="16"/>
  <c r="Q20" i="16"/>
  <c r="T20" i="13"/>
  <c r="V20" i="13" s="1"/>
  <c r="AE20" i="16"/>
  <c r="BM19" i="12"/>
  <c r="BN19" i="12"/>
  <c r="BL19" i="12"/>
  <c r="AA19" i="12"/>
  <c r="Q18" i="16"/>
  <c r="P18" i="16"/>
  <c r="T18" i="13"/>
  <c r="V18" i="13" s="1"/>
  <c r="V18" i="12"/>
  <c r="W18" i="12"/>
  <c r="Y18" i="12" s="1"/>
  <c r="AC18" i="12" s="1"/>
  <c r="AG18" i="16"/>
  <c r="AE18" i="16"/>
  <c r="U18" i="14"/>
  <c r="T17" i="13"/>
  <c r="V17" i="12"/>
  <c r="W17" i="12"/>
  <c r="Y17" i="12" s="1"/>
  <c r="AC17" i="12" s="1"/>
  <c r="P17" i="16"/>
  <c r="Q17" i="16"/>
  <c r="U17" i="14"/>
  <c r="AE17" i="16"/>
  <c r="AG17" i="16"/>
  <c r="T16" i="14"/>
  <c r="Q16" i="16"/>
  <c r="P16" i="16"/>
  <c r="T16" i="13"/>
  <c r="V16" i="13" s="1"/>
  <c r="AE16" i="16"/>
  <c r="AG16" i="16"/>
  <c r="T15" i="14"/>
  <c r="U15" i="14"/>
  <c r="AG15" i="16"/>
  <c r="AE15" i="16"/>
  <c r="T15" i="13"/>
  <c r="V15" i="13" s="1"/>
  <c r="W15" i="12"/>
  <c r="Y15" i="12" s="1"/>
  <c r="AC15" i="12" s="1"/>
  <c r="V15" i="12"/>
  <c r="Q15" i="16"/>
  <c r="P15" i="16"/>
  <c r="W14" i="12"/>
  <c r="Y14" i="12" s="1"/>
  <c r="AC14" i="12" s="1"/>
  <c r="V14" i="12"/>
  <c r="X14" i="12" s="1"/>
  <c r="AG14" i="16"/>
  <c r="AE14" i="16"/>
  <c r="T14" i="13"/>
  <c r="U14" i="14"/>
  <c r="T14" i="14"/>
  <c r="Q14" i="16"/>
  <c r="P14" i="16"/>
  <c r="U13" i="14"/>
  <c r="T13" i="14"/>
  <c r="V13" i="12"/>
  <c r="W13" i="12"/>
  <c r="AG13" i="16"/>
  <c r="AE13" i="16"/>
  <c r="P13" i="16"/>
  <c r="Q13" i="16"/>
  <c r="T13" i="13"/>
  <c r="V13" i="13" s="1"/>
  <c r="W12" i="12"/>
  <c r="Y12" i="12" s="1"/>
  <c r="AC12" i="12" s="1"/>
  <c r="V12" i="12"/>
  <c r="Q12" i="16"/>
  <c r="P12" i="16"/>
  <c r="U12" i="14"/>
  <c r="T12" i="13"/>
  <c r="V12" i="13" s="1"/>
  <c r="AE12" i="16"/>
  <c r="AG12" i="16"/>
  <c r="AE11" i="16"/>
  <c r="U11" i="14"/>
  <c r="T11" i="14"/>
  <c r="V11" i="12"/>
  <c r="W11" i="12"/>
  <c r="X11" i="12" s="1"/>
  <c r="Y11" i="12"/>
  <c r="AC11" i="12" s="1"/>
  <c r="T11" i="13"/>
  <c r="V11" i="13" s="1"/>
  <c r="Q11" i="16"/>
  <c r="P11" i="16"/>
  <c r="U10" i="14"/>
  <c r="T10" i="14"/>
  <c r="AG10" i="16"/>
  <c r="AE10" i="16"/>
  <c r="Q10" i="16"/>
  <c r="P10" i="16"/>
  <c r="T10" i="13"/>
  <c r="V10" i="13" s="1"/>
  <c r="W10" i="12"/>
  <c r="Y10" i="12" s="1"/>
  <c r="AC10" i="12" s="1"/>
  <c r="V10" i="12"/>
  <c r="Q9" i="16"/>
  <c r="P9" i="16"/>
  <c r="V9" i="13"/>
  <c r="W9" i="13"/>
  <c r="Y9" i="13" s="1"/>
  <c r="AC9" i="13" s="1"/>
  <c r="Z9" i="12"/>
  <c r="AB9" i="12"/>
  <c r="BK9" i="12"/>
  <c r="BD9" i="12"/>
  <c r="BI9" i="12"/>
  <c r="BJ9" i="12"/>
  <c r="AA34" i="16"/>
  <c r="AE9" i="16"/>
  <c r="AG9" i="16"/>
  <c r="T9" i="14"/>
  <c r="U9" i="14"/>
  <c r="T12" i="15" l="1"/>
  <c r="T18" i="15"/>
  <c r="Y22" i="14"/>
  <c r="AC22" i="14" s="1"/>
  <c r="U29" i="15"/>
  <c r="V29" i="15" s="1"/>
  <c r="V19" i="15"/>
  <c r="T21" i="15"/>
  <c r="V21" i="15" s="1"/>
  <c r="T27" i="15"/>
  <c r="V27" i="15" s="1"/>
  <c r="V10" i="15"/>
  <c r="V17" i="13"/>
  <c r="V22" i="15"/>
  <c r="V26" i="15"/>
  <c r="V29" i="13"/>
  <c r="X22" i="14"/>
  <c r="T23" i="14"/>
  <c r="V25" i="15"/>
  <c r="V22" i="14"/>
  <c r="U14" i="15"/>
  <c r="V12" i="15"/>
  <c r="V14" i="13"/>
  <c r="V24" i="15"/>
  <c r="X9" i="13"/>
  <c r="X24" i="12"/>
  <c r="T14" i="15"/>
  <c r="V14" i="15" s="1"/>
  <c r="T20" i="15"/>
  <c r="V20" i="15" s="1"/>
  <c r="T23" i="15"/>
  <c r="V23" i="15" s="1"/>
  <c r="T30" i="15"/>
  <c r="V30" i="15" s="1"/>
  <c r="Q20" i="14"/>
  <c r="U20" i="14" s="1"/>
  <c r="W20" i="14" s="1"/>
  <c r="Y20" i="14" s="1"/>
  <c r="AC20" i="14" s="1"/>
  <c r="V15" i="15"/>
  <c r="R19" i="16"/>
  <c r="S19" i="16"/>
  <c r="O20" i="15"/>
  <c r="T19" i="14"/>
  <c r="V19" i="14" s="1"/>
  <c r="X16" i="12"/>
  <c r="BD16" i="12"/>
  <c r="Y16" i="12"/>
  <c r="AC16" i="12" s="1"/>
  <c r="BI16" i="12"/>
  <c r="BJ16" i="12"/>
  <c r="BK16" i="12"/>
  <c r="W19" i="13"/>
  <c r="X19" i="13" s="1"/>
  <c r="U16" i="15"/>
  <c r="T16" i="15"/>
  <c r="U23" i="14"/>
  <c r="X13" i="12"/>
  <c r="X15" i="12"/>
  <c r="X20" i="12"/>
  <c r="Z20" i="12" s="1"/>
  <c r="AA20" i="12" s="1"/>
  <c r="X29" i="12"/>
  <c r="V9" i="15"/>
  <c r="V13" i="15"/>
  <c r="V18" i="15"/>
  <c r="AC20" i="16"/>
  <c r="AB20" i="16"/>
  <c r="AB34" i="16" s="1"/>
  <c r="W19" i="15"/>
  <c r="X19" i="15" s="1"/>
  <c r="X28" i="12"/>
  <c r="X26" i="12"/>
  <c r="X21" i="12"/>
  <c r="Y24" i="12"/>
  <c r="AC24" i="12" s="1"/>
  <c r="Y21" i="12"/>
  <c r="AC21" i="12" s="1"/>
  <c r="X17" i="12"/>
  <c r="AE31" i="16"/>
  <c r="AB33" i="16" s="1"/>
  <c r="BI22" i="14"/>
  <c r="BK22" i="14"/>
  <c r="BD22" i="14"/>
  <c r="BJ22" i="14"/>
  <c r="W30" i="15"/>
  <c r="Y30" i="15" s="1"/>
  <c r="AC30" i="15" s="1"/>
  <c r="W29" i="15"/>
  <c r="Y29" i="15" s="1"/>
  <c r="AC29" i="15" s="1"/>
  <c r="W28" i="15"/>
  <c r="Y28" i="15" s="1"/>
  <c r="AC28" i="15" s="1"/>
  <c r="W27" i="15"/>
  <c r="Y27" i="15" s="1"/>
  <c r="AC27" i="15" s="1"/>
  <c r="W26" i="15"/>
  <c r="Y26" i="15" s="1"/>
  <c r="AC26" i="15" s="1"/>
  <c r="X25" i="12"/>
  <c r="W25" i="15"/>
  <c r="Y25" i="15" s="1"/>
  <c r="AC25" i="15" s="1"/>
  <c r="X25" i="15"/>
  <c r="W24" i="15"/>
  <c r="Y23" i="12"/>
  <c r="AC23" i="12" s="1"/>
  <c r="BK23" i="12"/>
  <c r="BI23" i="12"/>
  <c r="BJ23" i="12"/>
  <c r="BD23" i="12"/>
  <c r="S23" i="16"/>
  <c r="W23" i="16" s="1"/>
  <c r="R23" i="16"/>
  <c r="W23" i="15"/>
  <c r="V23" i="13"/>
  <c r="W23" i="13"/>
  <c r="AB23" i="12"/>
  <c r="Z23" i="12"/>
  <c r="BI22" i="12"/>
  <c r="BD22" i="12"/>
  <c r="BK22" i="12"/>
  <c r="BJ22" i="12"/>
  <c r="W22" i="15"/>
  <c r="Y22" i="15" s="1"/>
  <c r="AC22" i="15" s="1"/>
  <c r="Z22" i="12"/>
  <c r="AB22" i="12"/>
  <c r="W22" i="13"/>
  <c r="Y22" i="13" s="1"/>
  <c r="AC22" i="13" s="1"/>
  <c r="V22" i="13"/>
  <c r="R22" i="16"/>
  <c r="S22" i="16"/>
  <c r="W22" i="16" s="1"/>
  <c r="Y22" i="12"/>
  <c r="AC22" i="12" s="1"/>
  <c r="W21" i="15"/>
  <c r="Y21" i="15" s="1"/>
  <c r="AC21" i="15" s="1"/>
  <c r="W20" i="15"/>
  <c r="Y20" i="15" s="1"/>
  <c r="AC20" i="15" s="1"/>
  <c r="X18" i="12"/>
  <c r="W18" i="15"/>
  <c r="W17" i="15"/>
  <c r="X17" i="15" s="1"/>
  <c r="W15" i="15"/>
  <c r="Y15" i="15" s="1"/>
  <c r="AC15" i="15" s="1"/>
  <c r="Y13" i="12"/>
  <c r="AC13" i="12" s="1"/>
  <c r="W13" i="15"/>
  <c r="X12" i="12"/>
  <c r="AB12" i="12" s="1"/>
  <c r="W12" i="15"/>
  <c r="Y12" i="15" s="1"/>
  <c r="AC12" i="15" s="1"/>
  <c r="W11" i="15"/>
  <c r="Y11" i="15" s="1"/>
  <c r="AC11" i="15" s="1"/>
  <c r="X10" i="12"/>
  <c r="W10" i="15"/>
  <c r="Y10" i="15" s="1"/>
  <c r="AC10" i="15" s="1"/>
  <c r="W9" i="15"/>
  <c r="Y9" i="15" s="1"/>
  <c r="AC9" i="15" s="1"/>
  <c r="Z30" i="12"/>
  <c r="AA30" i="12" s="1"/>
  <c r="AB30" i="12"/>
  <c r="BJ30" i="12"/>
  <c r="BD30" i="12"/>
  <c r="BI30" i="12"/>
  <c r="V30" i="14"/>
  <c r="W30" i="14"/>
  <c r="Y30" i="14" s="1"/>
  <c r="AC30" i="14" s="1"/>
  <c r="W30" i="13"/>
  <c r="Y30" i="13" s="1"/>
  <c r="AC30" i="13" s="1"/>
  <c r="S30" i="16"/>
  <c r="W30" i="16" s="1"/>
  <c r="R30" i="16"/>
  <c r="V30" i="13"/>
  <c r="W29" i="14"/>
  <c r="Y29" i="14" s="1"/>
  <c r="AC29" i="14" s="1"/>
  <c r="V29" i="14"/>
  <c r="X29" i="14" s="1"/>
  <c r="Z29" i="12"/>
  <c r="AA29" i="12" s="1"/>
  <c r="AB29" i="12"/>
  <c r="W29" i="13"/>
  <c r="Y29" i="13" s="1"/>
  <c r="AC29" i="13" s="1"/>
  <c r="BD29" i="12"/>
  <c r="BJ29" i="12"/>
  <c r="BI29" i="12"/>
  <c r="BK29" i="12"/>
  <c r="R29" i="16"/>
  <c r="S29" i="16"/>
  <c r="W29" i="16" s="1"/>
  <c r="S28" i="16"/>
  <c r="W28" i="16" s="1"/>
  <c r="R28" i="16"/>
  <c r="W28" i="13"/>
  <c r="Y28" i="13" s="1"/>
  <c r="AC28" i="13" s="1"/>
  <c r="W28" i="14"/>
  <c r="Y28" i="14" s="1"/>
  <c r="AC28" i="14" s="1"/>
  <c r="V28" i="14"/>
  <c r="BI28" i="12"/>
  <c r="BK28" i="12"/>
  <c r="BD28" i="12"/>
  <c r="BJ28" i="12"/>
  <c r="AB28" i="12"/>
  <c r="Z28" i="12"/>
  <c r="AA28" i="12" s="1"/>
  <c r="W27" i="13"/>
  <c r="X27" i="13" s="1"/>
  <c r="V27" i="14"/>
  <c r="W27" i="14"/>
  <c r="Y27" i="14" s="1"/>
  <c r="AC27" i="14" s="1"/>
  <c r="X27" i="14"/>
  <c r="R27" i="16"/>
  <c r="S27" i="16"/>
  <c r="W27" i="16" s="1"/>
  <c r="BI27" i="12"/>
  <c r="BD27" i="12"/>
  <c r="BK27" i="12"/>
  <c r="BJ27" i="12"/>
  <c r="Z27" i="12"/>
  <c r="AB27" i="12"/>
  <c r="W26" i="13"/>
  <c r="Y26" i="13" s="1"/>
  <c r="AC26" i="13" s="1"/>
  <c r="W26" i="14"/>
  <c r="Y26" i="14" s="1"/>
  <c r="AC26" i="14" s="1"/>
  <c r="V26" i="14"/>
  <c r="S26" i="16"/>
  <c r="W26" i="16" s="1"/>
  <c r="R26" i="16"/>
  <c r="AB26" i="12"/>
  <c r="Z26" i="12"/>
  <c r="BD26" i="12"/>
  <c r="BJ26" i="12"/>
  <c r="BK26" i="12"/>
  <c r="BI26" i="12"/>
  <c r="V26" i="13"/>
  <c r="BI25" i="12"/>
  <c r="BK25" i="12"/>
  <c r="BJ25" i="12"/>
  <c r="BD25" i="12"/>
  <c r="R25" i="16"/>
  <c r="S25" i="16"/>
  <c r="W25" i="16" s="1"/>
  <c r="W25" i="13"/>
  <c r="X25" i="13" s="1"/>
  <c r="V25" i="14"/>
  <c r="Y25" i="14"/>
  <c r="AC25" i="14" s="1"/>
  <c r="W25" i="14"/>
  <c r="X25" i="14"/>
  <c r="Z25" i="12"/>
  <c r="AA25" i="12" s="1"/>
  <c r="AB25" i="12"/>
  <c r="U25" i="16"/>
  <c r="W24" i="14"/>
  <c r="Y24" i="14" s="1"/>
  <c r="AC24" i="14" s="1"/>
  <c r="V24" i="14"/>
  <c r="X24" i="14" s="1"/>
  <c r="W24" i="13"/>
  <c r="Y24" i="13" s="1"/>
  <c r="AC24" i="13" s="1"/>
  <c r="BJ24" i="12"/>
  <c r="BD24" i="12"/>
  <c r="BI24" i="12"/>
  <c r="BK24" i="12"/>
  <c r="Z24" i="12"/>
  <c r="AB24" i="12"/>
  <c r="R24" i="16"/>
  <c r="S24" i="16"/>
  <c r="W24" i="16" s="1"/>
  <c r="V21" i="14"/>
  <c r="W21" i="14"/>
  <c r="Y21" i="14" s="1"/>
  <c r="AC21" i="14" s="1"/>
  <c r="AB21" i="12"/>
  <c r="Z21" i="12"/>
  <c r="AA21" i="12" s="1"/>
  <c r="S21" i="16"/>
  <c r="W21" i="16" s="1"/>
  <c r="R21" i="16"/>
  <c r="W21" i="13"/>
  <c r="Y21" i="13" s="1"/>
  <c r="AC21" i="13" s="1"/>
  <c r="BJ21" i="12"/>
  <c r="BI21" i="12"/>
  <c r="BK21" i="12"/>
  <c r="BD21" i="12"/>
  <c r="AB20" i="12"/>
  <c r="W20" i="13"/>
  <c r="X20" i="13" s="1"/>
  <c r="S20" i="16"/>
  <c r="W20" i="16" s="1"/>
  <c r="R20" i="16"/>
  <c r="BI20" i="12"/>
  <c r="BJ20" i="12"/>
  <c r="BD20" i="12"/>
  <c r="BK20" i="12"/>
  <c r="AG19" i="12"/>
  <c r="BO19" i="12"/>
  <c r="BQ19" i="12"/>
  <c r="BP19" i="12"/>
  <c r="V18" i="14"/>
  <c r="W18" i="14"/>
  <c r="Y18" i="14" s="1"/>
  <c r="AC18" i="14" s="1"/>
  <c r="S18" i="16"/>
  <c r="W18" i="16" s="1"/>
  <c r="R18" i="16"/>
  <c r="BI18" i="12"/>
  <c r="BD18" i="12"/>
  <c r="BJ18" i="12"/>
  <c r="BK18" i="12"/>
  <c r="AB18" i="12"/>
  <c r="Z18" i="12"/>
  <c r="W18" i="13"/>
  <c r="X18" i="13" s="1"/>
  <c r="V17" i="14"/>
  <c r="W17" i="14"/>
  <c r="Y17" i="14" s="1"/>
  <c r="AC17" i="14" s="1"/>
  <c r="X17" i="14"/>
  <c r="W17" i="13"/>
  <c r="X17" i="13" s="1"/>
  <c r="R17" i="16"/>
  <c r="S17" i="16"/>
  <c r="W17" i="16" s="1"/>
  <c r="BK17" i="12"/>
  <c r="BI17" i="12"/>
  <c r="BJ17" i="12"/>
  <c r="BD17" i="12"/>
  <c r="Z17" i="12"/>
  <c r="AA17" i="12" s="1"/>
  <c r="AB17" i="12"/>
  <c r="R16" i="16"/>
  <c r="S16" i="16"/>
  <c r="W16" i="16" s="1"/>
  <c r="W16" i="13"/>
  <c r="X16" i="13" s="1"/>
  <c r="V16" i="14"/>
  <c r="W16" i="14"/>
  <c r="X16" i="14"/>
  <c r="Y16" i="14"/>
  <c r="AC16" i="14" s="1"/>
  <c r="R15" i="16"/>
  <c r="S15" i="16"/>
  <c r="W15" i="16" s="1"/>
  <c r="BJ15" i="12"/>
  <c r="BI15" i="12"/>
  <c r="BK15" i="12"/>
  <c r="BD15" i="12"/>
  <c r="W15" i="13"/>
  <c r="X15" i="13" s="1"/>
  <c r="V15" i="14"/>
  <c r="W15" i="14"/>
  <c r="Y15" i="14" s="1"/>
  <c r="AC15" i="14" s="1"/>
  <c r="Z15" i="12"/>
  <c r="AB15" i="12"/>
  <c r="S14" i="16"/>
  <c r="W14" i="16" s="1"/>
  <c r="R14" i="16"/>
  <c r="W14" i="13"/>
  <c r="Y14" i="13" s="1"/>
  <c r="AC14" i="13" s="1"/>
  <c r="AB14" i="12"/>
  <c r="Z14" i="12"/>
  <c r="AA14" i="12" s="1"/>
  <c r="BJ14" i="12"/>
  <c r="BD14" i="12"/>
  <c r="BK14" i="12"/>
  <c r="BI14" i="12"/>
  <c r="W14" i="14"/>
  <c r="Y14" i="14" s="1"/>
  <c r="AC14" i="14" s="1"/>
  <c r="V14" i="14"/>
  <c r="X14" i="14"/>
  <c r="U14" i="16"/>
  <c r="R13" i="16"/>
  <c r="S13" i="16"/>
  <c r="W13" i="16" s="1"/>
  <c r="Z13" i="12"/>
  <c r="AA13" i="12" s="1"/>
  <c r="AB13" i="12"/>
  <c r="W13" i="13"/>
  <c r="X13" i="13" s="1"/>
  <c r="BI13" i="12"/>
  <c r="BD13" i="12"/>
  <c r="BJ13" i="12"/>
  <c r="BK13" i="12"/>
  <c r="V13" i="14"/>
  <c r="W13" i="14"/>
  <c r="X13" i="14"/>
  <c r="Y13" i="14"/>
  <c r="AC13" i="14" s="1"/>
  <c r="W12" i="13"/>
  <c r="Y12" i="13" s="1"/>
  <c r="AC12" i="13" s="1"/>
  <c r="W12" i="14"/>
  <c r="Y12" i="14" s="1"/>
  <c r="AC12" i="14" s="1"/>
  <c r="V12" i="14"/>
  <c r="S12" i="16"/>
  <c r="W12" i="16" s="1"/>
  <c r="R12" i="16"/>
  <c r="BD12" i="12"/>
  <c r="BI12" i="12"/>
  <c r="BJ12" i="12"/>
  <c r="BK12" i="12" s="1"/>
  <c r="S11" i="16"/>
  <c r="W11" i="16" s="1"/>
  <c r="R11" i="16"/>
  <c r="W11" i="13"/>
  <c r="Y11" i="13" s="1"/>
  <c r="AC11" i="13" s="1"/>
  <c r="Z11" i="12"/>
  <c r="AA11" i="12" s="1"/>
  <c r="AB11" i="12"/>
  <c r="BI11" i="12"/>
  <c r="BJ11" i="12"/>
  <c r="BK11" i="12"/>
  <c r="BD11" i="12"/>
  <c r="V11" i="14"/>
  <c r="W11" i="14"/>
  <c r="U11" i="16"/>
  <c r="BI10" i="12"/>
  <c r="BK10" i="12"/>
  <c r="BD10" i="12"/>
  <c r="BJ10" i="12"/>
  <c r="W10" i="13"/>
  <c r="Y10" i="13" s="1"/>
  <c r="AC10" i="13" s="1"/>
  <c r="S10" i="16"/>
  <c r="W10" i="16" s="1"/>
  <c r="R10" i="16"/>
  <c r="AB10" i="12"/>
  <c r="Z10" i="12"/>
  <c r="AA10" i="12" s="1"/>
  <c r="V10" i="14"/>
  <c r="Y10" i="14"/>
  <c r="AC10" i="14" s="1"/>
  <c r="W10" i="14"/>
  <c r="X10" i="14"/>
  <c r="U10" i="16"/>
  <c r="BL9" i="12"/>
  <c r="BN9" i="12"/>
  <c r="BM9" i="12"/>
  <c r="Z9" i="13"/>
  <c r="AB9" i="13"/>
  <c r="S9" i="16"/>
  <c r="W9" i="16" s="1"/>
  <c r="R9" i="16"/>
  <c r="AA9" i="12"/>
  <c r="AG9" i="12" s="1"/>
  <c r="W9" i="14"/>
  <c r="Y9" i="14" s="1"/>
  <c r="AC9" i="14" s="1"/>
  <c r="V9" i="14"/>
  <c r="X9" i="14" s="1"/>
  <c r="BI9" i="13"/>
  <c r="BJ9" i="13"/>
  <c r="BK9" i="13"/>
  <c r="BD9" i="13"/>
  <c r="AB22" i="14" l="1"/>
  <c r="Z22" i="14"/>
  <c r="X12" i="15"/>
  <c r="X13" i="15"/>
  <c r="AB13" i="15" s="1"/>
  <c r="V23" i="14"/>
  <c r="X30" i="15"/>
  <c r="X11" i="13"/>
  <c r="Z12" i="12"/>
  <c r="U28" i="16"/>
  <c r="X30" i="13"/>
  <c r="X30" i="14"/>
  <c r="AB30" i="14" s="1"/>
  <c r="X23" i="13"/>
  <c r="AB23" i="13" s="1"/>
  <c r="X27" i="15"/>
  <c r="U16" i="16"/>
  <c r="X18" i="15"/>
  <c r="Z18" i="15" s="1"/>
  <c r="V20" i="14"/>
  <c r="X20" i="14" s="1"/>
  <c r="X29" i="13"/>
  <c r="W14" i="15"/>
  <c r="X14" i="15" s="1"/>
  <c r="X23" i="15"/>
  <c r="AB23" i="15" s="1"/>
  <c r="X24" i="15"/>
  <c r="Z24" i="15" s="1"/>
  <c r="X28" i="15"/>
  <c r="Z19" i="13"/>
  <c r="AB19" i="13"/>
  <c r="X18" i="14"/>
  <c r="AB18" i="14" s="1"/>
  <c r="X26" i="13"/>
  <c r="U27" i="16"/>
  <c r="Z19" i="15"/>
  <c r="AB19" i="15"/>
  <c r="Y19" i="13"/>
  <c r="AC19" i="13" s="1"/>
  <c r="W19" i="14"/>
  <c r="Y19" i="14"/>
  <c r="AC19" i="14" s="1"/>
  <c r="Y16" i="13"/>
  <c r="AC16" i="13" s="1"/>
  <c r="X26" i="14"/>
  <c r="Y18" i="15"/>
  <c r="AC18" i="15" s="1"/>
  <c r="Y19" i="15"/>
  <c r="AC19" i="15" s="1"/>
  <c r="BD19" i="15"/>
  <c r="BJ19" i="15"/>
  <c r="BK19" i="15"/>
  <c r="BI19" i="15"/>
  <c r="W16" i="15"/>
  <c r="V16" i="15"/>
  <c r="Y13" i="13"/>
  <c r="AC13" i="13" s="1"/>
  <c r="U15" i="16"/>
  <c r="BK30" i="12"/>
  <c r="X11" i="15"/>
  <c r="U23" i="16"/>
  <c r="AB16" i="12"/>
  <c r="Z16" i="12"/>
  <c r="W19" i="16"/>
  <c r="U19" i="16"/>
  <c r="W23" i="14"/>
  <c r="AC34" i="16"/>
  <c r="AG34" i="16" s="1"/>
  <c r="AM7" i="12" s="1"/>
  <c r="AG20" i="16"/>
  <c r="AB31" i="16"/>
  <c r="AB32" i="16" s="1"/>
  <c r="BI19" i="13"/>
  <c r="BK19" i="13" s="1"/>
  <c r="BJ19" i="13"/>
  <c r="BD19" i="13"/>
  <c r="X19" i="14"/>
  <c r="T19" i="16"/>
  <c r="V19" i="16"/>
  <c r="X28" i="14"/>
  <c r="X22" i="15"/>
  <c r="X20" i="15"/>
  <c r="AB20" i="15" s="1"/>
  <c r="X15" i="14"/>
  <c r="Y13" i="15"/>
  <c r="AC13" i="15" s="1"/>
  <c r="X12" i="14"/>
  <c r="AB12" i="14" s="1"/>
  <c r="X28" i="13"/>
  <c r="AB28" i="13" s="1"/>
  <c r="Y20" i="13"/>
  <c r="AC20" i="13" s="1"/>
  <c r="U18" i="16"/>
  <c r="Y15" i="13"/>
  <c r="AC15" i="13" s="1"/>
  <c r="X14" i="13"/>
  <c r="AB14" i="13" s="1"/>
  <c r="U13" i="16"/>
  <c r="X24" i="13"/>
  <c r="X21" i="13"/>
  <c r="X21" i="14"/>
  <c r="AB21" i="14" s="1"/>
  <c r="X12" i="13"/>
  <c r="Z12" i="13" s="1"/>
  <c r="X29" i="15"/>
  <c r="AB29" i="15" s="1"/>
  <c r="X26" i="15"/>
  <c r="Y24" i="15"/>
  <c r="AC24" i="15" s="1"/>
  <c r="Y23" i="15"/>
  <c r="AC23" i="15" s="1"/>
  <c r="X21" i="15"/>
  <c r="Y17" i="15"/>
  <c r="AC17" i="15" s="1"/>
  <c r="X15" i="15"/>
  <c r="AB15" i="15" s="1"/>
  <c r="Y14" i="15"/>
  <c r="AC14" i="15" s="1"/>
  <c r="X11" i="14"/>
  <c r="Y11" i="14"/>
  <c r="AC11" i="14" s="1"/>
  <c r="X10" i="15"/>
  <c r="AB10" i="15" s="1"/>
  <c r="X9" i="15"/>
  <c r="Z9" i="15" s="1"/>
  <c r="BD30" i="15"/>
  <c r="BI30" i="15"/>
  <c r="BJ30" i="15"/>
  <c r="BK30" i="15" s="1"/>
  <c r="AB30" i="15"/>
  <c r="Z30" i="15"/>
  <c r="BI29" i="15"/>
  <c r="BJ29" i="15"/>
  <c r="BD29" i="15"/>
  <c r="BK29" i="15"/>
  <c r="AB28" i="15"/>
  <c r="Z28" i="15"/>
  <c r="BI28" i="15"/>
  <c r="BD28" i="15"/>
  <c r="BJ28" i="15"/>
  <c r="BK28" i="15"/>
  <c r="Y27" i="13"/>
  <c r="AC27" i="13" s="1"/>
  <c r="AB27" i="15"/>
  <c r="Z27" i="15"/>
  <c r="BI27" i="15"/>
  <c r="BD27" i="15"/>
  <c r="BJ27" i="15"/>
  <c r="BK27" i="15"/>
  <c r="AB26" i="15"/>
  <c r="Z26" i="15"/>
  <c r="BI26" i="15"/>
  <c r="BJ26" i="15"/>
  <c r="BD26" i="15"/>
  <c r="BK26" i="15"/>
  <c r="AB25" i="15"/>
  <c r="Z25" i="15"/>
  <c r="BD25" i="15"/>
  <c r="BI25" i="15"/>
  <c r="BK25" i="15"/>
  <c r="BJ25" i="15"/>
  <c r="Y25" i="13"/>
  <c r="AC25" i="13" s="1"/>
  <c r="BD24" i="15"/>
  <c r="BJ24" i="15"/>
  <c r="BI24" i="15"/>
  <c r="BK24" i="15"/>
  <c r="AB24" i="15"/>
  <c r="Y23" i="13"/>
  <c r="AC23" i="13" s="1"/>
  <c r="BM23" i="12"/>
  <c r="AA23" i="12"/>
  <c r="AG23" i="12" s="1"/>
  <c r="BL23" i="12"/>
  <c r="BN23" i="12"/>
  <c r="Z23" i="13"/>
  <c r="BJ23" i="15"/>
  <c r="BD23" i="15"/>
  <c r="BK23" i="15"/>
  <c r="BI23" i="15"/>
  <c r="Z23" i="15"/>
  <c r="BK23" i="13"/>
  <c r="BD23" i="13"/>
  <c r="BJ23" i="13"/>
  <c r="BI23" i="13"/>
  <c r="V23" i="16"/>
  <c r="T23" i="16"/>
  <c r="U22" i="16"/>
  <c r="V22" i="16"/>
  <c r="T22" i="16"/>
  <c r="BK22" i="13"/>
  <c r="BJ22" i="13"/>
  <c r="BI22" i="13"/>
  <c r="BD22" i="13"/>
  <c r="BM22" i="12"/>
  <c r="BN22" i="12"/>
  <c r="BL22" i="12"/>
  <c r="AA22" i="12"/>
  <c r="AB22" i="15"/>
  <c r="Z22" i="15"/>
  <c r="BJ22" i="15"/>
  <c r="BI22" i="15"/>
  <c r="BD22" i="15"/>
  <c r="BK22" i="15"/>
  <c r="X22" i="13"/>
  <c r="AB21" i="15"/>
  <c r="Z21" i="15"/>
  <c r="U21" i="16"/>
  <c r="BD21" i="15"/>
  <c r="BI21" i="15"/>
  <c r="BJ21" i="15"/>
  <c r="BK21" i="15"/>
  <c r="BK20" i="15"/>
  <c r="BI20" i="15"/>
  <c r="BD20" i="15"/>
  <c r="BJ20" i="15"/>
  <c r="Y18" i="13"/>
  <c r="AC18" i="13" s="1"/>
  <c r="AB18" i="15"/>
  <c r="BK18" i="15"/>
  <c r="BD18" i="15"/>
  <c r="BJ18" i="15"/>
  <c r="BI18" i="15"/>
  <c r="Y17" i="13"/>
  <c r="AC17" i="13" s="1"/>
  <c r="BD17" i="15"/>
  <c r="BI17" i="15"/>
  <c r="BJ17" i="15"/>
  <c r="BK17" i="15"/>
  <c r="AB17" i="15"/>
  <c r="Z17" i="15"/>
  <c r="BI15" i="15"/>
  <c r="BK15" i="15"/>
  <c r="BD15" i="15"/>
  <c r="BJ15" i="15"/>
  <c r="BJ14" i="15"/>
  <c r="BK14" i="15"/>
  <c r="BD14" i="15"/>
  <c r="BI14" i="15"/>
  <c r="AB14" i="15"/>
  <c r="Z14" i="15"/>
  <c r="BI13" i="15"/>
  <c r="BJ13" i="15"/>
  <c r="BK13" i="15"/>
  <c r="BD13" i="15"/>
  <c r="Z13" i="15"/>
  <c r="AB12" i="15"/>
  <c r="Z12" i="15"/>
  <c r="BJ12" i="15"/>
  <c r="BI12" i="15"/>
  <c r="BK12" i="15"/>
  <c r="BD12" i="15"/>
  <c r="AB11" i="15"/>
  <c r="Z11" i="15"/>
  <c r="BI11" i="15"/>
  <c r="BD11" i="15"/>
  <c r="BK11" i="15"/>
  <c r="BJ11" i="15"/>
  <c r="X10" i="13"/>
  <c r="BI10" i="15"/>
  <c r="BD10" i="15"/>
  <c r="BK10" i="15"/>
  <c r="BJ10" i="15"/>
  <c r="BK9" i="15"/>
  <c r="BI9" i="15"/>
  <c r="BD9" i="15"/>
  <c r="BJ9" i="15"/>
  <c r="U9" i="16"/>
  <c r="AB9" i="15"/>
  <c r="U30" i="16"/>
  <c r="V30" i="16"/>
  <c r="T30" i="16"/>
  <c r="AB30" i="13"/>
  <c r="Z30" i="13"/>
  <c r="AA30" i="13" s="1"/>
  <c r="BI30" i="14"/>
  <c r="BJ30" i="14"/>
  <c r="BD30" i="14"/>
  <c r="BP30" i="12"/>
  <c r="BQ30" i="12"/>
  <c r="BO30" i="12"/>
  <c r="BI30" i="13"/>
  <c r="BJ30" i="13"/>
  <c r="BD30" i="13"/>
  <c r="BM30" i="12"/>
  <c r="AG30" i="12"/>
  <c r="BL30" i="12"/>
  <c r="V29" i="16"/>
  <c r="T29" i="16"/>
  <c r="BO29" i="12"/>
  <c r="BQ29" i="12"/>
  <c r="BP29" i="12"/>
  <c r="BL29" i="12"/>
  <c r="BN29" i="12"/>
  <c r="BM29" i="12"/>
  <c r="AG29" i="12"/>
  <c r="BK29" i="14"/>
  <c r="BD29" i="14"/>
  <c r="BI29" i="14"/>
  <c r="BJ29" i="14"/>
  <c r="AB29" i="13"/>
  <c r="Z29" i="13"/>
  <c r="BI29" i="13"/>
  <c r="BD29" i="13"/>
  <c r="BJ29" i="13"/>
  <c r="BK29" i="13"/>
  <c r="AB29" i="14"/>
  <c r="Z29" i="14"/>
  <c r="AA29" i="14" s="1"/>
  <c r="U29" i="16"/>
  <c r="BL28" i="12"/>
  <c r="AG28" i="12"/>
  <c r="BM28" i="12"/>
  <c r="BN28" i="12"/>
  <c r="BK28" i="14"/>
  <c r="BI28" i="14"/>
  <c r="BD28" i="14"/>
  <c r="BJ28" i="14"/>
  <c r="BK28" i="13"/>
  <c r="BJ28" i="13"/>
  <c r="BD28" i="13"/>
  <c r="BI28" i="13"/>
  <c r="BQ28" i="12"/>
  <c r="BP28" i="12"/>
  <c r="BO28" i="12"/>
  <c r="AB28" i="14"/>
  <c r="Z28" i="14"/>
  <c r="V28" i="16"/>
  <c r="T28" i="16"/>
  <c r="AB27" i="14"/>
  <c r="Z27" i="14"/>
  <c r="AA27" i="14" s="1"/>
  <c r="BK27" i="13"/>
  <c r="BD27" i="13"/>
  <c r="BJ27" i="13"/>
  <c r="BI27" i="13"/>
  <c r="BL27" i="12"/>
  <c r="BN27" i="12"/>
  <c r="BM27" i="12"/>
  <c r="V27" i="16"/>
  <c r="T27" i="16"/>
  <c r="BK27" i="14"/>
  <c r="BD27" i="14"/>
  <c r="BI27" i="14"/>
  <c r="BJ27" i="14"/>
  <c r="AB27" i="13"/>
  <c r="Z27" i="13"/>
  <c r="AA27" i="12"/>
  <c r="AG27" i="12" s="1"/>
  <c r="Z26" i="14"/>
  <c r="AA26" i="14" s="1"/>
  <c r="AB26" i="14"/>
  <c r="AB26" i="13"/>
  <c r="Z26" i="13"/>
  <c r="AA26" i="13" s="1"/>
  <c r="U26" i="16"/>
  <c r="BL26" i="12"/>
  <c r="BM26" i="12"/>
  <c r="BN26" i="12"/>
  <c r="V26" i="16"/>
  <c r="T26" i="16"/>
  <c r="BJ26" i="14"/>
  <c r="BI26" i="14"/>
  <c r="BD26" i="14"/>
  <c r="BK26" i="14"/>
  <c r="BK26" i="13"/>
  <c r="BD26" i="13"/>
  <c r="BI26" i="13"/>
  <c r="BJ26" i="13"/>
  <c r="AA26" i="12"/>
  <c r="AB25" i="14"/>
  <c r="Z25" i="14"/>
  <c r="BP25" i="12"/>
  <c r="BQ25" i="12"/>
  <c r="BO25" i="12"/>
  <c r="BM25" i="12"/>
  <c r="BN25" i="12"/>
  <c r="BL25" i="12"/>
  <c r="AG25" i="12"/>
  <c r="BK25" i="14"/>
  <c r="BI25" i="14"/>
  <c r="BD25" i="14"/>
  <c r="BJ25" i="14"/>
  <c r="BK25" i="13"/>
  <c r="BI25" i="13"/>
  <c r="BD25" i="13"/>
  <c r="BJ25" i="13"/>
  <c r="AB25" i="13"/>
  <c r="Z25" i="13"/>
  <c r="V25" i="16"/>
  <c r="T25" i="16"/>
  <c r="AA25" i="14"/>
  <c r="V24" i="16"/>
  <c r="T24" i="16"/>
  <c r="BL24" i="12"/>
  <c r="BM24" i="12"/>
  <c r="BN24" i="12"/>
  <c r="Z24" i="13"/>
  <c r="AB24" i="13"/>
  <c r="AA24" i="12"/>
  <c r="BJ24" i="13"/>
  <c r="BD24" i="13"/>
  <c r="BK24" i="13"/>
  <c r="BI24" i="13"/>
  <c r="AB24" i="14"/>
  <c r="Z24" i="14"/>
  <c r="BD24" i="14"/>
  <c r="BK24" i="14"/>
  <c r="BJ24" i="14"/>
  <c r="BI24" i="14"/>
  <c r="U24" i="16"/>
  <c r="BI21" i="13"/>
  <c r="BD21" i="13"/>
  <c r="BJ21" i="13"/>
  <c r="BK21" i="13"/>
  <c r="BQ21" i="12"/>
  <c r="BP21" i="12"/>
  <c r="BO21" i="12"/>
  <c r="AB21" i="13"/>
  <c r="Z21" i="13"/>
  <c r="V21" i="16"/>
  <c r="T21" i="16"/>
  <c r="BN21" i="12"/>
  <c r="BM21" i="12"/>
  <c r="BL21" i="12"/>
  <c r="AG21" i="12"/>
  <c r="BK21" i="14"/>
  <c r="BI21" i="14"/>
  <c r="BD21" i="14"/>
  <c r="BJ21" i="14"/>
  <c r="Z21" i="14"/>
  <c r="AA21" i="14" s="1"/>
  <c r="V20" i="16"/>
  <c r="T20" i="16"/>
  <c r="BD20" i="13"/>
  <c r="BJ20" i="13"/>
  <c r="BK20" i="13"/>
  <c r="BI20" i="13"/>
  <c r="BQ20" i="12"/>
  <c r="BP20" i="12"/>
  <c r="BO20" i="12"/>
  <c r="AG20" i="12"/>
  <c r="BN20" i="12"/>
  <c r="BM20" i="12"/>
  <c r="BL20" i="12"/>
  <c r="Z20" i="13"/>
  <c r="AB20" i="13"/>
  <c r="BD20" i="14"/>
  <c r="BK20" i="14"/>
  <c r="BJ20" i="14"/>
  <c r="BI20" i="14"/>
  <c r="U20" i="16"/>
  <c r="AK19" i="12"/>
  <c r="AX19" i="12"/>
  <c r="Z18" i="13"/>
  <c r="AB18" i="13"/>
  <c r="BM18" i="12"/>
  <c r="BN18" i="12"/>
  <c r="BL18" i="12"/>
  <c r="V18" i="16"/>
  <c r="T18" i="16"/>
  <c r="BD18" i="14"/>
  <c r="BI18" i="14"/>
  <c r="BK18" i="14"/>
  <c r="BJ18" i="14"/>
  <c r="Z18" i="14"/>
  <c r="AA18" i="14" s="1"/>
  <c r="BK18" i="13"/>
  <c r="BD18" i="13"/>
  <c r="BI18" i="13"/>
  <c r="BJ18" i="13"/>
  <c r="AA18" i="12"/>
  <c r="BP17" i="12"/>
  <c r="BO17" i="12"/>
  <c r="BQ17" i="12"/>
  <c r="Z17" i="13"/>
  <c r="AB17" i="13"/>
  <c r="Z17" i="14"/>
  <c r="AA17" i="14" s="1"/>
  <c r="AB17" i="14"/>
  <c r="BI17" i="14"/>
  <c r="BK17" i="14"/>
  <c r="BD17" i="14"/>
  <c r="BJ17" i="14"/>
  <c r="BN17" i="12"/>
  <c r="BL17" i="12"/>
  <c r="AG17" i="12"/>
  <c r="BM17" i="12"/>
  <c r="T17" i="16"/>
  <c r="V17" i="16"/>
  <c r="BI17" i="13"/>
  <c r="BJ17" i="13"/>
  <c r="BK17" i="13"/>
  <c r="BD17" i="13"/>
  <c r="U17" i="16"/>
  <c r="BK16" i="14"/>
  <c r="BD16" i="14"/>
  <c r="BJ16" i="14"/>
  <c r="BI16" i="14"/>
  <c r="AB16" i="14"/>
  <c r="Z16" i="14"/>
  <c r="AA16" i="14" s="1"/>
  <c r="AB16" i="13"/>
  <c r="Z16" i="13"/>
  <c r="V16" i="16"/>
  <c r="T16" i="16"/>
  <c r="BK16" i="13"/>
  <c r="BJ16" i="13"/>
  <c r="BD16" i="13"/>
  <c r="BI16" i="13"/>
  <c r="BL15" i="12"/>
  <c r="BM15" i="12"/>
  <c r="BN15" i="12"/>
  <c r="BJ15" i="14"/>
  <c r="BK15" i="14"/>
  <c r="BD15" i="14"/>
  <c r="BI15" i="14"/>
  <c r="AB15" i="13"/>
  <c r="Z15" i="13"/>
  <c r="Z15" i="14"/>
  <c r="AA15" i="14" s="1"/>
  <c r="AB15" i="14"/>
  <c r="BJ15" i="13"/>
  <c r="BI15" i="13"/>
  <c r="BD15" i="13"/>
  <c r="BK15" i="13"/>
  <c r="V15" i="16"/>
  <c r="T15" i="16"/>
  <c r="AA15" i="12"/>
  <c r="AG15" i="12" s="1"/>
  <c r="BD31" i="12"/>
  <c r="AN12" i="12" s="1"/>
  <c r="BM14" i="12"/>
  <c r="BN14" i="12"/>
  <c r="AG14" i="12"/>
  <c r="BL14" i="12"/>
  <c r="BD14" i="13"/>
  <c r="BI14" i="13"/>
  <c r="BJ14" i="13"/>
  <c r="BK14" i="13"/>
  <c r="BO14" i="12"/>
  <c r="BP14" i="12"/>
  <c r="BQ14" i="12"/>
  <c r="AB14" i="14"/>
  <c r="Z14" i="14"/>
  <c r="AA14" i="14" s="1"/>
  <c r="BJ14" i="14"/>
  <c r="BK14" i="14"/>
  <c r="BD14" i="14"/>
  <c r="BI14" i="14"/>
  <c r="Z14" i="13"/>
  <c r="V14" i="16"/>
  <c r="T14" i="16"/>
  <c r="AB13" i="14"/>
  <c r="Z13" i="14"/>
  <c r="AA13" i="14" s="1"/>
  <c r="AB13" i="13"/>
  <c r="Z13" i="13"/>
  <c r="BO13" i="12"/>
  <c r="BP13" i="12"/>
  <c r="BQ13" i="12"/>
  <c r="BL13" i="12"/>
  <c r="BM13" i="12"/>
  <c r="BN13" i="12" s="1"/>
  <c r="AG13" i="12"/>
  <c r="V13" i="16"/>
  <c r="T13" i="16"/>
  <c r="BI13" i="14"/>
  <c r="BD13" i="14"/>
  <c r="BK13" i="14"/>
  <c r="BJ13" i="14"/>
  <c r="BI13" i="13"/>
  <c r="BJ13" i="13"/>
  <c r="BD13" i="13"/>
  <c r="BK13" i="13"/>
  <c r="U12" i="16"/>
  <c r="BN12" i="12"/>
  <c r="BM12" i="12"/>
  <c r="BL12" i="12"/>
  <c r="T12" i="16"/>
  <c r="V12" i="16"/>
  <c r="BD12" i="13"/>
  <c r="BI12" i="13"/>
  <c r="BJ12" i="13"/>
  <c r="BJ12" i="14"/>
  <c r="BI12" i="14"/>
  <c r="BD12" i="14"/>
  <c r="BK12" i="14"/>
  <c r="AA12" i="12"/>
  <c r="AB11" i="14"/>
  <c r="Z11" i="14"/>
  <c r="AA11" i="14" s="1"/>
  <c r="BQ11" i="12"/>
  <c r="BP11" i="12"/>
  <c r="BO11" i="12"/>
  <c r="BM11" i="12"/>
  <c r="BN11" i="12"/>
  <c r="BL11" i="12"/>
  <c r="AG11" i="12"/>
  <c r="BJ11" i="13"/>
  <c r="BI11" i="13"/>
  <c r="BD11" i="13"/>
  <c r="BK11" i="13"/>
  <c r="V11" i="16"/>
  <c r="T11" i="16"/>
  <c r="BI11" i="14"/>
  <c r="BJ11" i="14"/>
  <c r="BD11" i="14"/>
  <c r="BK11" i="14"/>
  <c r="AB11" i="13"/>
  <c r="Z11" i="13"/>
  <c r="AB10" i="14"/>
  <c r="Z10" i="14"/>
  <c r="AA10" i="14" s="1"/>
  <c r="BL10" i="12"/>
  <c r="BN10" i="12"/>
  <c r="BM10" i="12"/>
  <c r="AG10" i="12"/>
  <c r="V10" i="16"/>
  <c r="T10" i="16"/>
  <c r="BJ10" i="13"/>
  <c r="BD10" i="13"/>
  <c r="BI10" i="13"/>
  <c r="BK10" i="13"/>
  <c r="BP10" i="12"/>
  <c r="BO10" i="12"/>
  <c r="BQ10" i="12"/>
  <c r="BD10" i="14"/>
  <c r="BI10" i="14"/>
  <c r="BK10" i="14"/>
  <c r="BJ10" i="14"/>
  <c r="Z10" i="13"/>
  <c r="AB10" i="13"/>
  <c r="AK9" i="12"/>
  <c r="AX9" i="12"/>
  <c r="AB9" i="14"/>
  <c r="Z9" i="14"/>
  <c r="AA9" i="14" s="1"/>
  <c r="V9" i="16"/>
  <c r="T9" i="16"/>
  <c r="BM9" i="13"/>
  <c r="BN9" i="13"/>
  <c r="AA9" i="13"/>
  <c r="BL9" i="13"/>
  <c r="BD9" i="14"/>
  <c r="BI9" i="14"/>
  <c r="BK9" i="14"/>
  <c r="BJ9" i="14"/>
  <c r="BP9" i="12"/>
  <c r="BQ9" i="12"/>
  <c r="BO9" i="12"/>
  <c r="AM7" i="14"/>
  <c r="AB20" i="14" l="1"/>
  <c r="Z20" i="14"/>
  <c r="Z20" i="15"/>
  <c r="Z28" i="13"/>
  <c r="BN22" i="14"/>
  <c r="BL22" i="14"/>
  <c r="AA22" i="14"/>
  <c r="BM22" i="14"/>
  <c r="AM7" i="13"/>
  <c r="AM7" i="15"/>
  <c r="AB12" i="13"/>
  <c r="Z10" i="15"/>
  <c r="X16" i="15"/>
  <c r="AB16" i="15" s="1"/>
  <c r="Z12" i="14"/>
  <c r="AA12" i="14" s="1"/>
  <c r="BN30" i="12"/>
  <c r="Z30" i="14"/>
  <c r="AA30" i="14" s="1"/>
  <c r="Z15" i="15"/>
  <c r="BL15" i="15" s="1"/>
  <c r="BM16" i="12"/>
  <c r="BL16" i="12"/>
  <c r="BN16" i="12"/>
  <c r="AA16" i="12"/>
  <c r="AG16" i="12" s="1"/>
  <c r="X23" i="14"/>
  <c r="BJ23" i="14"/>
  <c r="BK23" i="14"/>
  <c r="BD23" i="14"/>
  <c r="BI23" i="14"/>
  <c r="Y16" i="15"/>
  <c r="AC16" i="15" s="1"/>
  <c r="BK16" i="15"/>
  <c r="BJ16" i="15"/>
  <c r="BD16" i="15"/>
  <c r="BI16" i="15"/>
  <c r="AB19" i="14"/>
  <c r="Z19" i="14"/>
  <c r="BM19" i="15"/>
  <c r="BL19" i="15"/>
  <c r="BN19" i="15" s="1"/>
  <c r="AA19" i="15"/>
  <c r="AM19" i="15" s="1"/>
  <c r="BK30" i="13"/>
  <c r="BK30" i="14"/>
  <c r="Y23" i="14"/>
  <c r="AC23" i="14" s="1"/>
  <c r="BJ19" i="14"/>
  <c r="BD19" i="14"/>
  <c r="BI19" i="14"/>
  <c r="BK19" i="14"/>
  <c r="BM19" i="13"/>
  <c r="BL19" i="13"/>
  <c r="BN19" i="13"/>
  <c r="AA19" i="13"/>
  <c r="AM19" i="13" s="1"/>
  <c r="BK12" i="13"/>
  <c r="Z29" i="15"/>
  <c r="BL29" i="15" s="1"/>
  <c r="AN9" i="12"/>
  <c r="AN30" i="12"/>
  <c r="BL30" i="15"/>
  <c r="AA30" i="15"/>
  <c r="BM30" i="15"/>
  <c r="BN29" i="15"/>
  <c r="AA28" i="15"/>
  <c r="BM28" i="15"/>
  <c r="BL28" i="15"/>
  <c r="BN28" i="15"/>
  <c r="AM28" i="15"/>
  <c r="AA27" i="15"/>
  <c r="AM27" i="15" s="1"/>
  <c r="BN27" i="15"/>
  <c r="BL27" i="15"/>
  <c r="BM27" i="15"/>
  <c r="BN26" i="15"/>
  <c r="BL26" i="15"/>
  <c r="AA26" i="15"/>
  <c r="AM26" i="15" s="1"/>
  <c r="BM26" i="15"/>
  <c r="BN25" i="15"/>
  <c r="AA25" i="15"/>
  <c r="AG25" i="15" s="1"/>
  <c r="BM25" i="15"/>
  <c r="BL25" i="15"/>
  <c r="AA24" i="15"/>
  <c r="AM24" i="15" s="1"/>
  <c r="BN24" i="15"/>
  <c r="BL24" i="15"/>
  <c r="BM24" i="15"/>
  <c r="BL23" i="15"/>
  <c r="BN23" i="15"/>
  <c r="BM23" i="15"/>
  <c r="AA23" i="15"/>
  <c r="AA23" i="13"/>
  <c r="AH23" i="13" s="1"/>
  <c r="AI23" i="13" s="1"/>
  <c r="BM23" i="13"/>
  <c r="BL23" i="13"/>
  <c r="BN23" i="13"/>
  <c r="AG23" i="13"/>
  <c r="AX23" i="12"/>
  <c r="AK23" i="12"/>
  <c r="BO23" i="12"/>
  <c r="BQ23" i="12"/>
  <c r="BP23" i="12"/>
  <c r="AB22" i="13"/>
  <c r="Z22" i="13"/>
  <c r="BM22" i="15"/>
  <c r="BL22" i="15"/>
  <c r="BN22" i="15"/>
  <c r="AA22" i="15"/>
  <c r="AM22" i="15" s="1"/>
  <c r="BQ22" i="12"/>
  <c r="BP22" i="12"/>
  <c r="BO22" i="12"/>
  <c r="AG22" i="12"/>
  <c r="AA21" i="15"/>
  <c r="AG21" i="15" s="1"/>
  <c r="AH21" i="15" s="1"/>
  <c r="AI21" i="15" s="1"/>
  <c r="BL21" i="15"/>
  <c r="BM21" i="15"/>
  <c r="BN21" i="15"/>
  <c r="AA20" i="15"/>
  <c r="AM20" i="15" s="1"/>
  <c r="BM20" i="15"/>
  <c r="BN20" i="15"/>
  <c r="BL20" i="15"/>
  <c r="BM18" i="15"/>
  <c r="BN18" i="15"/>
  <c r="AA18" i="15"/>
  <c r="AM18" i="15" s="1"/>
  <c r="BL18" i="15"/>
  <c r="BN17" i="15"/>
  <c r="BM17" i="15"/>
  <c r="BL17" i="15"/>
  <c r="AA17" i="15"/>
  <c r="AA15" i="15"/>
  <c r="AM15" i="15" s="1"/>
  <c r="AN25" i="12"/>
  <c r="BM14" i="15"/>
  <c r="BL14" i="15"/>
  <c r="BN14" i="15"/>
  <c r="AA14" i="15"/>
  <c r="BL13" i="15"/>
  <c r="BM13" i="15"/>
  <c r="BN13" i="15"/>
  <c r="AA13" i="15"/>
  <c r="AA12" i="15"/>
  <c r="AM12" i="15" s="1"/>
  <c r="BL12" i="15"/>
  <c r="BM12" i="15"/>
  <c r="BL11" i="15"/>
  <c r="BM11" i="15"/>
  <c r="AA11" i="15"/>
  <c r="BN11" i="15"/>
  <c r="AA10" i="15"/>
  <c r="BM10" i="15"/>
  <c r="BL10" i="15"/>
  <c r="BN10" i="15"/>
  <c r="AM10" i="15"/>
  <c r="BD31" i="15"/>
  <c r="AN27" i="15" s="1"/>
  <c r="BL9" i="15"/>
  <c r="BM9" i="15"/>
  <c r="AA9" i="15"/>
  <c r="BN9" i="15"/>
  <c r="BP30" i="14"/>
  <c r="BQ30" i="14"/>
  <c r="BO30" i="14"/>
  <c r="BO30" i="13"/>
  <c r="BQ30" i="13" s="1"/>
  <c r="BP30" i="13"/>
  <c r="AK30" i="12"/>
  <c r="AX30" i="12"/>
  <c r="BL30" i="14"/>
  <c r="BM30" i="14"/>
  <c r="BN30" i="14"/>
  <c r="AG30" i="14"/>
  <c r="AM30" i="14"/>
  <c r="AH30" i="14"/>
  <c r="AI30" i="14" s="1"/>
  <c r="BM30" i="13"/>
  <c r="BL30" i="13"/>
  <c r="AG30" i="13"/>
  <c r="BN30" i="13"/>
  <c r="AM30" i="13"/>
  <c r="AH30" i="13"/>
  <c r="AI30" i="13" s="1"/>
  <c r="BL29" i="13"/>
  <c r="BN29" i="13"/>
  <c r="BM29" i="13"/>
  <c r="AA29" i="13"/>
  <c r="AK29" i="12"/>
  <c r="AX29" i="12"/>
  <c r="BO29" i="14"/>
  <c r="BP29" i="14"/>
  <c r="BQ29" i="14"/>
  <c r="BN29" i="14"/>
  <c r="BM29" i="14"/>
  <c r="AG29" i="14"/>
  <c r="AH29" i="14" s="1"/>
  <c r="AI29" i="14" s="1"/>
  <c r="BL29" i="14"/>
  <c r="AM29" i="14"/>
  <c r="BN28" i="14"/>
  <c r="BM28" i="14"/>
  <c r="BL28" i="14"/>
  <c r="BL28" i="13"/>
  <c r="BN28" i="13"/>
  <c r="BM28" i="13"/>
  <c r="AA28" i="13"/>
  <c r="AX28" i="12"/>
  <c r="AK28" i="12"/>
  <c r="AA28" i="14"/>
  <c r="AK27" i="12"/>
  <c r="AX27" i="12"/>
  <c r="BL27" i="13"/>
  <c r="BM27" i="13"/>
  <c r="BN27" i="13"/>
  <c r="AA27" i="13"/>
  <c r="BP27" i="14"/>
  <c r="BO27" i="14"/>
  <c r="BQ27" i="14"/>
  <c r="BQ27" i="12"/>
  <c r="BP27" i="12"/>
  <c r="BO27" i="12"/>
  <c r="AM27" i="14"/>
  <c r="BN27" i="14"/>
  <c r="BM27" i="14"/>
  <c r="AG27" i="14"/>
  <c r="AH27" i="14" s="1"/>
  <c r="AI27" i="14" s="1"/>
  <c r="BL27" i="14"/>
  <c r="BQ26" i="14"/>
  <c r="BO26" i="14"/>
  <c r="BP26" i="14"/>
  <c r="BP26" i="13"/>
  <c r="BO26" i="13"/>
  <c r="BQ26" i="13"/>
  <c r="BL26" i="14"/>
  <c r="BN26" i="14"/>
  <c r="AG26" i="14"/>
  <c r="AM26" i="14"/>
  <c r="BM26" i="14"/>
  <c r="AH26" i="14"/>
  <c r="AI26" i="14" s="1"/>
  <c r="BO26" i="12"/>
  <c r="BP26" i="12"/>
  <c r="BQ26" i="12"/>
  <c r="BM26" i="13"/>
  <c r="BL26" i="13"/>
  <c r="BN26" i="13"/>
  <c r="AG26" i="13"/>
  <c r="AH26" i="13" s="1"/>
  <c r="AI26" i="13" s="1"/>
  <c r="AM26" i="13"/>
  <c r="AG26" i="12"/>
  <c r="BN25" i="13"/>
  <c r="BL25" i="13"/>
  <c r="BM25" i="13"/>
  <c r="AA25" i="13"/>
  <c r="AK25" i="12"/>
  <c r="AX25" i="12"/>
  <c r="BQ25" i="14"/>
  <c r="BO25" i="14"/>
  <c r="BP25" i="14"/>
  <c r="BM25" i="14"/>
  <c r="BL25" i="14"/>
  <c r="BN25" i="14"/>
  <c r="AM25" i="14"/>
  <c r="AG25" i="14"/>
  <c r="AH25" i="14" s="1"/>
  <c r="AI25" i="14" s="1"/>
  <c r="BP24" i="12"/>
  <c r="BQ24" i="12"/>
  <c r="BO24" i="12"/>
  <c r="BN24" i="13"/>
  <c r="BL24" i="13"/>
  <c r="BM24" i="13"/>
  <c r="AA24" i="13"/>
  <c r="AM24" i="13" s="1"/>
  <c r="BM24" i="14"/>
  <c r="BN24" i="14"/>
  <c r="BL24" i="14"/>
  <c r="AA24" i="14"/>
  <c r="AG24" i="12"/>
  <c r="BO21" i="14"/>
  <c r="BQ21" i="14"/>
  <c r="BP21" i="14"/>
  <c r="BN21" i="14"/>
  <c r="AG21" i="14"/>
  <c r="BL21" i="14"/>
  <c r="BM21" i="14"/>
  <c r="AM21" i="14"/>
  <c r="AH21" i="14"/>
  <c r="AI21" i="14" s="1"/>
  <c r="AK21" i="12"/>
  <c r="AX21" i="12"/>
  <c r="BN21" i="13"/>
  <c r="BM21" i="13"/>
  <c r="BL21" i="13"/>
  <c r="AA21" i="13"/>
  <c r="AM21" i="13" s="1"/>
  <c r="BL20" i="14"/>
  <c r="BM20" i="14"/>
  <c r="BN20" i="14"/>
  <c r="BN20" i="13"/>
  <c r="BL20" i="13"/>
  <c r="BM20" i="13"/>
  <c r="AA20" i="13"/>
  <c r="AK20" i="12"/>
  <c r="AX20" i="12"/>
  <c r="AA20" i="14"/>
  <c r="AM20" i="14" s="1"/>
  <c r="BO18" i="12"/>
  <c r="BP18" i="12"/>
  <c r="BQ18" i="12"/>
  <c r="BM18" i="14"/>
  <c r="BN18" i="14"/>
  <c r="AG18" i="14"/>
  <c r="AH18" i="14" s="1"/>
  <c r="AI18" i="14" s="1"/>
  <c r="AM18" i="14"/>
  <c r="BL18" i="14"/>
  <c r="BL18" i="13"/>
  <c r="BM18" i="13"/>
  <c r="BN18" i="13"/>
  <c r="AA18" i="13"/>
  <c r="AG18" i="13" s="1"/>
  <c r="AN21" i="12"/>
  <c r="AN29" i="12"/>
  <c r="AN16" i="12"/>
  <c r="AN26" i="12"/>
  <c r="AN20" i="12"/>
  <c r="AG18" i="12"/>
  <c r="BO18" i="14"/>
  <c r="BP18" i="14"/>
  <c r="BQ18" i="14"/>
  <c r="BQ17" i="14"/>
  <c r="BP17" i="14"/>
  <c r="BO17" i="14"/>
  <c r="AK17" i="12"/>
  <c r="AX17" i="12"/>
  <c r="BN17" i="14"/>
  <c r="AM17" i="14"/>
  <c r="BL17" i="14"/>
  <c r="BM17" i="14"/>
  <c r="AG17" i="14"/>
  <c r="AH17" i="14" s="1"/>
  <c r="AI17" i="14" s="1"/>
  <c r="BL17" i="13"/>
  <c r="BN17" i="13"/>
  <c r="BM17" i="13"/>
  <c r="AA17" i="13"/>
  <c r="AG17" i="13" s="1"/>
  <c r="BD31" i="13"/>
  <c r="AN17" i="13" s="1"/>
  <c r="AG16" i="14"/>
  <c r="BP16" i="14"/>
  <c r="BQ16" i="14"/>
  <c r="BO16" i="14"/>
  <c r="BM16" i="13"/>
  <c r="BL16" i="13"/>
  <c r="BN16" i="13"/>
  <c r="AA16" i="13"/>
  <c r="AG16" i="13" s="1"/>
  <c r="BL16" i="14"/>
  <c r="BM16" i="14"/>
  <c r="BN16" i="14"/>
  <c r="AM16" i="14"/>
  <c r="AH16" i="14"/>
  <c r="AI16" i="14" s="1"/>
  <c r="AN22" i="12"/>
  <c r="AN28" i="12"/>
  <c r="AN24" i="12"/>
  <c r="AK15" i="12"/>
  <c r="AX15" i="12"/>
  <c r="BP15" i="14"/>
  <c r="BQ15" i="14"/>
  <c r="BO15" i="14"/>
  <c r="BQ15" i="12"/>
  <c r="BP15" i="12"/>
  <c r="BO15" i="12"/>
  <c r="BM15" i="14"/>
  <c r="BL15" i="14"/>
  <c r="AG15" i="14"/>
  <c r="AH15" i="14" s="1"/>
  <c r="AI15" i="14" s="1"/>
  <c r="BN15" i="14"/>
  <c r="AM15" i="14"/>
  <c r="BM15" i="13"/>
  <c r="BL15" i="13"/>
  <c r="BN15" i="13"/>
  <c r="AA15" i="13"/>
  <c r="AG15" i="13" s="1"/>
  <c r="AN15" i="12"/>
  <c r="AN19" i="12"/>
  <c r="AN10" i="12"/>
  <c r="AN18" i="12"/>
  <c r="AN17" i="12"/>
  <c r="AN23" i="12"/>
  <c r="A7" i="12"/>
  <c r="D30" i="9" s="1"/>
  <c r="AN13" i="12"/>
  <c r="AN11" i="12"/>
  <c r="AN14" i="12"/>
  <c r="AN27" i="12"/>
  <c r="BO14" i="14"/>
  <c r="BQ14" i="14"/>
  <c r="BP14" i="14"/>
  <c r="AK14" i="12"/>
  <c r="AX14" i="12"/>
  <c r="BM14" i="13"/>
  <c r="BN14" i="13"/>
  <c r="BL14" i="13"/>
  <c r="AA14" i="13"/>
  <c r="BN14" i="14"/>
  <c r="BM14" i="14"/>
  <c r="AM14" i="14"/>
  <c r="BL14" i="14"/>
  <c r="AG14" i="14"/>
  <c r="AH14" i="14" s="1"/>
  <c r="AI14" i="14" s="1"/>
  <c r="BP13" i="14"/>
  <c r="BO13" i="14"/>
  <c r="BQ13" i="14"/>
  <c r="AK13" i="12"/>
  <c r="AX13" i="12"/>
  <c r="BL13" i="13"/>
  <c r="BM13" i="13"/>
  <c r="BN13" i="13"/>
  <c r="AA13" i="13"/>
  <c r="BL13" i="14"/>
  <c r="AM13" i="14"/>
  <c r="BM13" i="14"/>
  <c r="AG13" i="14"/>
  <c r="AH13" i="14" s="1"/>
  <c r="AI13" i="14" s="1"/>
  <c r="BO12" i="14"/>
  <c r="BQ12" i="14"/>
  <c r="BP12" i="14"/>
  <c r="BM12" i="13"/>
  <c r="BN12" i="13"/>
  <c r="BL12" i="13"/>
  <c r="AA12" i="13"/>
  <c r="BD31" i="14"/>
  <c r="A47" i="14" s="1"/>
  <c r="BO12" i="12"/>
  <c r="BP12" i="12"/>
  <c r="BQ12" i="12"/>
  <c r="BL12" i="14"/>
  <c r="BM12" i="14"/>
  <c r="AG12" i="14"/>
  <c r="AH12" i="14" s="1"/>
  <c r="AI12" i="14" s="1"/>
  <c r="BN12" i="14"/>
  <c r="AM12" i="14"/>
  <c r="AG12" i="12"/>
  <c r="AK11" i="12"/>
  <c r="AX11" i="12"/>
  <c r="BN11" i="13"/>
  <c r="BM11" i="13"/>
  <c r="BL11" i="13"/>
  <c r="AA11" i="13"/>
  <c r="BP11" i="14"/>
  <c r="BO11" i="14"/>
  <c r="BQ11" i="14"/>
  <c r="BN11" i="14"/>
  <c r="BM11" i="14"/>
  <c r="BL11" i="14"/>
  <c r="AM11" i="14"/>
  <c r="AG11" i="14"/>
  <c r="AH11" i="14" s="1"/>
  <c r="AI11" i="14" s="1"/>
  <c r="AN19" i="13"/>
  <c r="AN25" i="13"/>
  <c r="AN22" i="13"/>
  <c r="AN11" i="13"/>
  <c r="AN16" i="13"/>
  <c r="BO10" i="14"/>
  <c r="BQ10" i="14"/>
  <c r="BP10" i="14"/>
  <c r="BL10" i="13"/>
  <c r="BM10" i="13"/>
  <c r="BN10" i="13"/>
  <c r="AA10" i="13"/>
  <c r="AM10" i="13" s="1"/>
  <c r="AK10" i="12"/>
  <c r="AX10" i="12"/>
  <c r="BM10" i="14"/>
  <c r="BN10" i="14"/>
  <c r="BL10" i="14"/>
  <c r="AG10" i="14"/>
  <c r="AH10" i="14" s="1"/>
  <c r="AI10" i="14" s="1"/>
  <c r="AM10" i="14"/>
  <c r="AI40" i="15"/>
  <c r="A47" i="15"/>
  <c r="AI40" i="14"/>
  <c r="BQ9" i="13"/>
  <c r="BO9" i="13"/>
  <c r="AM9" i="13"/>
  <c r="AG9" i="13"/>
  <c r="AH9" i="13" s="1"/>
  <c r="AI9" i="13" s="1"/>
  <c r="BP9" i="13"/>
  <c r="BO9" i="14"/>
  <c r="BP9" i="14"/>
  <c r="BQ9" i="14"/>
  <c r="A47" i="12"/>
  <c r="D29" i="9" s="1"/>
  <c r="AI40" i="13"/>
  <c r="BN9" i="14"/>
  <c r="BL9" i="14"/>
  <c r="BM9" i="14"/>
  <c r="AM9" i="14"/>
  <c r="AG9" i="14"/>
  <c r="AH9" i="14" s="1"/>
  <c r="AI9" i="14" s="1"/>
  <c r="AN14" i="13" l="1"/>
  <c r="AG20" i="15"/>
  <c r="AH20" i="15"/>
  <c r="AI20" i="15" s="1"/>
  <c r="Z16" i="15"/>
  <c r="AM22" i="14"/>
  <c r="AG22" i="14"/>
  <c r="BP22" i="14"/>
  <c r="BQ22" i="14"/>
  <c r="AH22" i="14"/>
  <c r="AI22" i="14" s="1"/>
  <c r="BO22" i="14"/>
  <c r="BM15" i="15"/>
  <c r="AN29" i="13"/>
  <c r="AN13" i="13"/>
  <c r="AN24" i="13"/>
  <c r="AN9" i="13"/>
  <c r="AN10" i="13"/>
  <c r="AN18" i="13"/>
  <c r="A47" i="13"/>
  <c r="AN27" i="14"/>
  <c r="AN20" i="13"/>
  <c r="AN21" i="13"/>
  <c r="AN27" i="13"/>
  <c r="AN30" i="13"/>
  <c r="AN28" i="13"/>
  <c r="BN15" i="15"/>
  <c r="AM23" i="13"/>
  <c r="AN23" i="13"/>
  <c r="AN15" i="13"/>
  <c r="AN12" i="13"/>
  <c r="AN26" i="13"/>
  <c r="AH25" i="15"/>
  <c r="AI25" i="15" s="1"/>
  <c r="AK16" i="12"/>
  <c r="AX16" i="12"/>
  <c r="BP19" i="15"/>
  <c r="BO19" i="15"/>
  <c r="BQ19" i="15" s="1"/>
  <c r="AB23" i="14"/>
  <c r="Z23" i="14"/>
  <c r="AG18" i="15"/>
  <c r="AX18" i="15" s="1"/>
  <c r="AG19" i="15"/>
  <c r="BL19" i="14"/>
  <c r="BN19" i="14"/>
  <c r="BM19" i="14"/>
  <c r="AA19" i="14"/>
  <c r="AM19" i="14" s="1"/>
  <c r="BN16" i="15"/>
  <c r="AA16" i="15"/>
  <c r="BL16" i="15"/>
  <c r="BM16" i="15"/>
  <c r="BP19" i="13"/>
  <c r="BO19" i="13"/>
  <c r="BQ19" i="13"/>
  <c r="AG19" i="13"/>
  <c r="BP16" i="12"/>
  <c r="BO16" i="12"/>
  <c r="BQ16" i="12"/>
  <c r="BN30" i="15"/>
  <c r="BM29" i="15"/>
  <c r="AA29" i="15"/>
  <c r="BP29" i="15" s="1"/>
  <c r="BN12" i="15"/>
  <c r="AN25" i="14"/>
  <c r="AN15" i="14"/>
  <c r="AN20" i="14"/>
  <c r="AN19" i="14"/>
  <c r="AN18" i="14"/>
  <c r="AN29" i="14"/>
  <c r="AN22" i="14"/>
  <c r="AN30" i="14"/>
  <c r="AN12" i="14"/>
  <c r="AN23" i="14"/>
  <c r="AN21" i="14"/>
  <c r="AN10" i="14"/>
  <c r="AN9" i="14"/>
  <c r="AN16" i="14"/>
  <c r="AN24" i="14"/>
  <c r="AN14" i="14"/>
  <c r="AN13" i="14"/>
  <c r="AN26" i="14"/>
  <c r="AN17" i="14"/>
  <c r="AN11" i="14"/>
  <c r="AN28" i="14"/>
  <c r="BN13" i="14"/>
  <c r="AM30" i="15"/>
  <c r="AG30" i="15"/>
  <c r="AH30" i="15" s="1"/>
  <c r="AI30" i="15" s="1"/>
  <c r="BP30" i="15"/>
  <c r="BO30" i="15"/>
  <c r="BQ30" i="15"/>
  <c r="BO29" i="15"/>
  <c r="AG28" i="15"/>
  <c r="BO28" i="15"/>
  <c r="BQ28" i="15"/>
  <c r="BP28" i="15"/>
  <c r="AG27" i="15"/>
  <c r="BP27" i="15"/>
  <c r="BQ27" i="15"/>
  <c r="BO27" i="15"/>
  <c r="BO26" i="15"/>
  <c r="BP26" i="15"/>
  <c r="BQ26" i="15"/>
  <c r="AG26" i="15"/>
  <c r="AH26" i="15" s="1"/>
  <c r="AI26" i="15" s="1"/>
  <c r="AX25" i="15"/>
  <c r="BC25" i="15" s="1"/>
  <c r="AK25" i="15"/>
  <c r="AM25" i="15"/>
  <c r="BP25" i="15"/>
  <c r="BQ25" i="15"/>
  <c r="BO25" i="15"/>
  <c r="BO24" i="15"/>
  <c r="BQ24" i="15"/>
  <c r="BP24" i="15"/>
  <c r="AG24" i="15"/>
  <c r="AH24" i="15" s="1"/>
  <c r="AI24" i="15" s="1"/>
  <c r="BP23" i="15"/>
  <c r="BQ23" i="15"/>
  <c r="BO23" i="15"/>
  <c r="AM23" i="15"/>
  <c r="AK23" i="13"/>
  <c r="AX23" i="13"/>
  <c r="BC23" i="13" s="1"/>
  <c r="BQ23" i="13"/>
  <c r="BO23" i="13"/>
  <c r="BP23" i="13"/>
  <c r="AG23" i="15"/>
  <c r="AH23" i="15" s="1"/>
  <c r="AI23" i="15" s="1"/>
  <c r="AX22" i="12"/>
  <c r="AK22" i="12"/>
  <c r="AG22" i="15"/>
  <c r="BP22" i="15"/>
  <c r="BQ22" i="15"/>
  <c r="BO22" i="15"/>
  <c r="BN22" i="13"/>
  <c r="BL22" i="13"/>
  <c r="BM22" i="13"/>
  <c r="AA22" i="13"/>
  <c r="AX21" i="15"/>
  <c r="BC21" i="15" s="1"/>
  <c r="AK21" i="15"/>
  <c r="AM21" i="15"/>
  <c r="BQ21" i="15"/>
  <c r="BP21" i="15"/>
  <c r="BO21" i="15"/>
  <c r="AK20" i="15"/>
  <c r="AX20" i="15"/>
  <c r="BC20" i="15" s="1"/>
  <c r="BO20" i="15"/>
  <c r="BP20" i="15"/>
  <c r="BQ20" i="15"/>
  <c r="AH18" i="13"/>
  <c r="AI18" i="13" s="1"/>
  <c r="BQ18" i="15"/>
  <c r="BP18" i="15"/>
  <c r="BO18" i="15"/>
  <c r="AG17" i="15"/>
  <c r="AH17" i="15" s="1"/>
  <c r="AI17" i="15" s="1"/>
  <c r="BO17" i="15"/>
  <c r="BP17" i="15"/>
  <c r="BQ17" i="15"/>
  <c r="AM17" i="15"/>
  <c r="AG15" i="15"/>
  <c r="BO15" i="15"/>
  <c r="BP15" i="15"/>
  <c r="BQ15" i="15"/>
  <c r="AM14" i="15"/>
  <c r="BP14" i="15"/>
  <c r="BQ14" i="15"/>
  <c r="BO14" i="15"/>
  <c r="AG14" i="15"/>
  <c r="BO13" i="15"/>
  <c r="BQ13" i="15"/>
  <c r="AM13" i="15"/>
  <c r="BP13" i="15"/>
  <c r="AG13" i="15"/>
  <c r="AH13" i="15" s="1"/>
  <c r="AI13" i="15" s="1"/>
  <c r="AN21" i="15"/>
  <c r="AG12" i="15"/>
  <c r="BQ12" i="15"/>
  <c r="BP12" i="15"/>
  <c r="BO12" i="15"/>
  <c r="AN22" i="15"/>
  <c r="BO11" i="15"/>
  <c r="BP11" i="15"/>
  <c r="BQ11" i="15"/>
  <c r="AN29" i="15"/>
  <c r="AN23" i="15"/>
  <c r="AN26" i="15"/>
  <c r="AG11" i="15"/>
  <c r="AH11" i="15" s="1"/>
  <c r="AI11" i="15" s="1"/>
  <c r="AM11" i="15"/>
  <c r="AN16" i="15"/>
  <c r="AN28" i="15"/>
  <c r="AN19" i="15"/>
  <c r="AN20" i="15"/>
  <c r="AN12" i="15"/>
  <c r="AN11" i="15"/>
  <c r="AG10" i="15"/>
  <c r="BO10" i="15"/>
  <c r="BQ10" i="15"/>
  <c r="BP10" i="15"/>
  <c r="AN24" i="15"/>
  <c r="AN18" i="15"/>
  <c r="AN15" i="15"/>
  <c r="AN17" i="15"/>
  <c r="AN30" i="15"/>
  <c r="A7" i="15"/>
  <c r="AN10" i="15"/>
  <c r="AN25" i="15"/>
  <c r="AN13" i="15"/>
  <c r="AN9" i="15"/>
  <c r="AN14" i="15"/>
  <c r="BO9" i="15"/>
  <c r="BP9" i="15"/>
  <c r="BQ9" i="15"/>
  <c r="AM9" i="15"/>
  <c r="AG9" i="15"/>
  <c r="AK30" i="13"/>
  <c r="AX30" i="13"/>
  <c r="BC30" i="13" s="1"/>
  <c r="AX30" i="14"/>
  <c r="BC30" i="14" s="1"/>
  <c r="AK30" i="14"/>
  <c r="AK29" i="14"/>
  <c r="AX29" i="14"/>
  <c r="BC29" i="14" s="1"/>
  <c r="BQ29" i="13"/>
  <c r="BP29" i="13"/>
  <c r="BO29" i="13"/>
  <c r="AG29" i="13"/>
  <c r="AH29" i="13"/>
  <c r="AI29" i="13" s="1"/>
  <c r="AM29" i="13"/>
  <c r="BQ28" i="13"/>
  <c r="BP28" i="13"/>
  <c r="BO28" i="13"/>
  <c r="AG28" i="13"/>
  <c r="AM28" i="13"/>
  <c r="BO28" i="14"/>
  <c r="BQ28" i="14"/>
  <c r="BP28" i="14"/>
  <c r="AH28" i="13"/>
  <c r="AI28" i="13" s="1"/>
  <c r="AG28" i="14"/>
  <c r="AH28" i="14" s="1"/>
  <c r="AI28" i="14" s="1"/>
  <c r="AM28" i="14"/>
  <c r="AX27" i="14"/>
  <c r="BC27" i="14" s="1"/>
  <c r="AK27" i="14"/>
  <c r="BP27" i="13"/>
  <c r="BQ27" i="13"/>
  <c r="BO27" i="13"/>
  <c r="AG27" i="13"/>
  <c r="AH27" i="13"/>
  <c r="AI27" i="13" s="1"/>
  <c r="AM27" i="13"/>
  <c r="AK26" i="14"/>
  <c r="AX26" i="14"/>
  <c r="BC26" i="14" s="1"/>
  <c r="AX26" i="12"/>
  <c r="AK26" i="12"/>
  <c r="AX26" i="13"/>
  <c r="BC26" i="13" s="1"/>
  <c r="AK26" i="13"/>
  <c r="BQ25" i="13"/>
  <c r="BO25" i="13"/>
  <c r="BP25" i="13"/>
  <c r="AG25" i="13"/>
  <c r="AK25" i="14"/>
  <c r="AX25" i="14"/>
  <c r="BC25" i="14" s="1"/>
  <c r="AH25" i="13"/>
  <c r="AI25" i="13" s="1"/>
  <c r="AM25" i="13"/>
  <c r="BO24" i="14"/>
  <c r="BP24" i="14"/>
  <c r="BQ24" i="14"/>
  <c r="AG24" i="14"/>
  <c r="AH24" i="14" s="1"/>
  <c r="AI24" i="14" s="1"/>
  <c r="AX24" i="12"/>
  <c r="AK24" i="12"/>
  <c r="BP24" i="13"/>
  <c r="BO24" i="13"/>
  <c r="BQ24" i="13"/>
  <c r="AM24" i="14"/>
  <c r="AG24" i="13"/>
  <c r="AH24" i="13" s="1"/>
  <c r="AI24" i="13" s="1"/>
  <c r="AX21" i="14"/>
  <c r="BC21" i="14" s="1"/>
  <c r="AK21" i="14"/>
  <c r="BQ21" i="13"/>
  <c r="BP21" i="13"/>
  <c r="BO21" i="13"/>
  <c r="AG21" i="13"/>
  <c r="AH21" i="13" s="1"/>
  <c r="AI21" i="13" s="1"/>
  <c r="BQ20" i="13"/>
  <c r="BP20" i="13"/>
  <c r="BO20" i="13"/>
  <c r="AG20" i="13"/>
  <c r="BP20" i="14"/>
  <c r="BQ20" i="14"/>
  <c r="BO20" i="14"/>
  <c r="AH20" i="13"/>
  <c r="AI20" i="13" s="1"/>
  <c r="AM20" i="13"/>
  <c r="AG20" i="14"/>
  <c r="AH20" i="14"/>
  <c r="AI20" i="14" s="1"/>
  <c r="AK18" i="13"/>
  <c r="AX18" i="13"/>
  <c r="AK18" i="12"/>
  <c r="AX18" i="12"/>
  <c r="BO18" i="13"/>
  <c r="BQ18" i="13"/>
  <c r="BP18" i="13"/>
  <c r="AK18" i="14"/>
  <c r="AX18" i="14"/>
  <c r="BC18" i="14" s="1"/>
  <c r="AM18" i="13"/>
  <c r="AH17" i="13"/>
  <c r="AI17" i="13" s="1"/>
  <c r="AX17" i="13"/>
  <c r="AK17" i="13"/>
  <c r="AX17" i="14"/>
  <c r="BC17" i="14" s="1"/>
  <c r="AK17" i="14"/>
  <c r="BO17" i="13"/>
  <c r="BQ17" i="13"/>
  <c r="BP17" i="13"/>
  <c r="AM17" i="13"/>
  <c r="AK16" i="13"/>
  <c r="AX16" i="13"/>
  <c r="AK16" i="14"/>
  <c r="AX16" i="14"/>
  <c r="BC16" i="14" s="1"/>
  <c r="AM16" i="13"/>
  <c r="BQ16" i="13"/>
  <c r="BP16" i="13"/>
  <c r="BO16" i="13"/>
  <c r="AH16" i="13"/>
  <c r="AI16" i="13" s="1"/>
  <c r="BQ15" i="13"/>
  <c r="BP15" i="13"/>
  <c r="BO15" i="13"/>
  <c r="AM15" i="13"/>
  <c r="AX15" i="13"/>
  <c r="AK15" i="13"/>
  <c r="AX15" i="14"/>
  <c r="BC15" i="14" s="1"/>
  <c r="AK15" i="14"/>
  <c r="AH15" i="13"/>
  <c r="AI15" i="13" s="1"/>
  <c r="AM14" i="13"/>
  <c r="AK14" i="14"/>
  <c r="AX14" i="14"/>
  <c r="BC14" i="14" s="1"/>
  <c r="BQ14" i="13"/>
  <c r="BP14" i="13"/>
  <c r="BO14" i="13"/>
  <c r="AG14" i="13"/>
  <c r="AH14" i="13" s="1"/>
  <c r="AI14" i="13" s="1"/>
  <c r="AX13" i="14"/>
  <c r="BC13" i="14" s="1"/>
  <c r="AK13" i="14"/>
  <c r="BO13" i="13"/>
  <c r="BQ13" i="13"/>
  <c r="BP13" i="13"/>
  <c r="AG13" i="13"/>
  <c r="AH13" i="13"/>
  <c r="AI13" i="13" s="1"/>
  <c r="AM13" i="13"/>
  <c r="AK12" i="12"/>
  <c r="AX12" i="12"/>
  <c r="AX12" i="14"/>
  <c r="BC12" i="14" s="1"/>
  <c r="AK12" i="14"/>
  <c r="BQ12" i="13"/>
  <c r="BP12" i="13"/>
  <c r="BO12" i="13"/>
  <c r="AG12" i="13"/>
  <c r="AH12" i="13" s="1"/>
  <c r="AI12" i="13" s="1"/>
  <c r="AM12" i="13"/>
  <c r="BP11" i="13"/>
  <c r="BQ11" i="13"/>
  <c r="BO11" i="13"/>
  <c r="AK11" i="14"/>
  <c r="AX11" i="14"/>
  <c r="BC11" i="14" s="1"/>
  <c r="AM11" i="13"/>
  <c r="AG11" i="13"/>
  <c r="AH11" i="13" s="1"/>
  <c r="AI11" i="13" s="1"/>
  <c r="AG10" i="13"/>
  <c r="AK10" i="14"/>
  <c r="AX10" i="14"/>
  <c r="BC10" i="14" s="1"/>
  <c r="BQ10" i="13"/>
  <c r="BP10" i="13"/>
  <c r="BO10" i="13"/>
  <c r="AH10" i="13"/>
  <c r="AI10" i="13" s="1"/>
  <c r="AK9" i="13"/>
  <c r="AX9" i="13"/>
  <c r="AX9" i="14"/>
  <c r="AK9" i="14"/>
  <c r="BQ29" i="15" l="1"/>
  <c r="AX22" i="14"/>
  <c r="BC22" i="14" s="1"/>
  <c r="AK22" i="14"/>
  <c r="AH18" i="15"/>
  <c r="AI18" i="15" s="1"/>
  <c r="BC18" i="13"/>
  <c r="AK18" i="15"/>
  <c r="AG16" i="15"/>
  <c r="AH16" i="15" s="1"/>
  <c r="AI16" i="15" s="1"/>
  <c r="AM16" i="15"/>
  <c r="BQ16" i="15"/>
  <c r="BP16" i="15"/>
  <c r="BO16" i="15"/>
  <c r="AX19" i="15"/>
  <c r="AK19" i="15"/>
  <c r="AH19" i="15"/>
  <c r="AI19" i="15" s="1"/>
  <c r="AX31" i="12"/>
  <c r="AH22" i="12" s="1"/>
  <c r="AA23" i="14"/>
  <c r="AG23" i="14" s="1"/>
  <c r="BN23" i="14"/>
  <c r="BL23" i="14"/>
  <c r="BM23" i="14"/>
  <c r="AH19" i="13"/>
  <c r="AI19" i="13" s="1"/>
  <c r="AX19" i="13"/>
  <c r="AK19" i="13"/>
  <c r="AG19" i="14"/>
  <c r="BO19" i="14"/>
  <c r="BP19" i="14"/>
  <c r="BQ19" i="14"/>
  <c r="AM29" i="15"/>
  <c r="AG29" i="15"/>
  <c r="AH29" i="15" s="1"/>
  <c r="AI29" i="15" s="1"/>
  <c r="BC17" i="13"/>
  <c r="AK30" i="15"/>
  <c r="AX30" i="15"/>
  <c r="BC30" i="15" s="1"/>
  <c r="AX28" i="15"/>
  <c r="AK28" i="15"/>
  <c r="AH28" i="15"/>
  <c r="AI28" i="15" s="1"/>
  <c r="AX27" i="15"/>
  <c r="AK27" i="15"/>
  <c r="AH27" i="15"/>
  <c r="AI27" i="15" s="1"/>
  <c r="AK26" i="15"/>
  <c r="AX26" i="15"/>
  <c r="BC26" i="15" s="1"/>
  <c r="AX24" i="15"/>
  <c r="BC24" i="15" s="1"/>
  <c r="AK24" i="15"/>
  <c r="AX23" i="15"/>
  <c r="BC23" i="15" s="1"/>
  <c r="AK23" i="15"/>
  <c r="BQ22" i="13"/>
  <c r="BP22" i="13"/>
  <c r="BO22" i="13"/>
  <c r="AX22" i="15"/>
  <c r="AK22" i="15"/>
  <c r="AH22" i="15"/>
  <c r="AI22" i="15" s="1"/>
  <c r="AM22" i="13"/>
  <c r="AH22" i="13"/>
  <c r="AI22" i="13" s="1"/>
  <c r="AK31" i="13" s="1"/>
  <c r="AG22" i="13"/>
  <c r="BC18" i="15"/>
  <c r="AX17" i="15"/>
  <c r="BC17" i="15" s="1"/>
  <c r="AK17" i="15"/>
  <c r="AH10" i="12"/>
  <c r="AM9" i="12"/>
  <c r="AK15" i="15"/>
  <c r="AX15" i="15"/>
  <c r="AH15" i="15"/>
  <c r="AI15" i="15" s="1"/>
  <c r="AM10" i="12"/>
  <c r="AM13" i="12"/>
  <c r="AM23" i="12"/>
  <c r="AM28" i="12"/>
  <c r="AK14" i="15"/>
  <c r="AX14" i="15"/>
  <c r="AH14" i="15"/>
  <c r="AI14" i="15" s="1"/>
  <c r="AH9" i="12"/>
  <c r="AI9" i="12" s="1"/>
  <c r="AH19" i="12"/>
  <c r="AI19" i="12" s="1"/>
  <c r="AH28" i="12"/>
  <c r="AM16" i="12"/>
  <c r="AM18" i="12"/>
  <c r="AH27" i="12"/>
  <c r="AI27" i="12" s="1"/>
  <c r="AM27" i="12"/>
  <c r="AM15" i="12"/>
  <c r="AH17" i="12"/>
  <c r="AI17" i="12" s="1"/>
  <c r="AM20" i="12"/>
  <c r="AM11" i="12"/>
  <c r="AM29" i="12"/>
  <c r="AH21" i="12"/>
  <c r="BC21" i="12" s="1"/>
  <c r="W29" i="9"/>
  <c r="AH13" i="12"/>
  <c r="AH24" i="12"/>
  <c r="AM25" i="12"/>
  <c r="AH11" i="12"/>
  <c r="AI11" i="12" s="1"/>
  <c r="AM12" i="12"/>
  <c r="AH25" i="12"/>
  <c r="AX13" i="15"/>
  <c r="BC13" i="15" s="1"/>
  <c r="AK13" i="15"/>
  <c r="AH18" i="12"/>
  <c r="AI18" i="12" s="1"/>
  <c r="AM14" i="12"/>
  <c r="AM19" i="12"/>
  <c r="AK12" i="15"/>
  <c r="AX12" i="15"/>
  <c r="AH12" i="15"/>
  <c r="AI12" i="15" s="1"/>
  <c r="AM30" i="12"/>
  <c r="AH20" i="12"/>
  <c r="AI20" i="12" s="1"/>
  <c r="AM21" i="12"/>
  <c r="AH30" i="12"/>
  <c r="AI30" i="12" s="1"/>
  <c r="AX11" i="15"/>
  <c r="BC11" i="15" s="1"/>
  <c r="AK11" i="15"/>
  <c r="AH23" i="12"/>
  <c r="AI23" i="12" s="1"/>
  <c r="AM24" i="12"/>
  <c r="AH14" i="12"/>
  <c r="AI14" i="12" s="1"/>
  <c r="AX10" i="15"/>
  <c r="AK10" i="15"/>
  <c r="AH10" i="15"/>
  <c r="AI10" i="15" s="1"/>
  <c r="AM17" i="12"/>
  <c r="AX9" i="15"/>
  <c r="AK9" i="15"/>
  <c r="AH9" i="15"/>
  <c r="AI9" i="15" s="1"/>
  <c r="AM26" i="12"/>
  <c r="AH26" i="12"/>
  <c r="AI26" i="12" s="1"/>
  <c r="AX29" i="13"/>
  <c r="BC29" i="13" s="1"/>
  <c r="AK29" i="13"/>
  <c r="AK28" i="14"/>
  <c r="AX28" i="14"/>
  <c r="BC28" i="14" s="1"/>
  <c r="AX28" i="13"/>
  <c r="BC28" i="13" s="1"/>
  <c r="AK28" i="13"/>
  <c r="AX27" i="13"/>
  <c r="BC27" i="13" s="1"/>
  <c r="AK27" i="13"/>
  <c r="AK25" i="13"/>
  <c r="AX25" i="13"/>
  <c r="BC25" i="13" s="1"/>
  <c r="AX24" i="13"/>
  <c r="BC24" i="13" s="1"/>
  <c r="AK24" i="13"/>
  <c r="AK24" i="14"/>
  <c r="AX24" i="14"/>
  <c r="BC24" i="14" s="1"/>
  <c r="AK21" i="13"/>
  <c r="AX21" i="13"/>
  <c r="BC21" i="13" s="1"/>
  <c r="AH16" i="12"/>
  <c r="AI16" i="12" s="1"/>
  <c r="AH29" i="12"/>
  <c r="AI29" i="12" s="1"/>
  <c r="AM22" i="12"/>
  <c r="AK20" i="14"/>
  <c r="AX20" i="14"/>
  <c r="BC20" i="14" s="1"/>
  <c r="AX20" i="13"/>
  <c r="BC20" i="13" s="1"/>
  <c r="AK20" i="13"/>
  <c r="AH12" i="12"/>
  <c r="AI12" i="12" s="1"/>
  <c r="AH15" i="12"/>
  <c r="AI15" i="12" s="1"/>
  <c r="BC16" i="13"/>
  <c r="BC15" i="13"/>
  <c r="AX14" i="13"/>
  <c r="BC14" i="13" s="1"/>
  <c r="AK14" i="13"/>
  <c r="AX13" i="13"/>
  <c r="BC13" i="13" s="1"/>
  <c r="AK13" i="13"/>
  <c r="AX12" i="13"/>
  <c r="BC12" i="13" s="1"/>
  <c r="AK12" i="13"/>
  <c r="AK11" i="13"/>
  <c r="AX11" i="13"/>
  <c r="BC11" i="13" s="1"/>
  <c r="AK10" i="13"/>
  <c r="AX10" i="13"/>
  <c r="BC10" i="13" s="1"/>
  <c r="BC9" i="14"/>
  <c r="BC19" i="12"/>
  <c r="AI10" i="12"/>
  <c r="BC10" i="12"/>
  <c r="AI28" i="12"/>
  <c r="BC28" i="12"/>
  <c r="BC20" i="12"/>
  <c r="AI22" i="12"/>
  <c r="BC22" i="12"/>
  <c r="AI21" i="12"/>
  <c r="AI13" i="12"/>
  <c r="BC13" i="12"/>
  <c r="AI24" i="12"/>
  <c r="BC24" i="12"/>
  <c r="AI25" i="12"/>
  <c r="BC25" i="12"/>
  <c r="BC9" i="13"/>
  <c r="BC19" i="13" l="1"/>
  <c r="BC11" i="12"/>
  <c r="BC19" i="15"/>
  <c r="BC27" i="12"/>
  <c r="BC29" i="12"/>
  <c r="BC26" i="12"/>
  <c r="AX23" i="14"/>
  <c r="AK23" i="14"/>
  <c r="BO23" i="14"/>
  <c r="BQ23" i="14"/>
  <c r="BP23" i="14"/>
  <c r="BC17" i="12"/>
  <c r="BC30" i="12"/>
  <c r="BC9" i="12"/>
  <c r="AH19" i="14"/>
  <c r="AI19" i="14" s="1"/>
  <c r="AK19" i="14"/>
  <c r="AX19" i="14"/>
  <c r="AM23" i="14"/>
  <c r="AK16" i="15"/>
  <c r="AX16" i="15"/>
  <c r="BC16" i="15" s="1"/>
  <c r="AH23" i="14"/>
  <c r="AI23" i="14" s="1"/>
  <c r="AK29" i="15"/>
  <c r="AX29" i="15"/>
  <c r="BC29" i="15" s="1"/>
  <c r="BC18" i="12"/>
  <c r="BC23" i="12"/>
  <c r="BC15" i="12"/>
  <c r="BC14" i="12"/>
  <c r="BC16" i="12"/>
  <c r="AE30" i="9"/>
  <c r="AK31" i="15"/>
  <c r="BC28" i="15"/>
  <c r="BC27" i="15"/>
  <c r="AK22" i="13"/>
  <c r="AX22" i="13"/>
  <c r="BC22" i="15"/>
  <c r="BC15" i="15"/>
  <c r="BC14" i="15"/>
  <c r="BC12" i="15"/>
  <c r="BC10" i="15"/>
  <c r="BC12" i="12"/>
  <c r="AX31" i="15"/>
  <c r="BC9" i="15"/>
  <c r="BC19" i="14" l="1"/>
  <c r="AX31" i="14"/>
  <c r="AK31" i="14"/>
  <c r="BC23" i="14"/>
  <c r="D31" i="9"/>
  <c r="BC22" i="13"/>
  <c r="AX31" i="13"/>
  <c r="AG33" i="15"/>
  <c r="G33" i="15"/>
  <c r="AG31" i="15"/>
  <c r="AG32" i="15" s="1"/>
  <c r="AG34" i="15" s="1"/>
  <c r="AG41" i="15"/>
  <c r="AG41" i="14" l="1"/>
  <c r="AG31" i="14"/>
  <c r="AG32" i="14"/>
  <c r="AG34" i="14" s="1"/>
  <c r="G33" i="14"/>
  <c r="AG33" i="14"/>
  <c r="AG32" i="13"/>
  <c r="AG34" i="13" s="1"/>
  <c r="AG33" i="13"/>
  <c r="G33" i="13"/>
  <c r="AG41" i="13"/>
  <c r="AG31" i="13"/>
</calcChain>
</file>

<file path=xl/sharedStrings.xml><?xml version="1.0" encoding="utf-8"?>
<sst xmlns="http://schemas.openxmlformats.org/spreadsheetml/2006/main" count="750" uniqueCount="253">
  <si>
    <t xml:space="preserve">  AMELOGENINA</t>
  </si>
  <si>
    <t>M1-FIN</t>
  </si>
  <si>
    <t>M1 AJ-2</t>
  </si>
  <si>
    <t>M1 AJ-3</t>
  </si>
  <si>
    <t>M1 AJ-4</t>
  </si>
  <si>
    <t>M1 AJ-5</t>
  </si>
  <si>
    <t>M1 AJ-6</t>
  </si>
  <si>
    <t>M2 AJ-2</t>
  </si>
  <si>
    <t>M2 AJ-3</t>
  </si>
  <si>
    <t>M2 AJ-4</t>
  </si>
  <si>
    <t>M2 AJ-5</t>
  </si>
  <si>
    <t>M2 AJ-6</t>
  </si>
  <si>
    <t>M2-FIN</t>
  </si>
  <si>
    <t>M2 AJ-1</t>
  </si>
  <si>
    <t>C1 AJ-2</t>
  </si>
  <si>
    <t>C1 AJ-3</t>
  </si>
  <si>
    <t>C1 AJ-4</t>
  </si>
  <si>
    <t>C1 AJ-5</t>
  </si>
  <si>
    <t>C1 AJ-6</t>
  </si>
  <si>
    <t>C1-FIN</t>
  </si>
  <si>
    <t>C1 AJ-1</t>
  </si>
  <si>
    <t>C2 AJ-2</t>
  </si>
  <si>
    <t>C2 AJ-3</t>
  </si>
  <si>
    <t>C2 AJ-4</t>
  </si>
  <si>
    <t>C2 AJ-5</t>
  </si>
  <si>
    <t>C2 AJ-6</t>
  </si>
  <si>
    <t>C2-FIN</t>
  </si>
  <si>
    <t>C2 AJ-1</t>
  </si>
  <si>
    <t>SP1 AJ-2</t>
  </si>
  <si>
    <t>SP1 AJ-3</t>
  </si>
  <si>
    <t>SP1 AJ-4</t>
  </si>
  <si>
    <t>SP1 AJ-5</t>
  </si>
  <si>
    <t>SP1 AJ-6</t>
  </si>
  <si>
    <t>SP1-FIN</t>
  </si>
  <si>
    <t>SP1 AJ-1</t>
  </si>
  <si>
    <t>SP2 AJ-2</t>
  </si>
  <si>
    <t>SP2 AJ-3</t>
  </si>
  <si>
    <t>SP2 AJ-4</t>
  </si>
  <si>
    <t>SP2 AJ-5</t>
  </si>
  <si>
    <t>SP2 AJ-6</t>
  </si>
  <si>
    <t>SP2-FIN</t>
  </si>
  <si>
    <t>SP2 AJ-1</t>
  </si>
  <si>
    <t>DADOS AJUSTADOS</t>
  </si>
  <si>
    <t>VERIFICAÇÃO - HIPÓTESE: REPETIÇÃO ALÉLICA</t>
  </si>
  <si>
    <t>INCLUSÃO</t>
  </si>
  <si>
    <t>VERIFICAR</t>
  </si>
  <si>
    <t xml:space="preserve">COMPARTILHAMENTOS:   </t>
  </si>
  <si>
    <t>ANÁL. MATERNIDADE:</t>
  </si>
  <si>
    <t>ANÁL. PATERNIDADE:</t>
  </si>
  <si>
    <t>ANÁL. DE SUPERVISÃO:</t>
  </si>
  <si>
    <t>REGIÃO</t>
  </si>
  <si>
    <t>D2S1338</t>
  </si>
  <si>
    <t>D19S433</t>
  </si>
  <si>
    <t>INST. DE PERÍCIAS CIENTÍFICAS - DIV. BIOLOGIA MOLECULAR</t>
  </si>
  <si>
    <t>MÃE - HIP</t>
  </si>
  <si>
    <t>CRIA - HIP</t>
  </si>
  <si>
    <t>SP - HIP</t>
  </si>
  <si>
    <t>Sistema automatizado de cálculo de Genética das Populações desenvolvido pelo Engº e Biólogo Helder Pereira de Figueiredo</t>
  </si>
  <si>
    <t>FREQ. MÍNIMA:</t>
  </si>
  <si>
    <t>NÃO HOUVE TROCA</t>
  </si>
  <si>
    <t>PLANILHA NÃO DESTINADA</t>
  </si>
  <si>
    <t>A IMPRESSÃO - SIMPLES</t>
  </si>
  <si>
    <t>d) persistindo o problema, convocar as pessoas para nova coleta.</t>
  </si>
  <si>
    <t>CASO:</t>
  </si>
  <si>
    <t>STR</t>
  </si>
  <si>
    <t>M1</t>
  </si>
  <si>
    <t>M2</t>
  </si>
  <si>
    <t>C1</t>
  </si>
  <si>
    <t>C2</t>
  </si>
  <si>
    <t>SP1</t>
  </si>
  <si>
    <t>SP2</t>
  </si>
  <si>
    <t>AMEL</t>
  </si>
  <si>
    <t>OK</t>
  </si>
  <si>
    <t>PROTOCOLO DA SUPERVISÃO 4</t>
  </si>
  <si>
    <t>A PRESENTE SUPERVISÃO DESTINA-SE A VERIFICAR SE HOUVE REPETI-</t>
  </si>
  <si>
    <t>ÇÃO NOS ALELOS DE DUAS DAS PESSOAS ANALISADAS. O NÚMERO DE COM-</t>
  </si>
  <si>
    <t>PARTILHAMENTO IGUAL A 30 CONFIRMA A HIPÓTESE. 28 ou 29 COMPARTILHA-</t>
  </si>
  <si>
    <t>MENTOS INDICA A NECESSIDADE DE VERIFICAÇÃO. OCORRENDO 28, 29 ou 30:</t>
  </si>
  <si>
    <t xml:space="preserve">  </t>
  </si>
  <si>
    <t>c) verificar todos os procedimentos no Laboratório para identificar na execução</t>
  </si>
  <si>
    <t>e/ou na supervisão a localização do problema;</t>
  </si>
  <si>
    <t>CÓDIGO:</t>
  </si>
  <si>
    <t xml:space="preserve">ÍNDICE DE PATERNIDADE ACUMULADO: </t>
  </si>
  <si>
    <t xml:space="preserve">PROBABILIDADE DE PATERNIDADE: </t>
  </si>
  <si>
    <t xml:space="preserve">RESULTADO: </t>
  </si>
  <si>
    <t>LOCUS</t>
  </si>
  <si>
    <t>PE</t>
  </si>
  <si>
    <t>MUTAÇÃO VARIÁVEL</t>
  </si>
  <si>
    <t>TAXA FIXA:</t>
  </si>
  <si>
    <t>OMISSÃO</t>
  </si>
  <si>
    <t>EXCL. MÃE</t>
  </si>
  <si>
    <t>FREQ. MÍN.:</t>
  </si>
  <si>
    <t>INVTE:</t>
  </si>
  <si>
    <t>SP. PAI:</t>
  </si>
  <si>
    <t>SUPERVISÃO DE SEGURANÇA</t>
  </si>
  <si>
    <t>M1 AJ-1</t>
  </si>
  <si>
    <t>&lt;= omissão</t>
  </si>
  <si>
    <t>MÃE 'A'</t>
  </si>
  <si>
    <t>CRIA 'A'</t>
  </si>
  <si>
    <t>SP 'A'</t>
  </si>
  <si>
    <t>L. INF</t>
  </si>
  <si>
    <t>L. SUP</t>
  </si>
  <si>
    <t>N</t>
  </si>
  <si>
    <t>&lt;8</t>
  </si>
  <si>
    <t>V</t>
  </si>
  <si>
    <t>&lt; / &gt;</t>
  </si>
  <si>
    <t>AL.MAT.</t>
  </si>
  <si>
    <t>MT.ORIG</t>
  </si>
  <si>
    <t>AL. MAT. ORIGINÁRIOS</t>
  </si>
  <si>
    <t>AL. 1 SP. ORIGINÁRIOS</t>
  </si>
  <si>
    <t>AL1-OR</t>
  </si>
  <si>
    <t>AL. 2 SP. ORIGINÁRIOS</t>
  </si>
  <si>
    <t>AL.PT.1</t>
  </si>
  <si>
    <t>AL.PT.2</t>
  </si>
  <si>
    <t>AL2-OR</t>
  </si>
  <si>
    <t xml:space="preserve">HIPÓTESE TROCA ALELOS M e SP:  </t>
  </si>
  <si>
    <t>TROCA POSSÍVEL</t>
  </si>
  <si>
    <t>M x C</t>
  </si>
  <si>
    <t>M x SP</t>
  </si>
  <si>
    <t>C x SP</t>
  </si>
  <si>
    <t xml:space="preserve">SOMATÓRIOS:   </t>
  </si>
  <si>
    <t>ANÁLISE</t>
  </si>
  <si>
    <t>Sistema automatizado de cálculo de Genética de Populações desenvolvido pelo Engº e Biólogo Helder Pereira de Figueiredo</t>
  </si>
  <si>
    <t>MT</t>
  </si>
  <si>
    <t>&lt;= exclusao</t>
  </si>
  <si>
    <t>&lt;= criterio</t>
  </si>
  <si>
    <t>TX. MUTAÇÃO</t>
  </si>
  <si>
    <t>Expor mensagens de supervisão (sim ou não)?</t>
  </si>
  <si>
    <t>APOIO (BW-CB)</t>
  </si>
  <si>
    <t>AM</t>
  </si>
  <si>
    <t>MÃE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</si>
  <si>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</si>
  <si>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</si>
  <si>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</si>
  <si>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</si>
  <si>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</si>
  <si>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</si>
  <si>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</si>
  <si>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</si>
  <si>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SIM</t>
  </si>
  <si>
    <t>NÃO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</si>
  <si>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</si>
  <si>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</si>
  <si>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</si>
  <si>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</si>
  <si>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</si>
  <si>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</si>
  <si>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</si>
  <si>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</si>
  <si>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EXCLUI</t>
  </si>
  <si>
    <t>NÃO DEF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</si>
  <si>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</si>
  <si>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</si>
  <si>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</si>
  <si>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</si>
  <si>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</si>
  <si>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</si>
  <si>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</si>
  <si>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</si>
  <si>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</si>
  <si>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</si>
  <si>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MÃE:</t>
  </si>
  <si>
    <t>CRIANÇA:</t>
  </si>
  <si>
    <t>EXCLUSÃO</t>
  </si>
  <si>
    <t>POSITIVO</t>
  </si>
  <si>
    <t>M CALC</t>
  </si>
  <si>
    <t>C CALC</t>
  </si>
  <si>
    <t>SP CALC</t>
  </si>
  <si>
    <t xml:space="preserve">ÍNDICE DE PATERNIDADE ACUMULADO:     </t>
  </si>
  <si>
    <t>a) não expedir o Laudo;</t>
  </si>
  <si>
    <t>b) encaminhar os materiais novamente à Divisão de Biologia Molecular para a</t>
  </si>
  <si>
    <t>realização de novo processo completo;</t>
  </si>
  <si>
    <t xml:space="preserve">PROBABILIDADE DE PATERNIDADE:     </t>
  </si>
  <si>
    <t>NIHIL</t>
  </si>
  <si>
    <t>1 / F</t>
  </si>
  <si>
    <t xml:space="preserve">1 / 2F </t>
  </si>
  <si>
    <t>FÓRM</t>
  </si>
  <si>
    <t>COD:</t>
  </si>
  <si>
    <t>SUP PAI:</t>
  </si>
  <si>
    <t>vWA</t>
  </si>
  <si>
    <t>M1 AJ-7</t>
  </si>
  <si>
    <t>M2 AJ-7</t>
  </si>
  <si>
    <t>C1 AJ-7</t>
  </si>
  <si>
    <t>C2 AJ-7</t>
  </si>
  <si>
    <t>SP1 AJ-7</t>
  </si>
  <si>
    <t>SP2 AJ-7</t>
  </si>
  <si>
    <t>CREA-MS 668/D - CRC-MS 6.580 - OAB-MS 5.765 - CRBio-1 31.764</t>
  </si>
  <si>
    <t>(IMPORTANTE: 1º SALVAR)</t>
  </si>
  <si>
    <t>Biólogo CARLOS ALBERTO MARTINEZ ALONSO, MSc.</t>
  </si>
  <si>
    <t>Perito em Genética Molecular - Dir. Divisão de Genética Molecular</t>
  </si>
  <si>
    <t>Mestre em Engenharia Genética - CRBio-3 8.106</t>
  </si>
  <si>
    <t>Professor Doutor RUI FERNANDO PILOTTO</t>
  </si>
  <si>
    <t>Médico, Biólogo, Mestre e Doutor em Genética</t>
  </si>
  <si>
    <t>Perito Forense - CRM-PR 8.799</t>
  </si>
  <si>
    <t>Perito em Biol. Molecular - Esp. pela UNIFESP - Diretor Executivo - IPC-MS/IPC-PR</t>
  </si>
  <si>
    <t>ANEXO 01</t>
  </si>
  <si>
    <t>(nesta lauda)</t>
  </si>
  <si>
    <t>ANEXO 02</t>
  </si>
  <si>
    <t>ANEXO 03</t>
  </si>
  <si>
    <t>ANEXO 04</t>
  </si>
  <si>
    <t>ANEXO 05</t>
  </si>
  <si>
    <t>ANEXO 06</t>
  </si>
  <si>
    <t>C. Grande (MS),</t>
  </si>
  <si>
    <t>IPC MS EXAMES DE DNA - DIVISÃO DE GENÉTICA MOLECULAR</t>
  </si>
  <si>
    <t>e/ou</t>
  </si>
  <si>
    <t>Biólogo BRUNO BOIKO PEREIRA DE FIGUEIREDO</t>
  </si>
  <si>
    <t>Mestrando em Biotecnologia - UCDB - Genética Humana</t>
  </si>
  <si>
    <t>CRBio-1 54.040 - Diretor da Div. Genética Molecular</t>
  </si>
  <si>
    <t>Farm. Bioquímica ANA PAULA MALUF RABACOW, Msc.</t>
  </si>
  <si>
    <t>Mestre em Biotecnologia - CRF 1959</t>
  </si>
  <si>
    <t>Analista Pericial - Chefe de Divisão</t>
  </si>
  <si>
    <t>IPC MS EXAMES DE DNA - DIVISÃO DE GENÉTICA MOLECULAR - A Tecnologia a Serviço da Ciência</t>
  </si>
  <si>
    <t>Alelos</t>
  </si>
  <si>
    <t>LPL</t>
  </si>
  <si>
    <t>F13B</t>
  </si>
  <si>
    <t>FESFPS</t>
  </si>
  <si>
    <t>F13A01</t>
  </si>
  <si>
    <t>SE33</t>
  </si>
  <si>
    <t>D1S1656</t>
  </si>
  <si>
    <t>D2S441</t>
  </si>
  <si>
    <t>D10S1248</t>
  </si>
  <si>
    <t>PentaE</t>
  </si>
  <si>
    <t>PentaD</t>
  </si>
  <si>
    <t>DYS391</t>
  </si>
  <si>
    <t>D12S391</t>
  </si>
  <si>
    <t>D22S1045</t>
  </si>
  <si>
    <t>Penta E</t>
  </si>
  <si>
    <t>Penta D</t>
  </si>
  <si>
    <t>aqui colocar coluna = num. Corresp.</t>
  </si>
  <si>
    <t>MUT</t>
  </si>
  <si>
    <t>SUPERV</t>
  </si>
  <si>
    <t>VERIFICAÇÃO - HIPÓTESE: Troca C x M</t>
  </si>
  <si>
    <t>AQUI NÃO USOU POIS NÃO TEM O LIMITE DOS MARCADORES</t>
  </si>
  <si>
    <r>
      <t xml:space="preserve">   </t>
    </r>
    <r>
      <rPr>
        <u/>
        <sz val="10"/>
        <rFont val="Arial"/>
        <family val="2"/>
      </rPr>
      <t>OBS.</t>
    </r>
    <r>
      <rPr>
        <sz val="10"/>
        <rFont val="Arial"/>
        <family val="2"/>
      </rPr>
      <t>: A frequência "F" representa a frequência "p" do alelo paterno obrigatório ou a soma das</t>
    </r>
  </si>
  <si>
    <t xml:space="preserve">   frequências "p" e "q" quando o alelo paterno não for definido.</t>
  </si>
  <si>
    <t>O QUE EU FIZ:</t>
  </si>
  <si>
    <r>
      <t xml:space="preserve">   A indicação "OK" na coluna "AM" (alelos maternos) indica que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 xml:space="preserve"> houve o compartilhamento</t>
    </r>
  </si>
  <si>
    <r>
      <t>MUDANÇA NA AY PARA ESSA FORMULA: SE((E(($AX$32="S");($AX$33="F")));$BB$6;(SE((E(($AX$32="S");($AX$33="V")));(BB9/(BA9));0)))), ANTES TINHA O ...(BB9/(</t>
    </r>
    <r>
      <rPr>
        <sz val="10"/>
        <color rgb="FFFF0000"/>
        <rFont val="Arial"/>
        <family val="2"/>
      </rPr>
      <t>100*</t>
    </r>
    <r>
      <rPr>
        <sz val="8"/>
        <rFont val="Arial"/>
        <family val="2"/>
      </rPr>
      <t>BA9));0))</t>
    </r>
  </si>
  <si>
    <r>
      <t xml:space="preserve">   alélico entre a Mãe e a Criança. "MT" indica que houve a ocorrência de uma mutação no </t>
    </r>
    <r>
      <rPr>
        <i/>
        <sz val="10"/>
        <rFont val="Arial"/>
        <family val="2"/>
      </rPr>
      <t xml:space="preserve">locus </t>
    </r>
    <r>
      <rPr>
        <sz val="10"/>
        <rFont val="Arial"/>
        <family val="2"/>
      </rPr>
      <t/>
    </r>
  </si>
  <si>
    <r>
      <t xml:space="preserve">   </t>
    </r>
    <r>
      <rPr>
        <sz val="10"/>
        <rFont val="Arial"/>
        <family val="2"/>
      </rPr>
      <t xml:space="preserve">(biologicamente normal). A inscrição "EM" denota a exclusão de vínculo Mãe x Criança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>.</t>
    </r>
  </si>
  <si>
    <t>CRIEI A FORMULA NO AX32,  =SE(AH41="SIM";"S";SE(AH41="NÃO";"N";""))</t>
  </si>
  <si>
    <t xml:space="preserve">   OBS.: A frequência "F" representa a frequência "p" do alelo paterno obrigatório ou a soma das</t>
  </si>
  <si>
    <t xml:space="preserve">   A indicação "OK" na coluna "AM" (alelos maternos) indica que no locus houve o compartilhamento</t>
  </si>
  <si>
    <t>MUDANÇA NA AY PARA ESSA FORMULA: SE((E(($AX$32="S");($AX$33="F")));$BB$6;(SE((E(($AX$32="S");($AX$33="V")));(BB9/(BA9));0)))), ANTES TINHA O ...(BB9/(100*BA9));0))</t>
  </si>
  <si>
    <t xml:space="preserve">   alélico entre a Mãe e a Criança. "MT" indica que houve a ocorrência de uma mutação no locus </t>
  </si>
  <si>
    <t xml:space="preserve">   (biologicamente normal). A inscrição "EM" denota a exclusão de vínculo Mãe x Criança no locus.</t>
  </si>
  <si>
    <t>VERIFICAÇÃO - HIPÓTESE: Troca C x SP</t>
  </si>
  <si>
    <t>S</t>
  </si>
  <si>
    <t>X</t>
  </si>
  <si>
    <t>Y</t>
  </si>
  <si>
    <t>Belo Horizonte (MG),</t>
  </si>
  <si>
    <t>GENETICENTER</t>
  </si>
  <si>
    <r>
      <rPr>
        <u/>
        <sz val="6"/>
        <rFont val="Arial"/>
        <family val="2"/>
      </rPr>
      <t>OBS.</t>
    </r>
    <r>
      <rPr>
        <sz val="6"/>
        <rFont val="Arial"/>
        <family val="2"/>
      </rPr>
      <t>: A frequência "F" representa a frequência "p" do alelo paterno obrigatório ou a soma das frequências "p" e "q"      quando o alelo paterno não for definido. A indicação "OK" na coluna "AM" (alelos maternos) indica que no locus houve o Compartilhamento alélico entre a Mãe e a Criança. "MT" indica que houve a ocorrência de uma mutação no locus (biologicamente normal). A inscrição "EM" denota a exclusão de vínculo Mãe x Criança no locus.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</si>
</sst>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_(* #,##0.00_);_(* \(#,##0.00\);_(* &quot;-&quot;??_);_(@_)"/>
    <numFmt numFmtId="165" formatCode="0.0000%"/>
    <numFmt numFmtId="166" formatCode="_(* #,##0_);_(* \(#,##0\);_(* &quot;-&quot;??_);_(@_)"/>
    <numFmt numFmtId="167" formatCode="0.000"/>
    <numFmt numFmtId="168" formatCode="0.0"/>
    <numFmt numFmtId="169" formatCode="0.000000%"/>
    <numFmt numFmtId="170" formatCode="#,##0.00000000_);\(#,##0.00000000\)"/>
    <numFmt numFmtId="171" formatCode="0.000000000%"/>
    <numFmt numFmtId="172" formatCode="0.0000"/>
    <numFmt numFmtId="173" formatCode="0.00000"/>
    <numFmt numFmtId="174" formatCode="0####"/>
    <numFmt numFmtId="175" formatCode="&quot;CASO &quot;0####"/>
    <numFmt numFmtId="176" formatCode="&quot;Campo Grande (MS),&quot;\ dd\ &quot;de&quot;\ mmmm\ &quot;de&quot;\ yyyy"/>
    <numFmt numFmtId="177" formatCode="\ dd\ &quot;de&quot;\ mmmm\ &quot;de&quot;\ yyyy"/>
    <numFmt numFmtId="178" formatCode="00"/>
    <numFmt numFmtId="179" formatCode="0.000000"/>
  </numFmts>
  <fonts count="6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color indexed="1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u/>
      <sz val="12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b/>
      <sz val="11"/>
      <color indexed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9"/>
      <name val="Arial"/>
      <family val="2"/>
    </font>
    <font>
      <sz val="6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sz val="18"/>
      <color indexed="10"/>
      <name val="Arial"/>
      <family val="2"/>
    </font>
    <font>
      <sz val="18"/>
      <color indexed="10"/>
      <name val="Umbrella"/>
      <family val="2"/>
    </font>
    <font>
      <sz val="18"/>
      <color indexed="9"/>
      <name val="Arial"/>
      <family val="2"/>
    </font>
    <font>
      <b/>
      <sz val="7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8"/>
      <name val="Arial"/>
    </font>
    <font>
      <sz val="10"/>
      <color theme="0"/>
      <name val="Arial"/>
      <family val="2"/>
    </font>
    <font>
      <sz val="8.5"/>
      <name val="Arial"/>
      <family val="2"/>
    </font>
    <font>
      <b/>
      <sz val="11"/>
      <color indexed="48"/>
      <name val="Arial"/>
      <family val="2"/>
    </font>
    <font>
      <b/>
      <sz val="11"/>
      <color indexed="9"/>
      <name val="Arial"/>
      <family val="2"/>
    </font>
    <font>
      <sz val="11"/>
      <color theme="0"/>
      <name val="Arial"/>
      <family val="2"/>
    </font>
    <font>
      <sz val="11"/>
      <color indexed="9"/>
      <name val="Arial"/>
      <family val="2"/>
    </font>
    <font>
      <b/>
      <sz val="16"/>
      <color indexed="10"/>
      <name val="Umbrella"/>
      <family val="2"/>
    </font>
    <font>
      <b/>
      <sz val="11.5"/>
      <color indexed="48"/>
      <name val="Arial"/>
      <family val="2"/>
    </font>
    <font>
      <b/>
      <sz val="12"/>
      <color indexed="9"/>
      <name val="Arial"/>
      <family val="2"/>
    </font>
    <font>
      <b/>
      <sz val="15"/>
      <color indexed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8"/>
      <color indexed="10"/>
      <name val="Umbrella"/>
      <family val="2"/>
    </font>
    <font>
      <sz val="7"/>
      <name val="Calibri"/>
      <family val="2"/>
      <scheme val="minor"/>
    </font>
    <font>
      <b/>
      <sz val="12"/>
      <color rgb="FFFF0000"/>
      <name val="Arial"/>
      <family val="2"/>
    </font>
    <font>
      <b/>
      <sz val="9"/>
      <color indexed="10"/>
      <name val="Arial"/>
      <family val="2"/>
    </font>
    <font>
      <sz val="4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sz val="8"/>
      <color indexed="9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u/>
      <sz val="6"/>
      <name val="Arial"/>
      <family val="2"/>
    </font>
    <font>
      <b/>
      <sz val="6"/>
      <color indexed="12"/>
      <name val="Arial"/>
      <family val="2"/>
    </font>
    <font>
      <b/>
      <sz val="8"/>
      <color indexed="48"/>
      <name val="Arial"/>
      <family val="2"/>
    </font>
    <font>
      <sz val="4.5"/>
      <name val="Arial"/>
      <family val="2"/>
    </font>
    <font>
      <sz val="9"/>
      <color indexed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/>
      <diagonal/>
    </border>
    <border>
      <left style="dash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5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10" fontId="2" fillId="2" borderId="5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 applyBorder="1" applyProtection="1">
      <protection hidden="1"/>
    </xf>
    <xf numFmtId="0" fontId="10" fillId="3" borderId="8" xfId="0" applyFont="1" applyFill="1" applyBorder="1" applyAlignment="1" applyProtection="1">
      <alignment horizontal="right"/>
      <protection hidden="1"/>
    </xf>
    <xf numFmtId="0" fontId="0" fillId="2" borderId="0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right"/>
      <protection hidden="1"/>
    </xf>
    <xf numFmtId="0" fontId="0" fillId="2" borderId="5" xfId="0" applyFill="1" applyBorder="1" applyProtection="1">
      <protection hidden="1"/>
    </xf>
    <xf numFmtId="0" fontId="2" fillId="2" borderId="5" xfId="0" applyFont="1" applyFill="1" applyBorder="1" applyAlignment="1" applyProtection="1">
      <alignment horizontal="right"/>
      <protection hidden="1"/>
    </xf>
    <xf numFmtId="0" fontId="0" fillId="2" borderId="10" xfId="0" applyFill="1" applyBorder="1" applyProtection="1">
      <protection hidden="1"/>
    </xf>
    <xf numFmtId="0" fontId="5" fillId="4" borderId="12" xfId="0" applyFont="1" applyFill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2" xfId="0" applyFont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2" borderId="6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0" xfId="0" applyFill="1" applyBorder="1" applyAlignment="1" applyProtection="1">
      <alignment horizontal="left"/>
      <protection hidden="1"/>
    </xf>
    <xf numFmtId="14" fontId="0" fillId="0" borderId="0" xfId="0" applyNumberFormat="1" applyProtection="1">
      <protection hidden="1"/>
    </xf>
    <xf numFmtId="14" fontId="16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168" fontId="8" fillId="3" borderId="19" xfId="0" applyNumberFormat="1" applyFont="1" applyFill="1" applyBorder="1" applyAlignment="1" applyProtection="1">
      <alignment horizontal="center"/>
      <protection locked="0"/>
    </xf>
    <xf numFmtId="168" fontId="8" fillId="3" borderId="20" xfId="0" applyNumberFormat="1" applyFont="1" applyFill="1" applyBorder="1" applyAlignment="1" applyProtection="1">
      <alignment horizontal="center"/>
      <protection locked="0"/>
    </xf>
    <xf numFmtId="0" fontId="8" fillId="3" borderId="2" xfId="0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right"/>
      <protection hidden="1"/>
    </xf>
    <xf numFmtId="0" fontId="5" fillId="2" borderId="0" xfId="0" applyFont="1" applyFill="1" applyBorder="1" applyAlignment="1" applyProtection="1">
      <alignment horizontal="right"/>
      <protection hidden="1"/>
    </xf>
    <xf numFmtId="0" fontId="11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4" fillId="3" borderId="7" xfId="0" applyFont="1" applyFill="1" applyBorder="1" applyProtection="1">
      <protection hidden="1"/>
    </xf>
    <xf numFmtId="167" fontId="3" fillId="4" borderId="24" xfId="0" applyNumberFormat="1" applyFont="1" applyFill="1" applyBorder="1" applyAlignment="1" applyProtection="1">
      <alignment horizontal="left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0" borderId="14" xfId="0" applyFont="1" applyBorder="1" applyProtection="1">
      <protection hidden="1"/>
    </xf>
    <xf numFmtId="0" fontId="8" fillId="5" borderId="14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173" fontId="0" fillId="0" borderId="0" xfId="0" applyNumberFormat="1" applyAlignment="1" applyProtection="1">
      <alignment horizontal="center"/>
      <protection hidden="1"/>
    </xf>
    <xf numFmtId="172" fontId="0" fillId="0" borderId="0" xfId="0" applyNumberFormat="1" applyBorder="1" applyAlignment="1" applyProtection="1">
      <alignment horizontal="center"/>
      <protection hidden="1"/>
    </xf>
    <xf numFmtId="172" fontId="0" fillId="0" borderId="0" xfId="0" applyNumberFormat="1" applyAlignment="1" applyProtection="1">
      <alignment horizontal="center"/>
      <protection hidden="1"/>
    </xf>
    <xf numFmtId="14" fontId="16" fillId="2" borderId="0" xfId="0" applyNumberFormat="1" applyFont="1" applyFill="1" applyBorder="1" applyProtection="1">
      <protection hidden="1"/>
    </xf>
    <xf numFmtId="0" fontId="0" fillId="0" borderId="0" xfId="0" applyBorder="1" applyProtection="1">
      <protection hidden="1"/>
    </xf>
    <xf numFmtId="0" fontId="0" fillId="0" borderId="5" xfId="0" applyBorder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20" fillId="2" borderId="0" xfId="0" applyFont="1" applyFill="1" applyBorder="1" applyAlignment="1" applyProtection="1">
      <alignment horizontal="right"/>
      <protection hidden="1"/>
    </xf>
    <xf numFmtId="0" fontId="19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8" borderId="25" xfId="0" applyFont="1" applyFill="1" applyBorder="1" applyAlignment="1" applyProtection="1">
      <alignment horizontal="center"/>
      <protection hidden="1"/>
    </xf>
    <xf numFmtId="0" fontId="0" fillId="9" borderId="26" xfId="0" applyFill="1" applyBorder="1" applyAlignment="1" applyProtection="1">
      <alignment horizontal="center"/>
      <protection hidden="1"/>
    </xf>
    <xf numFmtId="0" fontId="0" fillId="9" borderId="4" xfId="0" applyFill="1" applyBorder="1" applyAlignment="1" applyProtection="1">
      <alignment horizontal="center"/>
      <protection hidden="1"/>
    </xf>
    <xf numFmtId="0" fontId="5" fillId="4" borderId="27" xfId="0" applyFont="1" applyFill="1" applyBorder="1" applyAlignment="1" applyProtection="1">
      <alignment horizontal="center"/>
      <protection hidden="1"/>
    </xf>
    <xf numFmtId="166" fontId="0" fillId="0" borderId="0" xfId="2" applyNumberFormat="1" applyFont="1" applyAlignment="1" applyProtection="1">
      <alignment horizontal="center"/>
      <protection hidden="1"/>
    </xf>
    <xf numFmtId="10" fontId="0" fillId="0" borderId="0" xfId="0" applyNumberFormat="1" applyProtection="1">
      <protection hidden="1"/>
    </xf>
    <xf numFmtId="0" fontId="8" fillId="3" borderId="14" xfId="0" applyFont="1" applyFill="1" applyBorder="1" applyAlignment="1" applyProtection="1">
      <alignment horizontal="center"/>
      <protection hidden="1"/>
    </xf>
    <xf numFmtId="0" fontId="5" fillId="10" borderId="12" xfId="0" applyFont="1" applyFill="1" applyBorder="1" applyAlignment="1" applyProtection="1">
      <alignment horizontal="center"/>
      <protection hidden="1"/>
    </xf>
    <xf numFmtId="0" fontId="5" fillId="10" borderId="27" xfId="0" applyFont="1" applyFill="1" applyBorder="1" applyAlignment="1" applyProtection="1">
      <alignment horizontal="center"/>
      <protection hidden="1"/>
    </xf>
    <xf numFmtId="0" fontId="8" fillId="9" borderId="14" xfId="0" applyFont="1" applyFill="1" applyBorder="1" applyAlignment="1" applyProtection="1">
      <alignment horizontal="center"/>
      <protection hidden="1"/>
    </xf>
    <xf numFmtId="0" fontId="5" fillId="6" borderId="12" xfId="0" applyFont="1" applyFill="1" applyBorder="1" applyAlignment="1" applyProtection="1">
      <alignment horizontal="center"/>
      <protection hidden="1"/>
    </xf>
    <xf numFmtId="0" fontId="5" fillId="6" borderId="27" xfId="0" applyFont="1" applyFill="1" applyBorder="1" applyAlignment="1" applyProtection="1">
      <alignment horizont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0" fontId="8" fillId="9" borderId="2" xfId="0" applyFont="1" applyFill="1" applyBorder="1" applyAlignment="1" applyProtection="1">
      <alignment horizontal="center"/>
      <protection hidden="1"/>
    </xf>
    <xf numFmtId="0" fontId="8" fillId="5" borderId="2" xfId="0" applyFont="1" applyFill="1" applyBorder="1" applyAlignment="1" applyProtection="1">
      <alignment horizontal="center"/>
      <protection hidden="1"/>
    </xf>
    <xf numFmtId="168" fontId="8" fillId="9" borderId="14" xfId="0" applyNumberFormat="1" applyFont="1" applyFill="1" applyBorder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49" fontId="0" fillId="0" borderId="0" xfId="0" applyNumberFormat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18" fillId="2" borderId="7" xfId="0" applyFont="1" applyFill="1" applyBorder="1" applyAlignment="1" applyProtection="1">
      <alignment horizontal="left"/>
      <protection hidden="1"/>
    </xf>
    <xf numFmtId="0" fontId="18" fillId="2" borderId="6" xfId="0" applyFont="1" applyFill="1" applyBorder="1" applyAlignment="1" applyProtection="1">
      <alignment horizontal="left"/>
      <protection hidden="1"/>
    </xf>
    <xf numFmtId="0" fontId="15" fillId="2" borderId="0" xfId="0" applyFont="1" applyFill="1" applyBorder="1" applyAlignment="1" applyProtection="1">
      <alignment horizontal="left"/>
      <protection hidden="1"/>
    </xf>
    <xf numFmtId="0" fontId="23" fillId="2" borderId="0" xfId="0" applyFont="1" applyFill="1" applyBorder="1" applyAlignment="1" applyProtection="1">
      <alignment horizontal="right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171" fontId="5" fillId="2" borderId="8" xfId="2" applyNumberFormat="1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Protection="1">
      <protection hidden="1"/>
    </xf>
    <xf numFmtId="0" fontId="0" fillId="4" borderId="0" xfId="0" applyFill="1" applyBorder="1" applyProtection="1">
      <protection hidden="1"/>
    </xf>
    <xf numFmtId="168" fontId="0" fillId="0" borderId="0" xfId="0" applyNumberFormat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68" fontId="0" fillId="0" borderId="0" xfId="0" applyNumberForma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8" borderId="0" xfId="0" applyFill="1" applyProtection="1">
      <protection hidden="1"/>
    </xf>
    <xf numFmtId="0" fontId="15" fillId="3" borderId="0" xfId="0" applyFont="1" applyFill="1" applyProtection="1">
      <protection hidden="1"/>
    </xf>
    <xf numFmtId="14" fontId="0" fillId="2" borderId="7" xfId="0" applyNumberFormat="1" applyFill="1" applyBorder="1" applyProtection="1">
      <protection hidden="1"/>
    </xf>
    <xf numFmtId="174" fontId="11" fillId="2" borderId="28" xfId="0" applyNumberFormat="1" applyFont="1" applyFill="1" applyBorder="1" applyAlignment="1" applyProtection="1">
      <alignment horizontal="center"/>
      <protection locked="0"/>
    </xf>
    <xf numFmtId="0" fontId="2" fillId="3" borderId="31" xfId="0" applyFont="1" applyFill="1" applyBorder="1" applyAlignment="1" applyProtection="1">
      <alignment horizontal="right"/>
      <protection hidden="1"/>
    </xf>
    <xf numFmtId="0" fontId="11" fillId="3" borderId="0" xfId="0" applyFont="1" applyFill="1" applyProtection="1">
      <protection hidden="1"/>
    </xf>
    <xf numFmtId="0" fontId="14" fillId="3" borderId="0" xfId="0" applyFont="1" applyFill="1" applyAlignment="1" applyProtection="1">
      <alignment horizontal="right"/>
      <protection hidden="1"/>
    </xf>
    <xf numFmtId="0" fontId="8" fillId="0" borderId="0" xfId="0" applyFont="1" applyFill="1" applyProtection="1">
      <protection hidden="1"/>
    </xf>
    <xf numFmtId="176" fontId="6" fillId="2" borderId="7" xfId="0" applyNumberFormat="1" applyFont="1" applyFill="1" applyBorder="1" applyAlignment="1" applyProtection="1">
      <alignment horizontal="center" vertical="center"/>
      <protection hidden="1"/>
    </xf>
    <xf numFmtId="0" fontId="11" fillId="3" borderId="28" xfId="0" applyFont="1" applyFill="1" applyBorder="1" applyProtection="1">
      <protection hidden="1"/>
    </xf>
    <xf numFmtId="177" fontId="3" fillId="2" borderId="0" xfId="0" applyNumberFormat="1" applyFont="1" applyFill="1" applyBorder="1" applyAlignment="1" applyProtection="1">
      <alignment horizontal="right" vertical="center"/>
      <protection hidden="1"/>
    </xf>
    <xf numFmtId="176" fontId="0" fillId="2" borderId="0" xfId="0" applyNumberFormat="1" applyFill="1" applyBorder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12" fillId="6" borderId="25" xfId="0" applyFont="1" applyFill="1" applyBorder="1" applyAlignment="1" applyProtection="1">
      <alignment horizontal="center"/>
      <protection locked="0"/>
    </xf>
    <xf numFmtId="0" fontId="10" fillId="0" borderId="0" xfId="0" applyFont="1" applyFill="1" applyAlignment="1">
      <alignment vertical="center"/>
    </xf>
    <xf numFmtId="0" fontId="18" fillId="2" borderId="7" xfId="0" applyFont="1" applyFill="1" applyBorder="1" applyAlignment="1" applyProtection="1">
      <alignment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8" fillId="2" borderId="8" xfId="0" applyFont="1" applyFill="1" applyBorder="1" applyAlignment="1" applyProtection="1">
      <alignment vertical="center"/>
      <protection hidden="1"/>
    </xf>
    <xf numFmtId="1" fontId="8" fillId="2" borderId="6" xfId="0" applyNumberFormat="1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hidden="1"/>
    </xf>
    <xf numFmtId="0" fontId="8" fillId="2" borderId="14" xfId="0" applyFont="1" applyFill="1" applyBorder="1" applyAlignment="1" applyProtection="1">
      <alignment horizontal="center"/>
      <protection hidden="1"/>
    </xf>
    <xf numFmtId="0" fontId="14" fillId="2" borderId="14" xfId="0" applyFont="1" applyFill="1" applyBorder="1" applyAlignment="1" applyProtection="1">
      <alignment horizontal="center"/>
      <protection hidden="1"/>
    </xf>
    <xf numFmtId="0" fontId="8" fillId="2" borderId="2" xfId="0" applyFont="1" applyFill="1" applyBorder="1" applyAlignment="1" applyProtection="1">
      <alignment horizontal="center"/>
      <protection hidden="1"/>
    </xf>
    <xf numFmtId="0" fontId="8" fillId="2" borderId="17" xfId="0" applyFont="1" applyFill="1" applyBorder="1" applyAlignment="1" applyProtection="1">
      <alignment horizontal="center"/>
      <protection hidden="1"/>
    </xf>
    <xf numFmtId="0" fontId="8" fillId="2" borderId="18" xfId="0" applyFont="1" applyFill="1" applyBorder="1" applyAlignment="1" applyProtection="1">
      <alignment horizontal="center"/>
      <protection hidden="1"/>
    </xf>
    <xf numFmtId="172" fontId="8" fillId="2" borderId="14" xfId="0" applyNumberFormat="1" applyFont="1" applyFill="1" applyBorder="1" applyAlignment="1" applyProtection="1">
      <alignment horizontal="center"/>
      <protection hidden="1"/>
    </xf>
    <xf numFmtId="10" fontId="2" fillId="2" borderId="2" xfId="1" applyNumberFormat="1" applyFont="1" applyFill="1" applyBorder="1" applyAlignment="1" applyProtection="1">
      <alignment horizontal="center"/>
      <protection hidden="1"/>
    </xf>
    <xf numFmtId="172" fontId="2" fillId="2" borderId="2" xfId="1" applyNumberFormat="1" applyFont="1" applyFill="1" applyBorder="1" applyAlignment="1" applyProtection="1">
      <alignment horizontal="center"/>
      <protection hidden="1"/>
    </xf>
    <xf numFmtId="165" fontId="2" fillId="2" borderId="2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169" fontId="8" fillId="2" borderId="0" xfId="0" applyNumberFormat="1" applyFont="1" applyFill="1" applyProtection="1">
      <protection hidden="1"/>
    </xf>
    <xf numFmtId="2" fontId="2" fillId="2" borderId="2" xfId="1" applyNumberFormat="1" applyFont="1" applyFill="1" applyBorder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7" fillId="0" borderId="0" xfId="0" applyFont="1" applyProtection="1">
      <protection hidden="1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7" fontId="30" fillId="0" borderId="4" xfId="0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168" fontId="29" fillId="0" borderId="4" xfId="0" applyNumberFormat="1" applyFont="1" applyBorder="1" applyAlignment="1">
      <alignment horizontal="center" vertical="center"/>
    </xf>
    <xf numFmtId="1" fontId="8" fillId="11" borderId="6" xfId="0" applyNumberFormat="1" applyFont="1" applyFill="1" applyBorder="1" applyAlignment="1" applyProtection="1">
      <alignment horizontal="center"/>
      <protection locked="0"/>
    </xf>
    <xf numFmtId="0" fontId="8" fillId="11" borderId="6" xfId="0" applyFont="1" applyFill="1" applyBorder="1" applyAlignment="1" applyProtection="1">
      <alignment horizontal="center"/>
      <protection hidden="1"/>
    </xf>
    <xf numFmtId="0" fontId="8" fillId="11" borderId="14" xfId="0" applyFont="1" applyFill="1" applyBorder="1" applyAlignment="1" applyProtection="1">
      <alignment horizontal="center"/>
      <protection hidden="1"/>
    </xf>
    <xf numFmtId="0" fontId="14" fillId="11" borderId="14" xfId="0" applyFont="1" applyFill="1" applyBorder="1" applyAlignment="1" applyProtection="1">
      <alignment horizontal="center"/>
      <protection hidden="1"/>
    </xf>
    <xf numFmtId="168" fontId="14" fillId="11" borderId="14" xfId="0" applyNumberFormat="1" applyFont="1" applyFill="1" applyBorder="1" applyAlignment="1" applyProtection="1">
      <alignment horizontal="center"/>
      <protection hidden="1"/>
    </xf>
    <xf numFmtId="0" fontId="8" fillId="11" borderId="17" xfId="0" applyFont="1" applyFill="1" applyBorder="1" applyAlignment="1" applyProtection="1">
      <alignment horizontal="center"/>
      <protection hidden="1"/>
    </xf>
    <xf numFmtId="0" fontId="8" fillId="11" borderId="18" xfId="0" applyFont="1" applyFill="1" applyBorder="1" applyAlignment="1" applyProtection="1">
      <alignment horizontal="center"/>
      <protection hidden="1"/>
    </xf>
    <xf numFmtId="172" fontId="8" fillId="11" borderId="14" xfId="0" applyNumberFormat="1" applyFont="1" applyFill="1" applyBorder="1" applyAlignment="1" applyProtection="1">
      <alignment horizontal="center"/>
      <protection hidden="1"/>
    </xf>
    <xf numFmtId="10" fontId="2" fillId="11" borderId="2" xfId="1" applyNumberFormat="1" applyFont="1" applyFill="1" applyBorder="1" applyAlignment="1" applyProtection="1">
      <alignment horizontal="center"/>
      <protection hidden="1"/>
    </xf>
    <xf numFmtId="172" fontId="2" fillId="11" borderId="2" xfId="1" applyNumberFormat="1" applyFont="1" applyFill="1" applyBorder="1" applyAlignment="1" applyProtection="1">
      <alignment horizontal="center"/>
      <protection hidden="1"/>
    </xf>
    <xf numFmtId="165" fontId="2" fillId="11" borderId="2" xfId="2" applyNumberFormat="1" applyFont="1" applyFill="1" applyBorder="1" applyAlignment="1" applyProtection="1">
      <alignment horizontal="center"/>
      <protection hidden="1"/>
    </xf>
    <xf numFmtId="0" fontId="8" fillId="11" borderId="0" xfId="0" applyFont="1" applyFill="1" applyProtection="1">
      <protection hidden="1"/>
    </xf>
    <xf numFmtId="169" fontId="8" fillId="11" borderId="0" xfId="0" applyNumberFormat="1" applyFont="1" applyFill="1" applyProtection="1">
      <protection hidden="1"/>
    </xf>
    <xf numFmtId="2" fontId="2" fillId="11" borderId="2" xfId="1" applyNumberFormat="1" applyFont="1" applyFill="1" applyBorder="1" applyAlignment="1" applyProtection="1">
      <alignment horizontal="center"/>
      <protection hidden="1"/>
    </xf>
    <xf numFmtId="0" fontId="8" fillId="11" borderId="2" xfId="0" applyFont="1" applyFill="1" applyBorder="1" applyAlignment="1" applyProtection="1">
      <alignment horizontal="center"/>
      <protection hidden="1"/>
    </xf>
    <xf numFmtId="0" fontId="0" fillId="11" borderId="0" xfId="0" applyFill="1" applyProtection="1">
      <protection hidden="1"/>
    </xf>
    <xf numFmtId="0" fontId="8" fillId="11" borderId="0" xfId="0" applyFont="1" applyFill="1" applyAlignment="1" applyProtection="1">
      <alignment horizontal="center"/>
      <protection hidden="1"/>
    </xf>
    <xf numFmtId="173" fontId="0" fillId="11" borderId="0" xfId="0" applyNumberFormat="1" applyFill="1" applyAlignment="1" applyProtection="1">
      <alignment horizontal="center"/>
      <protection hidden="1"/>
    </xf>
    <xf numFmtId="0" fontId="9" fillId="11" borderId="14" xfId="0" applyFont="1" applyFill="1" applyBorder="1" applyAlignment="1" applyProtection="1">
      <alignment horizontal="center"/>
      <protection hidden="1"/>
    </xf>
    <xf numFmtId="172" fontId="0" fillId="11" borderId="0" xfId="0" applyNumberFormat="1" applyFill="1" applyAlignment="1" applyProtection="1">
      <alignment horizont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0" fillId="11" borderId="4" xfId="0" applyFill="1" applyBorder="1" applyAlignment="1" applyProtection="1">
      <alignment horizontal="center"/>
      <protection hidden="1"/>
    </xf>
    <xf numFmtId="168" fontId="8" fillId="11" borderId="19" xfId="0" applyNumberFormat="1" applyFont="1" applyFill="1" applyBorder="1" applyAlignment="1" applyProtection="1">
      <alignment horizontal="center"/>
      <protection locked="0"/>
    </xf>
    <xf numFmtId="168" fontId="8" fillId="11" borderId="20" xfId="0" applyNumberFormat="1" applyFont="1" applyFill="1" applyBorder="1" applyAlignment="1" applyProtection="1">
      <alignment horizontal="center"/>
      <protection locked="0"/>
    </xf>
    <xf numFmtId="0" fontId="8" fillId="0" borderId="0" xfId="3" applyProtection="1">
      <protection hidden="1"/>
    </xf>
    <xf numFmtId="0" fontId="8" fillId="3" borderId="7" xfId="3" applyFont="1" applyFill="1" applyBorder="1" applyProtection="1">
      <protection hidden="1"/>
    </xf>
    <xf numFmtId="0" fontId="8" fillId="3" borderId="0" xfId="3" applyFont="1" applyFill="1" applyBorder="1" applyProtection="1">
      <protection hidden="1"/>
    </xf>
    <xf numFmtId="0" fontId="8" fillId="3" borderId="1" xfId="3" applyFont="1" applyFill="1" applyBorder="1" applyProtection="1">
      <protection hidden="1"/>
    </xf>
    <xf numFmtId="0" fontId="10" fillId="3" borderId="8" xfId="3" applyFont="1" applyFill="1" applyBorder="1" applyAlignment="1" applyProtection="1">
      <alignment horizontal="right"/>
      <protection hidden="1"/>
    </xf>
    <xf numFmtId="0" fontId="6" fillId="2" borderId="7" xfId="3" applyFont="1" applyFill="1" applyBorder="1" applyProtection="1">
      <protection hidden="1"/>
    </xf>
    <xf numFmtId="0" fontId="3" fillId="2" borderId="0" xfId="3" applyFont="1" applyFill="1" applyBorder="1" applyProtection="1">
      <protection hidden="1"/>
    </xf>
    <xf numFmtId="0" fontId="8" fillId="2" borderId="0" xfId="3" applyFill="1" applyBorder="1" applyProtection="1">
      <protection hidden="1"/>
    </xf>
    <xf numFmtId="0" fontId="11" fillId="2" borderId="0" xfId="3" applyFont="1" applyFill="1" applyBorder="1" applyProtection="1">
      <protection hidden="1"/>
    </xf>
    <xf numFmtId="0" fontId="8" fillId="2" borderId="8" xfId="3" applyFill="1" applyBorder="1" applyProtection="1">
      <protection hidden="1"/>
    </xf>
    <xf numFmtId="0" fontId="8" fillId="2" borderId="0" xfId="3" applyFill="1" applyBorder="1" applyAlignment="1" applyProtection="1">
      <alignment horizontal="right"/>
      <protection hidden="1"/>
    </xf>
    <xf numFmtId="10" fontId="8" fillId="2" borderId="0" xfId="4" applyNumberFormat="1" applyFill="1" applyBorder="1" applyAlignment="1" applyProtection="1">
      <alignment horizontal="left"/>
      <protection hidden="1"/>
    </xf>
    <xf numFmtId="0" fontId="2" fillId="2" borderId="0" xfId="3" applyFont="1" applyFill="1" applyBorder="1" applyAlignment="1" applyProtection="1">
      <alignment horizontal="right"/>
      <protection hidden="1"/>
    </xf>
    <xf numFmtId="10" fontId="3" fillId="2" borderId="0" xfId="3" applyNumberFormat="1" applyFont="1" applyFill="1" applyBorder="1" applyAlignment="1" applyProtection="1">
      <alignment horizontal="left"/>
      <protection hidden="1"/>
    </xf>
    <xf numFmtId="0" fontId="11" fillId="2" borderId="9" xfId="3" applyFont="1" applyFill="1" applyBorder="1" applyProtection="1">
      <protection hidden="1"/>
    </xf>
    <xf numFmtId="0" fontId="12" fillId="2" borderId="5" xfId="3" applyFont="1" applyFill="1" applyBorder="1" applyProtection="1">
      <protection hidden="1"/>
    </xf>
    <xf numFmtId="0" fontId="11" fillId="2" borderId="5" xfId="3" applyFont="1" applyFill="1" applyBorder="1" applyProtection="1">
      <protection hidden="1"/>
    </xf>
    <xf numFmtId="0" fontId="8" fillId="2" borderId="5" xfId="3" applyFill="1" applyBorder="1" applyProtection="1">
      <protection hidden="1"/>
    </xf>
    <xf numFmtId="0" fontId="2" fillId="2" borderId="5" xfId="3" applyFont="1" applyFill="1" applyBorder="1" applyAlignment="1" applyProtection="1">
      <alignment horizontal="right"/>
      <protection hidden="1"/>
    </xf>
    <xf numFmtId="10" fontId="2" fillId="2" borderId="5" xfId="3" applyNumberFormat="1" applyFont="1" applyFill="1" applyBorder="1" applyAlignment="1" applyProtection="1">
      <alignment horizontal="left"/>
      <protection hidden="1"/>
    </xf>
    <xf numFmtId="0" fontId="8" fillId="2" borderId="10" xfId="3" applyFill="1" applyBorder="1" applyProtection="1">
      <protection hidden="1"/>
    </xf>
    <xf numFmtId="0" fontId="3" fillId="4" borderId="11" xfId="3" applyFont="1" applyFill="1" applyBorder="1" applyAlignment="1" applyProtection="1">
      <alignment horizontal="center"/>
      <protection hidden="1"/>
    </xf>
    <xf numFmtId="0" fontId="5" fillId="4" borderId="12" xfId="3" applyFont="1" applyFill="1" applyBorder="1" applyProtection="1">
      <protection hidden="1"/>
    </xf>
    <xf numFmtId="0" fontId="5" fillId="4" borderId="12" xfId="3" applyFont="1" applyFill="1" applyBorder="1" applyAlignment="1" applyProtection="1">
      <alignment horizontal="center"/>
      <protection hidden="1"/>
    </xf>
    <xf numFmtId="0" fontId="3" fillId="4" borderId="13" xfId="3" applyFont="1" applyFill="1" applyBorder="1" applyAlignment="1" applyProtection="1">
      <alignment horizontal="center"/>
      <protection hidden="1"/>
    </xf>
    <xf numFmtId="168" fontId="9" fillId="3" borderId="19" xfId="3" applyNumberFormat="1" applyFont="1" applyFill="1" applyBorder="1" applyAlignment="1" applyProtection="1">
      <alignment horizontal="center"/>
      <protection hidden="1"/>
    </xf>
    <xf numFmtId="168" fontId="9" fillId="3" borderId="20" xfId="3" applyNumberFormat="1" applyFont="1" applyFill="1" applyBorder="1" applyAlignment="1" applyProtection="1">
      <alignment horizontal="center"/>
      <protection hidden="1"/>
    </xf>
    <xf numFmtId="2" fontId="5" fillId="3" borderId="2" xfId="4" applyNumberFormat="1" applyFont="1" applyFill="1" applyBorder="1" applyAlignment="1" applyProtection="1">
      <alignment horizontal="center"/>
      <protection hidden="1"/>
    </xf>
    <xf numFmtId="0" fontId="9" fillId="0" borderId="0" xfId="3" applyFont="1" applyProtection="1">
      <protection hidden="1"/>
    </xf>
    <xf numFmtId="169" fontId="9" fillId="0" borderId="0" xfId="3" applyNumberFormat="1" applyFont="1" applyProtection="1">
      <protection hidden="1"/>
    </xf>
    <xf numFmtId="0" fontId="3" fillId="0" borderId="14" xfId="3" applyFont="1" applyBorder="1" applyProtection="1">
      <protection hidden="1"/>
    </xf>
    <xf numFmtId="0" fontId="9" fillId="3" borderId="6" xfId="3" applyFont="1" applyFill="1" applyBorder="1" applyAlignment="1" applyProtection="1">
      <alignment horizontal="center"/>
      <protection hidden="1"/>
    </xf>
    <xf numFmtId="0" fontId="9" fillId="0" borderId="14" xfId="3" applyFont="1" applyBorder="1" applyAlignment="1" applyProtection="1">
      <alignment horizontal="center"/>
      <protection hidden="1"/>
    </xf>
    <xf numFmtId="0" fontId="9" fillId="0" borderId="2" xfId="3" applyFont="1" applyBorder="1" applyAlignment="1" applyProtection="1">
      <alignment horizontal="center"/>
      <protection hidden="1"/>
    </xf>
    <xf numFmtId="0" fontId="9" fillId="5" borderId="14" xfId="3" applyFont="1" applyFill="1" applyBorder="1" applyAlignment="1" applyProtection="1">
      <alignment horizontal="center"/>
      <protection hidden="1"/>
    </xf>
    <xf numFmtId="0" fontId="9" fillId="6" borderId="17" xfId="3" applyFont="1" applyFill="1" applyBorder="1" applyAlignment="1" applyProtection="1">
      <alignment horizontal="center"/>
      <protection hidden="1"/>
    </xf>
    <xf numFmtId="0" fontId="9" fillId="6" borderId="18" xfId="3" applyFont="1" applyFill="1" applyBorder="1" applyAlignment="1" applyProtection="1">
      <alignment horizontal="center"/>
      <protection hidden="1"/>
    </xf>
    <xf numFmtId="172" fontId="9" fillId="0" borderId="14" xfId="3" applyNumberFormat="1" applyFont="1" applyFill="1" applyBorder="1" applyAlignment="1" applyProtection="1">
      <alignment horizontal="center"/>
      <protection hidden="1"/>
    </xf>
    <xf numFmtId="0" fontId="3" fillId="0" borderId="2" xfId="3" applyFont="1" applyBorder="1" applyProtection="1">
      <protection hidden="1"/>
    </xf>
    <xf numFmtId="0" fontId="8" fillId="2" borderId="21" xfId="3" applyFill="1" applyBorder="1" applyProtection="1">
      <protection hidden="1"/>
    </xf>
    <xf numFmtId="0" fontId="8" fillId="2" borderId="1" xfId="3" applyFill="1" applyBorder="1" applyProtection="1">
      <protection hidden="1"/>
    </xf>
    <xf numFmtId="0" fontId="3" fillId="2" borderId="1" xfId="3" applyFont="1" applyFill="1" applyBorder="1" applyAlignment="1" applyProtection="1">
      <alignment horizontal="right"/>
      <protection hidden="1"/>
    </xf>
    <xf numFmtId="0" fontId="8" fillId="2" borderId="6" xfId="3" applyFill="1" applyBorder="1" applyProtection="1">
      <protection hidden="1"/>
    </xf>
    <xf numFmtId="0" fontId="8" fillId="2" borderId="7" xfId="3" applyFill="1" applyBorder="1" applyProtection="1">
      <protection hidden="1"/>
    </xf>
    <xf numFmtId="0" fontId="3" fillId="2" borderId="0" xfId="3" applyFont="1" applyFill="1" applyBorder="1" applyAlignment="1" applyProtection="1">
      <alignment horizontal="right"/>
      <protection hidden="1"/>
    </xf>
    <xf numFmtId="0" fontId="8" fillId="2" borderId="22" xfId="3" applyFill="1" applyBorder="1" applyProtection="1">
      <protection hidden="1"/>
    </xf>
    <xf numFmtId="0" fontId="8" fillId="2" borderId="23" xfId="3" applyFill="1" applyBorder="1" applyProtection="1">
      <protection hidden="1"/>
    </xf>
    <xf numFmtId="0" fontId="4" fillId="2" borderId="23" xfId="3" applyFont="1" applyFill="1" applyBorder="1" applyAlignment="1" applyProtection="1">
      <alignment horizontal="right"/>
      <protection hidden="1"/>
    </xf>
    <xf numFmtId="0" fontId="8" fillId="2" borderId="21" xfId="3" applyFont="1" applyFill="1" applyBorder="1" applyAlignment="1" applyProtection="1">
      <protection hidden="1"/>
    </xf>
    <xf numFmtId="0" fontId="8" fillId="2" borderId="1" xfId="3" applyFill="1" applyBorder="1" applyAlignment="1" applyProtection="1">
      <protection hidden="1"/>
    </xf>
    <xf numFmtId="0" fontId="8" fillId="2" borderId="7" xfId="3" applyFill="1" applyBorder="1" applyAlignment="1" applyProtection="1">
      <protection hidden="1"/>
    </xf>
    <xf numFmtId="0" fontId="13" fillId="2" borderId="0" xfId="3" applyFont="1" applyFill="1" applyBorder="1" applyAlignment="1" applyProtection="1">
      <protection hidden="1"/>
    </xf>
    <xf numFmtId="0" fontId="8" fillId="2" borderId="0" xfId="3" applyFill="1" applyBorder="1" applyAlignment="1" applyProtection="1">
      <protection hidden="1"/>
    </xf>
    <xf numFmtId="0" fontId="8" fillId="2" borderId="8" xfId="3" applyFill="1" applyBorder="1" applyAlignment="1" applyProtection="1">
      <protection hidden="1"/>
    </xf>
    <xf numFmtId="0" fontId="6" fillId="2" borderId="7" xfId="3" applyFont="1" applyFill="1" applyBorder="1" applyAlignment="1" applyProtection="1">
      <alignment horizontal="center"/>
      <protection hidden="1"/>
    </xf>
    <xf numFmtId="0" fontId="8" fillId="2" borderId="0" xfId="3" applyFont="1" applyFill="1" applyBorder="1" applyAlignment="1" applyProtection="1">
      <alignment horizontal="left"/>
      <protection hidden="1"/>
    </xf>
    <xf numFmtId="0" fontId="6" fillId="2" borderId="0" xfId="3" applyFont="1" applyFill="1" applyBorder="1" applyAlignment="1" applyProtection="1">
      <alignment horizontal="center"/>
      <protection hidden="1"/>
    </xf>
    <xf numFmtId="0" fontId="6" fillId="2" borderId="8" xfId="3" applyFont="1" applyFill="1" applyBorder="1" applyAlignment="1" applyProtection="1">
      <alignment horizontal="center"/>
      <protection hidden="1"/>
    </xf>
    <xf numFmtId="0" fontId="8" fillId="2" borderId="0" xfId="3" applyFill="1" applyBorder="1" applyAlignment="1" applyProtection="1">
      <alignment horizontal="left"/>
      <protection hidden="1"/>
    </xf>
    <xf numFmtId="0" fontId="3" fillId="2" borderId="7" xfId="3" applyFont="1" applyFill="1" applyBorder="1" applyAlignment="1" applyProtection="1">
      <alignment horizontal="center"/>
      <protection hidden="1"/>
    </xf>
    <xf numFmtId="0" fontId="3" fillId="2" borderId="0" xfId="3" applyFont="1" applyFill="1" applyBorder="1" applyAlignment="1" applyProtection="1">
      <alignment horizontal="center"/>
      <protection hidden="1"/>
    </xf>
    <xf numFmtId="0" fontId="3" fillId="2" borderId="8" xfId="3" applyFont="1" applyFill="1" applyBorder="1" applyAlignment="1" applyProtection="1">
      <alignment horizontal="center"/>
      <protection hidden="1"/>
    </xf>
    <xf numFmtId="0" fontId="8" fillId="2" borderId="9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protection hidden="1"/>
    </xf>
    <xf numFmtId="0" fontId="8" fillId="2" borderId="10" xfId="3" applyFill="1" applyBorder="1" applyAlignment="1" applyProtection="1">
      <alignment horizontal="center"/>
      <protection hidden="1"/>
    </xf>
    <xf numFmtId="168" fontId="9" fillId="3" borderId="15" xfId="3" applyNumberFormat="1" applyFont="1" applyFill="1" applyBorder="1" applyAlignment="1" applyProtection="1">
      <alignment horizontal="center"/>
      <protection hidden="1"/>
    </xf>
    <xf numFmtId="168" fontId="9" fillId="3" borderId="16" xfId="3" applyNumberFormat="1" applyFont="1" applyFill="1" applyBorder="1" applyAlignment="1" applyProtection="1">
      <alignment horizontal="center"/>
      <protection hidden="1"/>
    </xf>
    <xf numFmtId="1" fontId="5" fillId="3" borderId="2" xfId="4" applyNumberFormat="1" applyFont="1" applyFill="1" applyBorder="1" applyAlignment="1" applyProtection="1">
      <alignment horizontal="center"/>
      <protection hidden="1"/>
    </xf>
    <xf numFmtId="0" fontId="12" fillId="2" borderId="23" xfId="3" applyFont="1" applyFill="1" applyBorder="1" applyAlignment="1" applyProtection="1">
      <alignment horizontal="right"/>
      <protection hidden="1"/>
    </xf>
    <xf numFmtId="1" fontId="12" fillId="2" borderId="23" xfId="3" applyNumberFormat="1" applyFont="1" applyFill="1" applyBorder="1" applyAlignment="1" applyProtection="1">
      <alignment horizontal="center"/>
      <protection hidden="1"/>
    </xf>
    <xf numFmtId="2" fontId="7" fillId="7" borderId="2" xfId="4" applyNumberFormat="1" applyFont="1" applyFill="1" applyBorder="1" applyAlignment="1" applyProtection="1">
      <alignment horizontal="center"/>
      <protection hidden="1"/>
    </xf>
    <xf numFmtId="1" fontId="4" fillId="2" borderId="23" xfId="3" applyNumberFormat="1" applyFont="1" applyFill="1" applyBorder="1" applyAlignment="1" applyProtection="1">
      <alignment horizontal="center"/>
      <protection hidden="1"/>
    </xf>
    <xf numFmtId="1" fontId="8" fillId="2" borderId="6" xfId="3" applyNumberFormat="1" applyFill="1" applyBorder="1" applyAlignment="1" applyProtection="1">
      <protection hidden="1"/>
    </xf>
    <xf numFmtId="0" fontId="32" fillId="2" borderId="5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168" fontId="21" fillId="0" borderId="0" xfId="0" applyNumberFormat="1" applyFont="1" applyFill="1" applyBorder="1" applyAlignment="1" applyProtection="1">
      <alignment horizontal="center"/>
      <protection locked="0"/>
    </xf>
    <xf numFmtId="0" fontId="29" fillId="11" borderId="4" xfId="0" applyNumberFormat="1" applyFont="1" applyFill="1" applyBorder="1" applyAlignment="1">
      <alignment horizontal="center" vertical="center"/>
    </xf>
    <xf numFmtId="167" fontId="30" fillId="11" borderId="4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Border="1" applyProtection="1">
      <protection hidden="1"/>
    </xf>
    <xf numFmtId="0" fontId="9" fillId="0" borderId="0" xfId="0" applyFont="1" applyProtection="1">
      <protection hidden="1"/>
    </xf>
    <xf numFmtId="0" fontId="35" fillId="2" borderId="8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Protection="1">
      <protection locked="0"/>
    </xf>
    <xf numFmtId="0" fontId="36" fillId="2" borderId="0" xfId="0" applyFont="1" applyFill="1" applyBorder="1" applyAlignment="1" applyProtection="1">
      <alignment horizontal="center" vertical="center"/>
      <protection hidden="1"/>
    </xf>
    <xf numFmtId="0" fontId="37" fillId="2" borderId="8" xfId="0" applyFont="1" applyFill="1" applyBorder="1" applyAlignment="1" applyProtection="1">
      <alignment horizontal="center" vertical="center"/>
      <protection hidden="1"/>
    </xf>
    <xf numFmtId="173" fontId="9" fillId="2" borderId="0" xfId="0" applyNumberFormat="1" applyFont="1" applyFill="1" applyBorder="1" applyAlignment="1" applyProtection="1">
      <protection hidden="1"/>
    </xf>
    <xf numFmtId="176" fontId="9" fillId="2" borderId="0" xfId="0" applyNumberFormat="1" applyFont="1" applyFill="1" applyBorder="1" applyAlignment="1" applyProtection="1">
      <alignment horizontal="right" vertical="center"/>
      <protection hidden="1"/>
    </xf>
    <xf numFmtId="178" fontId="38" fillId="0" borderId="0" xfId="0" applyNumberFormat="1" applyFont="1" applyAlignment="1" applyProtection="1">
      <alignment horizontal="right" vertical="center"/>
      <protection locked="0" hidden="1"/>
    </xf>
    <xf numFmtId="0" fontId="19" fillId="0" borderId="0" xfId="0" applyFont="1" applyAlignment="1" applyProtection="1">
      <alignment horizontal="right" vertical="center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37" fontId="12" fillId="2" borderId="23" xfId="5" applyNumberFormat="1" applyFont="1" applyFill="1" applyBorder="1" applyAlignment="1" applyProtection="1">
      <alignment horizontal="left"/>
      <protection hidden="1"/>
    </xf>
    <xf numFmtId="0" fontId="17" fillId="2" borderId="7" xfId="0" applyFont="1" applyFill="1" applyBorder="1" applyProtection="1">
      <protection hidden="1"/>
    </xf>
    <xf numFmtId="0" fontId="39" fillId="2" borderId="0" xfId="0" applyFont="1" applyFill="1" applyBorder="1" applyProtection="1">
      <protection hidden="1"/>
    </xf>
    <xf numFmtId="0" fontId="40" fillId="2" borderId="0" xfId="0" applyFont="1" applyFill="1" applyBorder="1" applyAlignment="1" applyProtection="1">
      <alignment horizontal="center" vertical="center"/>
      <protection hidden="1"/>
    </xf>
    <xf numFmtId="0" fontId="40" fillId="2" borderId="8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Protection="1">
      <protection locked="0"/>
    </xf>
    <xf numFmtId="0" fontId="3" fillId="2" borderId="0" xfId="0" applyFont="1" applyFill="1" applyBorder="1" applyProtection="1">
      <protection hidden="1"/>
    </xf>
    <xf numFmtId="0" fontId="32" fillId="2" borderId="0" xfId="0" applyFont="1" applyFill="1" applyBorder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center" vertical="center"/>
      <protection hidden="1"/>
    </xf>
    <xf numFmtId="173" fontId="0" fillId="2" borderId="0" xfId="0" applyNumberFormat="1" applyFill="1" applyBorder="1" applyAlignment="1" applyProtection="1">
      <protection hidden="1"/>
    </xf>
    <xf numFmtId="168" fontId="3" fillId="0" borderId="0" xfId="0" applyNumberFormat="1" applyFont="1" applyProtection="1">
      <protection hidden="1"/>
    </xf>
    <xf numFmtId="10" fontId="3" fillId="2" borderId="0" xfId="0" applyNumberFormat="1" applyFont="1" applyFill="1" applyBorder="1" applyAlignment="1" applyProtection="1">
      <alignment horizontal="left"/>
      <protection hidden="1"/>
    </xf>
    <xf numFmtId="0" fontId="15" fillId="2" borderId="7" xfId="0" applyFont="1" applyFill="1" applyBorder="1" applyProtection="1">
      <protection hidden="1"/>
    </xf>
    <xf numFmtId="0" fontId="41" fillId="2" borderId="5" xfId="0" applyFont="1" applyFill="1" applyBorder="1" applyProtection="1">
      <protection hidden="1"/>
    </xf>
    <xf numFmtId="168" fontId="0" fillId="2" borderId="5" xfId="0" applyNumberFormat="1" applyFill="1" applyBorder="1" applyProtection="1">
      <protection hidden="1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/>
      <protection hidden="1"/>
    </xf>
    <xf numFmtId="0" fontId="5" fillId="2" borderId="12" xfId="0" applyFont="1" applyFill="1" applyBorder="1" applyProtection="1"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Protection="1">
      <protection hidden="1"/>
    </xf>
    <xf numFmtId="0" fontId="5" fillId="2" borderId="14" xfId="0" applyFont="1" applyFill="1" applyBorder="1" applyProtection="1">
      <protection hidden="1"/>
    </xf>
    <xf numFmtId="49" fontId="0" fillId="2" borderId="2" xfId="0" applyNumberFormat="1" applyFill="1" applyBorder="1" applyAlignment="1">
      <alignment horizontal="center"/>
    </xf>
    <xf numFmtId="0" fontId="5" fillId="11" borderId="14" xfId="0" applyFont="1" applyFill="1" applyBorder="1" applyProtection="1">
      <protection hidden="1"/>
    </xf>
    <xf numFmtId="49" fontId="0" fillId="11" borderId="2" xfId="0" applyNumberFormat="1" applyFill="1" applyBorder="1" applyAlignment="1">
      <alignment horizontal="center"/>
    </xf>
    <xf numFmtId="169" fontId="19" fillId="2" borderId="0" xfId="0" applyNumberFormat="1" applyFont="1" applyFill="1" applyProtection="1">
      <protection hidden="1"/>
    </xf>
    <xf numFmtId="0" fontId="23" fillId="2" borderId="1" xfId="0" applyFont="1" applyFill="1" applyBorder="1" applyAlignment="1" applyProtection="1">
      <alignment horizontal="right"/>
      <protection hidden="1"/>
    </xf>
    <xf numFmtId="172" fontId="22" fillId="2" borderId="1" xfId="0" applyNumberFormat="1" applyFont="1" applyFill="1" applyBorder="1" applyProtection="1">
      <protection hidden="1"/>
    </xf>
    <xf numFmtId="37" fontId="18" fillId="2" borderId="5" xfId="2" applyNumberFormat="1" applyFont="1" applyFill="1" applyBorder="1" applyAlignment="1" applyProtection="1">
      <alignment horizontal="left"/>
      <protection hidden="1"/>
    </xf>
    <xf numFmtId="37" fontId="5" fillId="2" borderId="0" xfId="2" applyNumberFormat="1" applyFont="1" applyFill="1" applyBorder="1" applyAlignment="1" applyProtection="1">
      <alignment horizontal="left"/>
      <protection hidden="1"/>
    </xf>
    <xf numFmtId="0" fontId="8" fillId="2" borderId="21" xfId="0" applyFont="1" applyFill="1" applyBorder="1" applyProtection="1">
      <protection hidden="1"/>
    </xf>
    <xf numFmtId="0" fontId="0" fillId="0" borderId="1" xfId="0" applyBorder="1" applyProtection="1">
      <protection hidden="1"/>
    </xf>
    <xf numFmtId="0" fontId="8" fillId="12" borderId="0" xfId="0" applyFont="1" applyFill="1" applyProtection="1">
      <protection hidden="1"/>
    </xf>
    <xf numFmtId="0" fontId="0" fillId="12" borderId="0" xfId="0" applyFill="1" applyProtection="1">
      <protection hidden="1"/>
    </xf>
    <xf numFmtId="0" fontId="8" fillId="2" borderId="7" xfId="0" applyFont="1" applyFill="1" applyBorder="1" applyAlignment="1" applyProtection="1">
      <alignment horizontal="left" indent="1"/>
      <protection hidden="1"/>
    </xf>
    <xf numFmtId="0" fontId="0" fillId="2" borderId="9" xfId="0" applyFill="1" applyBorder="1" applyProtection="1">
      <protection hidden="1"/>
    </xf>
    <xf numFmtId="0" fontId="15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Protection="1">
      <protection locked="0" hidden="1"/>
    </xf>
    <xf numFmtId="0" fontId="0" fillId="2" borderId="0" xfId="0" applyFill="1" applyBorder="1" applyProtection="1">
      <protection locked="0" hidden="1"/>
    </xf>
    <xf numFmtId="0" fontId="0" fillId="0" borderId="0" xfId="0" applyBorder="1" applyProtection="1">
      <protection locked="0" hidden="1"/>
    </xf>
    <xf numFmtId="0" fontId="0" fillId="2" borderId="8" xfId="0" applyFill="1" applyBorder="1" applyProtection="1">
      <protection locked="0" hidden="1"/>
    </xf>
    <xf numFmtId="176" fontId="6" fillId="2" borderId="0" xfId="0" applyNumberFormat="1" applyFont="1" applyFill="1" applyBorder="1" applyAlignment="1" applyProtection="1">
      <alignment horizontal="right" vertical="center"/>
      <protection hidden="1"/>
    </xf>
    <xf numFmtId="178" fontId="45" fillId="0" borderId="0" xfId="0" applyNumberFormat="1" applyFont="1" applyAlignment="1" applyProtection="1">
      <alignment horizontal="right"/>
      <protection locked="0" hidden="1"/>
    </xf>
    <xf numFmtId="0" fontId="16" fillId="0" borderId="0" xfId="0" applyFont="1" applyProtection="1">
      <protection hidden="1"/>
    </xf>
    <xf numFmtId="0" fontId="21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8" fillId="3" borderId="25" xfId="0" applyFont="1" applyFill="1" applyBorder="1" applyAlignment="1" applyProtection="1">
      <alignment horizontal="center"/>
      <protection hidden="1"/>
    </xf>
    <xf numFmtId="0" fontId="10" fillId="4" borderId="25" xfId="0" applyFont="1" applyFill="1" applyBorder="1" applyAlignment="1" applyProtection="1">
      <alignment horizontal="center"/>
      <protection hidden="1"/>
    </xf>
    <xf numFmtId="0" fontId="10" fillId="3" borderId="25" xfId="0" applyFont="1" applyFill="1" applyBorder="1" applyAlignment="1" applyProtection="1">
      <alignment horizontal="center"/>
      <protection hidden="1"/>
    </xf>
    <xf numFmtId="0" fontId="10" fillId="8" borderId="25" xfId="0" applyFont="1" applyFill="1" applyBorder="1" applyAlignment="1" applyProtection="1">
      <alignment horizontal="center"/>
      <protection hidden="1"/>
    </xf>
    <xf numFmtId="0" fontId="10" fillId="9" borderId="25" xfId="0" applyFont="1" applyFill="1" applyBorder="1" applyAlignment="1" applyProtection="1">
      <alignment horizontal="center"/>
      <protection hidden="1"/>
    </xf>
    <xf numFmtId="0" fontId="10" fillId="6" borderId="25" xfId="0" applyFont="1" applyFill="1" applyBorder="1" applyAlignment="1" applyProtection="1">
      <alignment horizontal="center"/>
      <protection hidden="1"/>
    </xf>
    <xf numFmtId="0" fontId="10" fillId="5" borderId="25" xfId="0" applyFont="1" applyFill="1" applyBorder="1" applyAlignment="1" applyProtection="1">
      <alignment horizontal="center"/>
      <protection hidden="1"/>
    </xf>
    <xf numFmtId="168" fontId="10" fillId="4" borderId="0" xfId="0" applyNumberFormat="1" applyFont="1" applyFill="1" applyBorder="1" applyAlignment="1" applyProtection="1">
      <alignment horizontal="center"/>
      <protection hidden="1"/>
    </xf>
    <xf numFmtId="168" fontId="10" fillId="4" borderId="25" xfId="0" applyNumberFormat="1" applyFont="1" applyFill="1" applyBorder="1" applyAlignment="1" applyProtection="1">
      <alignment horizontal="center"/>
      <protection hidden="1"/>
    </xf>
    <xf numFmtId="168" fontId="10" fillId="3" borderId="0" xfId="0" applyNumberFormat="1" applyFont="1" applyFill="1" applyBorder="1" applyAlignment="1" applyProtection="1">
      <alignment horizontal="center"/>
      <protection hidden="1"/>
    </xf>
    <xf numFmtId="168" fontId="10" fillId="3" borderId="25" xfId="0" applyNumberFormat="1" applyFont="1" applyFill="1" applyBorder="1" applyAlignment="1" applyProtection="1">
      <alignment horizontal="center"/>
      <protection hidden="1"/>
    </xf>
    <xf numFmtId="168" fontId="10" fillId="8" borderId="0" xfId="0" applyNumberFormat="1" applyFont="1" applyFill="1" applyBorder="1" applyAlignment="1" applyProtection="1">
      <alignment horizontal="center"/>
      <protection hidden="1"/>
    </xf>
    <xf numFmtId="168" fontId="10" fillId="8" borderId="25" xfId="0" applyNumberFormat="1" applyFont="1" applyFill="1" applyBorder="1" applyAlignment="1" applyProtection="1">
      <alignment horizontal="center"/>
      <protection hidden="1"/>
    </xf>
    <xf numFmtId="168" fontId="10" fillId="9" borderId="0" xfId="0" applyNumberFormat="1" applyFont="1" applyFill="1" applyBorder="1" applyAlignment="1" applyProtection="1">
      <alignment horizontal="center"/>
      <protection hidden="1"/>
    </xf>
    <xf numFmtId="168" fontId="10" fillId="9" borderId="25" xfId="0" applyNumberFormat="1" applyFont="1" applyFill="1" applyBorder="1" applyAlignment="1" applyProtection="1">
      <alignment horizontal="center"/>
      <protection hidden="1"/>
    </xf>
    <xf numFmtId="168" fontId="10" fillId="6" borderId="0" xfId="0" applyNumberFormat="1" applyFont="1" applyFill="1" applyBorder="1" applyAlignment="1" applyProtection="1">
      <alignment horizontal="center"/>
      <protection hidden="1"/>
    </xf>
    <xf numFmtId="168" fontId="10" fillId="6" borderId="25" xfId="0" applyNumberFormat="1" applyFont="1" applyFill="1" applyBorder="1" applyAlignment="1" applyProtection="1">
      <alignment horizontal="center"/>
      <protection hidden="1"/>
    </xf>
    <xf numFmtId="168" fontId="10" fillId="5" borderId="0" xfId="0" applyNumberFormat="1" applyFont="1" applyFill="1" applyBorder="1" applyAlignment="1" applyProtection="1">
      <alignment horizontal="center"/>
      <protection hidden="1"/>
    </xf>
    <xf numFmtId="168" fontId="10" fillId="5" borderId="25" xfId="0" applyNumberFormat="1" applyFont="1" applyFill="1" applyBorder="1" applyAlignment="1" applyProtection="1">
      <alignment horizontal="center"/>
      <protection hidden="1"/>
    </xf>
    <xf numFmtId="168" fontId="10" fillId="4" borderId="3" xfId="0" applyNumberFormat="1" applyFont="1" applyFill="1" applyBorder="1" applyAlignment="1" applyProtection="1">
      <alignment horizontal="center"/>
      <protection hidden="1"/>
    </xf>
    <xf numFmtId="168" fontId="10" fillId="4" borderId="30" xfId="0" applyNumberFormat="1" applyFont="1" applyFill="1" applyBorder="1" applyAlignment="1" applyProtection="1">
      <alignment horizontal="center"/>
      <protection hidden="1"/>
    </xf>
    <xf numFmtId="0" fontId="10" fillId="3" borderId="32" xfId="0" applyFont="1" applyFill="1" applyBorder="1" applyAlignment="1" applyProtection="1">
      <alignment vertical="center"/>
      <protection hidden="1"/>
    </xf>
    <xf numFmtId="0" fontId="10" fillId="3" borderId="33" xfId="0" applyFont="1" applyFill="1" applyBorder="1" applyAlignment="1" applyProtection="1">
      <alignment vertical="center"/>
      <protection hidden="1"/>
    </xf>
    <xf numFmtId="0" fontId="10" fillId="3" borderId="36" xfId="0" applyFont="1" applyFill="1" applyBorder="1" applyAlignment="1" applyProtection="1">
      <alignment vertical="center"/>
      <protection hidden="1"/>
    </xf>
    <xf numFmtId="168" fontId="46" fillId="0" borderId="0" xfId="0" applyNumberFormat="1" applyFont="1" applyBorder="1" applyAlignment="1" applyProtection="1">
      <alignment horizontal="center" vertical="center"/>
      <protection locked="0"/>
    </xf>
    <xf numFmtId="168" fontId="46" fillId="0" borderId="34" xfId="0" applyNumberFormat="1" applyFont="1" applyBorder="1" applyAlignment="1" applyProtection="1">
      <alignment horizontal="center" vertical="center"/>
      <protection locked="0"/>
    </xf>
    <xf numFmtId="168" fontId="46" fillId="0" borderId="35" xfId="0" applyNumberFormat="1" applyFont="1" applyBorder="1" applyAlignment="1" applyProtection="1">
      <alignment horizontal="center" vertical="center"/>
      <protection locked="0"/>
    </xf>
    <xf numFmtId="0" fontId="47" fillId="3" borderId="0" xfId="0" applyFont="1" applyFill="1" applyProtection="1">
      <protection hidden="1"/>
    </xf>
    <xf numFmtId="0" fontId="48" fillId="3" borderId="0" xfId="0" applyFont="1" applyFill="1" applyProtection="1">
      <protection hidden="1"/>
    </xf>
    <xf numFmtId="0" fontId="48" fillId="3" borderId="0" xfId="0" applyFont="1" applyFill="1" applyAlignment="1" applyProtection="1">
      <alignment horizontal="left"/>
      <protection hidden="1"/>
    </xf>
    <xf numFmtId="37" fontId="48" fillId="3" borderId="0" xfId="0" applyNumberFormat="1" applyFont="1" applyFill="1" applyProtection="1">
      <protection hidden="1"/>
    </xf>
    <xf numFmtId="0" fontId="18" fillId="3" borderId="28" xfId="0" applyFont="1" applyFill="1" applyBorder="1" applyProtection="1">
      <protection locked="0" hidden="1"/>
    </xf>
    <xf numFmtId="0" fontId="0" fillId="3" borderId="28" xfId="0" applyFill="1" applyBorder="1" applyProtection="1">
      <protection locked="0" hidden="1"/>
    </xf>
    <xf numFmtId="0" fontId="0" fillId="3" borderId="29" xfId="0" applyFill="1" applyBorder="1" applyProtection="1">
      <protection locked="0" hidden="1"/>
    </xf>
    <xf numFmtId="0" fontId="28" fillId="3" borderId="25" xfId="0" applyFont="1" applyFill="1" applyBorder="1" applyAlignment="1" applyProtection="1">
      <alignment horizontal="center" vertical="center"/>
      <protection locked="0" hidden="1"/>
    </xf>
    <xf numFmtId="179" fontId="29" fillId="11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Border="1" applyAlignment="1">
      <alignment horizontal="center" vertical="center"/>
    </xf>
    <xf numFmtId="179" fontId="18" fillId="11" borderId="4" xfId="0" applyNumberFormat="1" applyFont="1" applyFill="1" applyBorder="1" applyAlignment="1">
      <alignment horizontal="center" vertical="center"/>
    </xf>
    <xf numFmtId="0" fontId="0" fillId="2" borderId="0" xfId="0" applyFill="1" applyBorder="1" applyProtection="1">
      <protection locked="0"/>
    </xf>
    <xf numFmtId="0" fontId="0" fillId="0" borderId="0" xfId="0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0" xfId="0" applyFill="1" applyBorder="1" applyAlignment="1" applyProtection="1">
      <alignment horizontal="right"/>
      <protection locked="0"/>
    </xf>
    <xf numFmtId="0" fontId="18" fillId="2" borderId="0" xfId="0" applyFont="1" applyFill="1" applyBorder="1" applyAlignment="1" applyProtection="1">
      <alignment vertical="center"/>
      <protection locked="0"/>
    </xf>
    <xf numFmtId="0" fontId="18" fillId="2" borderId="8" xfId="0" applyFont="1" applyFill="1" applyBorder="1" applyAlignment="1" applyProtection="1">
      <alignment vertical="center"/>
      <protection locked="0"/>
    </xf>
    <xf numFmtId="0" fontId="34" fillId="2" borderId="0" xfId="0" applyFont="1" applyFill="1" applyBorder="1" applyAlignment="1" applyProtection="1">
      <alignment horizontal="center"/>
      <protection hidden="1"/>
    </xf>
    <xf numFmtId="177" fontId="5" fillId="2" borderId="0" xfId="0" applyNumberFormat="1" applyFont="1" applyFill="1" applyBorder="1" applyAlignment="1" applyProtection="1">
      <alignment vertical="center"/>
      <protection hidden="1"/>
    </xf>
    <xf numFmtId="37" fontId="3" fillId="2" borderId="1" xfId="5" applyNumberFormat="1" applyFont="1" applyFill="1" applyBorder="1" applyAlignment="1" applyProtection="1">
      <alignment horizontal="left"/>
      <protection hidden="1"/>
    </xf>
    <xf numFmtId="170" fontId="3" fillId="2" borderId="1" xfId="5" applyNumberFormat="1" applyFont="1" applyFill="1" applyBorder="1" applyAlignment="1" applyProtection="1">
      <alignment horizontal="left"/>
      <protection hidden="1"/>
    </xf>
    <xf numFmtId="171" fontId="12" fillId="2" borderId="23" xfId="5" applyNumberFormat="1" applyFont="1" applyFill="1" applyBorder="1" applyAlignment="1" applyProtection="1">
      <alignment horizontal="left"/>
      <protection hidden="1"/>
    </xf>
    <xf numFmtId="171" fontId="12" fillId="2" borderId="24" xfId="5" applyNumberFormat="1" applyFont="1" applyFill="1" applyBorder="1" applyAlignment="1" applyProtection="1">
      <alignment horizontal="left"/>
      <protection hidden="1"/>
    </xf>
    <xf numFmtId="0" fontId="7" fillId="7" borderId="22" xfId="3" applyFont="1" applyFill="1" applyBorder="1" applyAlignment="1" applyProtection="1">
      <alignment horizontal="left"/>
      <protection hidden="1"/>
    </xf>
    <xf numFmtId="0" fontId="7" fillId="7" borderId="23" xfId="3" applyFont="1" applyFill="1" applyBorder="1" applyAlignment="1" applyProtection="1">
      <alignment horizontal="left"/>
      <protection hidden="1"/>
    </xf>
    <xf numFmtId="0" fontId="7" fillId="7" borderId="24" xfId="3" applyFont="1" applyFill="1" applyBorder="1" applyAlignment="1" applyProtection="1">
      <alignment horizontal="left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0" fontId="3" fillId="4" borderId="27" xfId="3" applyFont="1" applyFill="1" applyBorder="1" applyAlignment="1" applyProtection="1">
      <alignment horizontal="center"/>
      <protection hidden="1"/>
    </xf>
    <xf numFmtId="0" fontId="3" fillId="4" borderId="40" xfId="3" applyFont="1" applyFill="1" applyBorder="1" applyAlignment="1" applyProtection="1">
      <alignment horizontal="center"/>
      <protection hidden="1"/>
    </xf>
    <xf numFmtId="0" fontId="5" fillId="4" borderId="27" xfId="3" applyFont="1" applyFill="1" applyBorder="1" applyAlignment="1" applyProtection="1">
      <alignment horizontal="center"/>
      <protection hidden="1"/>
    </xf>
    <xf numFmtId="0" fontId="5" fillId="4" borderId="40" xfId="3" applyFont="1" applyFill="1" applyBorder="1" applyAlignment="1" applyProtection="1">
      <alignment horizontal="center"/>
      <protection hidden="1"/>
    </xf>
    <xf numFmtId="171" fontId="3" fillId="2" borderId="5" xfId="5" applyNumberFormat="1" applyFont="1" applyFill="1" applyBorder="1" applyAlignment="1" applyProtection="1">
      <alignment horizontal="left"/>
      <protection hidden="1"/>
    </xf>
    <xf numFmtId="171" fontId="3" fillId="2" borderId="10" xfId="5" applyNumberFormat="1" applyFont="1" applyFill="1" applyBorder="1" applyAlignment="1" applyProtection="1">
      <alignment horizontal="left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40" xfId="0" applyFont="1" applyFill="1" applyBorder="1" applyAlignment="1" applyProtection="1">
      <alignment horizontal="center" vertical="center"/>
      <protection hidden="1"/>
    </xf>
    <xf numFmtId="0" fontId="20" fillId="4" borderId="22" xfId="0" applyFont="1" applyFill="1" applyBorder="1" applyAlignment="1" applyProtection="1">
      <alignment horizontal="center" vertical="center"/>
      <protection hidden="1"/>
    </xf>
    <xf numFmtId="0" fontId="20" fillId="4" borderId="23" xfId="0" applyFont="1" applyFill="1" applyBorder="1" applyAlignment="1" applyProtection="1">
      <alignment horizontal="center" vertical="center"/>
      <protection hidden="1"/>
    </xf>
    <xf numFmtId="0" fontId="20" fillId="4" borderId="24" xfId="0" applyFont="1" applyFill="1" applyBorder="1" applyAlignment="1" applyProtection="1">
      <alignment horizontal="center" vertical="center"/>
      <protection hidden="1"/>
    </xf>
    <xf numFmtId="175" fontId="3" fillId="0" borderId="0" xfId="0" applyNumberFormat="1" applyFont="1" applyAlignment="1" applyProtection="1">
      <alignment horizontal="left"/>
      <protection locked="0"/>
    </xf>
    <xf numFmtId="0" fontId="3" fillId="4" borderId="22" xfId="0" applyFont="1" applyFill="1" applyBorder="1" applyAlignment="1" applyProtection="1">
      <alignment horizontal="center"/>
      <protection hidden="1"/>
    </xf>
    <xf numFmtId="0" fontId="3" fillId="4" borderId="23" xfId="0" applyFont="1" applyFill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wrapText="1"/>
      <protection hidden="1"/>
    </xf>
    <xf numFmtId="0" fontId="3" fillId="4" borderId="24" xfId="0" applyFont="1" applyFill="1" applyBorder="1" applyAlignment="1" applyProtection="1">
      <alignment horizontal="center"/>
      <protection hidden="1"/>
    </xf>
    <xf numFmtId="0" fontId="3" fillId="10" borderId="22" xfId="0" applyFont="1" applyFill="1" applyBorder="1" applyAlignment="1" applyProtection="1">
      <alignment horizontal="center"/>
      <protection hidden="1"/>
    </xf>
    <xf numFmtId="0" fontId="3" fillId="10" borderId="23" xfId="0" applyFont="1" applyFill="1" applyBorder="1" applyAlignment="1" applyProtection="1">
      <alignment horizontal="center"/>
      <protection hidden="1"/>
    </xf>
    <xf numFmtId="0" fontId="3" fillId="10" borderId="24" xfId="0" applyFont="1" applyFill="1" applyBorder="1" applyAlignment="1" applyProtection="1">
      <alignment horizontal="center"/>
      <protection hidden="1"/>
    </xf>
    <xf numFmtId="0" fontId="3" fillId="6" borderId="22" xfId="0" applyFont="1" applyFill="1" applyBorder="1" applyAlignment="1" applyProtection="1">
      <alignment horizontal="center"/>
      <protection hidden="1"/>
    </xf>
    <xf numFmtId="0" fontId="3" fillId="6" borderId="23" xfId="0" applyFont="1" applyFill="1" applyBorder="1" applyAlignment="1" applyProtection="1">
      <alignment horizontal="center"/>
      <protection hidden="1"/>
    </xf>
    <xf numFmtId="0" fontId="3" fillId="6" borderId="24" xfId="0" applyFont="1" applyFill="1" applyBorder="1" applyAlignment="1" applyProtection="1">
      <alignment horizontal="center"/>
      <protection hidden="1"/>
    </xf>
    <xf numFmtId="0" fontId="5" fillId="2" borderId="27" xfId="0" applyFont="1" applyFill="1" applyBorder="1" applyAlignment="1" applyProtection="1">
      <alignment horizontal="center"/>
      <protection hidden="1"/>
    </xf>
    <xf numFmtId="0" fontId="5" fillId="2" borderId="40" xfId="0" applyFont="1" applyFill="1" applyBorder="1" applyAlignment="1" applyProtection="1">
      <alignment horizontal="center"/>
      <protection hidden="1"/>
    </xf>
    <xf numFmtId="170" fontId="3" fillId="2" borderId="1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 vertical="center"/>
      <protection hidden="1"/>
    </xf>
    <xf numFmtId="0" fontId="19" fillId="12" borderId="0" xfId="0" applyFont="1" applyFill="1" applyAlignment="1" applyProtection="1">
      <alignment horizontal="center" wrapText="1"/>
      <protection hidden="1"/>
    </xf>
    <xf numFmtId="39" fontId="5" fillId="2" borderId="1" xfId="2" applyNumberFormat="1" applyFont="1" applyFill="1" applyBorder="1" applyAlignment="1" applyProtection="1">
      <alignment horizontal="left"/>
      <protection hidden="1"/>
    </xf>
    <xf numFmtId="0" fontId="10" fillId="0" borderId="7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  <protection hidden="1"/>
    </xf>
    <xf numFmtId="0" fontId="10" fillId="0" borderId="5" xfId="0" applyFont="1" applyFill="1" applyBorder="1" applyAlignment="1" applyProtection="1">
      <alignment horizontal="center" vertical="center"/>
      <protection hidden="1"/>
    </xf>
    <xf numFmtId="0" fontId="10" fillId="0" borderId="10" xfId="0" applyFont="1" applyFill="1" applyBorder="1" applyAlignment="1" applyProtection="1">
      <alignment horizontal="center" vertical="center"/>
      <protection hidden="1"/>
    </xf>
    <xf numFmtId="177" fontId="3" fillId="2" borderId="0" xfId="0" applyNumberFormat="1" applyFont="1" applyFill="1" applyBorder="1" applyAlignment="1" applyProtection="1">
      <alignment horizontal="left" vertical="center"/>
      <protection hidden="1"/>
    </xf>
    <xf numFmtId="177" fontId="3" fillId="2" borderId="8" xfId="0" applyNumberFormat="1" applyFont="1" applyFill="1" applyBorder="1" applyAlignment="1" applyProtection="1">
      <alignment horizontal="left" vertical="center"/>
      <protection hidden="1"/>
    </xf>
    <xf numFmtId="0" fontId="28" fillId="4" borderId="7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174" fontId="18" fillId="5" borderId="37" xfId="0" applyNumberFormat="1" applyFont="1" applyFill="1" applyBorder="1" applyAlignment="1" applyProtection="1">
      <alignment horizontal="center"/>
      <protection locked="0" hidden="1"/>
    </xf>
    <xf numFmtId="174" fontId="18" fillId="5" borderId="38" xfId="0" applyNumberFormat="1" applyFont="1" applyFill="1" applyBorder="1" applyAlignment="1" applyProtection="1">
      <alignment horizontal="center"/>
      <protection locked="0" hidden="1"/>
    </xf>
    <xf numFmtId="174" fontId="18" fillId="5" borderId="39" xfId="0" applyNumberFormat="1" applyFont="1" applyFill="1" applyBorder="1" applyAlignment="1" applyProtection="1">
      <alignment horizontal="center"/>
      <protection locked="0" hidden="1"/>
    </xf>
    <xf numFmtId="174" fontId="18" fillId="5" borderId="37" xfId="0" applyNumberFormat="1" applyFont="1" applyFill="1" applyBorder="1" applyAlignment="1" applyProtection="1">
      <alignment horizontal="center"/>
      <protection hidden="1"/>
    </xf>
    <xf numFmtId="174" fontId="18" fillId="5" borderId="38" xfId="0" applyNumberFormat="1" applyFont="1" applyFill="1" applyBorder="1" applyAlignment="1" applyProtection="1">
      <alignment horizontal="center"/>
      <protection hidden="1"/>
    </xf>
    <xf numFmtId="174" fontId="18" fillId="5" borderId="39" xfId="0" applyNumberFormat="1" applyFont="1" applyFill="1" applyBorder="1" applyAlignment="1" applyProtection="1">
      <alignment horizontal="center"/>
      <protection hidden="1"/>
    </xf>
    <xf numFmtId="39" fontId="0" fillId="3" borderId="0" xfId="0" applyNumberFormat="1" applyFill="1" applyAlignment="1" applyProtection="1">
      <alignment horizontal="center" wrapText="1"/>
      <protection hidden="1"/>
    </xf>
    <xf numFmtId="0" fontId="2" fillId="4" borderId="22" xfId="0" applyFont="1" applyFill="1" applyBorder="1" applyAlignment="1" applyProtection="1">
      <alignment horizontal="center"/>
      <protection hidden="1"/>
    </xf>
    <xf numFmtId="0" fontId="2" fillId="4" borderId="23" xfId="0" applyFont="1" applyFill="1" applyBorder="1" applyAlignment="1" applyProtection="1">
      <alignment horizontal="center"/>
      <protection hidden="1"/>
    </xf>
    <xf numFmtId="0" fontId="2" fillId="4" borderId="24" xfId="0" applyFont="1" applyFill="1" applyBorder="1" applyAlignment="1" applyProtection="1">
      <alignment horizontal="center"/>
      <protection hidden="1"/>
    </xf>
    <xf numFmtId="0" fontId="2" fillId="10" borderId="22" xfId="0" applyFont="1" applyFill="1" applyBorder="1" applyAlignment="1" applyProtection="1">
      <alignment horizontal="center"/>
      <protection hidden="1"/>
    </xf>
    <xf numFmtId="0" fontId="2" fillId="10" borderId="23" xfId="0" applyFont="1" applyFill="1" applyBorder="1" applyAlignment="1" applyProtection="1">
      <alignment horizontal="center"/>
      <protection hidden="1"/>
    </xf>
    <xf numFmtId="0" fontId="2" fillId="10" borderId="24" xfId="0" applyFont="1" applyFill="1" applyBorder="1" applyAlignment="1" applyProtection="1">
      <alignment horizontal="center"/>
      <protection hidden="1"/>
    </xf>
    <xf numFmtId="0" fontId="2" fillId="6" borderId="22" xfId="0" applyFont="1" applyFill="1" applyBorder="1" applyAlignment="1" applyProtection="1">
      <alignment horizontal="center"/>
      <protection hidden="1"/>
    </xf>
    <xf numFmtId="0" fontId="2" fillId="6" borderId="23" xfId="0" applyFont="1" applyFill="1" applyBorder="1" applyAlignment="1" applyProtection="1">
      <alignment horizontal="center"/>
      <protection hidden="1"/>
    </xf>
    <xf numFmtId="0" fontId="2" fillId="6" borderId="24" xfId="0" applyFont="1" applyFill="1" applyBorder="1" applyAlignment="1" applyProtection="1">
      <alignment horizontal="center"/>
      <protection hidden="1"/>
    </xf>
    <xf numFmtId="0" fontId="49" fillId="3" borderId="8" xfId="0" applyFont="1" applyFill="1" applyBorder="1" applyAlignment="1" applyProtection="1">
      <alignment horizontal="right"/>
      <protection hidden="1"/>
    </xf>
    <xf numFmtId="0" fontId="20" fillId="4" borderId="23" xfId="0" applyFont="1" applyFill="1" applyBorder="1" applyAlignment="1" applyProtection="1">
      <alignment vertical="center"/>
      <protection hidden="1"/>
    </xf>
    <xf numFmtId="0" fontId="20" fillId="4" borderId="24" xfId="0" applyFont="1" applyFill="1" applyBorder="1" applyAlignment="1" applyProtection="1">
      <alignment vertical="center"/>
      <protection hidden="1"/>
    </xf>
    <xf numFmtId="0" fontId="33" fillId="2" borderId="1" xfId="0" applyFont="1" applyFill="1" applyBorder="1" applyAlignment="1" applyProtection="1">
      <alignment vertical="center" wrapText="1"/>
      <protection hidden="1"/>
    </xf>
    <xf numFmtId="0" fontId="33" fillId="2" borderId="6" xfId="0" applyFont="1" applyFill="1" applyBorder="1" applyAlignment="1" applyProtection="1">
      <alignment vertical="center" wrapText="1"/>
      <protection hidden="1"/>
    </xf>
    <xf numFmtId="0" fontId="33" fillId="2" borderId="0" xfId="0" applyFont="1" applyFill="1" applyBorder="1" applyAlignment="1" applyProtection="1">
      <alignment vertical="center" wrapText="1"/>
      <protection hidden="1"/>
    </xf>
    <xf numFmtId="0" fontId="33" fillId="2" borderId="8" xfId="0" applyFont="1" applyFill="1" applyBorder="1" applyAlignment="1" applyProtection="1">
      <alignment vertical="center" wrapText="1"/>
      <protection hidden="1"/>
    </xf>
    <xf numFmtId="0" fontId="33" fillId="2" borderId="5" xfId="0" applyFont="1" applyFill="1" applyBorder="1" applyAlignment="1" applyProtection="1">
      <alignment vertical="center" wrapText="1"/>
      <protection hidden="1"/>
    </xf>
    <xf numFmtId="0" fontId="33" fillId="2" borderId="10" xfId="0" applyFont="1" applyFill="1" applyBorder="1" applyAlignment="1" applyProtection="1">
      <alignment vertical="center" wrapText="1"/>
      <protection hidden="1"/>
    </xf>
    <xf numFmtId="177" fontId="5" fillId="2" borderId="8" xfId="0" applyNumberFormat="1" applyFont="1" applyFill="1" applyBorder="1" applyAlignment="1" applyProtection="1">
      <alignment vertical="center"/>
      <protection hidden="1"/>
    </xf>
    <xf numFmtId="170" fontId="51" fillId="2" borderId="1" xfId="2" applyNumberFormat="1" applyFont="1" applyFill="1" applyBorder="1" applyAlignment="1" applyProtection="1">
      <alignment horizontal="left"/>
      <protection hidden="1"/>
    </xf>
    <xf numFmtId="172" fontId="19" fillId="2" borderId="1" xfId="0" applyNumberFormat="1" applyFont="1" applyFill="1" applyBorder="1" applyProtection="1">
      <protection hidden="1"/>
    </xf>
    <xf numFmtId="37" fontId="51" fillId="2" borderId="0" xfId="2" applyNumberFormat="1" applyFont="1" applyFill="1" applyBorder="1" applyAlignment="1" applyProtection="1">
      <alignment horizontal="left"/>
      <protection hidden="1"/>
    </xf>
    <xf numFmtId="14" fontId="53" fillId="2" borderId="0" xfId="0" applyNumberFormat="1" applyFont="1" applyFill="1" applyBorder="1" applyProtection="1">
      <protection hidden="1"/>
    </xf>
    <xf numFmtId="39" fontId="51" fillId="2" borderId="1" xfId="2" applyNumberFormat="1" applyFont="1" applyFill="1" applyBorder="1" applyAlignment="1" applyProtection="1">
      <protection hidden="1"/>
    </xf>
    <xf numFmtId="171" fontId="51" fillId="2" borderId="0" xfId="2" applyNumberFormat="1" applyFont="1" applyFill="1" applyBorder="1" applyAlignment="1" applyProtection="1">
      <protection hidden="1"/>
    </xf>
    <xf numFmtId="171" fontId="51" fillId="2" borderId="0" xfId="2" applyNumberFormat="1" applyFont="1" applyFill="1" applyBorder="1" applyAlignment="1" applyProtection="1">
      <alignment vertical="center"/>
      <protection hidden="1"/>
    </xf>
    <xf numFmtId="171" fontId="28" fillId="2" borderId="0" xfId="2" applyNumberFormat="1" applyFont="1" applyFill="1" applyBorder="1" applyAlignment="1" applyProtection="1">
      <alignment horizontal="left" vertical="center"/>
      <protection hidden="1"/>
    </xf>
    <xf numFmtId="0" fontId="54" fillId="2" borderId="0" xfId="0" applyFont="1" applyFill="1" applyBorder="1" applyAlignment="1" applyProtection="1">
      <alignment horizontal="left"/>
      <protection hidden="1"/>
    </xf>
    <xf numFmtId="0" fontId="28" fillId="0" borderId="0" xfId="0" applyFont="1" applyFill="1" applyAlignment="1">
      <alignment vertical="center"/>
    </xf>
    <xf numFmtId="0" fontId="28" fillId="0" borderId="8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 applyProtection="1">
      <alignment vertical="center"/>
      <protection hidden="1"/>
    </xf>
    <xf numFmtId="0" fontId="10" fillId="0" borderId="5" xfId="0" applyFont="1" applyFill="1" applyBorder="1" applyAlignment="1" applyProtection="1">
      <alignment vertical="center"/>
      <protection hidden="1"/>
    </xf>
    <xf numFmtId="0" fontId="10" fillId="0" borderId="10" xfId="0" applyFont="1" applyFill="1" applyBorder="1" applyAlignment="1" applyProtection="1">
      <alignment vertical="center"/>
      <protection hidden="1"/>
    </xf>
    <xf numFmtId="0" fontId="10" fillId="0" borderId="0" xfId="0" applyFont="1" applyFill="1" applyBorder="1" applyAlignment="1">
      <alignment vertical="center"/>
    </xf>
    <xf numFmtId="0" fontId="51" fillId="2" borderId="0" xfId="0" applyFont="1" applyFill="1" applyBorder="1" applyAlignment="1" applyProtection="1">
      <alignment horizontal="center"/>
      <protection hidden="1"/>
    </xf>
    <xf numFmtId="10" fontId="51" fillId="2" borderId="0" xfId="0" applyNumberFormat="1" applyFont="1" applyFill="1" applyBorder="1" applyAlignment="1" applyProtection="1">
      <alignment horizontal="center"/>
      <protection hidden="1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55" fillId="2" borderId="0" xfId="0" applyFont="1" applyFill="1" applyBorder="1" applyAlignment="1" applyProtection="1">
      <alignment horizontal="right" vertical="center"/>
      <protection hidden="1"/>
    </xf>
    <xf numFmtId="177" fontId="51" fillId="2" borderId="0" xfId="0" applyNumberFormat="1" applyFont="1" applyFill="1" applyBorder="1" applyAlignment="1" applyProtection="1">
      <alignment horizontal="right" vertical="center"/>
      <protection hidden="1"/>
    </xf>
    <xf numFmtId="177" fontId="51" fillId="2" borderId="0" xfId="0" applyNumberFormat="1" applyFont="1" applyFill="1" applyBorder="1" applyAlignment="1" applyProtection="1">
      <alignment horizontal="left" vertical="center"/>
      <protection hidden="1"/>
    </xf>
    <xf numFmtId="165" fontId="2" fillId="2" borderId="24" xfId="2" applyNumberFormat="1" applyFont="1" applyFill="1" applyBorder="1" applyAlignment="1" applyProtection="1">
      <alignment horizontal="center"/>
      <protection hidden="1"/>
    </xf>
    <xf numFmtId="165" fontId="2" fillId="11" borderId="24" xfId="2" applyNumberFormat="1" applyFont="1" applyFill="1" applyBorder="1" applyAlignment="1" applyProtection="1">
      <alignment horizontal="center"/>
      <protection hidden="1"/>
    </xf>
    <xf numFmtId="0" fontId="20" fillId="4" borderId="41" xfId="0" applyFont="1" applyFill="1" applyBorder="1" applyAlignment="1" applyProtection="1">
      <alignment horizontal="center" vertical="center"/>
      <protection hidden="1"/>
    </xf>
    <xf numFmtId="0" fontId="59" fillId="3" borderId="41" xfId="0" applyFont="1" applyFill="1" applyBorder="1" applyAlignment="1" applyProtection="1">
      <alignment horizontal="left" vertical="center"/>
      <protection hidden="1"/>
    </xf>
    <xf numFmtId="0" fontId="8" fillId="3" borderId="41" xfId="0" applyFont="1" applyFill="1" applyBorder="1" applyProtection="1">
      <protection hidden="1"/>
    </xf>
    <xf numFmtId="0" fontId="8" fillId="2" borderId="41" xfId="0" applyFont="1" applyFill="1" applyBorder="1" applyProtection="1">
      <protection hidden="1"/>
    </xf>
    <xf numFmtId="0" fontId="50" fillId="2" borderId="41" xfId="0" applyFont="1" applyFill="1" applyBorder="1" applyAlignment="1" applyProtection="1">
      <alignment horizontal="center" vertical="center"/>
      <protection hidden="1"/>
    </xf>
    <xf numFmtId="0" fontId="50" fillId="2" borderId="41" xfId="0" applyFont="1" applyFill="1" applyBorder="1" applyAlignment="1" applyProtection="1">
      <alignment horizontal="center" vertical="center"/>
      <protection hidden="1"/>
    </xf>
    <xf numFmtId="0" fontId="50" fillId="2" borderId="41" xfId="0" applyFont="1" applyFill="1" applyBorder="1" applyAlignment="1" applyProtection="1">
      <alignment vertical="center"/>
      <protection hidden="1"/>
    </xf>
    <xf numFmtId="49" fontId="21" fillId="2" borderId="41" xfId="0" applyNumberFormat="1" applyFont="1" applyFill="1" applyBorder="1" applyAlignment="1">
      <alignment horizontal="center" vertical="center"/>
    </xf>
    <xf numFmtId="1" fontId="21" fillId="2" borderId="41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center" vertical="center"/>
      <protection hidden="1"/>
    </xf>
    <xf numFmtId="0" fontId="60" fillId="2" borderId="41" xfId="0" applyFont="1" applyFill="1" applyBorder="1" applyAlignment="1" applyProtection="1">
      <alignment horizontal="center" vertical="center"/>
      <protection hidden="1"/>
    </xf>
    <xf numFmtId="168" fontId="60" fillId="11" borderId="41" xfId="0" applyNumberFormat="1" applyFont="1" applyFill="1" applyBorder="1" applyAlignment="1" applyProtection="1">
      <alignment horizontal="center" vertical="center"/>
      <protection hidden="1"/>
    </xf>
    <xf numFmtId="172" fontId="21" fillId="2" borderId="41" xfId="0" applyNumberFormat="1" applyFont="1" applyFill="1" applyBorder="1" applyAlignment="1" applyProtection="1">
      <alignment horizontal="center" vertical="center"/>
      <protection hidden="1"/>
    </xf>
    <xf numFmtId="10" fontId="50" fillId="2" borderId="41" xfId="1" applyNumberFormat="1" applyFont="1" applyFill="1" applyBorder="1" applyAlignment="1" applyProtection="1">
      <alignment horizontal="center" vertical="center"/>
      <protection hidden="1"/>
    </xf>
    <xf numFmtId="172" fontId="50" fillId="2" borderId="41" xfId="1" applyNumberFormat="1" applyFont="1" applyFill="1" applyBorder="1" applyAlignment="1" applyProtection="1">
      <alignment horizontal="center" vertical="center"/>
      <protection hidden="1"/>
    </xf>
    <xf numFmtId="0" fontId="50" fillId="11" borderId="41" xfId="0" applyFont="1" applyFill="1" applyBorder="1" applyAlignment="1" applyProtection="1">
      <alignment vertical="center"/>
      <protection hidden="1"/>
    </xf>
    <xf numFmtId="49" fontId="21" fillId="11" borderId="41" xfId="0" applyNumberFormat="1" applyFont="1" applyFill="1" applyBorder="1" applyAlignment="1">
      <alignment horizontal="center" vertical="center"/>
    </xf>
    <xf numFmtId="1" fontId="21" fillId="11" borderId="41" xfId="0" applyNumberFormat="1" applyFont="1" applyFill="1" applyBorder="1" applyAlignment="1" applyProtection="1">
      <alignment horizontal="center" vertical="center"/>
      <protection locked="0"/>
    </xf>
    <xf numFmtId="0" fontId="21" fillId="11" borderId="41" xfId="0" applyFont="1" applyFill="1" applyBorder="1" applyAlignment="1" applyProtection="1">
      <alignment horizontal="center" vertical="center"/>
      <protection hidden="1"/>
    </xf>
    <xf numFmtId="0" fontId="60" fillId="11" borderId="41" xfId="0" applyFont="1" applyFill="1" applyBorder="1" applyAlignment="1" applyProtection="1">
      <alignment horizontal="center" vertical="center"/>
      <protection hidden="1"/>
    </xf>
    <xf numFmtId="172" fontId="21" fillId="11" borderId="41" xfId="0" applyNumberFormat="1" applyFont="1" applyFill="1" applyBorder="1" applyAlignment="1" applyProtection="1">
      <alignment horizontal="center" vertical="center"/>
      <protection hidden="1"/>
    </xf>
    <xf numFmtId="0" fontId="0" fillId="2" borderId="41" xfId="0" applyFill="1" applyBorder="1" applyProtection="1">
      <protection hidden="1"/>
    </xf>
    <xf numFmtId="0" fontId="22" fillId="2" borderId="41" xfId="0" applyFont="1" applyFill="1" applyBorder="1" applyAlignment="1" applyProtection="1">
      <alignment horizontal="left" vertical="center" wrapText="1"/>
      <protection hidden="1"/>
    </xf>
    <xf numFmtId="0" fontId="57" fillId="2" borderId="41" xfId="0" applyFont="1" applyFill="1" applyBorder="1" applyAlignment="1" applyProtection="1">
      <alignment horizontal="right"/>
      <protection hidden="1"/>
    </xf>
    <xf numFmtId="0" fontId="54" fillId="2" borderId="41" xfId="0" applyFont="1" applyFill="1" applyBorder="1" applyAlignment="1" applyProtection="1">
      <alignment horizontal="center"/>
      <protection locked="0"/>
    </xf>
    <xf numFmtId="0" fontId="54" fillId="2" borderId="41" xfId="0" applyFont="1" applyFill="1" applyBorder="1" applyAlignment="1" applyProtection="1">
      <alignment horizontal="left"/>
      <protection hidden="1"/>
    </xf>
    <xf numFmtId="14" fontId="0" fillId="2" borderId="41" xfId="0" applyNumberFormat="1" applyFill="1" applyBorder="1" applyProtection="1">
      <protection hidden="1"/>
    </xf>
    <xf numFmtId="0" fontId="20" fillId="2" borderId="41" xfId="0" applyFont="1" applyFill="1" applyBorder="1" applyAlignment="1" applyProtection="1">
      <alignment horizontal="right"/>
      <protection hidden="1"/>
    </xf>
    <xf numFmtId="0" fontId="15" fillId="2" borderId="41" xfId="0" applyFont="1" applyFill="1" applyBorder="1" applyProtection="1">
      <protection hidden="1"/>
    </xf>
    <xf numFmtId="0" fontId="58" fillId="2" borderId="42" xfId="0" applyFont="1" applyFill="1" applyBorder="1" applyProtection="1">
      <protection hidden="1"/>
    </xf>
    <xf numFmtId="175" fontId="5" fillId="0" borderId="43" xfId="0" applyNumberFormat="1" applyFont="1" applyBorder="1" applyAlignment="1" applyProtection="1">
      <alignment horizontal="center"/>
      <protection locked="0"/>
    </xf>
    <xf numFmtId="175" fontId="5" fillId="0" borderId="43" xfId="0" applyNumberFormat="1" applyFont="1" applyBorder="1" applyAlignment="1" applyProtection="1">
      <protection locked="0"/>
    </xf>
    <xf numFmtId="0" fontId="9" fillId="2" borderId="43" xfId="0" applyFont="1" applyFill="1" applyBorder="1" applyProtection="1">
      <protection hidden="1"/>
    </xf>
    <xf numFmtId="0" fontId="58" fillId="2" borderId="43" xfId="0" applyFont="1" applyFill="1" applyBorder="1" applyAlignment="1" applyProtection="1">
      <alignment horizontal="center"/>
      <protection hidden="1"/>
    </xf>
    <xf numFmtId="0" fontId="58" fillId="2" borderId="44" xfId="0" applyFont="1" applyFill="1" applyBorder="1" applyAlignment="1" applyProtection="1">
      <alignment horizontal="right"/>
      <protection hidden="1"/>
    </xf>
    <xf numFmtId="0" fontId="58" fillId="2" borderId="45" xfId="0" applyFont="1" applyFill="1" applyBorder="1" applyProtection="1">
      <protection hidden="1"/>
    </xf>
    <xf numFmtId="0" fontId="51" fillId="2" borderId="46" xfId="0" applyFont="1" applyFill="1" applyBorder="1" applyAlignment="1" applyProtection="1">
      <alignment horizontal="left"/>
      <protection hidden="1"/>
    </xf>
    <xf numFmtId="168" fontId="51" fillId="0" borderId="0" xfId="0" applyNumberFormat="1" applyFont="1" applyBorder="1" applyAlignment="1" applyProtection="1">
      <alignment horizontal="center"/>
      <protection hidden="1"/>
    </xf>
    <xf numFmtId="168" fontId="51" fillId="0" borderId="46" xfId="0" applyNumberFormat="1" applyFont="1" applyBorder="1" applyAlignment="1" applyProtection="1">
      <alignment horizontal="left"/>
      <protection hidden="1"/>
    </xf>
    <xf numFmtId="10" fontId="51" fillId="2" borderId="46" xfId="0" applyNumberFormat="1" applyFont="1" applyFill="1" applyBorder="1" applyAlignment="1" applyProtection="1">
      <alignment horizontal="left"/>
      <protection hidden="1"/>
    </xf>
    <xf numFmtId="0" fontId="52" fillId="2" borderId="47" xfId="0" applyFont="1" applyFill="1" applyBorder="1" applyProtection="1">
      <protection hidden="1"/>
    </xf>
    <xf numFmtId="0" fontId="11" fillId="2" borderId="48" xfId="0" applyFont="1" applyFill="1" applyBorder="1" applyProtection="1">
      <protection hidden="1"/>
    </xf>
    <xf numFmtId="0" fontId="8" fillId="2" borderId="48" xfId="0" applyFont="1" applyFill="1" applyBorder="1" applyProtection="1">
      <protection hidden="1"/>
    </xf>
    <xf numFmtId="168" fontId="8" fillId="2" borderId="48" xfId="0" applyNumberFormat="1" applyFont="1" applyFill="1" applyBorder="1" applyProtection="1">
      <protection hidden="1"/>
    </xf>
    <xf numFmtId="0" fontId="2" fillId="2" borderId="49" xfId="0" applyFont="1" applyFill="1" applyBorder="1" applyAlignment="1" applyProtection="1">
      <alignment horizontal="right"/>
      <protection hidden="1"/>
    </xf>
    <xf numFmtId="0" fontId="22" fillId="3" borderId="51" xfId="0" applyFont="1" applyFill="1" applyBorder="1" applyProtection="1">
      <protection hidden="1"/>
    </xf>
    <xf numFmtId="0" fontId="8" fillId="3" borderId="50" xfId="0" applyFont="1" applyFill="1" applyBorder="1" applyProtection="1">
      <protection hidden="1"/>
    </xf>
    <xf numFmtId="39" fontId="28" fillId="2" borderId="43" xfId="2" applyNumberFormat="1" applyFont="1" applyFill="1" applyBorder="1" applyAlignment="1" applyProtection="1">
      <alignment horizontal="left" vertical="center"/>
      <protection hidden="1"/>
    </xf>
    <xf numFmtId="39" fontId="51" fillId="2" borderId="44" xfId="2" applyNumberFormat="1" applyFont="1" applyFill="1" applyBorder="1" applyAlignment="1" applyProtection="1">
      <protection hidden="1"/>
    </xf>
    <xf numFmtId="171" fontId="51" fillId="2" borderId="46" xfId="2" applyNumberFormat="1" applyFont="1" applyFill="1" applyBorder="1" applyAlignment="1" applyProtection="1">
      <protection hidden="1"/>
    </xf>
    <xf numFmtId="171" fontId="51" fillId="2" borderId="46" xfId="2" applyNumberFormat="1" applyFont="1" applyFill="1" applyBorder="1" applyAlignment="1" applyProtection="1">
      <alignment vertical="center"/>
      <protection hidden="1"/>
    </xf>
    <xf numFmtId="37" fontId="52" fillId="2" borderId="48" xfId="2" applyNumberFormat="1" applyFont="1" applyFill="1" applyBorder="1" applyAlignment="1" applyProtection="1">
      <alignment horizontal="left" vertical="center"/>
      <protection hidden="1"/>
    </xf>
    <xf numFmtId="37" fontId="51" fillId="2" borderId="48" xfId="2" applyNumberFormat="1" applyFont="1" applyFill="1" applyBorder="1" applyAlignment="1" applyProtection="1">
      <alignment horizontal="left" vertical="center"/>
      <protection hidden="1"/>
    </xf>
    <xf numFmtId="0" fontId="19" fillId="0" borderId="48" xfId="0" applyFont="1" applyBorder="1" applyAlignment="1" applyProtection="1">
      <alignment vertical="center"/>
      <protection hidden="1"/>
    </xf>
    <xf numFmtId="14" fontId="53" fillId="2" borderId="48" xfId="0" applyNumberFormat="1" applyFont="1" applyFill="1" applyBorder="1" applyAlignment="1" applyProtection="1">
      <alignment vertical="center"/>
      <protection hidden="1"/>
    </xf>
    <xf numFmtId="0" fontId="2" fillId="2" borderId="48" xfId="0" applyFont="1" applyFill="1" applyBorder="1" applyAlignment="1" applyProtection="1">
      <alignment horizontal="right" vertical="center"/>
      <protection hidden="1"/>
    </xf>
    <xf numFmtId="0" fontId="8" fillId="2" borderId="48" xfId="0" applyFont="1" applyFill="1" applyBorder="1" applyAlignment="1" applyProtection="1">
      <alignment vertical="center"/>
      <protection hidden="1"/>
    </xf>
    <xf numFmtId="37" fontId="52" fillId="2" borderId="49" xfId="2" applyNumberFormat="1" applyFont="1" applyFill="1" applyBorder="1" applyAlignment="1" applyProtection="1">
      <alignment horizontal="left"/>
      <protection hidden="1"/>
    </xf>
    <xf numFmtId="0" fontId="5" fillId="0" borderId="42" xfId="0" applyFont="1" applyBorder="1" applyProtection="1">
      <protection hidden="1"/>
    </xf>
    <xf numFmtId="0" fontId="0" fillId="2" borderId="43" xfId="0" applyFill="1" applyBorder="1" applyProtection="1">
      <protection hidden="1"/>
    </xf>
    <xf numFmtId="0" fontId="0" fillId="2" borderId="45" xfId="0" applyFill="1" applyBorder="1" applyProtection="1">
      <protection hidden="1"/>
    </xf>
    <xf numFmtId="0" fontId="0" fillId="2" borderId="47" xfId="0" applyFill="1" applyBorder="1" applyProtection="1">
      <protection hidden="1"/>
    </xf>
    <xf numFmtId="0" fontId="0" fillId="2" borderId="48" xfId="0" applyFill="1" applyBorder="1" applyProtection="1">
      <protection hidden="1"/>
    </xf>
    <xf numFmtId="0" fontId="0" fillId="2" borderId="42" xfId="0" applyFill="1" applyBorder="1" applyProtection="1">
      <protection hidden="1"/>
    </xf>
    <xf numFmtId="0" fontId="0" fillId="2" borderId="44" xfId="0" applyFill="1" applyBorder="1" applyProtection="1">
      <protection hidden="1"/>
    </xf>
    <xf numFmtId="0" fontId="15" fillId="2" borderId="46" xfId="0" applyFont="1" applyFill="1" applyBorder="1" applyProtection="1">
      <protection hidden="1"/>
    </xf>
    <xf numFmtId="176" fontId="6" fillId="2" borderId="45" xfId="0" applyNumberFormat="1" applyFont="1" applyFill="1" applyBorder="1" applyAlignment="1" applyProtection="1">
      <alignment horizontal="center" vertical="center"/>
      <protection hidden="1"/>
    </xf>
    <xf numFmtId="177" fontId="51" fillId="2" borderId="46" xfId="0" applyNumberFormat="1" applyFont="1" applyFill="1" applyBorder="1" applyAlignment="1" applyProtection="1">
      <alignment horizontal="left" vertical="center"/>
      <protection hidden="1"/>
    </xf>
    <xf numFmtId="0" fontId="0" fillId="2" borderId="46" xfId="0" applyFill="1" applyBorder="1" applyProtection="1">
      <protection locked="0"/>
    </xf>
    <xf numFmtId="0" fontId="0" fillId="2" borderId="46" xfId="0" applyFill="1" applyBorder="1" applyAlignment="1" applyProtection="1">
      <alignment horizontal="left"/>
      <protection locked="0"/>
    </xf>
    <xf numFmtId="0" fontId="18" fillId="2" borderId="45" xfId="0" applyFont="1" applyFill="1" applyBorder="1" applyAlignment="1" applyProtection="1">
      <alignment vertical="center"/>
      <protection hidden="1"/>
    </xf>
    <xf numFmtId="0" fontId="18" fillId="2" borderId="46" xfId="0" applyFont="1" applyFill="1" applyBorder="1" applyAlignment="1" applyProtection="1">
      <alignment vertical="center"/>
      <protection locked="0"/>
    </xf>
    <xf numFmtId="0" fontId="0" fillId="2" borderId="46" xfId="0" applyFill="1" applyBorder="1" applyProtection="1">
      <protection hidden="1"/>
    </xf>
    <xf numFmtId="0" fontId="28" fillId="0" borderId="47" xfId="0" applyFont="1" applyFill="1" applyBorder="1" applyAlignment="1" applyProtection="1">
      <alignment vertical="center"/>
      <protection hidden="1"/>
    </xf>
    <xf numFmtId="0" fontId="28" fillId="0" borderId="48" xfId="0" applyFont="1" applyFill="1" applyBorder="1" applyAlignment="1" applyProtection="1">
      <alignment vertical="center"/>
      <protection hidden="1"/>
    </xf>
    <xf numFmtId="0" fontId="22" fillId="0" borderId="48" xfId="0" applyFont="1" applyFill="1" applyBorder="1" applyAlignment="1">
      <alignment horizontal="center" vertical="center"/>
    </xf>
    <xf numFmtId="0" fontId="10" fillId="0" borderId="48" xfId="0" applyFont="1" applyFill="1" applyBorder="1" applyAlignment="1">
      <alignment vertical="center"/>
    </xf>
    <xf numFmtId="0" fontId="28" fillId="0" borderId="48" xfId="0" applyFont="1" applyFill="1" applyBorder="1" applyAlignment="1">
      <alignment vertical="center"/>
    </xf>
    <xf numFmtId="0" fontId="28" fillId="0" borderId="49" xfId="0" applyFont="1" applyFill="1" applyBorder="1" applyAlignment="1">
      <alignment vertical="center"/>
    </xf>
    <xf numFmtId="0" fontId="55" fillId="2" borderId="43" xfId="0" applyFont="1" applyFill="1" applyBorder="1" applyAlignment="1" applyProtection="1">
      <alignment horizontal="right" vertical="center"/>
      <protection hidden="1"/>
    </xf>
    <xf numFmtId="0" fontId="55" fillId="2" borderId="48" xfId="0" applyFont="1" applyFill="1" applyBorder="1" applyAlignment="1" applyProtection="1">
      <alignment horizontal="right" vertical="center"/>
      <protection hidden="1"/>
    </xf>
    <xf numFmtId="37" fontId="54" fillId="2" borderId="48" xfId="2" applyNumberFormat="1" applyFont="1" applyFill="1" applyBorder="1" applyAlignment="1" applyProtection="1">
      <alignment horizontal="left" vertical="center"/>
      <protection hidden="1"/>
    </xf>
  </cellXfs>
  <cellStyles count="6">
    <cellStyle name="Normal" xfId="0" builtinId="0"/>
    <cellStyle name="Normal 2" xfId="3"/>
    <cellStyle name="Porcentagem" xfId="1" builtinId="5"/>
    <cellStyle name="Porcentagem 2" xfId="4"/>
    <cellStyle name="Vírgula" xfId="2" builtinId="3"/>
    <cellStyle name="Vírgula 2" xfId="5"/>
  </cellStyles>
  <dxfs count="179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b/>
        <i val="0"/>
        <strike val="0"/>
        <color theme="0"/>
      </font>
      <fill>
        <patternFill>
          <fgColor theme="0"/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44</xdr:row>
      <xdr:rowOff>25400</xdr:rowOff>
    </xdr:from>
    <xdr:to>
      <xdr:col>81</xdr:col>
      <xdr:colOff>38298</xdr:colOff>
      <xdr:row>48</xdr:row>
      <xdr:rowOff>107950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7188200"/>
          <a:ext cx="3829248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47"/>
  <sheetViews>
    <sheetView topLeftCell="G1" zoomScale="127" workbookViewId="0">
      <selection activeCell="AD2" sqref="AD1:AE1048576"/>
    </sheetView>
  </sheetViews>
  <sheetFormatPr defaultRowHeight="12.75" x14ac:dyDescent="0.2"/>
  <cols>
    <col min="1" max="1" width="11.7109375" style="148" customWidth="1"/>
    <col min="2" max="6" width="5.7109375" style="148" customWidth="1"/>
    <col min="7" max="7" width="5.42578125" style="148" customWidth="1"/>
    <col min="8" max="8" width="4.42578125" style="148" hidden="1" customWidth="1"/>
    <col min="9" max="9" width="4.85546875" style="148" hidden="1" customWidth="1"/>
    <col min="10" max="10" width="6" style="148" hidden="1" customWidth="1"/>
    <col min="11" max="12" width="4.42578125" style="148" hidden="1" customWidth="1"/>
    <col min="13" max="13" width="0.140625" style="148" hidden="1" customWidth="1"/>
    <col min="14" max="14" width="9.85546875" style="148" hidden="1" customWidth="1"/>
    <col min="15" max="15" width="10.42578125" style="148" hidden="1" customWidth="1"/>
    <col min="16" max="16" width="9.140625" style="148" hidden="1" customWidth="1"/>
    <col min="17" max="17" width="12.85546875" style="148" hidden="1" customWidth="1"/>
    <col min="18" max="18" width="11.42578125" style="148" hidden="1" customWidth="1"/>
    <col min="19" max="19" width="10" style="148" hidden="1" customWidth="1"/>
    <col min="20" max="20" width="12" style="148" hidden="1" customWidth="1"/>
    <col min="21" max="21" width="13.42578125" style="148" hidden="1" customWidth="1"/>
    <col min="22" max="22" width="12.42578125" style="148" hidden="1" customWidth="1"/>
    <col min="23" max="23" width="13" style="148" hidden="1" customWidth="1"/>
    <col min="24" max="24" width="13.85546875" style="148" hidden="1" customWidth="1"/>
    <col min="25" max="25" width="14.28515625" style="148" hidden="1" customWidth="1"/>
    <col min="26" max="26" width="0.140625" style="148" customWidth="1"/>
    <col min="27" max="27" width="7.42578125" style="148" customWidth="1"/>
    <col min="28" max="28" width="7.7109375" style="148" customWidth="1"/>
    <col min="29" max="29" width="7.42578125" style="148" customWidth="1"/>
    <col min="30" max="30" width="20.140625" style="148" hidden="1" customWidth="1"/>
    <col min="31" max="31" width="18.28515625" style="148" hidden="1" customWidth="1"/>
    <col min="32" max="32" width="0.140625" style="148" customWidth="1"/>
    <col min="33" max="33" width="14.85546875" style="148" customWidth="1"/>
    <col min="34" max="34" width="0.140625" style="148" customWidth="1"/>
    <col min="35" max="35" width="9.28515625" style="148" customWidth="1"/>
    <col min="36" max="256" width="9.140625" style="148"/>
    <col min="257" max="257" width="11.7109375" style="148" customWidth="1"/>
    <col min="258" max="262" width="5.7109375" style="148" customWidth="1"/>
    <col min="263" max="263" width="5.42578125" style="148" customWidth="1"/>
    <col min="264" max="282" width="0" style="148" hidden="1" customWidth="1"/>
    <col min="283" max="283" width="7.42578125" style="148" customWidth="1"/>
    <col min="284" max="284" width="7.7109375" style="148" customWidth="1"/>
    <col min="285" max="285" width="7.42578125" style="148" customWidth="1"/>
    <col min="286" max="288" width="0" style="148" hidden="1" customWidth="1"/>
    <col min="289" max="289" width="14.85546875" style="148" customWidth="1"/>
    <col min="290" max="291" width="0" style="148" hidden="1" customWidth="1"/>
    <col min="292" max="512" width="9.140625" style="148"/>
    <col min="513" max="513" width="11.7109375" style="148" customWidth="1"/>
    <col min="514" max="518" width="5.7109375" style="148" customWidth="1"/>
    <col min="519" max="519" width="5.42578125" style="148" customWidth="1"/>
    <col min="520" max="538" width="0" style="148" hidden="1" customWidth="1"/>
    <col min="539" max="539" width="7.42578125" style="148" customWidth="1"/>
    <col min="540" max="540" width="7.7109375" style="148" customWidth="1"/>
    <col min="541" max="541" width="7.42578125" style="148" customWidth="1"/>
    <col min="542" max="544" width="0" style="148" hidden="1" customWidth="1"/>
    <col min="545" max="545" width="14.85546875" style="148" customWidth="1"/>
    <col min="546" max="547" width="0" style="148" hidden="1" customWidth="1"/>
    <col min="548" max="768" width="9.140625" style="148"/>
    <col min="769" max="769" width="11.7109375" style="148" customWidth="1"/>
    <col min="770" max="774" width="5.7109375" style="148" customWidth="1"/>
    <col min="775" max="775" width="5.42578125" style="148" customWidth="1"/>
    <col min="776" max="794" width="0" style="148" hidden="1" customWidth="1"/>
    <col min="795" max="795" width="7.42578125" style="148" customWidth="1"/>
    <col min="796" max="796" width="7.7109375" style="148" customWidth="1"/>
    <col min="797" max="797" width="7.42578125" style="148" customWidth="1"/>
    <col min="798" max="800" width="0" style="148" hidden="1" customWidth="1"/>
    <col min="801" max="801" width="14.85546875" style="148" customWidth="1"/>
    <col min="802" max="803" width="0" style="148" hidden="1" customWidth="1"/>
    <col min="804" max="1024" width="9.140625" style="148"/>
    <col min="1025" max="1025" width="11.7109375" style="148" customWidth="1"/>
    <col min="1026" max="1030" width="5.7109375" style="148" customWidth="1"/>
    <col min="1031" max="1031" width="5.42578125" style="148" customWidth="1"/>
    <col min="1032" max="1050" width="0" style="148" hidden="1" customWidth="1"/>
    <col min="1051" max="1051" width="7.42578125" style="148" customWidth="1"/>
    <col min="1052" max="1052" width="7.7109375" style="148" customWidth="1"/>
    <col min="1053" max="1053" width="7.42578125" style="148" customWidth="1"/>
    <col min="1054" max="1056" width="0" style="148" hidden="1" customWidth="1"/>
    <col min="1057" max="1057" width="14.85546875" style="148" customWidth="1"/>
    <col min="1058" max="1059" width="0" style="148" hidden="1" customWidth="1"/>
    <col min="1060" max="1280" width="9.140625" style="148"/>
    <col min="1281" max="1281" width="11.7109375" style="148" customWidth="1"/>
    <col min="1282" max="1286" width="5.7109375" style="148" customWidth="1"/>
    <col min="1287" max="1287" width="5.42578125" style="148" customWidth="1"/>
    <col min="1288" max="1306" width="0" style="148" hidden="1" customWidth="1"/>
    <col min="1307" max="1307" width="7.42578125" style="148" customWidth="1"/>
    <col min="1308" max="1308" width="7.7109375" style="148" customWidth="1"/>
    <col min="1309" max="1309" width="7.42578125" style="148" customWidth="1"/>
    <col min="1310" max="1312" width="0" style="148" hidden="1" customWidth="1"/>
    <col min="1313" max="1313" width="14.85546875" style="148" customWidth="1"/>
    <col min="1314" max="1315" width="0" style="148" hidden="1" customWidth="1"/>
    <col min="1316" max="1536" width="9.140625" style="148"/>
    <col min="1537" max="1537" width="11.7109375" style="148" customWidth="1"/>
    <col min="1538" max="1542" width="5.7109375" style="148" customWidth="1"/>
    <col min="1543" max="1543" width="5.42578125" style="148" customWidth="1"/>
    <col min="1544" max="1562" width="0" style="148" hidden="1" customWidth="1"/>
    <col min="1563" max="1563" width="7.42578125" style="148" customWidth="1"/>
    <col min="1564" max="1564" width="7.7109375" style="148" customWidth="1"/>
    <col min="1565" max="1565" width="7.42578125" style="148" customWidth="1"/>
    <col min="1566" max="1568" width="0" style="148" hidden="1" customWidth="1"/>
    <col min="1569" max="1569" width="14.85546875" style="148" customWidth="1"/>
    <col min="1570" max="1571" width="0" style="148" hidden="1" customWidth="1"/>
    <col min="1572" max="1792" width="9.140625" style="148"/>
    <col min="1793" max="1793" width="11.7109375" style="148" customWidth="1"/>
    <col min="1794" max="1798" width="5.7109375" style="148" customWidth="1"/>
    <col min="1799" max="1799" width="5.42578125" style="148" customWidth="1"/>
    <col min="1800" max="1818" width="0" style="148" hidden="1" customWidth="1"/>
    <col min="1819" max="1819" width="7.42578125" style="148" customWidth="1"/>
    <col min="1820" max="1820" width="7.7109375" style="148" customWidth="1"/>
    <col min="1821" max="1821" width="7.42578125" style="148" customWidth="1"/>
    <col min="1822" max="1824" width="0" style="148" hidden="1" customWidth="1"/>
    <col min="1825" max="1825" width="14.85546875" style="148" customWidth="1"/>
    <col min="1826" max="1827" width="0" style="148" hidden="1" customWidth="1"/>
    <col min="1828" max="2048" width="9.140625" style="148"/>
    <col min="2049" max="2049" width="11.7109375" style="148" customWidth="1"/>
    <col min="2050" max="2054" width="5.7109375" style="148" customWidth="1"/>
    <col min="2055" max="2055" width="5.42578125" style="148" customWidth="1"/>
    <col min="2056" max="2074" width="0" style="148" hidden="1" customWidth="1"/>
    <col min="2075" max="2075" width="7.42578125" style="148" customWidth="1"/>
    <col min="2076" max="2076" width="7.7109375" style="148" customWidth="1"/>
    <col min="2077" max="2077" width="7.42578125" style="148" customWidth="1"/>
    <col min="2078" max="2080" width="0" style="148" hidden="1" customWidth="1"/>
    <col min="2081" max="2081" width="14.85546875" style="148" customWidth="1"/>
    <col min="2082" max="2083" width="0" style="148" hidden="1" customWidth="1"/>
    <col min="2084" max="2304" width="9.140625" style="148"/>
    <col min="2305" max="2305" width="11.7109375" style="148" customWidth="1"/>
    <col min="2306" max="2310" width="5.7109375" style="148" customWidth="1"/>
    <col min="2311" max="2311" width="5.42578125" style="148" customWidth="1"/>
    <col min="2312" max="2330" width="0" style="148" hidden="1" customWidth="1"/>
    <col min="2331" max="2331" width="7.42578125" style="148" customWidth="1"/>
    <col min="2332" max="2332" width="7.7109375" style="148" customWidth="1"/>
    <col min="2333" max="2333" width="7.42578125" style="148" customWidth="1"/>
    <col min="2334" max="2336" width="0" style="148" hidden="1" customWidth="1"/>
    <col min="2337" max="2337" width="14.85546875" style="148" customWidth="1"/>
    <col min="2338" max="2339" width="0" style="148" hidden="1" customWidth="1"/>
    <col min="2340" max="2560" width="9.140625" style="148"/>
    <col min="2561" max="2561" width="11.7109375" style="148" customWidth="1"/>
    <col min="2562" max="2566" width="5.7109375" style="148" customWidth="1"/>
    <col min="2567" max="2567" width="5.42578125" style="148" customWidth="1"/>
    <col min="2568" max="2586" width="0" style="148" hidden="1" customWidth="1"/>
    <col min="2587" max="2587" width="7.42578125" style="148" customWidth="1"/>
    <col min="2588" max="2588" width="7.7109375" style="148" customWidth="1"/>
    <col min="2589" max="2589" width="7.42578125" style="148" customWidth="1"/>
    <col min="2590" max="2592" width="0" style="148" hidden="1" customWidth="1"/>
    <col min="2593" max="2593" width="14.85546875" style="148" customWidth="1"/>
    <col min="2594" max="2595" width="0" style="148" hidden="1" customWidth="1"/>
    <col min="2596" max="2816" width="9.140625" style="148"/>
    <col min="2817" max="2817" width="11.7109375" style="148" customWidth="1"/>
    <col min="2818" max="2822" width="5.7109375" style="148" customWidth="1"/>
    <col min="2823" max="2823" width="5.42578125" style="148" customWidth="1"/>
    <col min="2824" max="2842" width="0" style="148" hidden="1" customWidth="1"/>
    <col min="2843" max="2843" width="7.42578125" style="148" customWidth="1"/>
    <col min="2844" max="2844" width="7.7109375" style="148" customWidth="1"/>
    <col min="2845" max="2845" width="7.42578125" style="148" customWidth="1"/>
    <col min="2846" max="2848" width="0" style="148" hidden="1" customWidth="1"/>
    <col min="2849" max="2849" width="14.85546875" style="148" customWidth="1"/>
    <col min="2850" max="2851" width="0" style="148" hidden="1" customWidth="1"/>
    <col min="2852" max="3072" width="9.140625" style="148"/>
    <col min="3073" max="3073" width="11.7109375" style="148" customWidth="1"/>
    <col min="3074" max="3078" width="5.7109375" style="148" customWidth="1"/>
    <col min="3079" max="3079" width="5.42578125" style="148" customWidth="1"/>
    <col min="3080" max="3098" width="0" style="148" hidden="1" customWidth="1"/>
    <col min="3099" max="3099" width="7.42578125" style="148" customWidth="1"/>
    <col min="3100" max="3100" width="7.7109375" style="148" customWidth="1"/>
    <col min="3101" max="3101" width="7.42578125" style="148" customWidth="1"/>
    <col min="3102" max="3104" width="0" style="148" hidden="1" customWidth="1"/>
    <col min="3105" max="3105" width="14.85546875" style="148" customWidth="1"/>
    <col min="3106" max="3107" width="0" style="148" hidden="1" customWidth="1"/>
    <col min="3108" max="3328" width="9.140625" style="148"/>
    <col min="3329" max="3329" width="11.7109375" style="148" customWidth="1"/>
    <col min="3330" max="3334" width="5.7109375" style="148" customWidth="1"/>
    <col min="3335" max="3335" width="5.42578125" style="148" customWidth="1"/>
    <col min="3336" max="3354" width="0" style="148" hidden="1" customWidth="1"/>
    <col min="3355" max="3355" width="7.42578125" style="148" customWidth="1"/>
    <col min="3356" max="3356" width="7.7109375" style="148" customWidth="1"/>
    <col min="3357" max="3357" width="7.42578125" style="148" customWidth="1"/>
    <col min="3358" max="3360" width="0" style="148" hidden="1" customWidth="1"/>
    <col min="3361" max="3361" width="14.85546875" style="148" customWidth="1"/>
    <col min="3362" max="3363" width="0" style="148" hidden="1" customWidth="1"/>
    <col min="3364" max="3584" width="9.140625" style="148"/>
    <col min="3585" max="3585" width="11.7109375" style="148" customWidth="1"/>
    <col min="3586" max="3590" width="5.7109375" style="148" customWidth="1"/>
    <col min="3591" max="3591" width="5.42578125" style="148" customWidth="1"/>
    <col min="3592" max="3610" width="0" style="148" hidden="1" customWidth="1"/>
    <col min="3611" max="3611" width="7.42578125" style="148" customWidth="1"/>
    <col min="3612" max="3612" width="7.7109375" style="148" customWidth="1"/>
    <col min="3613" max="3613" width="7.42578125" style="148" customWidth="1"/>
    <col min="3614" max="3616" width="0" style="148" hidden="1" customWidth="1"/>
    <col min="3617" max="3617" width="14.85546875" style="148" customWidth="1"/>
    <col min="3618" max="3619" width="0" style="148" hidden="1" customWidth="1"/>
    <col min="3620" max="3840" width="9.140625" style="148"/>
    <col min="3841" max="3841" width="11.7109375" style="148" customWidth="1"/>
    <col min="3842" max="3846" width="5.7109375" style="148" customWidth="1"/>
    <col min="3847" max="3847" width="5.42578125" style="148" customWidth="1"/>
    <col min="3848" max="3866" width="0" style="148" hidden="1" customWidth="1"/>
    <col min="3867" max="3867" width="7.42578125" style="148" customWidth="1"/>
    <col min="3868" max="3868" width="7.7109375" style="148" customWidth="1"/>
    <col min="3869" max="3869" width="7.42578125" style="148" customWidth="1"/>
    <col min="3870" max="3872" width="0" style="148" hidden="1" customWidth="1"/>
    <col min="3873" max="3873" width="14.85546875" style="148" customWidth="1"/>
    <col min="3874" max="3875" width="0" style="148" hidden="1" customWidth="1"/>
    <col min="3876" max="4096" width="9.140625" style="148"/>
    <col min="4097" max="4097" width="11.7109375" style="148" customWidth="1"/>
    <col min="4098" max="4102" width="5.7109375" style="148" customWidth="1"/>
    <col min="4103" max="4103" width="5.42578125" style="148" customWidth="1"/>
    <col min="4104" max="4122" width="0" style="148" hidden="1" customWidth="1"/>
    <col min="4123" max="4123" width="7.42578125" style="148" customWidth="1"/>
    <col min="4124" max="4124" width="7.7109375" style="148" customWidth="1"/>
    <col min="4125" max="4125" width="7.42578125" style="148" customWidth="1"/>
    <col min="4126" max="4128" width="0" style="148" hidden="1" customWidth="1"/>
    <col min="4129" max="4129" width="14.85546875" style="148" customWidth="1"/>
    <col min="4130" max="4131" width="0" style="148" hidden="1" customWidth="1"/>
    <col min="4132" max="4352" width="9.140625" style="148"/>
    <col min="4353" max="4353" width="11.7109375" style="148" customWidth="1"/>
    <col min="4354" max="4358" width="5.7109375" style="148" customWidth="1"/>
    <col min="4359" max="4359" width="5.42578125" style="148" customWidth="1"/>
    <col min="4360" max="4378" width="0" style="148" hidden="1" customWidth="1"/>
    <col min="4379" max="4379" width="7.42578125" style="148" customWidth="1"/>
    <col min="4380" max="4380" width="7.7109375" style="148" customWidth="1"/>
    <col min="4381" max="4381" width="7.42578125" style="148" customWidth="1"/>
    <col min="4382" max="4384" width="0" style="148" hidden="1" customWidth="1"/>
    <col min="4385" max="4385" width="14.85546875" style="148" customWidth="1"/>
    <col min="4386" max="4387" width="0" style="148" hidden="1" customWidth="1"/>
    <col min="4388" max="4608" width="9.140625" style="148"/>
    <col min="4609" max="4609" width="11.7109375" style="148" customWidth="1"/>
    <col min="4610" max="4614" width="5.7109375" style="148" customWidth="1"/>
    <col min="4615" max="4615" width="5.42578125" style="148" customWidth="1"/>
    <col min="4616" max="4634" width="0" style="148" hidden="1" customWidth="1"/>
    <col min="4635" max="4635" width="7.42578125" style="148" customWidth="1"/>
    <col min="4636" max="4636" width="7.7109375" style="148" customWidth="1"/>
    <col min="4637" max="4637" width="7.42578125" style="148" customWidth="1"/>
    <col min="4638" max="4640" width="0" style="148" hidden="1" customWidth="1"/>
    <col min="4641" max="4641" width="14.85546875" style="148" customWidth="1"/>
    <col min="4642" max="4643" width="0" style="148" hidden="1" customWidth="1"/>
    <col min="4644" max="4864" width="9.140625" style="148"/>
    <col min="4865" max="4865" width="11.7109375" style="148" customWidth="1"/>
    <col min="4866" max="4870" width="5.7109375" style="148" customWidth="1"/>
    <col min="4871" max="4871" width="5.42578125" style="148" customWidth="1"/>
    <col min="4872" max="4890" width="0" style="148" hidden="1" customWidth="1"/>
    <col min="4891" max="4891" width="7.42578125" style="148" customWidth="1"/>
    <col min="4892" max="4892" width="7.7109375" style="148" customWidth="1"/>
    <col min="4893" max="4893" width="7.42578125" style="148" customWidth="1"/>
    <col min="4894" max="4896" width="0" style="148" hidden="1" customWidth="1"/>
    <col min="4897" max="4897" width="14.85546875" style="148" customWidth="1"/>
    <col min="4898" max="4899" width="0" style="148" hidden="1" customWidth="1"/>
    <col min="4900" max="5120" width="9.140625" style="148"/>
    <col min="5121" max="5121" width="11.7109375" style="148" customWidth="1"/>
    <col min="5122" max="5126" width="5.7109375" style="148" customWidth="1"/>
    <col min="5127" max="5127" width="5.42578125" style="148" customWidth="1"/>
    <col min="5128" max="5146" width="0" style="148" hidden="1" customWidth="1"/>
    <col min="5147" max="5147" width="7.42578125" style="148" customWidth="1"/>
    <col min="5148" max="5148" width="7.7109375" style="148" customWidth="1"/>
    <col min="5149" max="5149" width="7.42578125" style="148" customWidth="1"/>
    <col min="5150" max="5152" width="0" style="148" hidden="1" customWidth="1"/>
    <col min="5153" max="5153" width="14.85546875" style="148" customWidth="1"/>
    <col min="5154" max="5155" width="0" style="148" hidden="1" customWidth="1"/>
    <col min="5156" max="5376" width="9.140625" style="148"/>
    <col min="5377" max="5377" width="11.7109375" style="148" customWidth="1"/>
    <col min="5378" max="5382" width="5.7109375" style="148" customWidth="1"/>
    <col min="5383" max="5383" width="5.42578125" style="148" customWidth="1"/>
    <col min="5384" max="5402" width="0" style="148" hidden="1" customWidth="1"/>
    <col min="5403" max="5403" width="7.42578125" style="148" customWidth="1"/>
    <col min="5404" max="5404" width="7.7109375" style="148" customWidth="1"/>
    <col min="5405" max="5405" width="7.42578125" style="148" customWidth="1"/>
    <col min="5406" max="5408" width="0" style="148" hidden="1" customWidth="1"/>
    <col min="5409" max="5409" width="14.85546875" style="148" customWidth="1"/>
    <col min="5410" max="5411" width="0" style="148" hidden="1" customWidth="1"/>
    <col min="5412" max="5632" width="9.140625" style="148"/>
    <col min="5633" max="5633" width="11.7109375" style="148" customWidth="1"/>
    <col min="5634" max="5638" width="5.7109375" style="148" customWidth="1"/>
    <col min="5639" max="5639" width="5.42578125" style="148" customWidth="1"/>
    <col min="5640" max="5658" width="0" style="148" hidden="1" customWidth="1"/>
    <col min="5659" max="5659" width="7.42578125" style="148" customWidth="1"/>
    <col min="5660" max="5660" width="7.7109375" style="148" customWidth="1"/>
    <col min="5661" max="5661" width="7.42578125" style="148" customWidth="1"/>
    <col min="5662" max="5664" width="0" style="148" hidden="1" customWidth="1"/>
    <col min="5665" max="5665" width="14.85546875" style="148" customWidth="1"/>
    <col min="5666" max="5667" width="0" style="148" hidden="1" customWidth="1"/>
    <col min="5668" max="5888" width="9.140625" style="148"/>
    <col min="5889" max="5889" width="11.7109375" style="148" customWidth="1"/>
    <col min="5890" max="5894" width="5.7109375" style="148" customWidth="1"/>
    <col min="5895" max="5895" width="5.42578125" style="148" customWidth="1"/>
    <col min="5896" max="5914" width="0" style="148" hidden="1" customWidth="1"/>
    <col min="5915" max="5915" width="7.42578125" style="148" customWidth="1"/>
    <col min="5916" max="5916" width="7.7109375" style="148" customWidth="1"/>
    <col min="5917" max="5917" width="7.42578125" style="148" customWidth="1"/>
    <col min="5918" max="5920" width="0" style="148" hidden="1" customWidth="1"/>
    <col min="5921" max="5921" width="14.85546875" style="148" customWidth="1"/>
    <col min="5922" max="5923" width="0" style="148" hidden="1" customWidth="1"/>
    <col min="5924" max="6144" width="9.140625" style="148"/>
    <col min="6145" max="6145" width="11.7109375" style="148" customWidth="1"/>
    <col min="6146" max="6150" width="5.7109375" style="148" customWidth="1"/>
    <col min="6151" max="6151" width="5.42578125" style="148" customWidth="1"/>
    <col min="6152" max="6170" width="0" style="148" hidden="1" customWidth="1"/>
    <col min="6171" max="6171" width="7.42578125" style="148" customWidth="1"/>
    <col min="6172" max="6172" width="7.7109375" style="148" customWidth="1"/>
    <col min="6173" max="6173" width="7.42578125" style="148" customWidth="1"/>
    <col min="6174" max="6176" width="0" style="148" hidden="1" customWidth="1"/>
    <col min="6177" max="6177" width="14.85546875" style="148" customWidth="1"/>
    <col min="6178" max="6179" width="0" style="148" hidden="1" customWidth="1"/>
    <col min="6180" max="6400" width="9.140625" style="148"/>
    <col min="6401" max="6401" width="11.7109375" style="148" customWidth="1"/>
    <col min="6402" max="6406" width="5.7109375" style="148" customWidth="1"/>
    <col min="6407" max="6407" width="5.42578125" style="148" customWidth="1"/>
    <col min="6408" max="6426" width="0" style="148" hidden="1" customWidth="1"/>
    <col min="6427" max="6427" width="7.42578125" style="148" customWidth="1"/>
    <col min="6428" max="6428" width="7.7109375" style="148" customWidth="1"/>
    <col min="6429" max="6429" width="7.42578125" style="148" customWidth="1"/>
    <col min="6430" max="6432" width="0" style="148" hidden="1" customWidth="1"/>
    <col min="6433" max="6433" width="14.85546875" style="148" customWidth="1"/>
    <col min="6434" max="6435" width="0" style="148" hidden="1" customWidth="1"/>
    <col min="6436" max="6656" width="9.140625" style="148"/>
    <col min="6657" max="6657" width="11.7109375" style="148" customWidth="1"/>
    <col min="6658" max="6662" width="5.7109375" style="148" customWidth="1"/>
    <col min="6663" max="6663" width="5.42578125" style="148" customWidth="1"/>
    <col min="6664" max="6682" width="0" style="148" hidden="1" customWidth="1"/>
    <col min="6683" max="6683" width="7.42578125" style="148" customWidth="1"/>
    <col min="6684" max="6684" width="7.7109375" style="148" customWidth="1"/>
    <col min="6685" max="6685" width="7.42578125" style="148" customWidth="1"/>
    <col min="6686" max="6688" width="0" style="148" hidden="1" customWidth="1"/>
    <col min="6689" max="6689" width="14.85546875" style="148" customWidth="1"/>
    <col min="6690" max="6691" width="0" style="148" hidden="1" customWidth="1"/>
    <col min="6692" max="6912" width="9.140625" style="148"/>
    <col min="6913" max="6913" width="11.7109375" style="148" customWidth="1"/>
    <col min="6914" max="6918" width="5.7109375" style="148" customWidth="1"/>
    <col min="6919" max="6919" width="5.42578125" style="148" customWidth="1"/>
    <col min="6920" max="6938" width="0" style="148" hidden="1" customWidth="1"/>
    <col min="6939" max="6939" width="7.42578125" style="148" customWidth="1"/>
    <col min="6940" max="6940" width="7.7109375" style="148" customWidth="1"/>
    <col min="6941" max="6941" width="7.42578125" style="148" customWidth="1"/>
    <col min="6942" max="6944" width="0" style="148" hidden="1" customWidth="1"/>
    <col min="6945" max="6945" width="14.85546875" style="148" customWidth="1"/>
    <col min="6946" max="6947" width="0" style="148" hidden="1" customWidth="1"/>
    <col min="6948" max="7168" width="9.140625" style="148"/>
    <col min="7169" max="7169" width="11.7109375" style="148" customWidth="1"/>
    <col min="7170" max="7174" width="5.7109375" style="148" customWidth="1"/>
    <col min="7175" max="7175" width="5.42578125" style="148" customWidth="1"/>
    <col min="7176" max="7194" width="0" style="148" hidden="1" customWidth="1"/>
    <col min="7195" max="7195" width="7.42578125" style="148" customWidth="1"/>
    <col min="7196" max="7196" width="7.7109375" style="148" customWidth="1"/>
    <col min="7197" max="7197" width="7.42578125" style="148" customWidth="1"/>
    <col min="7198" max="7200" width="0" style="148" hidden="1" customWidth="1"/>
    <col min="7201" max="7201" width="14.85546875" style="148" customWidth="1"/>
    <col min="7202" max="7203" width="0" style="148" hidden="1" customWidth="1"/>
    <col min="7204" max="7424" width="9.140625" style="148"/>
    <col min="7425" max="7425" width="11.7109375" style="148" customWidth="1"/>
    <col min="7426" max="7430" width="5.7109375" style="148" customWidth="1"/>
    <col min="7431" max="7431" width="5.42578125" style="148" customWidth="1"/>
    <col min="7432" max="7450" width="0" style="148" hidden="1" customWidth="1"/>
    <col min="7451" max="7451" width="7.42578125" style="148" customWidth="1"/>
    <col min="7452" max="7452" width="7.7109375" style="148" customWidth="1"/>
    <col min="7453" max="7453" width="7.42578125" style="148" customWidth="1"/>
    <col min="7454" max="7456" width="0" style="148" hidden="1" customWidth="1"/>
    <col min="7457" max="7457" width="14.85546875" style="148" customWidth="1"/>
    <col min="7458" max="7459" width="0" style="148" hidden="1" customWidth="1"/>
    <col min="7460" max="7680" width="9.140625" style="148"/>
    <col min="7681" max="7681" width="11.7109375" style="148" customWidth="1"/>
    <col min="7682" max="7686" width="5.7109375" style="148" customWidth="1"/>
    <col min="7687" max="7687" width="5.42578125" style="148" customWidth="1"/>
    <col min="7688" max="7706" width="0" style="148" hidden="1" customWidth="1"/>
    <col min="7707" max="7707" width="7.42578125" style="148" customWidth="1"/>
    <col min="7708" max="7708" width="7.7109375" style="148" customWidth="1"/>
    <col min="7709" max="7709" width="7.42578125" style="148" customWidth="1"/>
    <col min="7710" max="7712" width="0" style="148" hidden="1" customWidth="1"/>
    <col min="7713" max="7713" width="14.85546875" style="148" customWidth="1"/>
    <col min="7714" max="7715" width="0" style="148" hidden="1" customWidth="1"/>
    <col min="7716" max="7936" width="9.140625" style="148"/>
    <col min="7937" max="7937" width="11.7109375" style="148" customWidth="1"/>
    <col min="7938" max="7942" width="5.7109375" style="148" customWidth="1"/>
    <col min="7943" max="7943" width="5.42578125" style="148" customWidth="1"/>
    <col min="7944" max="7962" width="0" style="148" hidden="1" customWidth="1"/>
    <col min="7963" max="7963" width="7.42578125" style="148" customWidth="1"/>
    <col min="7964" max="7964" width="7.7109375" style="148" customWidth="1"/>
    <col min="7965" max="7965" width="7.42578125" style="148" customWidth="1"/>
    <col min="7966" max="7968" width="0" style="148" hidden="1" customWidth="1"/>
    <col min="7969" max="7969" width="14.85546875" style="148" customWidth="1"/>
    <col min="7970" max="7971" width="0" style="148" hidden="1" customWidth="1"/>
    <col min="7972" max="8192" width="9.140625" style="148"/>
    <col min="8193" max="8193" width="11.7109375" style="148" customWidth="1"/>
    <col min="8194" max="8198" width="5.7109375" style="148" customWidth="1"/>
    <col min="8199" max="8199" width="5.42578125" style="148" customWidth="1"/>
    <col min="8200" max="8218" width="0" style="148" hidden="1" customWidth="1"/>
    <col min="8219" max="8219" width="7.42578125" style="148" customWidth="1"/>
    <col min="8220" max="8220" width="7.7109375" style="148" customWidth="1"/>
    <col min="8221" max="8221" width="7.42578125" style="148" customWidth="1"/>
    <col min="8222" max="8224" width="0" style="148" hidden="1" customWidth="1"/>
    <col min="8225" max="8225" width="14.85546875" style="148" customWidth="1"/>
    <col min="8226" max="8227" width="0" style="148" hidden="1" customWidth="1"/>
    <col min="8228" max="8448" width="9.140625" style="148"/>
    <col min="8449" max="8449" width="11.7109375" style="148" customWidth="1"/>
    <col min="8450" max="8454" width="5.7109375" style="148" customWidth="1"/>
    <col min="8455" max="8455" width="5.42578125" style="148" customWidth="1"/>
    <col min="8456" max="8474" width="0" style="148" hidden="1" customWidth="1"/>
    <col min="8475" max="8475" width="7.42578125" style="148" customWidth="1"/>
    <col min="8476" max="8476" width="7.7109375" style="148" customWidth="1"/>
    <col min="8477" max="8477" width="7.42578125" style="148" customWidth="1"/>
    <col min="8478" max="8480" width="0" style="148" hidden="1" customWidth="1"/>
    <col min="8481" max="8481" width="14.85546875" style="148" customWidth="1"/>
    <col min="8482" max="8483" width="0" style="148" hidden="1" customWidth="1"/>
    <col min="8484" max="8704" width="9.140625" style="148"/>
    <col min="8705" max="8705" width="11.7109375" style="148" customWidth="1"/>
    <col min="8706" max="8710" width="5.7109375" style="148" customWidth="1"/>
    <col min="8711" max="8711" width="5.42578125" style="148" customWidth="1"/>
    <col min="8712" max="8730" width="0" style="148" hidden="1" customWidth="1"/>
    <col min="8731" max="8731" width="7.42578125" style="148" customWidth="1"/>
    <col min="8732" max="8732" width="7.7109375" style="148" customWidth="1"/>
    <col min="8733" max="8733" width="7.42578125" style="148" customWidth="1"/>
    <col min="8734" max="8736" width="0" style="148" hidden="1" customWidth="1"/>
    <col min="8737" max="8737" width="14.85546875" style="148" customWidth="1"/>
    <col min="8738" max="8739" width="0" style="148" hidden="1" customWidth="1"/>
    <col min="8740" max="8960" width="9.140625" style="148"/>
    <col min="8961" max="8961" width="11.7109375" style="148" customWidth="1"/>
    <col min="8962" max="8966" width="5.7109375" style="148" customWidth="1"/>
    <col min="8967" max="8967" width="5.42578125" style="148" customWidth="1"/>
    <col min="8968" max="8986" width="0" style="148" hidden="1" customWidth="1"/>
    <col min="8987" max="8987" width="7.42578125" style="148" customWidth="1"/>
    <col min="8988" max="8988" width="7.7109375" style="148" customWidth="1"/>
    <col min="8989" max="8989" width="7.42578125" style="148" customWidth="1"/>
    <col min="8990" max="8992" width="0" style="148" hidden="1" customWidth="1"/>
    <col min="8993" max="8993" width="14.85546875" style="148" customWidth="1"/>
    <col min="8994" max="8995" width="0" style="148" hidden="1" customWidth="1"/>
    <col min="8996" max="9216" width="9.140625" style="148"/>
    <col min="9217" max="9217" width="11.7109375" style="148" customWidth="1"/>
    <col min="9218" max="9222" width="5.7109375" style="148" customWidth="1"/>
    <col min="9223" max="9223" width="5.42578125" style="148" customWidth="1"/>
    <col min="9224" max="9242" width="0" style="148" hidden="1" customWidth="1"/>
    <col min="9243" max="9243" width="7.42578125" style="148" customWidth="1"/>
    <col min="9244" max="9244" width="7.7109375" style="148" customWidth="1"/>
    <col min="9245" max="9245" width="7.42578125" style="148" customWidth="1"/>
    <col min="9246" max="9248" width="0" style="148" hidden="1" customWidth="1"/>
    <col min="9249" max="9249" width="14.85546875" style="148" customWidth="1"/>
    <col min="9250" max="9251" width="0" style="148" hidden="1" customWidth="1"/>
    <col min="9252" max="9472" width="9.140625" style="148"/>
    <col min="9473" max="9473" width="11.7109375" style="148" customWidth="1"/>
    <col min="9474" max="9478" width="5.7109375" style="148" customWidth="1"/>
    <col min="9479" max="9479" width="5.42578125" style="148" customWidth="1"/>
    <col min="9480" max="9498" width="0" style="148" hidden="1" customWidth="1"/>
    <col min="9499" max="9499" width="7.42578125" style="148" customWidth="1"/>
    <col min="9500" max="9500" width="7.7109375" style="148" customWidth="1"/>
    <col min="9501" max="9501" width="7.42578125" style="148" customWidth="1"/>
    <col min="9502" max="9504" width="0" style="148" hidden="1" customWidth="1"/>
    <col min="9505" max="9505" width="14.85546875" style="148" customWidth="1"/>
    <col min="9506" max="9507" width="0" style="148" hidden="1" customWidth="1"/>
    <col min="9508" max="9728" width="9.140625" style="148"/>
    <col min="9729" max="9729" width="11.7109375" style="148" customWidth="1"/>
    <col min="9730" max="9734" width="5.7109375" style="148" customWidth="1"/>
    <col min="9735" max="9735" width="5.42578125" style="148" customWidth="1"/>
    <col min="9736" max="9754" width="0" style="148" hidden="1" customWidth="1"/>
    <col min="9755" max="9755" width="7.42578125" style="148" customWidth="1"/>
    <col min="9756" max="9756" width="7.7109375" style="148" customWidth="1"/>
    <col min="9757" max="9757" width="7.42578125" style="148" customWidth="1"/>
    <col min="9758" max="9760" width="0" style="148" hidden="1" customWidth="1"/>
    <col min="9761" max="9761" width="14.85546875" style="148" customWidth="1"/>
    <col min="9762" max="9763" width="0" style="148" hidden="1" customWidth="1"/>
    <col min="9764" max="9984" width="9.140625" style="148"/>
    <col min="9985" max="9985" width="11.7109375" style="148" customWidth="1"/>
    <col min="9986" max="9990" width="5.7109375" style="148" customWidth="1"/>
    <col min="9991" max="9991" width="5.42578125" style="148" customWidth="1"/>
    <col min="9992" max="10010" width="0" style="148" hidden="1" customWidth="1"/>
    <col min="10011" max="10011" width="7.42578125" style="148" customWidth="1"/>
    <col min="10012" max="10012" width="7.7109375" style="148" customWidth="1"/>
    <col min="10013" max="10013" width="7.42578125" style="148" customWidth="1"/>
    <col min="10014" max="10016" width="0" style="148" hidden="1" customWidth="1"/>
    <col min="10017" max="10017" width="14.85546875" style="148" customWidth="1"/>
    <col min="10018" max="10019" width="0" style="148" hidden="1" customWidth="1"/>
    <col min="10020" max="10240" width="9.140625" style="148"/>
    <col min="10241" max="10241" width="11.7109375" style="148" customWidth="1"/>
    <col min="10242" max="10246" width="5.7109375" style="148" customWidth="1"/>
    <col min="10247" max="10247" width="5.42578125" style="148" customWidth="1"/>
    <col min="10248" max="10266" width="0" style="148" hidden="1" customWidth="1"/>
    <col min="10267" max="10267" width="7.42578125" style="148" customWidth="1"/>
    <col min="10268" max="10268" width="7.7109375" style="148" customWidth="1"/>
    <col min="10269" max="10269" width="7.42578125" style="148" customWidth="1"/>
    <col min="10270" max="10272" width="0" style="148" hidden="1" customWidth="1"/>
    <col min="10273" max="10273" width="14.85546875" style="148" customWidth="1"/>
    <col min="10274" max="10275" width="0" style="148" hidden="1" customWidth="1"/>
    <col min="10276" max="10496" width="9.140625" style="148"/>
    <col min="10497" max="10497" width="11.7109375" style="148" customWidth="1"/>
    <col min="10498" max="10502" width="5.7109375" style="148" customWidth="1"/>
    <col min="10503" max="10503" width="5.42578125" style="148" customWidth="1"/>
    <col min="10504" max="10522" width="0" style="148" hidden="1" customWidth="1"/>
    <col min="10523" max="10523" width="7.42578125" style="148" customWidth="1"/>
    <col min="10524" max="10524" width="7.7109375" style="148" customWidth="1"/>
    <col min="10525" max="10525" width="7.42578125" style="148" customWidth="1"/>
    <col min="10526" max="10528" width="0" style="148" hidden="1" customWidth="1"/>
    <col min="10529" max="10529" width="14.85546875" style="148" customWidth="1"/>
    <col min="10530" max="10531" width="0" style="148" hidden="1" customWidth="1"/>
    <col min="10532" max="10752" width="9.140625" style="148"/>
    <col min="10753" max="10753" width="11.7109375" style="148" customWidth="1"/>
    <col min="10754" max="10758" width="5.7109375" style="148" customWidth="1"/>
    <col min="10759" max="10759" width="5.42578125" style="148" customWidth="1"/>
    <col min="10760" max="10778" width="0" style="148" hidden="1" customWidth="1"/>
    <col min="10779" max="10779" width="7.42578125" style="148" customWidth="1"/>
    <col min="10780" max="10780" width="7.7109375" style="148" customWidth="1"/>
    <col min="10781" max="10781" width="7.42578125" style="148" customWidth="1"/>
    <col min="10782" max="10784" width="0" style="148" hidden="1" customWidth="1"/>
    <col min="10785" max="10785" width="14.85546875" style="148" customWidth="1"/>
    <col min="10786" max="10787" width="0" style="148" hidden="1" customWidth="1"/>
    <col min="10788" max="11008" width="9.140625" style="148"/>
    <col min="11009" max="11009" width="11.7109375" style="148" customWidth="1"/>
    <col min="11010" max="11014" width="5.7109375" style="148" customWidth="1"/>
    <col min="11015" max="11015" width="5.42578125" style="148" customWidth="1"/>
    <col min="11016" max="11034" width="0" style="148" hidden="1" customWidth="1"/>
    <col min="11035" max="11035" width="7.42578125" style="148" customWidth="1"/>
    <col min="11036" max="11036" width="7.7109375" style="148" customWidth="1"/>
    <col min="11037" max="11037" width="7.42578125" style="148" customWidth="1"/>
    <col min="11038" max="11040" width="0" style="148" hidden="1" customWidth="1"/>
    <col min="11041" max="11041" width="14.85546875" style="148" customWidth="1"/>
    <col min="11042" max="11043" width="0" style="148" hidden="1" customWidth="1"/>
    <col min="11044" max="11264" width="9.140625" style="148"/>
    <col min="11265" max="11265" width="11.7109375" style="148" customWidth="1"/>
    <col min="11266" max="11270" width="5.7109375" style="148" customWidth="1"/>
    <col min="11271" max="11271" width="5.42578125" style="148" customWidth="1"/>
    <col min="11272" max="11290" width="0" style="148" hidden="1" customWidth="1"/>
    <col min="11291" max="11291" width="7.42578125" style="148" customWidth="1"/>
    <col min="11292" max="11292" width="7.7109375" style="148" customWidth="1"/>
    <col min="11293" max="11293" width="7.42578125" style="148" customWidth="1"/>
    <col min="11294" max="11296" width="0" style="148" hidden="1" customWidth="1"/>
    <col min="11297" max="11297" width="14.85546875" style="148" customWidth="1"/>
    <col min="11298" max="11299" width="0" style="148" hidden="1" customWidth="1"/>
    <col min="11300" max="11520" width="9.140625" style="148"/>
    <col min="11521" max="11521" width="11.7109375" style="148" customWidth="1"/>
    <col min="11522" max="11526" width="5.7109375" style="148" customWidth="1"/>
    <col min="11527" max="11527" width="5.42578125" style="148" customWidth="1"/>
    <col min="11528" max="11546" width="0" style="148" hidden="1" customWidth="1"/>
    <col min="11547" max="11547" width="7.42578125" style="148" customWidth="1"/>
    <col min="11548" max="11548" width="7.7109375" style="148" customWidth="1"/>
    <col min="11549" max="11549" width="7.42578125" style="148" customWidth="1"/>
    <col min="11550" max="11552" width="0" style="148" hidden="1" customWidth="1"/>
    <col min="11553" max="11553" width="14.85546875" style="148" customWidth="1"/>
    <col min="11554" max="11555" width="0" style="148" hidden="1" customWidth="1"/>
    <col min="11556" max="11776" width="9.140625" style="148"/>
    <col min="11777" max="11777" width="11.7109375" style="148" customWidth="1"/>
    <col min="11778" max="11782" width="5.7109375" style="148" customWidth="1"/>
    <col min="11783" max="11783" width="5.42578125" style="148" customWidth="1"/>
    <col min="11784" max="11802" width="0" style="148" hidden="1" customWidth="1"/>
    <col min="11803" max="11803" width="7.42578125" style="148" customWidth="1"/>
    <col min="11804" max="11804" width="7.7109375" style="148" customWidth="1"/>
    <col min="11805" max="11805" width="7.42578125" style="148" customWidth="1"/>
    <col min="11806" max="11808" width="0" style="148" hidden="1" customWidth="1"/>
    <col min="11809" max="11809" width="14.85546875" style="148" customWidth="1"/>
    <col min="11810" max="11811" width="0" style="148" hidden="1" customWidth="1"/>
    <col min="11812" max="12032" width="9.140625" style="148"/>
    <col min="12033" max="12033" width="11.7109375" style="148" customWidth="1"/>
    <col min="12034" max="12038" width="5.7109375" style="148" customWidth="1"/>
    <col min="12039" max="12039" width="5.42578125" style="148" customWidth="1"/>
    <col min="12040" max="12058" width="0" style="148" hidden="1" customWidth="1"/>
    <col min="12059" max="12059" width="7.42578125" style="148" customWidth="1"/>
    <col min="12060" max="12060" width="7.7109375" style="148" customWidth="1"/>
    <col min="12061" max="12061" width="7.42578125" style="148" customWidth="1"/>
    <col min="12062" max="12064" width="0" style="148" hidden="1" customWidth="1"/>
    <col min="12065" max="12065" width="14.85546875" style="148" customWidth="1"/>
    <col min="12066" max="12067" width="0" style="148" hidden="1" customWidth="1"/>
    <col min="12068" max="12288" width="9.140625" style="148"/>
    <col min="12289" max="12289" width="11.7109375" style="148" customWidth="1"/>
    <col min="12290" max="12294" width="5.7109375" style="148" customWidth="1"/>
    <col min="12295" max="12295" width="5.42578125" style="148" customWidth="1"/>
    <col min="12296" max="12314" width="0" style="148" hidden="1" customWidth="1"/>
    <col min="12315" max="12315" width="7.42578125" style="148" customWidth="1"/>
    <col min="12316" max="12316" width="7.7109375" style="148" customWidth="1"/>
    <col min="12317" max="12317" width="7.42578125" style="148" customWidth="1"/>
    <col min="12318" max="12320" width="0" style="148" hidden="1" customWidth="1"/>
    <col min="12321" max="12321" width="14.85546875" style="148" customWidth="1"/>
    <col min="12322" max="12323" width="0" style="148" hidden="1" customWidth="1"/>
    <col min="12324" max="12544" width="9.140625" style="148"/>
    <col min="12545" max="12545" width="11.7109375" style="148" customWidth="1"/>
    <col min="12546" max="12550" width="5.7109375" style="148" customWidth="1"/>
    <col min="12551" max="12551" width="5.42578125" style="148" customWidth="1"/>
    <col min="12552" max="12570" width="0" style="148" hidden="1" customWidth="1"/>
    <col min="12571" max="12571" width="7.42578125" style="148" customWidth="1"/>
    <col min="12572" max="12572" width="7.7109375" style="148" customWidth="1"/>
    <col min="12573" max="12573" width="7.42578125" style="148" customWidth="1"/>
    <col min="12574" max="12576" width="0" style="148" hidden="1" customWidth="1"/>
    <col min="12577" max="12577" width="14.85546875" style="148" customWidth="1"/>
    <col min="12578" max="12579" width="0" style="148" hidden="1" customWidth="1"/>
    <col min="12580" max="12800" width="9.140625" style="148"/>
    <col min="12801" max="12801" width="11.7109375" style="148" customWidth="1"/>
    <col min="12802" max="12806" width="5.7109375" style="148" customWidth="1"/>
    <col min="12807" max="12807" width="5.42578125" style="148" customWidth="1"/>
    <col min="12808" max="12826" width="0" style="148" hidden="1" customWidth="1"/>
    <col min="12827" max="12827" width="7.42578125" style="148" customWidth="1"/>
    <col min="12828" max="12828" width="7.7109375" style="148" customWidth="1"/>
    <col min="12829" max="12829" width="7.42578125" style="148" customWidth="1"/>
    <col min="12830" max="12832" width="0" style="148" hidden="1" customWidth="1"/>
    <col min="12833" max="12833" width="14.85546875" style="148" customWidth="1"/>
    <col min="12834" max="12835" width="0" style="148" hidden="1" customWidth="1"/>
    <col min="12836" max="13056" width="9.140625" style="148"/>
    <col min="13057" max="13057" width="11.7109375" style="148" customWidth="1"/>
    <col min="13058" max="13062" width="5.7109375" style="148" customWidth="1"/>
    <col min="13063" max="13063" width="5.42578125" style="148" customWidth="1"/>
    <col min="13064" max="13082" width="0" style="148" hidden="1" customWidth="1"/>
    <col min="13083" max="13083" width="7.42578125" style="148" customWidth="1"/>
    <col min="13084" max="13084" width="7.7109375" style="148" customWidth="1"/>
    <col min="13085" max="13085" width="7.42578125" style="148" customWidth="1"/>
    <col min="13086" max="13088" width="0" style="148" hidden="1" customWidth="1"/>
    <col min="13089" max="13089" width="14.85546875" style="148" customWidth="1"/>
    <col min="13090" max="13091" width="0" style="148" hidden="1" customWidth="1"/>
    <col min="13092" max="13312" width="9.140625" style="148"/>
    <col min="13313" max="13313" width="11.7109375" style="148" customWidth="1"/>
    <col min="13314" max="13318" width="5.7109375" style="148" customWidth="1"/>
    <col min="13319" max="13319" width="5.42578125" style="148" customWidth="1"/>
    <col min="13320" max="13338" width="0" style="148" hidden="1" customWidth="1"/>
    <col min="13339" max="13339" width="7.42578125" style="148" customWidth="1"/>
    <col min="13340" max="13340" width="7.7109375" style="148" customWidth="1"/>
    <col min="13341" max="13341" width="7.42578125" style="148" customWidth="1"/>
    <col min="13342" max="13344" width="0" style="148" hidden="1" customWidth="1"/>
    <col min="13345" max="13345" width="14.85546875" style="148" customWidth="1"/>
    <col min="13346" max="13347" width="0" style="148" hidden="1" customWidth="1"/>
    <col min="13348" max="13568" width="9.140625" style="148"/>
    <col min="13569" max="13569" width="11.7109375" style="148" customWidth="1"/>
    <col min="13570" max="13574" width="5.7109375" style="148" customWidth="1"/>
    <col min="13575" max="13575" width="5.42578125" style="148" customWidth="1"/>
    <col min="13576" max="13594" width="0" style="148" hidden="1" customWidth="1"/>
    <col min="13595" max="13595" width="7.42578125" style="148" customWidth="1"/>
    <col min="13596" max="13596" width="7.7109375" style="148" customWidth="1"/>
    <col min="13597" max="13597" width="7.42578125" style="148" customWidth="1"/>
    <col min="13598" max="13600" width="0" style="148" hidden="1" customWidth="1"/>
    <col min="13601" max="13601" width="14.85546875" style="148" customWidth="1"/>
    <col min="13602" max="13603" width="0" style="148" hidden="1" customWidth="1"/>
    <col min="13604" max="13824" width="9.140625" style="148"/>
    <col min="13825" max="13825" width="11.7109375" style="148" customWidth="1"/>
    <col min="13826" max="13830" width="5.7109375" style="148" customWidth="1"/>
    <col min="13831" max="13831" width="5.42578125" style="148" customWidth="1"/>
    <col min="13832" max="13850" width="0" style="148" hidden="1" customWidth="1"/>
    <col min="13851" max="13851" width="7.42578125" style="148" customWidth="1"/>
    <col min="13852" max="13852" width="7.7109375" style="148" customWidth="1"/>
    <col min="13853" max="13853" width="7.42578125" style="148" customWidth="1"/>
    <col min="13854" max="13856" width="0" style="148" hidden="1" customWidth="1"/>
    <col min="13857" max="13857" width="14.85546875" style="148" customWidth="1"/>
    <col min="13858" max="13859" width="0" style="148" hidden="1" customWidth="1"/>
    <col min="13860" max="14080" width="9.140625" style="148"/>
    <col min="14081" max="14081" width="11.7109375" style="148" customWidth="1"/>
    <col min="14082" max="14086" width="5.7109375" style="148" customWidth="1"/>
    <col min="14087" max="14087" width="5.42578125" style="148" customWidth="1"/>
    <col min="14088" max="14106" width="0" style="148" hidden="1" customWidth="1"/>
    <col min="14107" max="14107" width="7.42578125" style="148" customWidth="1"/>
    <col min="14108" max="14108" width="7.7109375" style="148" customWidth="1"/>
    <col min="14109" max="14109" width="7.42578125" style="148" customWidth="1"/>
    <col min="14110" max="14112" width="0" style="148" hidden="1" customWidth="1"/>
    <col min="14113" max="14113" width="14.85546875" style="148" customWidth="1"/>
    <col min="14114" max="14115" width="0" style="148" hidden="1" customWidth="1"/>
    <col min="14116" max="14336" width="9.140625" style="148"/>
    <col min="14337" max="14337" width="11.7109375" style="148" customWidth="1"/>
    <col min="14338" max="14342" width="5.7109375" style="148" customWidth="1"/>
    <col min="14343" max="14343" width="5.42578125" style="148" customWidth="1"/>
    <col min="14344" max="14362" width="0" style="148" hidden="1" customWidth="1"/>
    <col min="14363" max="14363" width="7.42578125" style="148" customWidth="1"/>
    <col min="14364" max="14364" width="7.7109375" style="148" customWidth="1"/>
    <col min="14365" max="14365" width="7.42578125" style="148" customWidth="1"/>
    <col min="14366" max="14368" width="0" style="148" hidden="1" customWidth="1"/>
    <col min="14369" max="14369" width="14.85546875" style="148" customWidth="1"/>
    <col min="14370" max="14371" width="0" style="148" hidden="1" customWidth="1"/>
    <col min="14372" max="14592" width="9.140625" style="148"/>
    <col min="14593" max="14593" width="11.7109375" style="148" customWidth="1"/>
    <col min="14594" max="14598" width="5.7109375" style="148" customWidth="1"/>
    <col min="14599" max="14599" width="5.42578125" style="148" customWidth="1"/>
    <col min="14600" max="14618" width="0" style="148" hidden="1" customWidth="1"/>
    <col min="14619" max="14619" width="7.42578125" style="148" customWidth="1"/>
    <col min="14620" max="14620" width="7.7109375" style="148" customWidth="1"/>
    <col min="14621" max="14621" width="7.42578125" style="148" customWidth="1"/>
    <col min="14622" max="14624" width="0" style="148" hidden="1" customWidth="1"/>
    <col min="14625" max="14625" width="14.85546875" style="148" customWidth="1"/>
    <col min="14626" max="14627" width="0" style="148" hidden="1" customWidth="1"/>
    <col min="14628" max="14848" width="9.140625" style="148"/>
    <col min="14849" max="14849" width="11.7109375" style="148" customWidth="1"/>
    <col min="14850" max="14854" width="5.7109375" style="148" customWidth="1"/>
    <col min="14855" max="14855" width="5.42578125" style="148" customWidth="1"/>
    <col min="14856" max="14874" width="0" style="148" hidden="1" customWidth="1"/>
    <col min="14875" max="14875" width="7.42578125" style="148" customWidth="1"/>
    <col min="14876" max="14876" width="7.7109375" style="148" customWidth="1"/>
    <col min="14877" max="14877" width="7.42578125" style="148" customWidth="1"/>
    <col min="14878" max="14880" width="0" style="148" hidden="1" customWidth="1"/>
    <col min="14881" max="14881" width="14.85546875" style="148" customWidth="1"/>
    <col min="14882" max="14883" width="0" style="148" hidden="1" customWidth="1"/>
    <col min="14884" max="15104" width="9.140625" style="148"/>
    <col min="15105" max="15105" width="11.7109375" style="148" customWidth="1"/>
    <col min="15106" max="15110" width="5.7109375" style="148" customWidth="1"/>
    <col min="15111" max="15111" width="5.42578125" style="148" customWidth="1"/>
    <col min="15112" max="15130" width="0" style="148" hidden="1" customWidth="1"/>
    <col min="15131" max="15131" width="7.42578125" style="148" customWidth="1"/>
    <col min="15132" max="15132" width="7.7109375" style="148" customWidth="1"/>
    <col min="15133" max="15133" width="7.42578125" style="148" customWidth="1"/>
    <col min="15134" max="15136" width="0" style="148" hidden="1" customWidth="1"/>
    <col min="15137" max="15137" width="14.85546875" style="148" customWidth="1"/>
    <col min="15138" max="15139" width="0" style="148" hidden="1" customWidth="1"/>
    <col min="15140" max="15360" width="9.140625" style="148"/>
    <col min="15361" max="15361" width="11.7109375" style="148" customWidth="1"/>
    <col min="15362" max="15366" width="5.7109375" style="148" customWidth="1"/>
    <col min="15367" max="15367" width="5.42578125" style="148" customWidth="1"/>
    <col min="15368" max="15386" width="0" style="148" hidden="1" customWidth="1"/>
    <col min="15387" max="15387" width="7.42578125" style="148" customWidth="1"/>
    <col min="15388" max="15388" width="7.7109375" style="148" customWidth="1"/>
    <col min="15389" max="15389" width="7.42578125" style="148" customWidth="1"/>
    <col min="15390" max="15392" width="0" style="148" hidden="1" customWidth="1"/>
    <col min="15393" max="15393" width="14.85546875" style="148" customWidth="1"/>
    <col min="15394" max="15395" width="0" style="148" hidden="1" customWidth="1"/>
    <col min="15396" max="15616" width="9.140625" style="148"/>
    <col min="15617" max="15617" width="11.7109375" style="148" customWidth="1"/>
    <col min="15618" max="15622" width="5.7109375" style="148" customWidth="1"/>
    <col min="15623" max="15623" width="5.42578125" style="148" customWidth="1"/>
    <col min="15624" max="15642" width="0" style="148" hidden="1" customWidth="1"/>
    <col min="15643" max="15643" width="7.42578125" style="148" customWidth="1"/>
    <col min="15644" max="15644" width="7.7109375" style="148" customWidth="1"/>
    <col min="15645" max="15645" width="7.42578125" style="148" customWidth="1"/>
    <col min="15646" max="15648" width="0" style="148" hidden="1" customWidth="1"/>
    <col min="15649" max="15649" width="14.85546875" style="148" customWidth="1"/>
    <col min="15650" max="15651" width="0" style="148" hidden="1" customWidth="1"/>
    <col min="15652" max="15872" width="9.140625" style="148"/>
    <col min="15873" max="15873" width="11.7109375" style="148" customWidth="1"/>
    <col min="15874" max="15878" width="5.7109375" style="148" customWidth="1"/>
    <col min="15879" max="15879" width="5.42578125" style="148" customWidth="1"/>
    <col min="15880" max="15898" width="0" style="148" hidden="1" customWidth="1"/>
    <col min="15899" max="15899" width="7.42578125" style="148" customWidth="1"/>
    <col min="15900" max="15900" width="7.7109375" style="148" customWidth="1"/>
    <col min="15901" max="15901" width="7.42578125" style="148" customWidth="1"/>
    <col min="15902" max="15904" width="0" style="148" hidden="1" customWidth="1"/>
    <col min="15905" max="15905" width="14.85546875" style="148" customWidth="1"/>
    <col min="15906" max="15907" width="0" style="148" hidden="1" customWidth="1"/>
    <col min="15908" max="16128" width="9.140625" style="148"/>
    <col min="16129" max="16129" width="11.7109375" style="148" customWidth="1"/>
    <col min="16130" max="16134" width="5.7109375" style="148" customWidth="1"/>
    <col min="16135" max="16135" width="5.42578125" style="148" customWidth="1"/>
    <col min="16136" max="16154" width="0" style="148" hidden="1" customWidth="1"/>
    <col min="16155" max="16155" width="7.42578125" style="148" customWidth="1"/>
    <col min="16156" max="16156" width="7.7109375" style="148" customWidth="1"/>
    <col min="16157" max="16157" width="7.42578125" style="148" customWidth="1"/>
    <col min="16158" max="16160" width="0" style="148" hidden="1" customWidth="1"/>
    <col min="16161" max="16161" width="14.85546875" style="148" customWidth="1"/>
    <col min="16162" max="16163" width="0" style="148" hidden="1" customWidth="1"/>
    <col min="16164" max="16384" width="9.140625" style="148"/>
  </cols>
  <sheetData>
    <row r="1" spans="1:35" ht="19.5" thickTop="1" thickBot="1" x14ac:dyDescent="0.3">
      <c r="A1" s="337" t="s">
        <v>53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9"/>
      <c r="AH1" s="148" t="s">
        <v>44</v>
      </c>
    </row>
    <row r="2" spans="1:35" ht="10.5" customHeight="1" thickTop="1" x14ac:dyDescent="0.2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1"/>
      <c r="AC2" s="151"/>
      <c r="AD2" s="150"/>
      <c r="AE2" s="150"/>
      <c r="AF2" s="150"/>
      <c r="AG2" s="152" t="s">
        <v>57</v>
      </c>
      <c r="AH2" s="148" t="s">
        <v>45</v>
      </c>
    </row>
    <row r="3" spans="1:35" ht="25.5" customHeight="1" x14ac:dyDescent="0.25">
      <c r="A3" s="153" t="s">
        <v>177</v>
      </c>
      <c r="B3" s="154">
        <f>'DADOS FINAIS'!B3</f>
        <v>0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4"/>
      <c r="AB3" s="156" t="s">
        <v>60</v>
      </c>
      <c r="AC3" s="155"/>
      <c r="AG3" s="157"/>
      <c r="AH3" s="148" t="s">
        <v>72</v>
      </c>
    </row>
    <row r="4" spans="1:35" ht="15.75" x14ac:dyDescent="0.25">
      <c r="A4" s="153" t="s">
        <v>161</v>
      </c>
      <c r="B4" s="154">
        <f>'DADOS FINAIS'!B4</f>
        <v>0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6" t="s">
        <v>61</v>
      </c>
      <c r="AC4" s="154"/>
      <c r="AG4" s="157"/>
    </row>
    <row r="5" spans="1:35" ht="15.75" x14ac:dyDescent="0.25">
      <c r="A5" s="153" t="s">
        <v>162</v>
      </c>
      <c r="B5" s="154">
        <f>'DADOS FINAIS'!B5</f>
        <v>0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8"/>
      <c r="T5" s="158"/>
      <c r="U5" s="159"/>
      <c r="V5" s="159"/>
      <c r="W5" s="159"/>
      <c r="X5" s="159"/>
      <c r="Y5" s="155"/>
      <c r="Z5" s="155"/>
      <c r="AA5" s="155"/>
      <c r="AB5" s="156" t="s">
        <v>94</v>
      </c>
      <c r="AC5" s="154"/>
      <c r="AG5" s="157"/>
    </row>
    <row r="6" spans="1:35" ht="15.75" x14ac:dyDescent="0.25">
      <c r="A6" s="153" t="s">
        <v>178</v>
      </c>
      <c r="B6" s="154">
        <f>'DADOS FINAIS'!B6</f>
        <v>0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60"/>
      <c r="AC6" s="161"/>
      <c r="AD6" s="148" t="s">
        <v>149</v>
      </c>
      <c r="AG6" s="157"/>
    </row>
    <row r="7" spans="1:35" ht="24" customHeight="1" thickBot="1" x14ac:dyDescent="0.3">
      <c r="A7" s="162" t="s">
        <v>43</v>
      </c>
      <c r="B7" s="163"/>
      <c r="C7" s="164"/>
      <c r="D7" s="164"/>
      <c r="E7" s="164"/>
      <c r="F7" s="164"/>
      <c r="G7" s="164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6" t="s">
        <v>58</v>
      </c>
      <c r="AC7" s="167">
        <f>'DADOS FINAIS'!$AI$7</f>
        <v>0.05</v>
      </c>
      <c r="AD7" s="148" t="s">
        <v>150</v>
      </c>
      <c r="AG7" s="168"/>
    </row>
    <row r="8" spans="1:35" ht="17.25" thickTop="1" thickBot="1" x14ac:dyDescent="0.3">
      <c r="A8" s="169" t="s">
        <v>50</v>
      </c>
      <c r="B8" s="340" t="s">
        <v>130</v>
      </c>
      <c r="C8" s="340"/>
      <c r="D8" s="340" t="s">
        <v>131</v>
      </c>
      <c r="E8" s="340"/>
      <c r="F8" s="340" t="s">
        <v>133</v>
      </c>
      <c r="G8" s="340"/>
      <c r="H8" s="341" t="s">
        <v>165</v>
      </c>
      <c r="I8" s="342"/>
      <c r="J8" s="341" t="s">
        <v>166</v>
      </c>
      <c r="K8" s="342"/>
      <c r="L8" s="341" t="s">
        <v>167</v>
      </c>
      <c r="M8" s="342"/>
      <c r="N8" s="239" t="s">
        <v>135</v>
      </c>
      <c r="O8" s="239" t="s">
        <v>136</v>
      </c>
      <c r="P8" s="239" t="s">
        <v>137</v>
      </c>
      <c r="Q8" s="170" t="s">
        <v>134</v>
      </c>
      <c r="R8" s="343" t="s">
        <v>138</v>
      </c>
      <c r="S8" s="344"/>
      <c r="T8" s="343" t="s">
        <v>141</v>
      </c>
      <c r="U8" s="344"/>
      <c r="V8" s="171" t="s">
        <v>145</v>
      </c>
      <c r="W8" s="171" t="s">
        <v>147</v>
      </c>
      <c r="X8" s="171" t="s">
        <v>146</v>
      </c>
      <c r="Y8" s="171" t="s">
        <v>148</v>
      </c>
      <c r="Z8" s="171" t="s">
        <v>160</v>
      </c>
      <c r="AA8" s="239" t="s">
        <v>117</v>
      </c>
      <c r="AB8" s="239" t="s">
        <v>118</v>
      </c>
      <c r="AC8" s="172" t="s">
        <v>119</v>
      </c>
      <c r="AD8" s="148" t="s">
        <v>139</v>
      </c>
      <c r="AG8" s="172" t="s">
        <v>121</v>
      </c>
    </row>
    <row r="9" spans="1:35" ht="17.25" thickTop="1" thickBot="1" x14ac:dyDescent="0.3">
      <c r="A9" s="178" t="s">
        <v>151</v>
      </c>
      <c r="B9" s="214">
        <f>'DADOS FINAIS'!B9</f>
        <v>16</v>
      </c>
      <c r="C9" s="215">
        <f>'DADOS FINAIS'!C9</f>
        <v>18</v>
      </c>
      <c r="D9" s="214">
        <f>'DADOS FINAIS'!D9</f>
        <v>15</v>
      </c>
      <c r="E9" s="215">
        <f>'DADOS FINAIS'!E9</f>
        <v>18</v>
      </c>
      <c r="F9" s="214">
        <f>'DADOS FINAIS'!F9</f>
        <v>14</v>
      </c>
      <c r="G9" s="215">
        <f>'DADOS FINAIS'!G9</f>
        <v>15</v>
      </c>
      <c r="H9" s="179">
        <f t="shared" ref="H9:H30" si="0">IF((B9&gt;C9),C9,B9)</f>
        <v>16</v>
      </c>
      <c r="I9" s="179">
        <f t="shared" ref="I9:I30" si="1">IF((C9&gt;B9),C9,B9)</f>
        <v>18</v>
      </c>
      <c r="J9" s="179">
        <f t="shared" ref="J9:J30" si="2">IF((D9&gt;E9),E9,D9)</f>
        <v>15</v>
      </c>
      <c r="K9" s="179">
        <f t="shared" ref="K9:K30" si="3">IF((E9&gt;D9),E9,D9)</f>
        <v>18</v>
      </c>
      <c r="L9" s="179">
        <f t="shared" ref="L9:L30" si="4">IF((F9&gt;G9),G9,F9)</f>
        <v>14</v>
      </c>
      <c r="M9" s="179">
        <f t="shared" ref="M9:M30" si="5">IF((G9&gt;F9),G9,F9)</f>
        <v>15</v>
      </c>
      <c r="N9" s="180">
        <f t="shared" ref="N9:N30" si="6">IF((J9=H9),J9,(IF((J9=I9),J9,0)))</f>
        <v>0</v>
      </c>
      <c r="O9" s="180">
        <f t="shared" ref="O9:O30" si="7">IF((K9=H9),K9,(IF((K9=I9),K9,0)))</f>
        <v>18</v>
      </c>
      <c r="P9" s="180">
        <f t="shared" ref="P9:P30" si="8">(IF(((N9+O9)=(J9+K9)),0,1))</f>
        <v>1</v>
      </c>
      <c r="Q9" s="181">
        <f t="shared" ref="Q9:Q30" si="9">IF(OR((N9=O9),(O9=0)),N9,(IF(AND((N9=0),(O9&lt;&gt;0)),O9,$AD$7)))</f>
        <v>18</v>
      </c>
      <c r="R9" s="182">
        <f t="shared" ref="R9:R30" si="10">(IF((Q9&lt;&gt;$AD$7),(J9+K9-Q9),D9))</f>
        <v>15</v>
      </c>
      <c r="S9" s="182">
        <f t="shared" ref="S9:S30" si="11">(IF((Q9&lt;&gt;$AD$7),0,K9))</f>
        <v>0</v>
      </c>
      <c r="T9" s="183">
        <f t="shared" ref="T9:T30" si="12">(IF(OR((R9=L9),(R9=M9)),R9,0))</f>
        <v>15</v>
      </c>
      <c r="U9" s="184">
        <f t="shared" ref="U9:U30" si="13">(IF(AND((P9=0),(OR((M9=N9),(M9=O9)))),S9,(IF((S9&lt;&gt;0),(IF(OR((S9=L9),(S9=M9)),S9,0)),0))))</f>
        <v>0</v>
      </c>
      <c r="V9" s="185">
        <f>IF(R9=0,0,VLOOKUP(R9,FREQUENCIAS!$1:$1048576,(IF(($A9=FREQUENCIAS!$B$1),2,"ERRO")),FREQUENCIAS!$1:$1048576))</f>
        <v>0.290991</v>
      </c>
      <c r="W9" s="185">
        <f>IF(S9=0,0,VLOOKUP(S9,FREQUENCIAS!$1:$1048576,(IF(($A9=FREQUENCIAS!$B$1),2,"ERRO")),FREQUENCIAS!$1:$1048576))</f>
        <v>0</v>
      </c>
      <c r="X9" s="185"/>
      <c r="Y9" s="185"/>
      <c r="Z9" s="185"/>
      <c r="AA9" s="216">
        <f>((IF((AND(($H9=$J9),($I9=$K9))),2,( IF((OR(($H9=$J9),($I9=$K9),($H9=$K9),($I9=$J9))),1,0)))))</f>
        <v>1</v>
      </c>
      <c r="AB9" s="216">
        <f t="shared" ref="AB9:AB30" si="14">((IF((AND(($H9=$L9),($I9=$M9))),2,( IF((OR(($H9=$L9),($I9=$M9),($H9=$M9),($I9=$L9))),1,0)))))</f>
        <v>0</v>
      </c>
      <c r="AC9" s="216">
        <f t="shared" ref="AC9:AC30" si="15">((IF((AND(($J9=$L9),($K9=$M9))),2,( IF((OR(($J9=$L9),($K9=$M9),($J9=$M9),($K9=$L9))),1,0)))))</f>
        <v>1</v>
      </c>
      <c r="AD9" s="176"/>
      <c r="AE9" s="177">
        <f t="shared" ref="AE9:AE30" si="16">(1-AA9)^2</f>
        <v>0</v>
      </c>
      <c r="AF9" s="176"/>
      <c r="AG9" s="175" t="str">
        <f t="shared" ref="AG9:AG30" si="17">IF((AND((AA9&gt;=1),(AC9&gt;=1))),"INCLUSÃO","VERIFICAR")</f>
        <v>INCLUSÃO</v>
      </c>
    </row>
    <row r="10" spans="1:35" ht="17.25" thickTop="1" thickBot="1" x14ac:dyDescent="0.3">
      <c r="A10" s="178" t="s">
        <v>218</v>
      </c>
      <c r="B10" s="214">
        <f>'DADOS FINAIS'!B10</f>
        <v>15</v>
      </c>
      <c r="C10" s="215">
        <f>'DADOS FINAIS'!C10</f>
        <v>16.3</v>
      </c>
      <c r="D10" s="214">
        <f>'DADOS FINAIS'!D10</f>
        <v>16.3</v>
      </c>
      <c r="E10" s="215">
        <f>'DADOS FINAIS'!E10</f>
        <v>19.3</v>
      </c>
      <c r="F10" s="214">
        <f>'DADOS FINAIS'!F10</f>
        <v>13</v>
      </c>
      <c r="G10" s="215">
        <f>'DADOS FINAIS'!G10</f>
        <v>19.3</v>
      </c>
      <c r="H10" s="179">
        <f t="shared" si="0"/>
        <v>15</v>
      </c>
      <c r="I10" s="179">
        <f t="shared" si="1"/>
        <v>16.3</v>
      </c>
      <c r="J10" s="179">
        <f t="shared" si="2"/>
        <v>16.3</v>
      </c>
      <c r="K10" s="179">
        <f t="shared" si="3"/>
        <v>19.3</v>
      </c>
      <c r="L10" s="179">
        <f t="shared" si="4"/>
        <v>13</v>
      </c>
      <c r="M10" s="179">
        <f t="shared" si="5"/>
        <v>19.3</v>
      </c>
      <c r="N10" s="180">
        <f t="shared" si="6"/>
        <v>16.3</v>
      </c>
      <c r="O10" s="180">
        <f t="shared" si="7"/>
        <v>0</v>
      </c>
      <c r="P10" s="180">
        <f t="shared" si="8"/>
        <v>1</v>
      </c>
      <c r="Q10" s="181">
        <f t="shared" si="9"/>
        <v>16.3</v>
      </c>
      <c r="R10" s="182">
        <f t="shared" si="10"/>
        <v>19.3</v>
      </c>
      <c r="S10" s="182">
        <f t="shared" si="11"/>
        <v>0</v>
      </c>
      <c r="T10" s="183">
        <f t="shared" si="12"/>
        <v>19.3</v>
      </c>
      <c r="U10" s="184">
        <f t="shared" si="13"/>
        <v>0</v>
      </c>
      <c r="V10" s="185">
        <f>IF(R10=0,0,VLOOKUP(R10,FREQUENCIAS!$1:$1048576,(IF(($A10=FREQUENCIAS!$C$1),3,"ERRO")),FREQUENCIAS!$1:$1048576))</f>
        <v>3.5999999999999999E-3</v>
      </c>
      <c r="W10" s="185">
        <f>IF(S10=0,0,VLOOKUP(S10,FREQUENCIAS!$1:$1048576,(IF(($A10=FREQUENCIAS!$C$1),3,"ERRO")),FREQUENCIAS!$1:$1048576))</f>
        <v>0</v>
      </c>
      <c r="X10" s="185"/>
      <c r="Y10" s="185"/>
      <c r="Z10" s="185"/>
      <c r="AA10" s="216">
        <f>((IF((AND(($H10=$J10),($I10=$K10))),2,( IF((OR(($H10=$J10),($I10=$K10),($H10=$K10),($I10=$J10))),1,0)))))</f>
        <v>1</v>
      </c>
      <c r="AB10" s="216">
        <f t="shared" si="14"/>
        <v>0</v>
      </c>
      <c r="AC10" s="216">
        <f t="shared" si="15"/>
        <v>1</v>
      </c>
      <c r="AD10" s="176"/>
      <c r="AE10" s="177">
        <f t="shared" si="16"/>
        <v>0</v>
      </c>
      <c r="AF10" s="176"/>
      <c r="AG10" s="175" t="str">
        <f t="shared" si="17"/>
        <v>INCLUSÃO</v>
      </c>
    </row>
    <row r="11" spans="1:35" ht="17.25" thickTop="1" thickBot="1" x14ac:dyDescent="0.3">
      <c r="A11" s="178" t="s">
        <v>219</v>
      </c>
      <c r="B11" s="214">
        <f>'DADOS FINAIS'!B11</f>
        <v>10</v>
      </c>
      <c r="C11" s="215">
        <f>'DADOS FINAIS'!C11</f>
        <v>12</v>
      </c>
      <c r="D11" s="214">
        <f>'DADOS FINAIS'!D11</f>
        <v>10</v>
      </c>
      <c r="E11" s="215">
        <f>'DADOS FINAIS'!E11</f>
        <v>12</v>
      </c>
      <c r="F11" s="214">
        <f>'DADOS FINAIS'!F11</f>
        <v>10</v>
      </c>
      <c r="G11" s="215">
        <f>'DADOS FINAIS'!G11</f>
        <v>11</v>
      </c>
      <c r="H11" s="179">
        <f t="shared" si="0"/>
        <v>10</v>
      </c>
      <c r="I11" s="179">
        <f t="shared" si="1"/>
        <v>12</v>
      </c>
      <c r="J11" s="179">
        <f t="shared" si="2"/>
        <v>10</v>
      </c>
      <c r="K11" s="179">
        <f t="shared" si="3"/>
        <v>12</v>
      </c>
      <c r="L11" s="179">
        <f t="shared" si="4"/>
        <v>10</v>
      </c>
      <c r="M11" s="179">
        <f t="shared" si="5"/>
        <v>11</v>
      </c>
      <c r="N11" s="180">
        <f t="shared" si="6"/>
        <v>10</v>
      </c>
      <c r="O11" s="180">
        <f t="shared" si="7"/>
        <v>12</v>
      </c>
      <c r="P11" s="180">
        <f t="shared" si="8"/>
        <v>0</v>
      </c>
      <c r="Q11" s="181" t="str">
        <f t="shared" si="9"/>
        <v>NÃO DEF</v>
      </c>
      <c r="R11" s="182">
        <f t="shared" si="10"/>
        <v>10</v>
      </c>
      <c r="S11" s="182">
        <f t="shared" si="11"/>
        <v>12</v>
      </c>
      <c r="T11" s="183">
        <f t="shared" si="12"/>
        <v>10</v>
      </c>
      <c r="U11" s="184">
        <f t="shared" si="13"/>
        <v>0</v>
      </c>
      <c r="V11" s="185">
        <f>IF(R11=0,0,VLOOKUP(R11,FREQUENCIAS!$1:$1048576,(IF(($A11=FREQUENCIAS!$D$1),4,"ERRO")),FREQUENCIAS!$1:$1048576))</f>
        <v>0.2611</v>
      </c>
      <c r="W11" s="185">
        <f>IF(S11=0,0,VLOOKUP(S11,FREQUENCIAS!$1:$1048576,(IF(($A11=FREQUENCIAS!$D$1),4,"ERRO")),FREQUENCIAS!$1:$1048576))</f>
        <v>7.3099999999999998E-2</v>
      </c>
      <c r="X11" s="185"/>
      <c r="Y11" s="185"/>
      <c r="Z11" s="185"/>
      <c r="AA11" s="216">
        <f t="shared" ref="AA11:AA30" si="18">((IF((AND(($H11=$J11),($I11=$K11))),2,( IF((OR(($H11=$J11),($I11=$K11),($H11=$K11),($I11=$J11))),1,0)))))</f>
        <v>2</v>
      </c>
      <c r="AB11" s="216">
        <f t="shared" si="14"/>
        <v>1</v>
      </c>
      <c r="AC11" s="216">
        <f t="shared" si="15"/>
        <v>1</v>
      </c>
      <c r="AD11" s="176"/>
      <c r="AE11" s="177">
        <f t="shared" si="16"/>
        <v>1</v>
      </c>
      <c r="AF11" s="176"/>
      <c r="AG11" s="175" t="str">
        <f t="shared" si="17"/>
        <v>INCLUSÃO</v>
      </c>
    </row>
    <row r="12" spans="1:35" ht="17.25" thickTop="1" thickBot="1" x14ac:dyDescent="0.3">
      <c r="A12" s="178" t="s">
        <v>220</v>
      </c>
      <c r="B12" s="214" t="str">
        <f>'DADOS FINAIS'!B12</f>
        <v>&lt;8</v>
      </c>
      <c r="C12" s="215">
        <f>'DADOS FINAIS'!C12</f>
        <v>13</v>
      </c>
      <c r="D12" s="214" t="str">
        <f>'DADOS FINAIS'!D12</f>
        <v>&lt;8</v>
      </c>
      <c r="E12" s="215">
        <f>'DADOS FINAIS'!E12</f>
        <v>14</v>
      </c>
      <c r="F12" s="214">
        <f>'DADOS FINAIS'!F12</f>
        <v>13</v>
      </c>
      <c r="G12" s="215">
        <f>'DADOS FINAIS'!G12</f>
        <v>14</v>
      </c>
      <c r="H12" s="179">
        <f t="shared" si="0"/>
        <v>13</v>
      </c>
      <c r="I12" s="179" t="str">
        <f t="shared" si="1"/>
        <v>&lt;8</v>
      </c>
      <c r="J12" s="179">
        <f t="shared" si="2"/>
        <v>14</v>
      </c>
      <c r="K12" s="179" t="str">
        <f t="shared" si="3"/>
        <v>&lt;8</v>
      </c>
      <c r="L12" s="179">
        <f t="shared" si="4"/>
        <v>13</v>
      </c>
      <c r="M12" s="179">
        <f t="shared" si="5"/>
        <v>14</v>
      </c>
      <c r="N12" s="180">
        <f t="shared" si="6"/>
        <v>0</v>
      </c>
      <c r="O12" s="180" t="str">
        <f t="shared" si="7"/>
        <v>&lt;8</v>
      </c>
      <c r="P12" s="180" t="e">
        <f t="shared" si="8"/>
        <v>#VALUE!</v>
      </c>
      <c r="Q12" s="180" t="str">
        <f t="shared" si="9"/>
        <v>&lt;8</v>
      </c>
      <c r="R12" s="182" t="e">
        <f t="shared" si="10"/>
        <v>#VALUE!</v>
      </c>
      <c r="S12" s="182">
        <f t="shared" si="11"/>
        <v>0</v>
      </c>
      <c r="T12" s="183" t="e">
        <f t="shared" si="12"/>
        <v>#VALUE!</v>
      </c>
      <c r="U12" s="184" t="e">
        <f t="shared" si="13"/>
        <v>#VALUE!</v>
      </c>
      <c r="V12" s="185" t="e">
        <f>IF(R12=0,0,VLOOKUP(R12,FREQUENCIAS!$1:$1048576,(IF(($A12=FREQUENCIAS!$E$1),5,"ERRO")),FREQUENCIAS!$1:$1048576))</f>
        <v>#VALUE!</v>
      </c>
      <c r="W12" s="185">
        <f>IF(S12=0,0,VLOOKUP(S12,FREQUENCIAS!$1:$1048576,(IF(($A12=FREQUENCIAS!$E$1),5,"ERRO")),FREQUENCIAS!$1:$1048576))</f>
        <v>0</v>
      </c>
      <c r="X12" s="185"/>
      <c r="Y12" s="185"/>
      <c r="Z12" s="185"/>
      <c r="AA12" s="216">
        <f t="shared" si="18"/>
        <v>1</v>
      </c>
      <c r="AB12" s="216">
        <f t="shared" si="14"/>
        <v>1</v>
      </c>
      <c r="AC12" s="216">
        <f t="shared" si="15"/>
        <v>1</v>
      </c>
      <c r="AD12" s="176" t="s">
        <v>140</v>
      </c>
      <c r="AE12" s="177">
        <f t="shared" si="16"/>
        <v>0</v>
      </c>
      <c r="AF12" s="176"/>
      <c r="AG12" s="175" t="str">
        <f t="shared" si="17"/>
        <v>INCLUSÃO</v>
      </c>
    </row>
    <row r="13" spans="1:35" ht="17.25" thickTop="1" thickBot="1" x14ac:dyDescent="0.3">
      <c r="A13" s="178" t="s">
        <v>157</v>
      </c>
      <c r="B13" s="214">
        <f>'DADOS FINAIS'!B13</f>
        <v>8</v>
      </c>
      <c r="C13" s="215">
        <f>'DADOS FINAIS'!C13</f>
        <v>10</v>
      </c>
      <c r="D13" s="214">
        <f>'DADOS FINAIS'!D13</f>
        <v>10</v>
      </c>
      <c r="E13" s="215">
        <f>'DADOS FINAIS'!E13</f>
        <v>12</v>
      </c>
      <c r="F13" s="214">
        <f>'DADOS FINAIS'!F13</f>
        <v>12</v>
      </c>
      <c r="G13" s="215">
        <f>'DADOS FINAIS'!G13</f>
        <v>12</v>
      </c>
      <c r="H13" s="179">
        <f t="shared" si="0"/>
        <v>8</v>
      </c>
      <c r="I13" s="179">
        <f t="shared" si="1"/>
        <v>10</v>
      </c>
      <c r="J13" s="179">
        <f t="shared" si="2"/>
        <v>10</v>
      </c>
      <c r="K13" s="179">
        <f t="shared" si="3"/>
        <v>12</v>
      </c>
      <c r="L13" s="179">
        <f t="shared" si="4"/>
        <v>12</v>
      </c>
      <c r="M13" s="179">
        <f t="shared" si="5"/>
        <v>12</v>
      </c>
      <c r="N13" s="180">
        <f t="shared" si="6"/>
        <v>10</v>
      </c>
      <c r="O13" s="180">
        <f t="shared" si="7"/>
        <v>0</v>
      </c>
      <c r="P13" s="180">
        <f t="shared" si="8"/>
        <v>1</v>
      </c>
      <c r="Q13" s="181">
        <f t="shared" si="9"/>
        <v>10</v>
      </c>
      <c r="R13" s="182">
        <f t="shared" si="10"/>
        <v>12</v>
      </c>
      <c r="S13" s="182">
        <f t="shared" si="11"/>
        <v>0</v>
      </c>
      <c r="T13" s="183">
        <f t="shared" si="12"/>
        <v>12</v>
      </c>
      <c r="U13" s="184">
        <f t="shared" si="13"/>
        <v>0</v>
      </c>
      <c r="V13" s="185">
        <f>IF(R13=0,0,VLOOKUP(R13,FREQUENCIAS!$1:$1048576,(IF(($A13=FREQUENCIAS!$F$1),6,"ERRO")),FREQUENCIAS!$1:$1048576))</f>
        <v>0.29337999999999997</v>
      </c>
      <c r="W13" s="185">
        <f>IF(S13=0,0,VLOOKUP(S13,FREQUENCIAS!$1:$1048576,(IF(($A13=FREQUENCIAS!$F$1),6,"ERRO")),FREQUENCIAS!$1:$1048576))</f>
        <v>0</v>
      </c>
      <c r="X13" s="185"/>
      <c r="Y13" s="185"/>
      <c r="Z13" s="185"/>
      <c r="AA13" s="216">
        <f t="shared" si="18"/>
        <v>1</v>
      </c>
      <c r="AB13" s="216">
        <f t="shared" si="14"/>
        <v>0</v>
      </c>
      <c r="AC13" s="216">
        <f t="shared" si="15"/>
        <v>1</v>
      </c>
      <c r="AD13" s="176" t="s">
        <v>116</v>
      </c>
      <c r="AE13" s="177">
        <f t="shared" si="16"/>
        <v>0</v>
      </c>
      <c r="AF13" s="176"/>
      <c r="AG13" s="175" t="str">
        <f t="shared" si="17"/>
        <v>INCLUSÃO</v>
      </c>
      <c r="AI13" s="148" t="s">
        <v>174</v>
      </c>
    </row>
    <row r="14" spans="1:35" ht="17.25" thickTop="1" thickBot="1" x14ac:dyDescent="0.3">
      <c r="A14" s="186" t="s">
        <v>226</v>
      </c>
      <c r="B14" s="173">
        <f>'DADOS FINAIS'!B14</f>
        <v>11</v>
      </c>
      <c r="C14" s="174">
        <f>'DADOS FINAIS'!C14</f>
        <v>11</v>
      </c>
      <c r="D14" s="173">
        <f>'DADOS FINAIS'!D14</f>
        <v>7</v>
      </c>
      <c r="E14" s="174">
        <f>'DADOS FINAIS'!E14</f>
        <v>11</v>
      </c>
      <c r="F14" s="173">
        <f>'DADOS FINAIS'!F14</f>
        <v>7</v>
      </c>
      <c r="G14" s="174">
        <f>'DADOS FINAIS'!G14</f>
        <v>12</v>
      </c>
      <c r="H14" s="179">
        <f t="shared" si="0"/>
        <v>11</v>
      </c>
      <c r="I14" s="179">
        <f t="shared" si="1"/>
        <v>11</v>
      </c>
      <c r="J14" s="179">
        <f t="shared" si="2"/>
        <v>7</v>
      </c>
      <c r="K14" s="179">
        <f t="shared" si="3"/>
        <v>11</v>
      </c>
      <c r="L14" s="179">
        <f t="shared" si="4"/>
        <v>7</v>
      </c>
      <c r="M14" s="179">
        <f t="shared" si="5"/>
        <v>12</v>
      </c>
      <c r="N14" s="180">
        <f t="shared" si="6"/>
        <v>0</v>
      </c>
      <c r="O14" s="180">
        <f t="shared" si="7"/>
        <v>11</v>
      </c>
      <c r="P14" s="180">
        <f t="shared" si="8"/>
        <v>1</v>
      </c>
      <c r="Q14" s="181">
        <f t="shared" si="9"/>
        <v>11</v>
      </c>
      <c r="R14" s="182">
        <f t="shared" si="10"/>
        <v>7</v>
      </c>
      <c r="S14" s="182">
        <f t="shared" si="11"/>
        <v>0</v>
      </c>
      <c r="T14" s="183">
        <f t="shared" si="12"/>
        <v>7</v>
      </c>
      <c r="U14" s="184">
        <f t="shared" si="13"/>
        <v>0</v>
      </c>
      <c r="V14" s="185">
        <f>IF(R14=0,0,VLOOKUP(R14,FREQUENCIAS!$1:$1048576,(IF(($A14=FREQUENCIAS!$G$1),7,"ERRO")),FREQUENCIAS!$1:$1048576))</f>
        <v>0.10938299999999999</v>
      </c>
      <c r="W14" s="185">
        <f>IF(S14=0,0,VLOOKUP(S14,FREQUENCIAS!$1:$1048576,(IF(($A14=FREQUENCIAS!$G$1),7,"ERRO")),FREQUENCIAS!$1:$1048576))</f>
        <v>0</v>
      </c>
      <c r="X14" s="185"/>
      <c r="Y14" s="185"/>
      <c r="Z14" s="185"/>
      <c r="AA14" s="216">
        <f t="shared" si="18"/>
        <v>1</v>
      </c>
      <c r="AB14" s="216">
        <f t="shared" si="14"/>
        <v>0</v>
      </c>
      <c r="AC14" s="216">
        <f t="shared" si="15"/>
        <v>1</v>
      </c>
      <c r="AD14" s="176"/>
      <c r="AE14" s="177">
        <f t="shared" si="16"/>
        <v>0</v>
      </c>
      <c r="AF14" s="176"/>
      <c r="AG14" s="175" t="str">
        <f t="shared" si="17"/>
        <v>INCLUSÃO</v>
      </c>
    </row>
    <row r="15" spans="1:35" ht="17.25" thickTop="1" thickBot="1" x14ac:dyDescent="0.3">
      <c r="A15" s="178" t="s">
        <v>159</v>
      </c>
      <c r="B15" s="214">
        <f>'DADOS FINAIS'!B15</f>
        <v>8</v>
      </c>
      <c r="C15" s="215">
        <f>'DADOS FINAIS'!C15</f>
        <v>12</v>
      </c>
      <c r="D15" s="214">
        <f>'DADOS FINAIS'!D15</f>
        <v>11</v>
      </c>
      <c r="E15" s="215">
        <f>'DADOS FINAIS'!E15</f>
        <v>12</v>
      </c>
      <c r="F15" s="214">
        <f>'DADOS FINAIS'!F15</f>
        <v>11</v>
      </c>
      <c r="G15" s="215">
        <f>'DADOS FINAIS'!G15</f>
        <v>12</v>
      </c>
      <c r="H15" s="179">
        <f t="shared" si="0"/>
        <v>8</v>
      </c>
      <c r="I15" s="179">
        <f t="shared" si="1"/>
        <v>12</v>
      </c>
      <c r="J15" s="179">
        <f t="shared" si="2"/>
        <v>11</v>
      </c>
      <c r="K15" s="179">
        <f t="shared" si="3"/>
        <v>12</v>
      </c>
      <c r="L15" s="179">
        <f t="shared" si="4"/>
        <v>11</v>
      </c>
      <c r="M15" s="179">
        <f t="shared" si="5"/>
        <v>12</v>
      </c>
      <c r="N15" s="180">
        <f t="shared" si="6"/>
        <v>0</v>
      </c>
      <c r="O15" s="180">
        <f t="shared" si="7"/>
        <v>12</v>
      </c>
      <c r="P15" s="180">
        <f t="shared" si="8"/>
        <v>1</v>
      </c>
      <c r="Q15" s="181">
        <f t="shared" si="9"/>
        <v>12</v>
      </c>
      <c r="R15" s="182">
        <f t="shared" si="10"/>
        <v>11</v>
      </c>
      <c r="S15" s="182">
        <f t="shared" si="11"/>
        <v>0</v>
      </c>
      <c r="T15" s="183">
        <f t="shared" si="12"/>
        <v>11</v>
      </c>
      <c r="U15" s="184">
        <f t="shared" si="13"/>
        <v>0</v>
      </c>
      <c r="V15" s="185">
        <f>IF(R15=0,0,VLOOKUP(R15,FREQUENCIAS!$1:$1048576,(IF(($A15=FREQUENCIAS!$H$1),8,"ERRO")),FREQUENCIAS!$1:$1048576))</f>
        <v>0.28868100000000002</v>
      </c>
      <c r="W15" s="185">
        <f>IF(S15=0,0,VLOOKUP(S15,FREQUENCIAS!$1:$1048576,(IF(($A15=FREQUENCIAS!$H$1),8,"ERRO")),FREQUENCIAS!$1:$1048576))</f>
        <v>0</v>
      </c>
      <c r="X15" s="185"/>
      <c r="Y15" s="185"/>
      <c r="Z15" s="185"/>
      <c r="AA15" s="216">
        <f t="shared" si="18"/>
        <v>1</v>
      </c>
      <c r="AB15" s="216">
        <f t="shared" si="14"/>
        <v>1</v>
      </c>
      <c r="AC15" s="216">
        <f t="shared" si="15"/>
        <v>2</v>
      </c>
      <c r="AD15" s="176"/>
      <c r="AE15" s="177">
        <f t="shared" si="16"/>
        <v>0</v>
      </c>
      <c r="AF15" s="176"/>
      <c r="AG15" s="175" t="str">
        <f t="shared" si="17"/>
        <v>INCLUSÃO</v>
      </c>
    </row>
    <row r="16" spans="1:35" ht="17.25" thickTop="1" thickBot="1" x14ac:dyDescent="0.3">
      <c r="A16" s="178" t="s">
        <v>155</v>
      </c>
      <c r="B16" s="214">
        <f>'DADOS FINAIS'!B16</f>
        <v>15</v>
      </c>
      <c r="C16" s="215">
        <f>'DADOS FINAIS'!C16</f>
        <v>20</v>
      </c>
      <c r="D16" s="214">
        <f>'DADOS FINAIS'!D16</f>
        <v>15</v>
      </c>
      <c r="E16" s="215">
        <f>'DADOS FINAIS'!E16</f>
        <v>18</v>
      </c>
      <c r="F16" s="214">
        <f>'DADOS FINAIS'!F16</f>
        <v>14</v>
      </c>
      <c r="G16" s="215">
        <f>'DADOS FINAIS'!G16</f>
        <v>18</v>
      </c>
      <c r="H16" s="179">
        <f t="shared" si="0"/>
        <v>15</v>
      </c>
      <c r="I16" s="179">
        <f t="shared" si="1"/>
        <v>20</v>
      </c>
      <c r="J16" s="179">
        <f t="shared" si="2"/>
        <v>15</v>
      </c>
      <c r="K16" s="179">
        <f t="shared" si="3"/>
        <v>18</v>
      </c>
      <c r="L16" s="179">
        <f t="shared" si="4"/>
        <v>14</v>
      </c>
      <c r="M16" s="179">
        <f t="shared" si="5"/>
        <v>18</v>
      </c>
      <c r="N16" s="180">
        <f t="shared" si="6"/>
        <v>15</v>
      </c>
      <c r="O16" s="180">
        <f t="shared" si="7"/>
        <v>0</v>
      </c>
      <c r="P16" s="180">
        <f t="shared" si="8"/>
        <v>1</v>
      </c>
      <c r="Q16" s="181">
        <f t="shared" si="9"/>
        <v>15</v>
      </c>
      <c r="R16" s="182">
        <f t="shared" si="10"/>
        <v>18</v>
      </c>
      <c r="S16" s="182">
        <f t="shared" si="11"/>
        <v>0</v>
      </c>
      <c r="T16" s="183">
        <f t="shared" si="12"/>
        <v>18</v>
      </c>
      <c r="U16" s="184">
        <f t="shared" si="13"/>
        <v>0</v>
      </c>
      <c r="V16" s="185">
        <f>IF(R16=0,0,VLOOKUP(R16,FREQUENCIAS!$1:$1048576,(IF(($A16=FREQUENCIAS!$I$1),9,"ERRO")),FREQUENCIAS!$1:$1048576))</f>
        <v>7.7560000000000004E-2</v>
      </c>
      <c r="W16" s="185">
        <f>IF(S16=0,0,VLOOKUP(S16,FREQUENCIAS!$1:$1048576,(IF(($A16=FREQUENCIAS!$I$1),9,"ERRO")),FREQUENCIAS!$1:$1048576))</f>
        <v>0</v>
      </c>
      <c r="X16" s="185"/>
      <c r="Y16" s="185"/>
      <c r="Z16" s="185"/>
      <c r="AA16" s="216">
        <f t="shared" si="18"/>
        <v>1</v>
      </c>
      <c r="AB16" s="216">
        <f t="shared" si="14"/>
        <v>0</v>
      </c>
      <c r="AC16" s="216">
        <f t="shared" si="15"/>
        <v>1</v>
      </c>
      <c r="AD16" s="176"/>
      <c r="AE16" s="177">
        <f t="shared" si="16"/>
        <v>0</v>
      </c>
      <c r="AF16" s="176"/>
      <c r="AG16" s="175" t="str">
        <f t="shared" si="17"/>
        <v>INCLUSÃO</v>
      </c>
    </row>
    <row r="17" spans="1:35" ht="17.25" thickTop="1" thickBot="1" x14ac:dyDescent="0.3">
      <c r="A17" s="178" t="s">
        <v>51</v>
      </c>
      <c r="B17" s="214">
        <f>'DADOS FINAIS'!B17</f>
        <v>20</v>
      </c>
      <c r="C17" s="215">
        <f>'DADOS FINAIS'!C17</f>
        <v>22</v>
      </c>
      <c r="D17" s="214">
        <f>'DADOS FINAIS'!D17</f>
        <v>17</v>
      </c>
      <c r="E17" s="215">
        <f>'DADOS FINAIS'!E17</f>
        <v>20</v>
      </c>
      <c r="F17" s="214">
        <f>'DADOS FINAIS'!F17</f>
        <v>17</v>
      </c>
      <c r="G17" s="215">
        <f>'DADOS FINAIS'!G17</f>
        <v>17</v>
      </c>
      <c r="H17" s="179">
        <f t="shared" si="0"/>
        <v>20</v>
      </c>
      <c r="I17" s="179">
        <f t="shared" si="1"/>
        <v>22</v>
      </c>
      <c r="J17" s="179">
        <f t="shared" si="2"/>
        <v>17</v>
      </c>
      <c r="K17" s="179">
        <f t="shared" si="3"/>
        <v>20</v>
      </c>
      <c r="L17" s="179">
        <f t="shared" si="4"/>
        <v>17</v>
      </c>
      <c r="M17" s="179">
        <f t="shared" si="5"/>
        <v>17</v>
      </c>
      <c r="N17" s="180">
        <f t="shared" si="6"/>
        <v>0</v>
      </c>
      <c r="O17" s="180">
        <f t="shared" si="7"/>
        <v>20</v>
      </c>
      <c r="P17" s="180">
        <f t="shared" si="8"/>
        <v>1</v>
      </c>
      <c r="Q17" s="181">
        <f t="shared" si="9"/>
        <v>20</v>
      </c>
      <c r="R17" s="182">
        <f t="shared" si="10"/>
        <v>17</v>
      </c>
      <c r="S17" s="182">
        <f t="shared" si="11"/>
        <v>0</v>
      </c>
      <c r="T17" s="183">
        <f t="shared" si="12"/>
        <v>17</v>
      </c>
      <c r="U17" s="184">
        <f t="shared" si="13"/>
        <v>0</v>
      </c>
      <c r="V17" s="185">
        <f>IF(R17=0,0,VLOOKUP(R17,FREQUENCIAS!$1:$1048576,(IF(($A17=FREQUENCIAS!$J$1),10,"ERRO")),FREQUENCIAS!$1:$1048576))</f>
        <v>0.2077</v>
      </c>
      <c r="W17" s="185">
        <f>IF(S17=0,0,VLOOKUP(S17,FREQUENCIAS!$1:$1048576,(IF(($A17=FREQUENCIAS!$J$1),10,"ERRO")),FREQUENCIAS!$1:$1048576))</f>
        <v>0</v>
      </c>
      <c r="X17" s="185"/>
      <c r="Y17" s="185"/>
      <c r="Z17" s="185"/>
      <c r="AA17" s="216">
        <f t="shared" si="18"/>
        <v>1</v>
      </c>
      <c r="AB17" s="216">
        <f t="shared" si="14"/>
        <v>0</v>
      </c>
      <c r="AC17" s="216">
        <f t="shared" si="15"/>
        <v>1</v>
      </c>
      <c r="AD17" s="176" t="s">
        <v>173</v>
      </c>
      <c r="AE17" s="177">
        <f t="shared" si="16"/>
        <v>0</v>
      </c>
      <c r="AF17" s="176"/>
      <c r="AG17" s="175" t="str">
        <f t="shared" si="17"/>
        <v>INCLUSÃO</v>
      </c>
    </row>
    <row r="18" spans="1:35" ht="17.25" thickTop="1" thickBot="1" x14ac:dyDescent="0.3">
      <c r="A18" s="178" t="s">
        <v>132</v>
      </c>
      <c r="B18" s="214">
        <f>'DADOS FINAIS'!B18</f>
        <v>10</v>
      </c>
      <c r="C18" s="215">
        <f>'DADOS FINAIS'!C18</f>
        <v>11</v>
      </c>
      <c r="D18" s="214">
        <f>'DADOS FINAIS'!D18</f>
        <v>10</v>
      </c>
      <c r="E18" s="215">
        <f>'DADOS FINAIS'!E18</f>
        <v>10</v>
      </c>
      <c r="F18" s="214">
        <f>'DADOS FINAIS'!F18</f>
        <v>10</v>
      </c>
      <c r="G18" s="215">
        <f>'DADOS FINAIS'!G18</f>
        <v>10</v>
      </c>
      <c r="H18" s="179">
        <f t="shared" si="0"/>
        <v>10</v>
      </c>
      <c r="I18" s="179">
        <f t="shared" si="1"/>
        <v>11</v>
      </c>
      <c r="J18" s="179">
        <f t="shared" si="2"/>
        <v>10</v>
      </c>
      <c r="K18" s="179">
        <f t="shared" si="3"/>
        <v>10</v>
      </c>
      <c r="L18" s="179">
        <f t="shared" si="4"/>
        <v>10</v>
      </c>
      <c r="M18" s="179">
        <f t="shared" si="5"/>
        <v>10</v>
      </c>
      <c r="N18" s="180">
        <f t="shared" si="6"/>
        <v>10</v>
      </c>
      <c r="O18" s="180">
        <f t="shared" si="7"/>
        <v>10</v>
      </c>
      <c r="P18" s="180">
        <f t="shared" si="8"/>
        <v>0</v>
      </c>
      <c r="Q18" s="181">
        <f t="shared" si="9"/>
        <v>10</v>
      </c>
      <c r="R18" s="182">
        <f t="shared" si="10"/>
        <v>10</v>
      </c>
      <c r="S18" s="182">
        <f t="shared" si="11"/>
        <v>0</v>
      </c>
      <c r="T18" s="183">
        <f t="shared" si="12"/>
        <v>10</v>
      </c>
      <c r="U18" s="184">
        <f t="shared" si="13"/>
        <v>0</v>
      </c>
      <c r="V18" s="185">
        <f>IF(R18=0,0,VLOOKUP(R18,FREQUENCIAS!$1:$1048576,(IF(($A18=FREQUENCIAS!$K$1),11,"ERRO")),FREQUENCIAS!$1:$1048576))</f>
        <v>0.262376</v>
      </c>
      <c r="W18" s="185">
        <f>IF(S18=0,0,VLOOKUP(S18,FREQUENCIAS!$1:$1048576,(IF(($A18=FREQUENCIAS!$K$1),11,"ERRO")),FREQUENCIAS!$1:$1048576))</f>
        <v>0</v>
      </c>
      <c r="X18" s="185"/>
      <c r="Y18" s="185"/>
      <c r="Z18" s="185"/>
      <c r="AA18" s="216">
        <f t="shared" si="18"/>
        <v>1</v>
      </c>
      <c r="AB18" s="216">
        <f t="shared" si="14"/>
        <v>1</v>
      </c>
      <c r="AC18" s="216">
        <f t="shared" si="15"/>
        <v>2</v>
      </c>
      <c r="AD18" s="176"/>
      <c r="AE18" s="177">
        <f t="shared" si="16"/>
        <v>0</v>
      </c>
      <c r="AF18" s="176"/>
      <c r="AG18" s="175" t="str">
        <f t="shared" si="17"/>
        <v>INCLUSÃO</v>
      </c>
    </row>
    <row r="19" spans="1:35" ht="17.25" thickTop="1" thickBot="1" x14ac:dyDescent="0.3">
      <c r="A19" s="178" t="s">
        <v>227</v>
      </c>
      <c r="B19" s="214">
        <f>'DADOS FINAIS'!B19</f>
        <v>8</v>
      </c>
      <c r="C19" s="215">
        <f>'DADOS FINAIS'!C19</f>
        <v>11</v>
      </c>
      <c r="D19" s="214">
        <f>'DADOS FINAIS'!D19</f>
        <v>11</v>
      </c>
      <c r="E19" s="215">
        <f>'DADOS FINAIS'!E19</f>
        <v>11</v>
      </c>
      <c r="F19" s="214">
        <f>'DADOS FINAIS'!F19</f>
        <v>11</v>
      </c>
      <c r="G19" s="215">
        <f>'DADOS FINAIS'!G19</f>
        <v>12</v>
      </c>
      <c r="H19" s="179">
        <f t="shared" si="0"/>
        <v>8</v>
      </c>
      <c r="I19" s="179">
        <f t="shared" si="1"/>
        <v>11</v>
      </c>
      <c r="J19" s="179">
        <f t="shared" si="2"/>
        <v>11</v>
      </c>
      <c r="K19" s="179">
        <f t="shared" si="3"/>
        <v>11</v>
      </c>
      <c r="L19" s="179">
        <f t="shared" si="4"/>
        <v>11</v>
      </c>
      <c r="M19" s="179">
        <f t="shared" si="5"/>
        <v>12</v>
      </c>
      <c r="N19" s="180">
        <f t="shared" si="6"/>
        <v>11</v>
      </c>
      <c r="O19" s="180">
        <f t="shared" si="7"/>
        <v>11</v>
      </c>
      <c r="P19" s="180">
        <f t="shared" si="8"/>
        <v>0</v>
      </c>
      <c r="Q19" s="181">
        <f t="shared" si="9"/>
        <v>11</v>
      </c>
      <c r="R19" s="182">
        <f t="shared" si="10"/>
        <v>11</v>
      </c>
      <c r="S19" s="182">
        <f t="shared" si="11"/>
        <v>0</v>
      </c>
      <c r="T19" s="183">
        <f t="shared" si="12"/>
        <v>11</v>
      </c>
      <c r="U19" s="184">
        <f t="shared" si="13"/>
        <v>0</v>
      </c>
      <c r="V19" s="185">
        <f>IF(R19=0,0,VLOOKUP(R19,FREQUENCIAS!$1:$1048576,(IF(($A19=FREQUENCIAS!$L$1),12,"ERRO")),FREQUENCIAS!$1:$1048576))</f>
        <v>0.15679799999999999</v>
      </c>
      <c r="W19" s="185">
        <f>IF(S19=0,0,VLOOKUP(S19,FREQUENCIAS!$1:$1048576,(IF(($A19=FREQUENCIAS!$L$1),12,"ERRO")),FREQUENCIAS!$1:$1048576))</f>
        <v>0</v>
      </c>
      <c r="X19" s="185"/>
      <c r="Y19" s="185"/>
      <c r="Z19" s="185"/>
      <c r="AA19" s="216">
        <f t="shared" si="18"/>
        <v>1</v>
      </c>
      <c r="AB19" s="216">
        <f t="shared" si="14"/>
        <v>1</v>
      </c>
      <c r="AC19" s="216">
        <f t="shared" si="15"/>
        <v>1</v>
      </c>
      <c r="AD19" s="176" t="s">
        <v>59</v>
      </c>
      <c r="AE19" s="177">
        <f t="shared" si="16"/>
        <v>0</v>
      </c>
      <c r="AF19" s="176"/>
      <c r="AG19" s="175" t="str">
        <f t="shared" si="17"/>
        <v>INCLUSÃO</v>
      </c>
      <c r="AI19" s="148" t="s">
        <v>175</v>
      </c>
    </row>
    <row r="20" spans="1:35" ht="17.25" thickTop="1" thickBot="1" x14ac:dyDescent="0.3">
      <c r="A20" s="178" t="s">
        <v>144</v>
      </c>
      <c r="B20" s="214">
        <f>'DADOS FINAIS'!B20</f>
        <v>6</v>
      </c>
      <c r="C20" s="215">
        <f>'DADOS FINAIS'!C20</f>
        <v>7</v>
      </c>
      <c r="D20" s="214">
        <f>'DADOS FINAIS'!D20</f>
        <v>6</v>
      </c>
      <c r="E20" s="215">
        <f>'DADOS FINAIS'!E20</f>
        <v>6</v>
      </c>
      <c r="F20" s="214">
        <f>'DADOS FINAIS'!F20</f>
        <v>6</v>
      </c>
      <c r="G20" s="215">
        <f>'DADOS FINAIS'!G20</f>
        <v>6</v>
      </c>
      <c r="H20" s="179">
        <f t="shared" si="0"/>
        <v>6</v>
      </c>
      <c r="I20" s="179">
        <f t="shared" si="1"/>
        <v>7</v>
      </c>
      <c r="J20" s="179">
        <f t="shared" si="2"/>
        <v>6</v>
      </c>
      <c r="K20" s="179">
        <f t="shared" si="3"/>
        <v>6</v>
      </c>
      <c r="L20" s="179">
        <f t="shared" si="4"/>
        <v>6</v>
      </c>
      <c r="M20" s="179">
        <f t="shared" si="5"/>
        <v>6</v>
      </c>
      <c r="N20" s="180">
        <f t="shared" si="6"/>
        <v>6</v>
      </c>
      <c r="O20" s="180">
        <f t="shared" si="7"/>
        <v>6</v>
      </c>
      <c r="P20" s="180">
        <f t="shared" si="8"/>
        <v>0</v>
      </c>
      <c r="Q20" s="181">
        <f t="shared" si="9"/>
        <v>6</v>
      </c>
      <c r="R20" s="182">
        <f t="shared" si="10"/>
        <v>6</v>
      </c>
      <c r="S20" s="182">
        <f t="shared" si="11"/>
        <v>0</v>
      </c>
      <c r="T20" s="183">
        <f t="shared" si="12"/>
        <v>6</v>
      </c>
      <c r="U20" s="184">
        <f t="shared" si="13"/>
        <v>0</v>
      </c>
      <c r="V20" s="185">
        <f>IF(R20=0,0,VLOOKUP(R20,FREQUENCIAS!$1:$1048576,(IF(($A20=FREQUENCIAS!$M$1),13,"ERRO")),FREQUENCIAS!$1:$1048576))</f>
        <v>0.21123800000000001</v>
      </c>
      <c r="W20" s="185">
        <f>IF(S20=0,0,VLOOKUP(S20,FREQUENCIAS!$1:$1048576,(IF(($A20=FREQUENCIAS!$M$1),13,"ERRO")),FREQUENCIAS!$1:$1048576))</f>
        <v>0</v>
      </c>
      <c r="X20" s="185"/>
      <c r="Y20" s="185"/>
      <c r="Z20" s="185"/>
      <c r="AA20" s="216">
        <f t="shared" si="18"/>
        <v>1</v>
      </c>
      <c r="AB20" s="216">
        <f t="shared" si="14"/>
        <v>1</v>
      </c>
      <c r="AC20" s="216">
        <f t="shared" si="15"/>
        <v>2</v>
      </c>
      <c r="AD20" s="176"/>
      <c r="AE20" s="177">
        <f t="shared" si="16"/>
        <v>0</v>
      </c>
      <c r="AF20" s="176"/>
      <c r="AG20" s="175" t="str">
        <f t="shared" si="17"/>
        <v>INCLUSÃO</v>
      </c>
    </row>
    <row r="21" spans="1:35" ht="17.25" thickTop="1" thickBot="1" x14ac:dyDescent="0.3">
      <c r="A21" s="178" t="s">
        <v>179</v>
      </c>
      <c r="B21" s="214">
        <f>'DADOS FINAIS'!B21</f>
        <v>15</v>
      </c>
      <c r="C21" s="215">
        <f>'DADOS FINAIS'!C21</f>
        <v>17</v>
      </c>
      <c r="D21" s="214">
        <f>'DADOS FINAIS'!D21</f>
        <v>15</v>
      </c>
      <c r="E21" s="215">
        <f>'DADOS FINAIS'!E21</f>
        <v>17</v>
      </c>
      <c r="F21" s="214">
        <f>'DADOS FINAIS'!F21</f>
        <v>17</v>
      </c>
      <c r="G21" s="215">
        <f>'DADOS FINAIS'!G21</f>
        <v>17</v>
      </c>
      <c r="H21" s="179">
        <f t="shared" si="0"/>
        <v>15</v>
      </c>
      <c r="I21" s="179">
        <f t="shared" si="1"/>
        <v>17</v>
      </c>
      <c r="J21" s="179">
        <f t="shared" si="2"/>
        <v>15</v>
      </c>
      <c r="K21" s="179">
        <f t="shared" si="3"/>
        <v>17</v>
      </c>
      <c r="L21" s="179">
        <f t="shared" si="4"/>
        <v>17</v>
      </c>
      <c r="M21" s="179">
        <f t="shared" si="5"/>
        <v>17</v>
      </c>
      <c r="N21" s="180">
        <f t="shared" si="6"/>
        <v>15</v>
      </c>
      <c r="O21" s="180">
        <f t="shared" si="7"/>
        <v>17</v>
      </c>
      <c r="P21" s="180">
        <f t="shared" si="8"/>
        <v>0</v>
      </c>
      <c r="Q21" s="181" t="str">
        <f t="shared" si="9"/>
        <v>NÃO DEF</v>
      </c>
      <c r="R21" s="182">
        <f t="shared" si="10"/>
        <v>15</v>
      </c>
      <c r="S21" s="182">
        <f t="shared" si="11"/>
        <v>17</v>
      </c>
      <c r="T21" s="183">
        <f t="shared" si="12"/>
        <v>0</v>
      </c>
      <c r="U21" s="184">
        <f t="shared" si="13"/>
        <v>17</v>
      </c>
      <c r="V21" s="185">
        <f>IF(R21=0,0,VLOOKUP(R21,FREQUENCIAS!$1:$1048576,(IF(($A21=FREQUENCIAS!$N$1),14,"ERRO")),FREQUENCIAS!$1:$1048576))</f>
        <v>0.13799400000000001</v>
      </c>
      <c r="W21" s="185">
        <f>IF(S21=0,0,VLOOKUP(S21,FREQUENCIAS!$1:$1048576,(IF(($A21=FREQUENCIAS!$N$1),14,"ERRO")),FREQUENCIAS!$1:$1048576))</f>
        <v>0.25484400000000001</v>
      </c>
      <c r="X21" s="185"/>
      <c r="Y21" s="185"/>
      <c r="Z21" s="185"/>
      <c r="AA21" s="216">
        <f t="shared" si="18"/>
        <v>2</v>
      </c>
      <c r="AB21" s="216">
        <f t="shared" si="14"/>
        <v>1</v>
      </c>
      <c r="AC21" s="216">
        <f t="shared" si="15"/>
        <v>1</v>
      </c>
      <c r="AD21" s="176"/>
      <c r="AE21" s="177">
        <f t="shared" si="16"/>
        <v>1</v>
      </c>
      <c r="AF21" s="176"/>
      <c r="AG21" s="175" t="str">
        <f t="shared" si="17"/>
        <v>INCLUSÃO</v>
      </c>
    </row>
    <row r="22" spans="1:35" ht="17.25" thickTop="1" thickBot="1" x14ac:dyDescent="0.3">
      <c r="A22" s="178" t="s">
        <v>154</v>
      </c>
      <c r="B22" s="214">
        <f>'DADOS FINAIS'!B22</f>
        <v>31.2</v>
      </c>
      <c r="C22" s="215">
        <f>'DADOS FINAIS'!C22</f>
        <v>33.200000000000003</v>
      </c>
      <c r="D22" s="214">
        <f>'DADOS FINAIS'!D22</f>
        <v>28</v>
      </c>
      <c r="E22" s="215">
        <f>'DADOS FINAIS'!E22</f>
        <v>31.2</v>
      </c>
      <c r="F22" s="214">
        <f>'DADOS FINAIS'!F22</f>
        <v>28</v>
      </c>
      <c r="G22" s="215">
        <f>'DADOS FINAIS'!G22</f>
        <v>30</v>
      </c>
      <c r="H22" s="179">
        <f t="shared" si="0"/>
        <v>31.2</v>
      </c>
      <c r="I22" s="179">
        <f t="shared" si="1"/>
        <v>33.200000000000003</v>
      </c>
      <c r="J22" s="179">
        <f t="shared" si="2"/>
        <v>28</v>
      </c>
      <c r="K22" s="179">
        <f t="shared" si="3"/>
        <v>31.2</v>
      </c>
      <c r="L22" s="179">
        <f t="shared" si="4"/>
        <v>28</v>
      </c>
      <c r="M22" s="179">
        <f t="shared" si="5"/>
        <v>30</v>
      </c>
      <c r="N22" s="180">
        <f t="shared" si="6"/>
        <v>0</v>
      </c>
      <c r="O22" s="180">
        <f t="shared" si="7"/>
        <v>31.2</v>
      </c>
      <c r="P22" s="180">
        <f t="shared" si="8"/>
        <v>1</v>
      </c>
      <c r="Q22" s="181">
        <f t="shared" si="9"/>
        <v>31.2</v>
      </c>
      <c r="R22" s="182">
        <f t="shared" si="10"/>
        <v>28.000000000000004</v>
      </c>
      <c r="S22" s="182">
        <f t="shared" si="11"/>
        <v>0</v>
      </c>
      <c r="T22" s="183">
        <f t="shared" si="12"/>
        <v>28.000000000000004</v>
      </c>
      <c r="U22" s="184">
        <f t="shared" si="13"/>
        <v>0</v>
      </c>
      <c r="V22" s="185" t="e">
        <f>IF(R22=0,0,VLOOKUP(R22,FREQUENCIAS!$1:$1048576,(IF(($A22=FREQUENCIAS!$O$1),15,"ERRO")),FREQUENCIAS!$1:$1048576))</f>
        <v>#N/A</v>
      </c>
      <c r="W22" s="185">
        <f>IF(S22=0,0,VLOOKUP(S22,FREQUENCIAS!$1:$1048576,(IF(($A22=FREQUENCIAS!$O$1),15,"ERRO")),FREQUENCIAS!$1:$1048576))</f>
        <v>0</v>
      </c>
      <c r="X22" s="185"/>
      <c r="Y22" s="185"/>
      <c r="Z22" s="185"/>
      <c r="AA22" s="216">
        <f t="shared" si="18"/>
        <v>1</v>
      </c>
      <c r="AB22" s="216">
        <f t="shared" si="14"/>
        <v>0</v>
      </c>
      <c r="AC22" s="216">
        <f t="shared" si="15"/>
        <v>1</v>
      </c>
      <c r="AD22" s="176"/>
      <c r="AE22" s="177">
        <f t="shared" si="16"/>
        <v>0</v>
      </c>
      <c r="AF22" s="176"/>
      <c r="AG22" s="175" t="str">
        <f t="shared" si="17"/>
        <v>INCLUSÃO</v>
      </c>
    </row>
    <row r="23" spans="1:35" ht="17.25" thickTop="1" thickBot="1" x14ac:dyDescent="0.3">
      <c r="A23" s="178" t="s">
        <v>158</v>
      </c>
      <c r="B23" s="214">
        <f>'DADOS FINAIS'!B23</f>
        <v>8</v>
      </c>
      <c r="C23" s="215">
        <f>'DADOS FINAIS'!C23</f>
        <v>10</v>
      </c>
      <c r="D23" s="214">
        <f>'DADOS FINAIS'!D23</f>
        <v>10</v>
      </c>
      <c r="E23" s="215">
        <f>'DADOS FINAIS'!E23</f>
        <v>10</v>
      </c>
      <c r="F23" s="214">
        <f>'DADOS FINAIS'!F23</f>
        <v>10</v>
      </c>
      <c r="G23" s="215">
        <f>'DADOS FINAIS'!G23</f>
        <v>10</v>
      </c>
      <c r="H23" s="179">
        <f t="shared" si="0"/>
        <v>8</v>
      </c>
      <c r="I23" s="179">
        <f t="shared" si="1"/>
        <v>10</v>
      </c>
      <c r="J23" s="179">
        <f t="shared" si="2"/>
        <v>10</v>
      </c>
      <c r="K23" s="179">
        <f t="shared" si="3"/>
        <v>10</v>
      </c>
      <c r="L23" s="179">
        <f t="shared" si="4"/>
        <v>10</v>
      </c>
      <c r="M23" s="179">
        <f t="shared" si="5"/>
        <v>10</v>
      </c>
      <c r="N23" s="180">
        <f t="shared" si="6"/>
        <v>10</v>
      </c>
      <c r="O23" s="180">
        <f t="shared" si="7"/>
        <v>10</v>
      </c>
      <c r="P23" s="180">
        <f t="shared" si="8"/>
        <v>0</v>
      </c>
      <c r="Q23" s="181">
        <f t="shared" si="9"/>
        <v>10</v>
      </c>
      <c r="R23" s="182">
        <f t="shared" si="10"/>
        <v>10</v>
      </c>
      <c r="S23" s="182">
        <f t="shared" si="11"/>
        <v>0</v>
      </c>
      <c r="T23" s="183">
        <f t="shared" si="12"/>
        <v>10</v>
      </c>
      <c r="U23" s="184">
        <f t="shared" si="13"/>
        <v>0</v>
      </c>
      <c r="V23" s="185">
        <f>IF(R23=0,0,VLOOKUP(R23,FREQUENCIAS!$1:$1048576,(IF(($A23=FREQUENCIAS!$P$1),16,"ERRO")),FREQUENCIAS!$1:$1048576))</f>
        <v>0.275034</v>
      </c>
      <c r="W23" s="185">
        <f>IF(S23=0,0,VLOOKUP(S23,FREQUENCIAS!$1:$1048576,(IF(($A23=FREQUENCIAS!$P$1),16,"ERRO")),FREQUENCIAS!$1:$1048576))</f>
        <v>0</v>
      </c>
      <c r="X23" s="185"/>
      <c r="Y23" s="185"/>
      <c r="Z23" s="185"/>
      <c r="AA23" s="216">
        <f t="shared" si="18"/>
        <v>1</v>
      </c>
      <c r="AB23" s="216">
        <f t="shared" si="14"/>
        <v>1</v>
      </c>
      <c r="AC23" s="216">
        <f t="shared" si="15"/>
        <v>2</v>
      </c>
      <c r="AD23" s="176" t="s">
        <v>173</v>
      </c>
      <c r="AE23" s="177">
        <f t="shared" si="16"/>
        <v>0</v>
      </c>
      <c r="AF23" s="176"/>
      <c r="AG23" s="175" t="str">
        <f t="shared" si="17"/>
        <v>INCLUSÃO</v>
      </c>
    </row>
    <row r="24" spans="1:35" ht="17.25" thickTop="1" thickBot="1" x14ac:dyDescent="0.3">
      <c r="A24" s="178" t="s">
        <v>156</v>
      </c>
      <c r="B24" s="214">
        <f>'DADOS FINAIS'!B24</f>
        <v>9</v>
      </c>
      <c r="C24" s="215">
        <f>'DADOS FINAIS'!C24</f>
        <v>13</v>
      </c>
      <c r="D24" s="214">
        <f>'DADOS FINAIS'!D24</f>
        <v>9</v>
      </c>
      <c r="E24" s="215">
        <f>'DADOS FINAIS'!E24</f>
        <v>11</v>
      </c>
      <c r="F24" s="214">
        <f>'DADOS FINAIS'!F24</f>
        <v>11</v>
      </c>
      <c r="G24" s="215">
        <f>'DADOS FINAIS'!G24</f>
        <v>11</v>
      </c>
      <c r="H24" s="179">
        <f t="shared" si="0"/>
        <v>9</v>
      </c>
      <c r="I24" s="179">
        <f t="shared" si="1"/>
        <v>13</v>
      </c>
      <c r="J24" s="179">
        <f t="shared" si="2"/>
        <v>9</v>
      </c>
      <c r="K24" s="179">
        <f t="shared" si="3"/>
        <v>11</v>
      </c>
      <c r="L24" s="179">
        <f t="shared" si="4"/>
        <v>11</v>
      </c>
      <c r="M24" s="179">
        <f t="shared" si="5"/>
        <v>11</v>
      </c>
      <c r="N24" s="180">
        <f t="shared" si="6"/>
        <v>9</v>
      </c>
      <c r="O24" s="180">
        <f t="shared" si="7"/>
        <v>0</v>
      </c>
      <c r="P24" s="180">
        <f t="shared" si="8"/>
        <v>1</v>
      </c>
      <c r="Q24" s="181">
        <f t="shared" si="9"/>
        <v>9</v>
      </c>
      <c r="R24" s="182">
        <f t="shared" si="10"/>
        <v>11</v>
      </c>
      <c r="S24" s="182">
        <f t="shared" si="11"/>
        <v>0</v>
      </c>
      <c r="T24" s="183">
        <f t="shared" si="12"/>
        <v>11</v>
      </c>
      <c r="U24" s="184">
        <f t="shared" si="13"/>
        <v>0</v>
      </c>
      <c r="V24" s="185">
        <f>IF(R24=0,0,VLOOKUP(R24,FREQUENCIAS!$1:$1048576,(IF(($A24=FREQUENCIAS!$Q$1),17,"ERRO")),FREQUENCIAS!$1:$1048576))</f>
        <v>0.32906299999999999</v>
      </c>
      <c r="W24" s="185">
        <f>IF(S24=0,0,VLOOKUP(S24,FREQUENCIAS!$1:$1048576,(IF(($A24=FREQUENCIAS!$Q$1),17,"ERRO")),FREQUENCIAS!$1:$1048576))</f>
        <v>0</v>
      </c>
      <c r="X24" s="185"/>
      <c r="Y24" s="185"/>
      <c r="Z24" s="185"/>
      <c r="AA24" s="216">
        <f t="shared" si="18"/>
        <v>1</v>
      </c>
      <c r="AB24" s="216">
        <f t="shared" si="14"/>
        <v>0</v>
      </c>
      <c r="AC24" s="216">
        <f t="shared" si="15"/>
        <v>1</v>
      </c>
      <c r="AD24" s="176" t="s">
        <v>173</v>
      </c>
      <c r="AE24" s="177">
        <f t="shared" si="16"/>
        <v>0</v>
      </c>
      <c r="AF24" s="176"/>
      <c r="AG24" s="175" t="str">
        <f t="shared" si="17"/>
        <v>INCLUSÃO</v>
      </c>
    </row>
    <row r="25" spans="1:35" ht="17.25" thickTop="1" thickBot="1" x14ac:dyDescent="0.3">
      <c r="A25" s="178" t="s">
        <v>142</v>
      </c>
      <c r="B25" s="214">
        <f>'DADOS FINAIS'!B25</f>
        <v>11</v>
      </c>
      <c r="C25" s="215">
        <f>'DADOS FINAIS'!C25</f>
        <v>11</v>
      </c>
      <c r="D25" s="214">
        <f>'DADOS FINAIS'!D25</f>
        <v>8</v>
      </c>
      <c r="E25" s="215">
        <f>'DADOS FINAIS'!E25</f>
        <v>11</v>
      </c>
      <c r="F25" s="214">
        <f>'DADOS FINAIS'!F25</f>
        <v>7</v>
      </c>
      <c r="G25" s="215">
        <f>'DADOS FINAIS'!G25</f>
        <v>8</v>
      </c>
      <c r="H25" s="179">
        <f t="shared" si="0"/>
        <v>11</v>
      </c>
      <c r="I25" s="179">
        <f t="shared" si="1"/>
        <v>11</v>
      </c>
      <c r="J25" s="179">
        <f t="shared" si="2"/>
        <v>8</v>
      </c>
      <c r="K25" s="179">
        <f t="shared" si="3"/>
        <v>11</v>
      </c>
      <c r="L25" s="179">
        <f t="shared" si="4"/>
        <v>7</v>
      </c>
      <c r="M25" s="179">
        <f t="shared" si="5"/>
        <v>8</v>
      </c>
      <c r="N25" s="180">
        <f t="shared" si="6"/>
        <v>0</v>
      </c>
      <c r="O25" s="180">
        <f t="shared" si="7"/>
        <v>11</v>
      </c>
      <c r="P25" s="180">
        <f t="shared" si="8"/>
        <v>1</v>
      </c>
      <c r="Q25" s="181">
        <f t="shared" si="9"/>
        <v>11</v>
      </c>
      <c r="R25" s="182">
        <f t="shared" si="10"/>
        <v>8</v>
      </c>
      <c r="S25" s="182">
        <f t="shared" si="11"/>
        <v>0</v>
      </c>
      <c r="T25" s="183">
        <f t="shared" si="12"/>
        <v>8</v>
      </c>
      <c r="U25" s="184">
        <f t="shared" si="13"/>
        <v>0</v>
      </c>
      <c r="V25" s="185">
        <f>IF(R25=0,0,VLOOKUP(R25,FREQUENCIAS!$1:$1048576,(IF(($A25=FREQUENCIAS!$R$1),18,"ERRO")),FREQUENCIAS!$1:$1048576))</f>
        <v>0.45586199999999999</v>
      </c>
      <c r="W25" s="185">
        <f>IF(S25=0,0,VLOOKUP(S25,FREQUENCIAS!$1:$1048576,(IF(($A25=FREQUENCIAS!$R$1),18,"ERRO")),FREQUENCIAS!$1:$1048576))</f>
        <v>0</v>
      </c>
      <c r="X25" s="185"/>
      <c r="Y25" s="185"/>
      <c r="Z25" s="185"/>
      <c r="AA25" s="216">
        <f t="shared" si="18"/>
        <v>1</v>
      </c>
      <c r="AB25" s="216">
        <f t="shared" si="14"/>
        <v>0</v>
      </c>
      <c r="AC25" s="216">
        <f t="shared" si="15"/>
        <v>1</v>
      </c>
      <c r="AD25" s="176" t="s">
        <v>173</v>
      </c>
      <c r="AE25" s="177">
        <f t="shared" si="16"/>
        <v>0</v>
      </c>
      <c r="AF25" s="176"/>
      <c r="AG25" s="175" t="str">
        <f t="shared" si="17"/>
        <v>INCLUSÃO</v>
      </c>
    </row>
    <row r="26" spans="1:35" ht="17.25" thickTop="1" thickBot="1" x14ac:dyDescent="0.3">
      <c r="A26" s="178" t="s">
        <v>153</v>
      </c>
      <c r="B26" s="214">
        <f>'DADOS FINAIS'!B26</f>
        <v>10</v>
      </c>
      <c r="C26" s="215">
        <f>'DADOS FINAIS'!C26</f>
        <v>14</v>
      </c>
      <c r="D26" s="214">
        <f>'DADOS FINAIS'!D26</f>
        <v>10</v>
      </c>
      <c r="E26" s="215">
        <f>'DADOS FINAIS'!E26</f>
        <v>14</v>
      </c>
      <c r="F26" s="214">
        <f>'DADOS FINAIS'!F26</f>
        <v>14</v>
      </c>
      <c r="G26" s="215">
        <f>'DADOS FINAIS'!G26</f>
        <v>15</v>
      </c>
      <c r="H26" s="179">
        <f t="shared" si="0"/>
        <v>10</v>
      </c>
      <c r="I26" s="179">
        <f t="shared" si="1"/>
        <v>14</v>
      </c>
      <c r="J26" s="179">
        <f t="shared" si="2"/>
        <v>10</v>
      </c>
      <c r="K26" s="179">
        <f t="shared" si="3"/>
        <v>14</v>
      </c>
      <c r="L26" s="179">
        <f t="shared" si="4"/>
        <v>14</v>
      </c>
      <c r="M26" s="179">
        <f t="shared" si="5"/>
        <v>15</v>
      </c>
      <c r="N26" s="180">
        <f t="shared" si="6"/>
        <v>10</v>
      </c>
      <c r="O26" s="180">
        <f t="shared" si="7"/>
        <v>14</v>
      </c>
      <c r="P26" s="180">
        <f t="shared" si="8"/>
        <v>0</v>
      </c>
      <c r="Q26" s="181" t="str">
        <f t="shared" si="9"/>
        <v>NÃO DEF</v>
      </c>
      <c r="R26" s="182">
        <f t="shared" si="10"/>
        <v>10</v>
      </c>
      <c r="S26" s="182">
        <f t="shared" si="11"/>
        <v>14</v>
      </c>
      <c r="T26" s="183">
        <f t="shared" si="12"/>
        <v>0</v>
      </c>
      <c r="U26" s="184">
        <f t="shared" si="13"/>
        <v>14</v>
      </c>
      <c r="V26" s="185">
        <f>IF(R26=0,0,VLOOKUP(R26,FREQUENCIAS!$1:$1048576,(IF(($A26=FREQUENCIAS!$S$1),19,"ERRO")),FREQUENCIAS!$1:$1048576))</f>
        <v>6.8212999999999996E-2</v>
      </c>
      <c r="W26" s="185">
        <f>IF(S26=0,0,VLOOKUP(S26,FREQUENCIAS!$1:$1048576,(IF(($A26=FREQUENCIAS!$S$1),19,"ERRO")),FREQUENCIAS!$1:$1048576))</f>
        <v>0.25086999999999998</v>
      </c>
      <c r="X26" s="185"/>
      <c r="Y26" s="185"/>
      <c r="Z26" s="185"/>
      <c r="AA26" s="216">
        <f t="shared" si="18"/>
        <v>2</v>
      </c>
      <c r="AB26" s="216">
        <f t="shared" si="14"/>
        <v>1</v>
      </c>
      <c r="AC26" s="216">
        <f t="shared" si="15"/>
        <v>1</v>
      </c>
      <c r="AD26" s="176" t="s">
        <v>173</v>
      </c>
      <c r="AE26" s="177">
        <f t="shared" si="16"/>
        <v>1</v>
      </c>
      <c r="AF26" s="176"/>
      <c r="AG26" s="175" t="str">
        <f t="shared" si="17"/>
        <v>INCLUSÃO</v>
      </c>
    </row>
    <row r="27" spans="1:35" ht="17.25" thickTop="1" thickBot="1" x14ac:dyDescent="0.3">
      <c r="A27" s="178" t="s">
        <v>224</v>
      </c>
      <c r="B27" s="214">
        <f>'DADOS FINAIS'!B27</f>
        <v>17</v>
      </c>
      <c r="C27" s="215">
        <f>'DADOS FINAIS'!C27</f>
        <v>19</v>
      </c>
      <c r="D27" s="214">
        <f>'DADOS FINAIS'!D27</f>
        <v>18.3</v>
      </c>
      <c r="E27" s="215">
        <f>'DADOS FINAIS'!E27</f>
        <v>19</v>
      </c>
      <c r="F27" s="214">
        <f>'DADOS FINAIS'!F27</f>
        <v>18.3</v>
      </c>
      <c r="G27" s="215">
        <f>'DADOS FINAIS'!G27</f>
        <v>22</v>
      </c>
      <c r="H27" s="179">
        <f t="shared" si="0"/>
        <v>17</v>
      </c>
      <c r="I27" s="179">
        <f t="shared" si="1"/>
        <v>19</v>
      </c>
      <c r="J27" s="179">
        <f t="shared" si="2"/>
        <v>18.3</v>
      </c>
      <c r="K27" s="179">
        <f t="shared" si="3"/>
        <v>19</v>
      </c>
      <c r="L27" s="179">
        <f t="shared" si="4"/>
        <v>18.3</v>
      </c>
      <c r="M27" s="179">
        <f t="shared" si="5"/>
        <v>22</v>
      </c>
      <c r="N27" s="180">
        <f t="shared" si="6"/>
        <v>0</v>
      </c>
      <c r="O27" s="180">
        <f t="shared" si="7"/>
        <v>19</v>
      </c>
      <c r="P27" s="180">
        <f t="shared" si="8"/>
        <v>1</v>
      </c>
      <c r="Q27" s="181">
        <f t="shared" si="9"/>
        <v>19</v>
      </c>
      <c r="R27" s="182">
        <f t="shared" si="10"/>
        <v>18.299999999999997</v>
      </c>
      <c r="S27" s="182">
        <f t="shared" si="11"/>
        <v>0</v>
      </c>
      <c r="T27" s="183">
        <f t="shared" si="12"/>
        <v>18.299999999999997</v>
      </c>
      <c r="U27" s="184">
        <f t="shared" si="13"/>
        <v>0</v>
      </c>
      <c r="V27" s="185" t="e">
        <f>IF(R27=0,0,VLOOKUP(R27,FREQUENCIAS!$1:$1048576,(IF(($A27=FREQUENCIAS!$T$1),20,"ERRO")),FREQUENCIAS!$1:$1048576))</f>
        <v>#N/A</v>
      </c>
      <c r="W27" s="185">
        <f>IF(S27=0,0,VLOOKUP(S27,FREQUENCIAS!$1:$1048576,(IF(($A27=FREQUENCIAS!$T$1),20,"ERRO")),FREQUENCIAS!$1:$1048576))</f>
        <v>0</v>
      </c>
      <c r="X27" s="185"/>
      <c r="Y27" s="185"/>
      <c r="Z27" s="185"/>
      <c r="AA27" s="216">
        <f t="shared" si="18"/>
        <v>1</v>
      </c>
      <c r="AB27" s="216">
        <f t="shared" si="14"/>
        <v>0</v>
      </c>
      <c r="AC27" s="216">
        <f t="shared" si="15"/>
        <v>1</v>
      </c>
      <c r="AD27" s="176" t="s">
        <v>173</v>
      </c>
      <c r="AE27" s="177">
        <f t="shared" si="16"/>
        <v>0</v>
      </c>
      <c r="AF27" s="176"/>
      <c r="AG27" s="175" t="str">
        <f t="shared" si="17"/>
        <v>INCLUSÃO</v>
      </c>
    </row>
    <row r="28" spans="1:35" ht="17.25" thickTop="1" thickBot="1" x14ac:dyDescent="0.3">
      <c r="A28" s="178" t="s">
        <v>52</v>
      </c>
      <c r="B28" s="214">
        <f>'DADOS FINAIS'!B28</f>
        <v>12</v>
      </c>
      <c r="C28" s="215">
        <f>'DADOS FINAIS'!C28</f>
        <v>14</v>
      </c>
      <c r="D28" s="214">
        <f>'DADOS FINAIS'!D28</f>
        <v>14</v>
      </c>
      <c r="E28" s="215">
        <f>'DADOS FINAIS'!E28</f>
        <v>14</v>
      </c>
      <c r="F28" s="214">
        <f>'DADOS FINAIS'!F28</f>
        <v>14</v>
      </c>
      <c r="G28" s="215">
        <f>'DADOS FINAIS'!G28</f>
        <v>14</v>
      </c>
      <c r="H28" s="179">
        <f t="shared" si="0"/>
        <v>12</v>
      </c>
      <c r="I28" s="179">
        <f t="shared" si="1"/>
        <v>14</v>
      </c>
      <c r="J28" s="179">
        <f t="shared" si="2"/>
        <v>14</v>
      </c>
      <c r="K28" s="179">
        <f t="shared" si="3"/>
        <v>14</v>
      </c>
      <c r="L28" s="179">
        <f t="shared" si="4"/>
        <v>14</v>
      </c>
      <c r="M28" s="179">
        <f t="shared" si="5"/>
        <v>14</v>
      </c>
      <c r="N28" s="180">
        <f t="shared" si="6"/>
        <v>14</v>
      </c>
      <c r="O28" s="180">
        <f t="shared" si="7"/>
        <v>14</v>
      </c>
      <c r="P28" s="180">
        <f t="shared" si="8"/>
        <v>0</v>
      </c>
      <c r="Q28" s="181">
        <f t="shared" si="9"/>
        <v>14</v>
      </c>
      <c r="R28" s="182">
        <f t="shared" si="10"/>
        <v>14</v>
      </c>
      <c r="S28" s="182">
        <f t="shared" si="11"/>
        <v>0</v>
      </c>
      <c r="T28" s="183">
        <f t="shared" si="12"/>
        <v>14</v>
      </c>
      <c r="U28" s="184">
        <f t="shared" si="13"/>
        <v>0</v>
      </c>
      <c r="V28" s="185">
        <f>IF(R28=0,0,VLOOKUP(R28,FREQUENCIAS!$1:$1048576,(IF(($A28=FREQUENCIAS!$U$1),21,"ERRO")),FREQUENCIAS!$1:$1048576))</f>
        <v>0.29409999999999997</v>
      </c>
      <c r="W28" s="185">
        <f>IF(S28=0,0,VLOOKUP(S28,FREQUENCIAS!$1:$1048576,(IF(($A28=FREQUENCIAS!$U$1),21,"ERRO")),FREQUENCIAS!$1:$1048576))</f>
        <v>0</v>
      </c>
      <c r="X28" s="185"/>
      <c r="Y28" s="185"/>
      <c r="Z28" s="185"/>
      <c r="AA28" s="216">
        <f t="shared" si="18"/>
        <v>1</v>
      </c>
      <c r="AB28" s="216">
        <f t="shared" si="14"/>
        <v>1</v>
      </c>
      <c r="AC28" s="216">
        <f t="shared" si="15"/>
        <v>2</v>
      </c>
      <c r="AD28" s="176" t="s">
        <v>173</v>
      </c>
      <c r="AE28" s="177">
        <f t="shared" si="16"/>
        <v>0</v>
      </c>
      <c r="AF28" s="176"/>
      <c r="AG28" s="175" t="str">
        <f t="shared" si="17"/>
        <v>INCLUSÃO</v>
      </c>
    </row>
    <row r="29" spans="1:35" ht="17.25" thickTop="1" thickBot="1" x14ac:dyDescent="0.3">
      <c r="A29" s="178" t="s">
        <v>152</v>
      </c>
      <c r="B29" s="214">
        <f>'DADOS FINAIS'!B29</f>
        <v>21</v>
      </c>
      <c r="C29" s="215">
        <f>'DADOS FINAIS'!C29</f>
        <v>23</v>
      </c>
      <c r="D29" s="214">
        <f>'DADOS FINAIS'!D29</f>
        <v>19</v>
      </c>
      <c r="E29" s="215">
        <f>'DADOS FINAIS'!E29</f>
        <v>21</v>
      </c>
      <c r="F29" s="214">
        <f>'DADOS FINAIS'!F29</f>
        <v>19</v>
      </c>
      <c r="G29" s="215">
        <f>'DADOS FINAIS'!G29</f>
        <v>26</v>
      </c>
      <c r="H29" s="179">
        <f t="shared" si="0"/>
        <v>21</v>
      </c>
      <c r="I29" s="179">
        <f t="shared" si="1"/>
        <v>23</v>
      </c>
      <c r="J29" s="179">
        <f t="shared" si="2"/>
        <v>19</v>
      </c>
      <c r="K29" s="179">
        <f t="shared" si="3"/>
        <v>21</v>
      </c>
      <c r="L29" s="179">
        <f t="shared" si="4"/>
        <v>19</v>
      </c>
      <c r="M29" s="179">
        <f t="shared" si="5"/>
        <v>26</v>
      </c>
      <c r="N29" s="180">
        <f t="shared" si="6"/>
        <v>0</v>
      </c>
      <c r="O29" s="180">
        <f t="shared" si="7"/>
        <v>21</v>
      </c>
      <c r="P29" s="180">
        <f t="shared" si="8"/>
        <v>1</v>
      </c>
      <c r="Q29" s="181">
        <f t="shared" si="9"/>
        <v>21</v>
      </c>
      <c r="R29" s="182">
        <f t="shared" si="10"/>
        <v>19</v>
      </c>
      <c r="S29" s="182">
        <f t="shared" si="11"/>
        <v>0</v>
      </c>
      <c r="T29" s="183">
        <f t="shared" si="12"/>
        <v>19</v>
      </c>
      <c r="U29" s="184">
        <f t="shared" si="13"/>
        <v>0</v>
      </c>
      <c r="V29" s="185">
        <f>IF(R29=0,0,VLOOKUP(R29,FREQUENCIAS!$1:$1048576,(IF(($A29=FREQUENCIAS!$V$1),22,"ERRO")),FREQUENCIAS!$1:$1048576))</f>
        <v>7.5357999999999994E-2</v>
      </c>
      <c r="W29" s="185">
        <f>IF(S29=0,0,VLOOKUP(S29,FREQUENCIAS!$1:$1048576,(IF(($A29=FREQUENCIAS!$V$1),22,"ERRO")),FREQUENCIAS!$1:$1048576))</f>
        <v>0</v>
      </c>
      <c r="X29" s="185"/>
      <c r="Y29" s="185"/>
      <c r="Z29" s="185"/>
      <c r="AA29" s="216">
        <f t="shared" si="18"/>
        <v>1</v>
      </c>
      <c r="AB29" s="216">
        <f t="shared" si="14"/>
        <v>0</v>
      </c>
      <c r="AC29" s="216">
        <f t="shared" si="15"/>
        <v>1</v>
      </c>
      <c r="AD29" s="176" t="s">
        <v>173</v>
      </c>
      <c r="AE29" s="177">
        <f t="shared" si="16"/>
        <v>0</v>
      </c>
      <c r="AF29" s="176"/>
      <c r="AG29" s="175" t="str">
        <f t="shared" si="17"/>
        <v>INCLUSÃO</v>
      </c>
    </row>
    <row r="30" spans="1:35" ht="17.25" thickTop="1" thickBot="1" x14ac:dyDescent="0.3">
      <c r="A30" s="178" t="s">
        <v>225</v>
      </c>
      <c r="B30" s="214">
        <f>'DADOS FINAIS'!B30</f>
        <v>11</v>
      </c>
      <c r="C30" s="215">
        <f>'DADOS FINAIS'!C30</f>
        <v>16</v>
      </c>
      <c r="D30" s="214">
        <f>'DADOS FINAIS'!D30</f>
        <v>16</v>
      </c>
      <c r="E30" s="215">
        <f>'DADOS FINAIS'!E30</f>
        <v>16</v>
      </c>
      <c r="F30" s="214">
        <f>'DADOS FINAIS'!F30</f>
        <v>16</v>
      </c>
      <c r="G30" s="215">
        <f>'DADOS FINAIS'!G30</f>
        <v>17</v>
      </c>
      <c r="H30" s="179">
        <f t="shared" si="0"/>
        <v>11</v>
      </c>
      <c r="I30" s="179">
        <f t="shared" si="1"/>
        <v>16</v>
      </c>
      <c r="J30" s="179">
        <f t="shared" si="2"/>
        <v>16</v>
      </c>
      <c r="K30" s="179">
        <f t="shared" si="3"/>
        <v>16</v>
      </c>
      <c r="L30" s="179">
        <f t="shared" si="4"/>
        <v>16</v>
      </c>
      <c r="M30" s="179">
        <f t="shared" si="5"/>
        <v>17</v>
      </c>
      <c r="N30" s="180">
        <f t="shared" si="6"/>
        <v>16</v>
      </c>
      <c r="O30" s="180">
        <f t="shared" si="7"/>
        <v>16</v>
      </c>
      <c r="P30" s="180">
        <f t="shared" si="8"/>
        <v>0</v>
      </c>
      <c r="Q30" s="181">
        <f t="shared" si="9"/>
        <v>16</v>
      </c>
      <c r="R30" s="182">
        <f t="shared" si="10"/>
        <v>16</v>
      </c>
      <c r="S30" s="182">
        <f t="shared" si="11"/>
        <v>0</v>
      </c>
      <c r="T30" s="183">
        <f t="shared" si="12"/>
        <v>16</v>
      </c>
      <c r="U30" s="184">
        <f t="shared" si="13"/>
        <v>0</v>
      </c>
      <c r="V30" s="185">
        <f>IF(R30=0,0,VLOOKUP(R30,FREQUENCIAS!$1:$1048576,(IF(($A30=FREQUENCIAS!$W$1),23,"ERRO")),FREQUENCIAS!$1:$1048576))</f>
        <v>0.32869999999999999</v>
      </c>
      <c r="W30" s="185">
        <f>IF(S30=0,0,VLOOKUP(S30,FREQUENCIAS!$1:$1048576,(IF(($A30=FREQUENCIAS!$W$1),23,"ERRO")),FREQUENCIAS!$1:$1048576))</f>
        <v>0</v>
      </c>
      <c r="X30" s="185"/>
      <c r="Y30" s="185"/>
      <c r="Z30" s="185"/>
      <c r="AA30" s="216">
        <f t="shared" si="18"/>
        <v>1</v>
      </c>
      <c r="AB30" s="216">
        <f t="shared" si="14"/>
        <v>1</v>
      </c>
      <c r="AC30" s="216">
        <f t="shared" si="15"/>
        <v>1</v>
      </c>
      <c r="AD30" s="176" t="s">
        <v>173</v>
      </c>
      <c r="AE30" s="177">
        <f t="shared" si="16"/>
        <v>0</v>
      </c>
      <c r="AF30" s="176"/>
      <c r="AG30" s="175" t="str">
        <f t="shared" si="17"/>
        <v>INCLUSÃO</v>
      </c>
    </row>
    <row r="31" spans="1:35" ht="16.5" thickTop="1" x14ac:dyDescent="0.25">
      <c r="A31" s="187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9" t="s">
        <v>168</v>
      </c>
      <c r="AB31" s="333">
        <f>(IF(((PRODUCT(AC9:AC30))&lt;&gt;0),PRODUCT(AB9:AB30),$AD$23))</f>
        <v>0</v>
      </c>
      <c r="AC31" s="333"/>
      <c r="AE31" s="334">
        <f>(IF(((PRODUCT(AC9:AC30))&lt;&gt;0),((1-AE9)*(1-AE10)*(1-AE11)*(1-AE12)*(1-AE13)*(1-AE14)*(1-AE15)*(1-AE16)*(1-AE17)*(1-AE18)*(1-AE19)*(1-AE20)*(1-AE21)*(1-AE22)*(1-AE23)*(1-AE24)*(1-AE25)*(1-AE26)*(1-AE27)*(1-AE28)*(1-AE29)*(1-AE30)),$AD$23))</f>
        <v>0</v>
      </c>
      <c r="AF31" s="334"/>
      <c r="AG31" s="190"/>
    </row>
    <row r="32" spans="1:35" ht="16.5" thickBot="1" x14ac:dyDescent="0.3">
      <c r="A32" s="191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92" t="s">
        <v>172</v>
      </c>
      <c r="AB32" s="345">
        <f>(IF(((PRODUCT(AC9:AC30))&lt;&gt;0),(ROUNDDOWN((AB31/(AB31+1)),11)),$AD$23))</f>
        <v>0</v>
      </c>
      <c r="AC32" s="345"/>
      <c r="AD32" s="345"/>
      <c r="AE32" s="345"/>
      <c r="AF32" s="345"/>
      <c r="AG32" s="346"/>
    </row>
    <row r="33" spans="1:34" ht="19.5" thickTop="1" thickBot="1" x14ac:dyDescent="0.3">
      <c r="A33" s="193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5" t="s">
        <v>115</v>
      </c>
      <c r="AB33" s="335">
        <f>(IF(((PRODUCT(AC9:AC30))&lt;&gt;0),(ROUNDDOWN((1-$AE31),11)),$AD$13))</f>
        <v>1</v>
      </c>
      <c r="AC33" s="335"/>
      <c r="AD33" s="335"/>
      <c r="AE33" s="335"/>
      <c r="AF33" s="335"/>
      <c r="AG33" s="336"/>
    </row>
    <row r="34" spans="1:34" ht="19.5" customHeight="1" thickTop="1" thickBot="1" x14ac:dyDescent="0.3">
      <c r="A34" s="193"/>
      <c r="B34" s="194"/>
      <c r="C34" s="194"/>
      <c r="D34" s="194"/>
      <c r="E34" s="194"/>
      <c r="F34" s="194"/>
      <c r="G34" s="217" t="s">
        <v>46</v>
      </c>
      <c r="H34" s="194"/>
      <c r="I34" s="194"/>
      <c r="J34" s="194"/>
      <c r="K34" s="194"/>
      <c r="L34" s="194"/>
      <c r="M34" s="195" t="s">
        <v>120</v>
      </c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218">
        <f>SUM(AA9:AA30)</f>
        <v>25</v>
      </c>
      <c r="AB34" s="218">
        <f>SUM(AB9:AB30)</f>
        <v>11</v>
      </c>
      <c r="AC34" s="218">
        <f>SUM(AC9:AC30)</f>
        <v>27</v>
      </c>
      <c r="AD34" s="240"/>
      <c r="AE34" s="240"/>
      <c r="AF34" s="240"/>
      <c r="AG34" s="219" t="str">
        <f>IF((AND((AA34&lt;=40),(AB34&lt;=40),(AC34&lt;=40))),"OK","VERIFICAR")</f>
        <v>OK</v>
      </c>
      <c r="AH34" s="220">
        <f>SUM(AH9:AH23)</f>
        <v>0</v>
      </c>
    </row>
    <row r="35" spans="1:34" ht="13.5" thickTop="1" x14ac:dyDescent="0.2">
      <c r="A35" s="196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221"/>
    </row>
    <row r="36" spans="1:34" ht="15.75" x14ac:dyDescent="0.25">
      <c r="A36" s="198"/>
      <c r="B36" s="199" t="s">
        <v>73</v>
      </c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1"/>
    </row>
    <row r="37" spans="1:34" ht="12.75" customHeight="1" x14ac:dyDescent="0.2">
      <c r="A37" s="198"/>
      <c r="B37" s="200"/>
      <c r="C37" s="200" t="s">
        <v>74</v>
      </c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1"/>
    </row>
    <row r="38" spans="1:34" ht="12.75" customHeight="1" x14ac:dyDescent="0.2">
      <c r="A38" s="202"/>
      <c r="B38" s="203" t="s">
        <v>75</v>
      </c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5"/>
    </row>
    <row r="39" spans="1:34" x14ac:dyDescent="0.2">
      <c r="A39" s="198"/>
      <c r="B39" s="206" t="s">
        <v>76</v>
      </c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1"/>
    </row>
    <row r="40" spans="1:34" x14ac:dyDescent="0.2">
      <c r="A40" s="198"/>
      <c r="B40" s="206" t="s">
        <v>77</v>
      </c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1"/>
    </row>
    <row r="41" spans="1:34" x14ac:dyDescent="0.2">
      <c r="A41" s="198"/>
      <c r="B41" s="206"/>
      <c r="C41" s="200" t="s">
        <v>169</v>
      </c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1"/>
    </row>
    <row r="42" spans="1:34" ht="12.75" customHeight="1" x14ac:dyDescent="0.2">
      <c r="A42" s="198"/>
      <c r="B42" s="200"/>
      <c r="C42" s="200" t="s">
        <v>170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1"/>
    </row>
    <row r="43" spans="1:34" x14ac:dyDescent="0.2">
      <c r="A43" s="198"/>
      <c r="B43" s="200" t="s">
        <v>171</v>
      </c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1"/>
    </row>
    <row r="44" spans="1:34" ht="13.5" customHeight="1" x14ac:dyDescent="0.25">
      <c r="A44" s="207"/>
      <c r="B44" s="208"/>
      <c r="C44" s="200" t="s">
        <v>79</v>
      </c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9"/>
    </row>
    <row r="45" spans="1:34" ht="12.75" customHeight="1" x14ac:dyDescent="0.2">
      <c r="A45" s="202"/>
      <c r="B45" s="200" t="s">
        <v>80</v>
      </c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5"/>
    </row>
    <row r="46" spans="1:34" ht="12.75" customHeight="1" thickBot="1" x14ac:dyDescent="0.25">
      <c r="A46" s="210"/>
      <c r="B46" s="211"/>
      <c r="C46" s="212" t="s">
        <v>62</v>
      </c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3"/>
    </row>
    <row r="47" spans="1:34" ht="13.5" thickTop="1" x14ac:dyDescent="0.2"/>
  </sheetData>
  <mergeCells count="13">
    <mergeCell ref="AB31:AC31"/>
    <mergeCell ref="AE31:AF31"/>
    <mergeCell ref="AB33:AG33"/>
    <mergeCell ref="A1:AG1"/>
    <mergeCell ref="B8:C8"/>
    <mergeCell ref="D8:E8"/>
    <mergeCell ref="F8:G8"/>
    <mergeCell ref="H8:I8"/>
    <mergeCell ref="J8:K8"/>
    <mergeCell ref="L8:M8"/>
    <mergeCell ref="R8:S8"/>
    <mergeCell ref="T8:U8"/>
    <mergeCell ref="AB32:AG32"/>
  </mergeCell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CP63"/>
  <sheetViews>
    <sheetView zoomScale="127" workbookViewId="0">
      <selection activeCell="AO1" sqref="AO1:CP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4" width="4.85546875" style="1" hidden="1" customWidth="1"/>
    <col min="95" max="99" width="4.85546875" style="1" customWidth="1"/>
    <col min="100" max="16384" width="9.140625" style="1"/>
  </cols>
  <sheetData>
    <row r="1" spans="1:80" ht="17.25" thickTop="1" thickBot="1" x14ac:dyDescent="0.25">
      <c r="A1" s="349" t="s">
        <v>203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  <c r="AN1" s="351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 x14ac:dyDescent="0.25">
      <c r="A3" s="241" t="s">
        <v>81</v>
      </c>
      <c r="B3" s="352"/>
      <c r="C3" s="352"/>
      <c r="D3" s="352"/>
      <c r="E3" s="352"/>
      <c r="F3" s="352"/>
      <c r="G3" s="35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42" t="s">
        <v>0</v>
      </c>
      <c r="AI3" s="6"/>
      <c r="AM3" s="243" t="s">
        <v>230</v>
      </c>
      <c r="AN3" s="244"/>
    </row>
    <row r="4" spans="1:80" ht="15.75" x14ac:dyDescent="0.25">
      <c r="A4" s="241" t="s">
        <v>161</v>
      </c>
      <c r="B4" s="24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46" t="str">
        <f>(IF(('IMPORTAÇÃO GENOTIPER'!W4="X"),"XX",(IF(('IMPORTAÇÃO GENOTIPER'!W4&lt;&gt;"X"),"ERRO"))))</f>
        <v>XX</v>
      </c>
      <c r="AM4" s="247" t="str">
        <f>IF(('SUPERVISÃO 1'!$AB$34="EVIDÊNCIA DE TROCA"),"VERIFICAR","OK")</f>
        <v>OK</v>
      </c>
      <c r="AN4" s="248"/>
    </row>
    <row r="5" spans="1:80" ht="16.5" thickBot="1" x14ac:dyDescent="0.3">
      <c r="A5" s="241" t="s">
        <v>92</v>
      </c>
      <c r="B5" s="24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49"/>
      <c r="Y5" s="249"/>
      <c r="Z5" s="249"/>
      <c r="AA5" s="249"/>
      <c r="AB5" s="249"/>
      <c r="AC5" s="249"/>
      <c r="AD5" s="249"/>
      <c r="AE5" s="6"/>
      <c r="AF5" s="6"/>
      <c r="AG5" s="6"/>
      <c r="AH5" s="6"/>
      <c r="AI5" s="250" t="str">
        <f>(IF(('IMPORTAÇÃO GENOTIPER'!AM4="Y"),"XY",(IF(('IMPORTAÇÃO GENOTIPER'!AM4="X"),"XX","ERRO"))))</f>
        <v>XY</v>
      </c>
      <c r="AM5" s="247" t="str">
        <f>IF(('SUPERVISÃO 2'!$AB$34="EVIDÊNCIA DE TROCA"),"VERIFICAR","OK")</f>
        <v>OK</v>
      </c>
      <c r="AN5" s="248"/>
    </row>
    <row r="6" spans="1:80" ht="17.25" thickTop="1" thickBot="1" x14ac:dyDescent="0.3">
      <c r="A6" s="241" t="s">
        <v>93</v>
      </c>
      <c r="B6" s="24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51" t="str">
        <f>(IF(('IMPORTAÇÃO GENOTIPER'!BC4="Y"),"XY",(IF(('IMPORTAÇÃO GENOTIPER'!BC4&lt;&gt;"Y"),"ERRO"))))</f>
        <v>XY</v>
      </c>
      <c r="AJ6" s="1" t="s">
        <v>149</v>
      </c>
      <c r="AM6" s="247" t="str">
        <f>IF(('SUPERVISÃO 3'!$AB$34="TROCA POSSÍVEL"),"VERIFICAR","OK")</f>
        <v>OK</v>
      </c>
      <c r="AN6" s="248"/>
      <c r="AO6" s="22"/>
      <c r="AZ6" s="353" t="s">
        <v>88</v>
      </c>
      <c r="BA6" s="354"/>
      <c r="BB6" s="31">
        <v>1E-3</v>
      </c>
      <c r="BH6" s="66"/>
      <c r="BI6" s="55"/>
      <c r="BJ6" s="55"/>
      <c r="BK6" s="55"/>
      <c r="BL6" s="55"/>
    </row>
    <row r="7" spans="1:80" ht="24" customHeight="1" thickTop="1" thickBot="1" x14ac:dyDescent="0.35">
      <c r="A7" s="252" t="str">
        <f>IF(($BD$31=1)," DETECTADA 1 MUTAÇÃO MATERNA",IF(($BD$31=2)," DETECTADAS 2 MUTAÇÕES MATERNAS",IF(($BD$31&gt;=3)," DETECTADA EXCLUSÃO DE MÃE"," MATERNIDADE CONFIRMADA")))</f>
        <v xml:space="preserve"> MATERNIDADE CONFIRMADA</v>
      </c>
      <c r="B7" s="253"/>
      <c r="C7" s="10"/>
      <c r="D7" s="10"/>
      <c r="E7" s="10"/>
      <c r="F7" s="25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2" t="str">
        <f>IF(('SUPERVISÃO 4'!$AG$34="VERIFICAR"),"VERIFICAR","OK")</f>
        <v>OK</v>
      </c>
      <c r="AN7" s="73"/>
      <c r="AO7" s="1" t="s">
        <v>78</v>
      </c>
      <c r="AQ7" s="355" t="s">
        <v>232</v>
      </c>
      <c r="AR7" s="355"/>
      <c r="AS7" s="355"/>
      <c r="AT7" s="355"/>
      <c r="AU7" s="355"/>
      <c r="AV7" s="355"/>
      <c r="AZ7" s="353" t="s">
        <v>87</v>
      </c>
      <c r="BA7" s="354"/>
      <c r="BB7" s="356"/>
      <c r="BI7" s="353" t="s">
        <v>108</v>
      </c>
      <c r="BJ7" s="354"/>
      <c r="BK7" s="356"/>
      <c r="BL7" s="357" t="s">
        <v>109</v>
      </c>
      <c r="BM7" s="358"/>
      <c r="BN7" s="359"/>
      <c r="BO7" s="360" t="s">
        <v>111</v>
      </c>
      <c r="BP7" s="361"/>
      <c r="BQ7" s="362"/>
    </row>
    <row r="8" spans="1:80" ht="16.5" thickTop="1" thickBot="1" x14ac:dyDescent="0.3">
      <c r="A8" s="255" t="s">
        <v>50</v>
      </c>
      <c r="B8" s="347" t="s">
        <v>54</v>
      </c>
      <c r="C8" s="348"/>
      <c r="D8" s="347" t="s">
        <v>131</v>
      </c>
      <c r="E8" s="348"/>
      <c r="F8" s="347" t="s">
        <v>56</v>
      </c>
      <c r="G8" s="348"/>
      <c r="H8" s="347" t="s">
        <v>97</v>
      </c>
      <c r="I8" s="348"/>
      <c r="J8" s="347" t="s">
        <v>98</v>
      </c>
      <c r="K8" s="348"/>
      <c r="L8" s="347" t="s">
        <v>99</v>
      </c>
      <c r="M8" s="348"/>
      <c r="N8" s="347" t="s">
        <v>165</v>
      </c>
      <c r="O8" s="348"/>
      <c r="P8" s="347" t="s">
        <v>166</v>
      </c>
      <c r="Q8" s="348"/>
      <c r="R8" s="347" t="s">
        <v>167</v>
      </c>
      <c r="S8" s="348"/>
      <c r="T8" s="256" t="s">
        <v>135</v>
      </c>
      <c r="U8" s="256" t="s">
        <v>136</v>
      </c>
      <c r="V8" s="256" t="s">
        <v>137</v>
      </c>
      <c r="W8" s="257" t="s">
        <v>134</v>
      </c>
      <c r="X8" s="363" t="s">
        <v>138</v>
      </c>
      <c r="Y8" s="364"/>
      <c r="Z8" s="363" t="s">
        <v>141</v>
      </c>
      <c r="AA8" s="364"/>
      <c r="AB8" s="256" t="s">
        <v>145</v>
      </c>
      <c r="AC8" s="256" t="s">
        <v>147</v>
      </c>
      <c r="AD8" s="256" t="s">
        <v>146</v>
      </c>
      <c r="AE8" s="256" t="s">
        <v>148</v>
      </c>
      <c r="AF8" s="256" t="s">
        <v>160</v>
      </c>
      <c r="AG8" s="25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5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59" t="s">
        <v>143</v>
      </c>
      <c r="AJ8" s="260" t="s">
        <v>139</v>
      </c>
      <c r="AK8" s="260"/>
      <c r="AL8" s="260"/>
      <c r="AM8" s="259" t="s">
        <v>176</v>
      </c>
      <c r="AN8" s="259" t="s">
        <v>129</v>
      </c>
      <c r="AQ8" s="355"/>
      <c r="AR8" s="355"/>
      <c r="AS8" s="355"/>
      <c r="AT8" s="355"/>
      <c r="AU8" s="355"/>
      <c r="AV8" s="355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0" t="s">
        <v>100</v>
      </c>
      <c r="BG8" s="50" t="s">
        <v>101</v>
      </c>
      <c r="BI8" s="13" t="s">
        <v>105</v>
      </c>
      <c r="BJ8" s="53" t="s">
        <v>106</v>
      </c>
      <c r="BK8" s="53" t="s">
        <v>107</v>
      </c>
      <c r="BL8" s="57" t="s">
        <v>105</v>
      </c>
      <c r="BM8" s="58" t="s">
        <v>112</v>
      </c>
      <c r="BN8" s="58" t="s">
        <v>110</v>
      </c>
      <c r="BO8" s="60" t="s">
        <v>105</v>
      </c>
      <c r="BP8" s="61" t="s">
        <v>113</v>
      </c>
      <c r="BQ8" s="62" t="s">
        <v>114</v>
      </c>
    </row>
    <row r="9" spans="1:80" ht="16.5" thickTop="1" thickBot="1" x14ac:dyDescent="0.3">
      <c r="A9" s="261" t="s">
        <v>151</v>
      </c>
      <c r="B9" s="262">
        <f>'DADOS FINAIS'!F9</f>
        <v>14</v>
      </c>
      <c r="C9" s="262">
        <f>'DADOS FINAIS'!G9</f>
        <v>15</v>
      </c>
      <c r="D9" s="262">
        <f>'DADOS FINAIS'!D9</f>
        <v>15</v>
      </c>
      <c r="E9" s="262">
        <f>'DADOS FINAIS'!E9</f>
        <v>18</v>
      </c>
      <c r="F9" s="262">
        <f>'DADOS FINAIS'!B9</f>
        <v>16</v>
      </c>
      <c r="G9" s="262">
        <f>'DADOS FINAIS'!C9</f>
        <v>18</v>
      </c>
      <c r="H9" s="101">
        <f t="shared" ref="H9:M24" si="0">(IF(CODE(B9)=(60),($BF9-1),(IF(CODE(B9)=(62),($BG9+1),B9))))</f>
        <v>14</v>
      </c>
      <c r="I9" s="101">
        <f t="shared" si="0"/>
        <v>15</v>
      </c>
      <c r="J9" s="101">
        <f t="shared" si="0"/>
        <v>15</v>
      </c>
      <c r="K9" s="101">
        <f t="shared" si="0"/>
        <v>18</v>
      </c>
      <c r="L9" s="101">
        <f t="shared" si="0"/>
        <v>16</v>
      </c>
      <c r="M9" s="101">
        <f t="shared" si="0"/>
        <v>18</v>
      </c>
      <c r="N9" s="102">
        <f t="shared" ref="N9:N30" si="1">IF((H9&gt;I9),I9,H9)</f>
        <v>14</v>
      </c>
      <c r="O9" s="102">
        <f t="shared" ref="O9:O30" si="2">IF((I9&gt;H9),I9,H9)</f>
        <v>15</v>
      </c>
      <c r="P9" s="102">
        <f t="shared" ref="P9:P30" si="3">IF((J9&gt;K9),K9,J9)</f>
        <v>15</v>
      </c>
      <c r="Q9" s="102">
        <f t="shared" ref="Q9:Q30" si="4">IF((K9&gt;J9),K9,J9)</f>
        <v>18</v>
      </c>
      <c r="R9" s="102">
        <f t="shared" ref="R9:R30" si="5">IF((L9&gt;M9),M9,L9)</f>
        <v>16</v>
      </c>
      <c r="S9" s="102">
        <f t="shared" ref="S9:S30" si="6">IF((M9&gt;L9),M9,L9)</f>
        <v>18</v>
      </c>
      <c r="T9" s="103">
        <f t="shared" ref="T9:T30" si="7">IF((P9=N9),P9,(IF((P9=O9),P9,0)))</f>
        <v>15</v>
      </c>
      <c r="U9" s="103">
        <f t="shared" ref="U9:U30" si="8">IF((Q9=N9),Q9,(IF((Q9=O9),Q9,0)))</f>
        <v>0</v>
      </c>
      <c r="V9" s="104">
        <f>(IF((OR((P9="&gt;18"),(Q9="&gt;18"))),2,(IF(((T9+U9)=(P9+Q9)),0,1))))</f>
        <v>1</v>
      </c>
      <c r="W9" s="105">
        <f>IF(OR(($T9=$U9),($U9=0)),$T9,(IF(AND(($T9=0),($U9&lt;&gt;0)),$U9,$AJ$7)))</f>
        <v>15</v>
      </c>
      <c r="X9" s="128">
        <f>(ROUND( (IF((AND((T9=0),(U9=0))),D9,(IF((V9=2),S9,(IF((W9&lt;&gt;$AJ$7),(P9+Q9-W9),P9)))))),1))</f>
        <v>18</v>
      </c>
      <c r="Y9" s="103">
        <f>(IF((AND(($T9=0),($U9=0))),$E9,(IF(($W9&lt;&gt;$AJ$7),0,$Q9))))</f>
        <v>0</v>
      </c>
      <c r="Z9" s="106">
        <f t="shared" ref="Z9:Z30" si="9">(IF(OR((X9=R9),(X9=S9)),X9,0))</f>
        <v>18</v>
      </c>
      <c r="AA9" s="107">
        <f t="shared" ref="AA9:AA30" si="10">(IF(AND((V9=0),(Z9=0),(OR((S9=T9),(S9=U9)))),Y9,(IF((Y9&lt;&gt;0),(IF(OR((Y9=R9),(Y9=S9)),Y9,0)),0))))</f>
        <v>0</v>
      </c>
      <c r="AB9" s="108">
        <f>IF(X9=0,0,VLOOKUP(X9,FREQUENCIAS!$1:$1048576,(IF(($A9=FREQUENCIAS!$B$1),2,"ERRO")),FREQUENCIAS!$1:$1048576))</f>
        <v>0.12392599999999999</v>
      </c>
      <c r="AC9" s="108">
        <f>IF(Y9=0,0,VLOOKUP(Y9,FREQUENCIAS!$1:$1048576,(IF(($A9=FREQUENCIAS!$B$1),2,"ERRO")),FREQUENCIAS!$1:$1048576))</f>
        <v>0</v>
      </c>
      <c r="AD9" s="108"/>
      <c r="AE9" s="108"/>
      <c r="AF9" s="108"/>
      <c r="AG9" s="109">
        <f>(IF((A9="ERRO-FT"),"8",((IF((AND(($Z9=0),($AA9=0),($AX$32="N"))),0,(IF((AND(($Z9=0),($AA9=0),(AX$32="S"))),1,(IF((AB9+AC9+AD9+AE9+AF9)&lt;=$AI$7,$AI$7,(AB9+AC9+AD9+AE9+AF9))))))))))</f>
        <v>0.12392599999999999</v>
      </c>
      <c r="AH9" s="110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4.0346658489743881</v>
      </c>
      <c r="AI9" s="111">
        <f t="shared" ref="AI9:AI30" si="11">(IF((AH9=0),0,(AH9/(AH9+1))))</f>
        <v>0.80137708638524441</v>
      </c>
      <c r="AJ9" s="112"/>
      <c r="AK9" s="113">
        <f t="shared" ref="AK9:AK30" si="12">(1-AG9)^2</f>
        <v>0.76750565347600008</v>
      </c>
      <c r="AL9" s="112"/>
      <c r="AM9" s="114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1 / 2F</v>
      </c>
      <c r="AN9" s="105" t="str">
        <f t="shared" ref="AN9:AN30" si="14">(IF((AND(($BD$31&lt;=2),(BD9=1))),"MT",(IF((AND(($BD$31&gt;2),(BD9=1))),"EM","OK"))))</f>
        <v>OK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0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4.0346658489743881</v>
      </c>
      <c r="BD9" s="2">
        <f>IF((W9=0),1,0)</f>
        <v>0</v>
      </c>
      <c r="BE9" s="67"/>
      <c r="BF9" s="51">
        <v>8</v>
      </c>
      <c r="BG9" s="51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CORRETO</v>
      </c>
      <c r="BI9" s="56" t="str">
        <f t="shared" ref="BI9:BI30" si="17">IF(($W9=($BF9-1)),"&lt;",IF(($W9=($BG9+1)),"&gt;",""))</f>
        <v/>
      </c>
      <c r="BJ9" s="56">
        <f t="shared" ref="BJ9:BJ30" si="18">IF(($W9=($BF9-1)),$BF9,IF(($W9=($BG9-1)),$BG9,$W9))</f>
        <v>15</v>
      </c>
      <c r="BK9" s="56">
        <f t="shared" ref="BK9:BK30" si="19">(IF((OR(($W9=($BF9-1)),($W9=($BG9+1)))),(CONCATENATE((BI9),(BJ9))),$W9))</f>
        <v>15</v>
      </c>
      <c r="BL9" s="59" t="str">
        <f t="shared" ref="BL9:BL30" si="20">IF(($Z9=($BF9-1)),"&lt;",IF(($Z9=($BG9+1)),"&gt;",""))</f>
        <v/>
      </c>
      <c r="BM9" s="59">
        <f t="shared" ref="BM9:BM30" si="21">IF(($Z9=($BF9-1)),$BF9,IF(($Z9=($BG9+1)),$BG9,$Z9))</f>
        <v>18</v>
      </c>
      <c r="BN9" s="59">
        <f t="shared" ref="BN9:BN30" si="22">(IF((OR(($Z9=($BF9-1)),($Z9=($BG9+1)))),(CONCATENATE((BL9),(BM9))),$Z9))</f>
        <v>18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ht="16.5" thickTop="1" thickBot="1" x14ac:dyDescent="0.3">
      <c r="A10" s="261" t="s">
        <v>218</v>
      </c>
      <c r="B10" s="262">
        <f>'DADOS FINAIS'!F10</f>
        <v>13</v>
      </c>
      <c r="C10" s="262">
        <f>'DADOS FINAIS'!G10</f>
        <v>19.3</v>
      </c>
      <c r="D10" s="262">
        <f>'DADOS FINAIS'!D10</f>
        <v>16.3</v>
      </c>
      <c r="E10" s="262">
        <f>'DADOS FINAIS'!E10</f>
        <v>19.3</v>
      </c>
      <c r="F10" s="262">
        <f>'DADOS FINAIS'!B10</f>
        <v>15</v>
      </c>
      <c r="G10" s="262">
        <f>'DADOS FINAIS'!C10</f>
        <v>16.3</v>
      </c>
      <c r="H10" s="101">
        <f t="shared" si="0"/>
        <v>13</v>
      </c>
      <c r="I10" s="101">
        <f t="shared" si="0"/>
        <v>19.3</v>
      </c>
      <c r="J10" s="101">
        <f t="shared" si="0"/>
        <v>16.3</v>
      </c>
      <c r="K10" s="101">
        <f t="shared" si="0"/>
        <v>19.3</v>
      </c>
      <c r="L10" s="101">
        <f t="shared" si="0"/>
        <v>15</v>
      </c>
      <c r="M10" s="101">
        <f t="shared" si="0"/>
        <v>16.3</v>
      </c>
      <c r="N10" s="102">
        <f t="shared" si="1"/>
        <v>13</v>
      </c>
      <c r="O10" s="102">
        <f t="shared" si="2"/>
        <v>19.3</v>
      </c>
      <c r="P10" s="102">
        <f t="shared" si="3"/>
        <v>16.3</v>
      </c>
      <c r="Q10" s="102">
        <f t="shared" si="4"/>
        <v>19.3</v>
      </c>
      <c r="R10" s="102">
        <f t="shared" si="5"/>
        <v>15</v>
      </c>
      <c r="S10" s="102">
        <f t="shared" si="6"/>
        <v>16.3</v>
      </c>
      <c r="T10" s="103">
        <f t="shared" si="7"/>
        <v>0</v>
      </c>
      <c r="U10" s="103">
        <f t="shared" si="8"/>
        <v>19.3</v>
      </c>
      <c r="V10" s="104">
        <f>(IF((OR((P10="&gt;36"),(Q10="&gt;36"))),2,(IF(((T10+U10)=(P10+Q10)),0,1))))</f>
        <v>1</v>
      </c>
      <c r="W10" s="105">
        <f t="shared" ref="W10:W23" si="25">IF(OR((T10=U10),(U10=0)),T10,(IF(AND((T10=0),(U10&lt;&gt;0)),U10,$AJ$7)))</f>
        <v>19.3</v>
      </c>
      <c r="X10" s="128">
        <f>(ROUND( (IF((AND((T10=0),(U10=0))),D10,(IF((V10=2),S10,(IF((W10&lt;&gt;$AJ$7),(P10+Q10-W10),P10)))))),1))</f>
        <v>16.3</v>
      </c>
      <c r="Y10" s="103">
        <f>(IF((AND((T10=0),(U10=0))),E10,(IF((W10&lt;&gt;$AJ$7),0,Q10))))</f>
        <v>0</v>
      </c>
      <c r="Z10" s="106">
        <f t="shared" si="9"/>
        <v>16.3</v>
      </c>
      <c r="AA10" s="107">
        <f t="shared" si="10"/>
        <v>0</v>
      </c>
      <c r="AB10" s="108">
        <f>IF(X10=0,0,VLOOKUP(X10,FREQUENCIAS!$1:$1048576,(IF(($A10=FREQUENCIAS!$C$1),3,"ERRO")),FREQUENCIAS!$1:$1048576))</f>
        <v>5.0500000000000003E-2</v>
      </c>
      <c r="AC10" s="108">
        <f>IF(Y10=0,0,VLOOKUP(Y10,FREQUENCIAS!$1:$1048576,(IF(($A10=FREQUENCIAS!$C$1),3,"ERRO")),FREQUENCIAS!$1:$1048576))</f>
        <v>0</v>
      </c>
      <c r="AD10" s="108"/>
      <c r="AE10" s="108"/>
      <c r="AF10" s="108"/>
      <c r="AG10" s="109">
        <f>(IF((A10="ERRO-FT"),"24",((IF((AND(($Z10=0),($AA10=0),($AX$32="N"))),0,(IF((AND(($Z10=0),($AA10=0),(AX$32="S"))),1,(IF((AB10+AC10+AD10+AE10+AF10)&lt;=$AI$7,$AI$7,(AB10+AC10+AD10+AE10+AF10))))))))))</f>
        <v>5.0500000000000003E-2</v>
      </c>
      <c r="AH10" s="110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9.9009900990099009</v>
      </c>
      <c r="AI10" s="111">
        <f t="shared" si="11"/>
        <v>0.90826521344232514</v>
      </c>
      <c r="AJ10" s="112"/>
      <c r="AK10" s="113">
        <f t="shared" si="12"/>
        <v>0.90155025</v>
      </c>
      <c r="AL10" s="112"/>
      <c r="AM10" s="114" t="str">
        <f t="shared" si="13"/>
        <v>1 / 2F</v>
      </c>
      <c r="AN10" s="105" t="str">
        <f t="shared" si="14"/>
        <v>OK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0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9.9009900990099009</v>
      </c>
      <c r="BD10" s="2">
        <f t="shared" ref="BD10:BD23" si="27">IF((W10=0),1,0)</f>
        <v>0</v>
      </c>
      <c r="BF10" s="52">
        <v>24</v>
      </c>
      <c r="BG10" s="52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6" t="str">
        <f t="shared" si="17"/>
        <v/>
      </c>
      <c r="BJ10" s="56">
        <f t="shared" si="18"/>
        <v>19.3</v>
      </c>
      <c r="BK10" s="56">
        <f t="shared" si="19"/>
        <v>19.3</v>
      </c>
      <c r="BL10" s="59" t="str">
        <f t="shared" si="20"/>
        <v/>
      </c>
      <c r="BM10" s="65">
        <f t="shared" si="21"/>
        <v>16.3</v>
      </c>
      <c r="BN10" s="59">
        <f t="shared" si="22"/>
        <v>16.3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 x14ac:dyDescent="0.3">
      <c r="A11" s="261" t="s">
        <v>219</v>
      </c>
      <c r="B11" s="262">
        <f>'DADOS FINAIS'!F11</f>
        <v>10</v>
      </c>
      <c r="C11" s="262">
        <f>'DADOS FINAIS'!G11</f>
        <v>11</v>
      </c>
      <c r="D11" s="262">
        <f>'DADOS FINAIS'!D11</f>
        <v>10</v>
      </c>
      <c r="E11" s="262">
        <f>'DADOS FINAIS'!E11</f>
        <v>12</v>
      </c>
      <c r="F11" s="262">
        <f>'DADOS FINAIS'!B11</f>
        <v>10</v>
      </c>
      <c r="G11" s="262">
        <f>'DADOS FINAIS'!C11</f>
        <v>12</v>
      </c>
      <c r="H11" s="101">
        <f t="shared" si="0"/>
        <v>10</v>
      </c>
      <c r="I11" s="101">
        <f t="shared" si="0"/>
        <v>11</v>
      </c>
      <c r="J11" s="101">
        <f t="shared" si="0"/>
        <v>10</v>
      </c>
      <c r="K11" s="101">
        <f t="shared" si="0"/>
        <v>12</v>
      </c>
      <c r="L11" s="101">
        <f t="shared" si="0"/>
        <v>10</v>
      </c>
      <c r="M11" s="101">
        <f t="shared" si="0"/>
        <v>12</v>
      </c>
      <c r="N11" s="102">
        <f t="shared" si="1"/>
        <v>10</v>
      </c>
      <c r="O11" s="102">
        <f t="shared" si="2"/>
        <v>11</v>
      </c>
      <c r="P11" s="102">
        <f t="shared" si="3"/>
        <v>10</v>
      </c>
      <c r="Q11" s="102">
        <f t="shared" si="4"/>
        <v>12</v>
      </c>
      <c r="R11" s="102">
        <f t="shared" si="5"/>
        <v>10</v>
      </c>
      <c r="S11" s="102">
        <f t="shared" si="6"/>
        <v>12</v>
      </c>
      <c r="T11" s="103">
        <f t="shared" si="7"/>
        <v>10</v>
      </c>
      <c r="U11" s="103">
        <f t="shared" si="8"/>
        <v>0</v>
      </c>
      <c r="V11" s="104">
        <f>(IF((OR((P11="&gt;22"),(Q11="&gt;22"))),2,(IF(((T11+U11)=(P11+Q11)),0,1))))</f>
        <v>1</v>
      </c>
      <c r="W11" s="105">
        <f t="shared" si="25"/>
        <v>10</v>
      </c>
      <c r="X11" s="128">
        <f>(ROUND( (IF((AND((T11=0),(U11=0))),D11,(IF((V11=2),S11,(IF((W11&lt;&gt;$AJ$7),(P11+Q11-W11),P11)))))),1))</f>
        <v>12</v>
      </c>
      <c r="Y11" s="103">
        <f>(ROUND( (IF((AND((T11=0),(U11=0))),E11,(IF((W11&lt;&gt;$AJ$7),0,Q11)))),1))</f>
        <v>0</v>
      </c>
      <c r="Z11" s="106">
        <f t="shared" si="9"/>
        <v>12</v>
      </c>
      <c r="AA11" s="107">
        <f t="shared" si="10"/>
        <v>0</v>
      </c>
      <c r="AB11" s="108">
        <f>IF(X11=0,0,VLOOKUP(X11,FREQUENCIAS!$1:$1048576,(IF(($A11=FREQUENCIAS!$D$1),4,"ERRO")),FREQUENCIAS!$1:$1048576))</f>
        <v>7.3099999999999998E-2</v>
      </c>
      <c r="AC11" s="108">
        <f>IF(Y11=0,0,VLOOKUP(Y11,FREQUENCIAS!$1:$1048576,(IF(($A11=FREQUENCIAS!$D$1),4,"ERRO")),FREQUENCIAS!$1:$1048576))</f>
        <v>0</v>
      </c>
      <c r="AD11" s="108"/>
      <c r="AE11" s="108"/>
      <c r="AF11" s="108"/>
      <c r="AG11" s="109">
        <f>(IF((A11="ERRO-FT"),"6",((IF((AND(($Z11=0),($AA11=0),($AX$32="N"))),0,(IF((AND(($Z11=0),($AA11=0),(AX$32="S"))),1,(IF((AB11+AC11+AD11+AE11+AF11)&lt;=$AI$7,$AI$7,(AB11+AC11+AD11+AE11+AF11))))))))))</f>
        <v>7.3099999999999998E-2</v>
      </c>
      <c r="AH11" s="110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6.8399452804377567</v>
      </c>
      <c r="AI11" s="111">
        <f t="shared" si="11"/>
        <v>0.87244808933868434</v>
      </c>
      <c r="AJ11" s="112"/>
      <c r="AK11" s="113">
        <f t="shared" si="12"/>
        <v>0.85914361000000006</v>
      </c>
      <c r="AL11" s="112"/>
      <c r="AM11" s="114" t="str">
        <f t="shared" si="13"/>
        <v>1 / 2F</v>
      </c>
      <c r="AN11" s="105" t="str">
        <f t="shared" si="14"/>
        <v>OK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0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6.8399452804377567</v>
      </c>
      <c r="BD11" s="2">
        <f t="shared" si="27"/>
        <v>0</v>
      </c>
      <c r="BF11" s="52">
        <v>6</v>
      </c>
      <c r="BG11" s="52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CORRETO</v>
      </c>
      <c r="BI11" s="56" t="str">
        <f t="shared" si="17"/>
        <v/>
      </c>
      <c r="BJ11" s="56">
        <f t="shared" si="18"/>
        <v>10</v>
      </c>
      <c r="BK11" s="56">
        <f t="shared" si="19"/>
        <v>10</v>
      </c>
      <c r="BL11" s="59" t="str">
        <f t="shared" si="20"/>
        <v/>
      </c>
      <c r="BM11" s="59">
        <f t="shared" si="21"/>
        <v>12</v>
      </c>
      <c r="BN11" s="59">
        <f t="shared" si="22"/>
        <v>12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39" customFormat="1" ht="16.5" thickTop="1" thickBot="1" x14ac:dyDescent="0.3">
      <c r="A12" s="263" t="s">
        <v>220</v>
      </c>
      <c r="B12" s="264">
        <f>'DADOS FINAIS'!F12</f>
        <v>13</v>
      </c>
      <c r="C12" s="264">
        <f>'DADOS FINAIS'!G12</f>
        <v>14</v>
      </c>
      <c r="D12" s="264" t="str">
        <f>'DADOS FINAIS'!D12</f>
        <v>&lt;8</v>
      </c>
      <c r="E12" s="264">
        <f>'DADOS FINAIS'!E12</f>
        <v>14</v>
      </c>
      <c r="F12" s="264" t="str">
        <f>'DADOS FINAIS'!B12</f>
        <v>&lt;8</v>
      </c>
      <c r="G12" s="264">
        <f>'DADOS FINAIS'!C12</f>
        <v>13</v>
      </c>
      <c r="H12" s="124">
        <f t="shared" si="0"/>
        <v>13</v>
      </c>
      <c r="I12" s="124">
        <f t="shared" si="0"/>
        <v>14</v>
      </c>
      <c r="J12" s="124">
        <f t="shared" si="0"/>
        <v>5</v>
      </c>
      <c r="K12" s="124">
        <f t="shared" si="0"/>
        <v>14</v>
      </c>
      <c r="L12" s="124">
        <f t="shared" si="0"/>
        <v>5</v>
      </c>
      <c r="M12" s="124">
        <f t="shared" si="0"/>
        <v>13</v>
      </c>
      <c r="N12" s="125">
        <f t="shared" si="1"/>
        <v>13</v>
      </c>
      <c r="O12" s="125">
        <f t="shared" si="2"/>
        <v>14</v>
      </c>
      <c r="P12" s="125">
        <f t="shared" si="3"/>
        <v>5</v>
      </c>
      <c r="Q12" s="125">
        <f t="shared" si="4"/>
        <v>14</v>
      </c>
      <c r="R12" s="125">
        <f t="shared" si="5"/>
        <v>5</v>
      </c>
      <c r="S12" s="125">
        <f t="shared" si="6"/>
        <v>13</v>
      </c>
      <c r="T12" s="126">
        <f t="shared" si="7"/>
        <v>0</v>
      </c>
      <c r="U12" s="126">
        <f t="shared" si="8"/>
        <v>14</v>
      </c>
      <c r="V12" s="127">
        <f>(IF((OR((P12="&gt;21"),(Q12="&gt;21"))),2,(IF(((T12+U12)=(P12+Q12)),0,1))))</f>
        <v>1</v>
      </c>
      <c r="W12" s="126">
        <f t="shared" si="25"/>
        <v>14</v>
      </c>
      <c r="X12" s="128">
        <f>(ROUND( (IF((AND((T12=0),(U12=0))),D12,(IF((V12=2),S12,(IF((W12&lt;&gt;$AJ$7),(P12+Q12-W12),P12)))))),1))</f>
        <v>5</v>
      </c>
      <c r="Y12" s="126">
        <f xml:space="preserve"> (IF((AND((T12=0),(U12=0))),E12,(IF((W12&lt;&gt;$AJ$7),0,Q12))))</f>
        <v>0</v>
      </c>
      <c r="Z12" s="129">
        <f t="shared" si="9"/>
        <v>5</v>
      </c>
      <c r="AA12" s="130">
        <f t="shared" si="10"/>
        <v>0</v>
      </c>
      <c r="AB12" s="131">
        <f>IF(X12=0,0,VLOOKUP(X12,FREQUENCIAS!$1:$1048576,(IF(($A12=FREQUENCIAS!$E$1),5,"ERRO")),FREQUENCIAS!$1:$1048576))</f>
        <v>0</v>
      </c>
      <c r="AC12" s="131">
        <f>IF(Y12=0,0,VLOOKUP(Y12,FREQUENCIAS!$1:$1048576,(IF(($A12=FREQUENCIAS!$E$1),5,"ERRO")),FREQUENCIAS!$1:$1048576))</f>
        <v>0</v>
      </c>
      <c r="AD12" s="131"/>
      <c r="AE12" s="131"/>
      <c r="AF12" s="131"/>
      <c r="AG12" s="132">
        <f>(IF((A12="ERRO-FT"),"6",((IF((AND(($Z12=0),($AA12=0),($AX$32="N"))),0,(IF((AND(($Z12=0),($AA12=0),(AX$32="S"))),1,(IF((AB12+AC12+AD12+AE12+AF12)&lt;=$AI$7,$AI$7,(AB12+AC12+AD12+AE12+AF12))))))))))</f>
        <v>0.02</v>
      </c>
      <c r="AH12" s="133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25</v>
      </c>
      <c r="AI12" s="134">
        <f t="shared" si="11"/>
        <v>0.96153846153846156</v>
      </c>
      <c r="AJ12" s="135" t="s">
        <v>140</v>
      </c>
      <c r="AK12" s="136">
        <f t="shared" si="12"/>
        <v>0.96039999999999992</v>
      </c>
      <c r="AL12" s="135"/>
      <c r="AM12" s="137" t="str">
        <f t="shared" si="13"/>
        <v>1 / 2F</v>
      </c>
      <c r="AN12" s="138" t="str">
        <f t="shared" si="14"/>
        <v>OK</v>
      </c>
      <c r="AQ12" s="139" t="e">
        <f>(IF(OR((B12="&lt;6"),(B12="&gt;15"),(B12=11.3),(B12=15),(B12=#REF!),(B12=#REF!),(B12=#REF!),(B12=#REF!),(B12=#REF!),(B12=#REF!),(B12=#REF!),(B12=#REF!),(B12=#REF!)),1,0))</f>
        <v>#REF!</v>
      </c>
      <c r="AR12" s="139" t="e">
        <f>(IF(OR((C12="&lt;6"),(C12="&gt;15"),(C12=11.3),(C12=15),(C12=#REF!),(C12=#REF!),(C12=#REF!),(C12=#REF!),(C12=#REF!),(C12=#REF!),(C12=#REF!),(C12=#REF!),(C12=#REF!)),1,0))</f>
        <v>#REF!</v>
      </c>
      <c r="AS12" s="139" t="e">
        <f>(IF(OR((D12="&lt;6"),(D12="&gt;15"),(D12=11.3),(D12=15),(D12=#REF!),(D12=#REF!),(D12=#REF!),(D12=#REF!),(D12=#REF!),(D12=#REF!),(D12=#REF!),(D12=#REF!),(D12=#REF!)),1,0))</f>
        <v>#REF!</v>
      </c>
      <c r="AT12" s="139" t="e">
        <f>(IF(OR((E12="&lt;6"),(E12="&gt;15"),(E12=11.3),(E12=15),(E12=#REF!),(E12=#REF!),(E12=#REF!),(E12=#REF!),(E12=#REF!),(E12=#REF!),(E12=#REF!),(E12=#REF!),(E12=#REF!)),1,0))</f>
        <v>#REF!</v>
      </c>
      <c r="AU12" s="139" t="e">
        <f>(IF(OR((F12="&lt;6"),(F12="&gt;15"),(F12=11.3),(F12=15),(F12=#REF!),(F12=#REF!),(F12=#REF!),(F12=#REF!),(F12=#REF!),(F12=#REF!),(F12=#REF!),(F12=#REF!),(F12=#REF!)),1,0))</f>
        <v>#REF!</v>
      </c>
      <c r="AV12" s="139" t="e">
        <f>(IF(OR((G12="&lt;6"),(G12="&gt;15"),(G12=11.3),(G12=15),(G12=#REF!),(G12=#REF!),(G12=#REF!),(G12=#REF!),(G12=#REF!),(G12=#REF!),(G12=#REF!),(G12=#REF!),(G12=#REF!)),1,0))</f>
        <v>#REF!</v>
      </c>
      <c r="AX12" s="140">
        <f t="shared" si="26"/>
        <v>0</v>
      </c>
      <c r="AY12" s="141">
        <f t="shared" si="15"/>
        <v>0</v>
      </c>
      <c r="AZ12" s="142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3">
        <f t="shared" si="16"/>
        <v>25</v>
      </c>
      <c r="BD12" s="144">
        <f t="shared" si="27"/>
        <v>0</v>
      </c>
      <c r="BF12" s="145">
        <v>6</v>
      </c>
      <c r="BG12" s="145">
        <v>15</v>
      </c>
      <c r="BH12" s="139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6" t="str">
        <f t="shared" si="17"/>
        <v/>
      </c>
      <c r="BJ12" s="126">
        <f t="shared" si="18"/>
        <v>15</v>
      </c>
      <c r="BK12" s="126">
        <f t="shared" si="19"/>
        <v>14</v>
      </c>
      <c r="BL12" s="126" t="str">
        <f t="shared" si="20"/>
        <v>&lt;</v>
      </c>
      <c r="BM12" s="126">
        <f t="shared" si="21"/>
        <v>6</v>
      </c>
      <c r="BN12" s="126" t="str">
        <f t="shared" si="22"/>
        <v>&lt;6</v>
      </c>
      <c r="BO12" s="126" t="str">
        <f t="shared" si="28"/>
        <v/>
      </c>
      <c r="BP12" s="126">
        <f t="shared" si="23"/>
        <v>0</v>
      </c>
      <c r="BQ12" s="126">
        <f t="shared" si="24"/>
        <v>0</v>
      </c>
      <c r="BT12" s="146">
        <v>9</v>
      </c>
      <c r="BU12" s="147">
        <v>12</v>
      </c>
    </row>
    <row r="13" spans="1:80" ht="16.5" thickTop="1" thickBot="1" x14ac:dyDescent="0.3">
      <c r="A13" s="261" t="s">
        <v>157</v>
      </c>
      <c r="B13" s="262">
        <f>'DADOS FINAIS'!F13</f>
        <v>12</v>
      </c>
      <c r="C13" s="262">
        <f>'DADOS FINAIS'!G13</f>
        <v>12</v>
      </c>
      <c r="D13" s="262">
        <f>'DADOS FINAIS'!D13</f>
        <v>10</v>
      </c>
      <c r="E13" s="262">
        <f>'DADOS FINAIS'!E13</f>
        <v>12</v>
      </c>
      <c r="F13" s="262">
        <f>'DADOS FINAIS'!B13</f>
        <v>8</v>
      </c>
      <c r="G13" s="262">
        <f>'DADOS FINAIS'!C13</f>
        <v>10</v>
      </c>
      <c r="H13" s="101">
        <f t="shared" si="0"/>
        <v>12</v>
      </c>
      <c r="I13" s="101">
        <f t="shared" si="0"/>
        <v>12</v>
      </c>
      <c r="J13" s="101">
        <f t="shared" si="0"/>
        <v>10</v>
      </c>
      <c r="K13" s="101">
        <f t="shared" si="0"/>
        <v>12</v>
      </c>
      <c r="L13" s="101">
        <f t="shared" si="0"/>
        <v>8</v>
      </c>
      <c r="M13" s="101">
        <f t="shared" si="0"/>
        <v>10</v>
      </c>
      <c r="N13" s="102">
        <f t="shared" si="1"/>
        <v>12</v>
      </c>
      <c r="O13" s="102">
        <f t="shared" si="2"/>
        <v>12</v>
      </c>
      <c r="P13" s="102">
        <f t="shared" si="3"/>
        <v>10</v>
      </c>
      <c r="Q13" s="102">
        <f t="shared" si="4"/>
        <v>12</v>
      </c>
      <c r="R13" s="102">
        <f t="shared" si="5"/>
        <v>8</v>
      </c>
      <c r="S13" s="102">
        <f t="shared" si="6"/>
        <v>10</v>
      </c>
      <c r="T13" s="103">
        <f t="shared" si="7"/>
        <v>0</v>
      </c>
      <c r="U13" s="103">
        <f t="shared" si="8"/>
        <v>12</v>
      </c>
      <c r="V13" s="104">
        <f>(IF((OR((P13="&gt;21"),(Q13="&gt;21"))),2,(IF(((T13+U13)=(P13+Q13)),0,1))))</f>
        <v>1</v>
      </c>
      <c r="W13" s="105">
        <f t="shared" si="25"/>
        <v>12</v>
      </c>
      <c r="X13" s="128">
        <f t="shared" ref="X13:X30" si="30">(ROUND( (IF((AND((T13=0),(U13=0))),D13,(IF((V13=2),S13,(IF((W13&lt;&gt;$AJ$7),(P13+Q13-W13),P13)))))),1))</f>
        <v>10</v>
      </c>
      <c r="Y13" s="103">
        <f t="shared" ref="Y13:Y23" si="31">(IF((AND((T13=0),(U13=0))),E13,(IF((W13&lt;&gt;$AJ$7),0,Q13))))</f>
        <v>0</v>
      </c>
      <c r="Z13" s="106">
        <f t="shared" si="9"/>
        <v>10</v>
      </c>
      <c r="AA13" s="107">
        <f t="shared" si="10"/>
        <v>0</v>
      </c>
      <c r="AB13" s="108">
        <f>IF(X13=0,0,VLOOKUP(X13,FREQUENCIAS!$1:$1048576,(IF(($A13=FREQUENCIAS!$F$1),6,"ERRO")),FREQUENCIAS!$1:$1048576))</f>
        <v>5.2623999999999997E-2</v>
      </c>
      <c r="AC13" s="108">
        <f>IF(Y13=0,0,VLOOKUP(Y13,FREQUENCIAS!$1:$1048576,(IF(($A13=FREQUENCIAS!$F$1),6,"ERRO")),FREQUENCIAS!$1:$1048576))</f>
        <v>0</v>
      </c>
      <c r="AD13" s="108"/>
      <c r="AE13" s="108"/>
      <c r="AF13" s="108"/>
      <c r="AG13" s="109">
        <f>(IF((A13="ERRO-FT"),"11",((IF((AND(($Z13=0),($AA13=0),($AX$32="N"))),0,(IF((AND(($Z13=0),($AA13=0),(AX$32="S"))),1,(IF((AB13+AC13+AD13+AE13+AF13)&lt;=$AI$7,$AI$7,(AB13+AC13+AD13+AE13+AF13))))))))))</f>
        <v>5.2623999999999997E-2</v>
      </c>
      <c r="AH13" s="110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9.5013681970203709</v>
      </c>
      <c r="AI13" s="111">
        <f t="shared" si="11"/>
        <v>0.90477431309534151</v>
      </c>
      <c r="AJ13" s="112" t="s">
        <v>163</v>
      </c>
      <c r="AK13" s="265">
        <f t="shared" si="12"/>
        <v>0.89752128537599996</v>
      </c>
      <c r="AL13" s="112"/>
      <c r="AM13" s="114" t="str">
        <f t="shared" si="13"/>
        <v>1 / 2F</v>
      </c>
      <c r="AN13" s="105" t="str">
        <f t="shared" si="14"/>
        <v>OK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0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9.5013681970203709</v>
      </c>
      <c r="BD13" s="2">
        <f t="shared" si="27"/>
        <v>0</v>
      </c>
      <c r="BF13" s="52">
        <v>12</v>
      </c>
      <c r="BG13" s="52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6" t="str">
        <f t="shared" si="17"/>
        <v/>
      </c>
      <c r="BJ13" s="56">
        <f t="shared" si="18"/>
        <v>12</v>
      </c>
      <c r="BK13" s="56">
        <f t="shared" si="19"/>
        <v>12</v>
      </c>
      <c r="BL13" s="59" t="str">
        <f t="shared" si="20"/>
        <v/>
      </c>
      <c r="BM13" s="59">
        <f t="shared" si="21"/>
        <v>10</v>
      </c>
      <c r="BN13" s="59">
        <f t="shared" si="22"/>
        <v>10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ht="16.5" thickTop="1" thickBot="1" x14ac:dyDescent="0.3">
      <c r="A14" s="261" t="s">
        <v>226</v>
      </c>
      <c r="B14" s="262">
        <f>'DADOS FINAIS'!F14</f>
        <v>7</v>
      </c>
      <c r="C14" s="262">
        <f>'DADOS FINAIS'!G14</f>
        <v>12</v>
      </c>
      <c r="D14" s="262">
        <f>'DADOS FINAIS'!D14</f>
        <v>7</v>
      </c>
      <c r="E14" s="262">
        <f>'DADOS FINAIS'!E14</f>
        <v>11</v>
      </c>
      <c r="F14" s="262">
        <f>'DADOS FINAIS'!B14</f>
        <v>11</v>
      </c>
      <c r="G14" s="262">
        <f>'DADOS FINAIS'!C14</f>
        <v>11</v>
      </c>
      <c r="H14" s="101">
        <f t="shared" si="0"/>
        <v>7</v>
      </c>
      <c r="I14" s="101">
        <f t="shared" si="0"/>
        <v>12</v>
      </c>
      <c r="J14" s="101">
        <f t="shared" si="0"/>
        <v>7</v>
      </c>
      <c r="K14" s="101">
        <f t="shared" si="0"/>
        <v>11</v>
      </c>
      <c r="L14" s="101">
        <f t="shared" si="0"/>
        <v>11</v>
      </c>
      <c r="M14" s="101">
        <f t="shared" si="0"/>
        <v>11</v>
      </c>
      <c r="N14" s="102">
        <f t="shared" si="1"/>
        <v>7</v>
      </c>
      <c r="O14" s="102">
        <f t="shared" si="2"/>
        <v>12</v>
      </c>
      <c r="P14" s="102">
        <f t="shared" si="3"/>
        <v>7</v>
      </c>
      <c r="Q14" s="102">
        <f t="shared" si="4"/>
        <v>11</v>
      </c>
      <c r="R14" s="102">
        <f t="shared" si="5"/>
        <v>11</v>
      </c>
      <c r="S14" s="102">
        <f t="shared" si="6"/>
        <v>11</v>
      </c>
      <c r="T14" s="103">
        <f t="shared" si="7"/>
        <v>7</v>
      </c>
      <c r="U14" s="103">
        <f t="shared" si="8"/>
        <v>0</v>
      </c>
      <c r="V14" s="104">
        <f>(IF((OR((P14="&gt;20"),(Q14="&gt;20"))),2,(IF(((T14+U14)=(P14+Q14)),0,1))))</f>
        <v>1</v>
      </c>
      <c r="W14" s="105">
        <f t="shared" si="25"/>
        <v>7</v>
      </c>
      <c r="X14" s="128">
        <f t="shared" si="30"/>
        <v>11</v>
      </c>
      <c r="Y14" s="103">
        <f t="shared" si="31"/>
        <v>0</v>
      </c>
      <c r="Z14" s="106">
        <f t="shared" si="9"/>
        <v>11</v>
      </c>
      <c r="AA14" s="107">
        <f t="shared" si="10"/>
        <v>0</v>
      </c>
      <c r="AB14" s="108">
        <f>IF(X14=0,0,VLOOKUP(X14,FREQUENCIAS!$1:$1048576,(IF(($A14=FREQUENCIAS!$G$1),7,"ERRO")),FREQUENCIAS!$1:$1048576))</f>
        <v>1.10308E-2</v>
      </c>
      <c r="AC14" s="108">
        <f>IF(Y14=0,0,VLOOKUP(Y14,FREQUENCIAS!$1:$1048576,(IF(($A14=FREQUENCIAS!$G$1),7,"ERRO")),FREQUENCIAS!$1:$1048576))</f>
        <v>0</v>
      </c>
      <c r="AD14" s="108"/>
      <c r="AE14" s="108"/>
      <c r="AF14" s="108"/>
      <c r="AG14" s="109">
        <f>(IF((A14="ERRO-FT"),"4",((IF((AND(($Z14=0),($AA14=0),($AX$32="N"))),0,(IF((AND(($Z14=0),($AA14=0),(AX$32="S"))),1,(IF((AB14+AC14+AD14+AE14+AF14)&lt;=$AI$7,$AI$7,(AB14+AC14+AD14+AE14+AF14))))))))))</f>
        <v>0.02</v>
      </c>
      <c r="AH14" s="110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50</v>
      </c>
      <c r="AI14" s="111">
        <f t="shared" si="11"/>
        <v>0.98039215686274506</v>
      </c>
      <c r="AJ14" s="112"/>
      <c r="AK14" s="113">
        <f t="shared" si="12"/>
        <v>0.96039999999999992</v>
      </c>
      <c r="AL14" s="112"/>
      <c r="AM14" s="114" t="str">
        <f t="shared" si="13"/>
        <v>1 / F</v>
      </c>
      <c r="AN14" s="105" t="str">
        <f t="shared" si="14"/>
        <v>OK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0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50</v>
      </c>
      <c r="BD14" s="2">
        <f t="shared" si="27"/>
        <v>0</v>
      </c>
      <c r="BF14" s="52">
        <v>4</v>
      </c>
      <c r="BG14" s="52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CORRETO</v>
      </c>
      <c r="BI14" s="56" t="str">
        <f t="shared" si="17"/>
        <v/>
      </c>
      <c r="BJ14" s="56">
        <f t="shared" si="18"/>
        <v>7</v>
      </c>
      <c r="BK14" s="56">
        <f t="shared" si="19"/>
        <v>7</v>
      </c>
      <c r="BL14" s="59" t="str">
        <f t="shared" si="20"/>
        <v/>
      </c>
      <c r="BM14" s="59">
        <f t="shared" si="21"/>
        <v>11</v>
      </c>
      <c r="BN14" s="59">
        <f t="shared" si="22"/>
        <v>11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 x14ac:dyDescent="0.3">
      <c r="A15" s="261" t="s">
        <v>159</v>
      </c>
      <c r="B15" s="262">
        <f>'DADOS FINAIS'!F15</f>
        <v>11</v>
      </c>
      <c r="C15" s="262">
        <f>'DADOS FINAIS'!G15</f>
        <v>12</v>
      </c>
      <c r="D15" s="262">
        <f>'DADOS FINAIS'!D15</f>
        <v>11</v>
      </c>
      <c r="E15" s="262">
        <f>'DADOS FINAIS'!E15</f>
        <v>12</v>
      </c>
      <c r="F15" s="262">
        <f>'DADOS FINAIS'!B15</f>
        <v>8</v>
      </c>
      <c r="G15" s="262">
        <f>'DADOS FINAIS'!C15</f>
        <v>12</v>
      </c>
      <c r="H15" s="101">
        <f t="shared" si="0"/>
        <v>11</v>
      </c>
      <c r="I15" s="101">
        <f t="shared" si="0"/>
        <v>12</v>
      </c>
      <c r="J15" s="101">
        <f t="shared" si="0"/>
        <v>11</v>
      </c>
      <c r="K15" s="101">
        <f t="shared" si="0"/>
        <v>12</v>
      </c>
      <c r="L15" s="101">
        <f t="shared" si="0"/>
        <v>8</v>
      </c>
      <c r="M15" s="101">
        <f t="shared" si="0"/>
        <v>12</v>
      </c>
      <c r="N15" s="102">
        <f t="shared" si="1"/>
        <v>11</v>
      </c>
      <c r="O15" s="102">
        <f t="shared" si="2"/>
        <v>12</v>
      </c>
      <c r="P15" s="102">
        <f t="shared" si="3"/>
        <v>11</v>
      </c>
      <c r="Q15" s="102">
        <f t="shared" si="4"/>
        <v>12</v>
      </c>
      <c r="R15" s="102">
        <f t="shared" si="5"/>
        <v>8</v>
      </c>
      <c r="S15" s="102">
        <f t="shared" si="6"/>
        <v>12</v>
      </c>
      <c r="T15" s="103">
        <f t="shared" si="7"/>
        <v>11</v>
      </c>
      <c r="U15" s="103">
        <f t="shared" si="8"/>
        <v>12</v>
      </c>
      <c r="V15" s="104">
        <f>(IF((OR((P15="&gt;23"),(Q15="&gt;23"))),2,(IF(((T15+U15)=(P15+Q15)),0,1))))</f>
        <v>0</v>
      </c>
      <c r="W15" s="105" t="str">
        <f t="shared" si="25"/>
        <v>NÃO DEF</v>
      </c>
      <c r="X15" s="128">
        <f t="shared" si="30"/>
        <v>11</v>
      </c>
      <c r="Y15" s="103">
        <f t="shared" si="31"/>
        <v>12</v>
      </c>
      <c r="Z15" s="106">
        <f t="shared" si="9"/>
        <v>0</v>
      </c>
      <c r="AA15" s="107">
        <f t="shared" si="10"/>
        <v>12</v>
      </c>
      <c r="AB15" s="108">
        <f>IF(X15=0,0,VLOOKUP(X15,FREQUENCIAS!$1:$1048576,(IF(($A15=FREQUENCIAS!$H$1),8,"ERRO")),FREQUENCIAS!$1:$1048576))</f>
        <v>0.28868100000000002</v>
      </c>
      <c r="AC15" s="108">
        <f>IF(Y15=0,0,VLOOKUP(Y15,FREQUENCIAS!$1:$1048576,(IF(($A15=FREQUENCIAS!$H$1),8,"ERRO")),FREQUENCIAS!$1:$1048576))</f>
        <v>0.25604300000000002</v>
      </c>
      <c r="AD15" s="108"/>
      <c r="AE15" s="108"/>
      <c r="AF15" s="108"/>
      <c r="AG15" s="109">
        <f>(IF((A15="ERRO-FT"),"8",((IF((AND(($Z15=0),($AA15=0),($AX$32="N"))),0,(IF((AND(($Z15=0),($AA15=0),(AX$32="S"))),1,(IF((AB15+AC15+AD15+AE15+AF15)&lt;=$AI$7,$AI$7,(AB15+AC15+AD15+AE15+AF15))))))))))</f>
        <v>0.54472399999999999</v>
      </c>
      <c r="AH15" s="110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0.91789603542344378</v>
      </c>
      <c r="AI15" s="111">
        <f t="shared" si="11"/>
        <v>0.47859530364000441</v>
      </c>
      <c r="AJ15" s="112"/>
      <c r="AK15" s="113">
        <f t="shared" si="12"/>
        <v>0.20727623617600002</v>
      </c>
      <c r="AL15" s="112"/>
      <c r="AM15" s="114" t="str">
        <f t="shared" si="13"/>
        <v>1 / 2F</v>
      </c>
      <c r="AN15" s="105" t="str">
        <f t="shared" si="14"/>
        <v>OK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0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0.91789603542344378</v>
      </c>
      <c r="BD15" s="2">
        <f t="shared" si="27"/>
        <v>0</v>
      </c>
      <c r="BF15" s="52">
        <v>8</v>
      </c>
      <c r="BG15" s="52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CORRETO</v>
      </c>
      <c r="BI15" s="56" t="str">
        <f t="shared" si="17"/>
        <v/>
      </c>
      <c r="BJ15" s="56" t="str">
        <f t="shared" si="18"/>
        <v>NÃO DEF</v>
      </c>
      <c r="BK15" s="56" t="str">
        <f t="shared" si="19"/>
        <v>NÃO DEF</v>
      </c>
      <c r="BL15" s="59" t="str">
        <f t="shared" si="20"/>
        <v/>
      </c>
      <c r="BM15" s="59">
        <f t="shared" si="21"/>
        <v>0</v>
      </c>
      <c r="BN15" s="59">
        <f t="shared" si="22"/>
        <v>0</v>
      </c>
      <c r="BO15" s="37" t="str">
        <f t="shared" si="28"/>
        <v/>
      </c>
      <c r="BP15" s="37">
        <f t="shared" si="23"/>
        <v>12</v>
      </c>
      <c r="BQ15" s="37">
        <f t="shared" si="24"/>
        <v>12</v>
      </c>
      <c r="BT15" s="23">
        <v>8</v>
      </c>
      <c r="BU15" s="24">
        <v>11</v>
      </c>
    </row>
    <row r="16" spans="1:80" ht="16.5" thickTop="1" thickBot="1" x14ac:dyDescent="0.3">
      <c r="A16" s="261" t="s">
        <v>155</v>
      </c>
      <c r="B16" s="262">
        <f>'DADOS FINAIS'!F16</f>
        <v>14</v>
      </c>
      <c r="C16" s="262">
        <f>'DADOS FINAIS'!G16</f>
        <v>18</v>
      </c>
      <c r="D16" s="262">
        <f>'DADOS FINAIS'!D16</f>
        <v>15</v>
      </c>
      <c r="E16" s="262">
        <f>'DADOS FINAIS'!E16</f>
        <v>18</v>
      </c>
      <c r="F16" s="262">
        <f>'DADOS FINAIS'!B16</f>
        <v>15</v>
      </c>
      <c r="G16" s="262">
        <f>'DADOS FINAIS'!C16</f>
        <v>20</v>
      </c>
      <c r="H16" s="101">
        <f t="shared" si="0"/>
        <v>14</v>
      </c>
      <c r="I16" s="101">
        <f t="shared" si="0"/>
        <v>18</v>
      </c>
      <c r="J16" s="101">
        <f t="shared" si="0"/>
        <v>15</v>
      </c>
      <c r="K16" s="101">
        <f t="shared" si="0"/>
        <v>18</v>
      </c>
      <c r="L16" s="101">
        <f t="shared" si="0"/>
        <v>15</v>
      </c>
      <c r="M16" s="101">
        <f t="shared" si="0"/>
        <v>20</v>
      </c>
      <c r="N16" s="102">
        <f t="shared" si="1"/>
        <v>14</v>
      </c>
      <c r="O16" s="102">
        <f t="shared" si="2"/>
        <v>18</v>
      </c>
      <c r="P16" s="102">
        <f t="shared" si="3"/>
        <v>15</v>
      </c>
      <c r="Q16" s="102">
        <f t="shared" si="4"/>
        <v>18</v>
      </c>
      <c r="R16" s="102">
        <f t="shared" si="5"/>
        <v>15</v>
      </c>
      <c r="S16" s="102">
        <f t="shared" si="6"/>
        <v>20</v>
      </c>
      <c r="T16" s="103">
        <f t="shared" si="7"/>
        <v>0</v>
      </c>
      <c r="U16" s="103">
        <f t="shared" si="8"/>
        <v>18</v>
      </c>
      <c r="V16" s="104">
        <f>(IF((OR((P16="&gt;22"),(Q16="&gt;22"))),2,(IF(((T16+U16)=(P16+Q16)),0,1))))</f>
        <v>1</v>
      </c>
      <c r="W16" s="105">
        <f t="shared" si="25"/>
        <v>18</v>
      </c>
      <c r="X16" s="128">
        <f t="shared" si="30"/>
        <v>15</v>
      </c>
      <c r="Y16" s="103">
        <f t="shared" si="31"/>
        <v>0</v>
      </c>
      <c r="Z16" s="106">
        <f t="shared" si="9"/>
        <v>15</v>
      </c>
      <c r="AA16" s="107">
        <f t="shared" si="10"/>
        <v>0</v>
      </c>
      <c r="AB16" s="108">
        <f>IF(X16=0,0,VLOOKUP(X16,FREQUENCIAS!$1:$1048576,(IF(($A16=FREQUENCIAS!$I$1),9,"ERRO")),FREQUENCIAS!$1:$1048576))</f>
        <v>0.15221299999999999</v>
      </c>
      <c r="AC16" s="108">
        <f>IF(Y16=0,0,VLOOKUP(Y16,FREQUENCIAS!$1:$1048576,(IF(($A16=FREQUENCIAS!$I$1),9,"ERRO")),FREQUENCIAS!$1:$1048576))</f>
        <v>0</v>
      </c>
      <c r="AD16" s="108"/>
      <c r="AE16" s="108"/>
      <c r="AF16" s="108"/>
      <c r="AG16" s="109">
        <f>(IF((A16="ERRO-FT"),"5",((IF((AND(($Z16=0),($AA16=0),($AX$32="N"))),0,(IF((AND(($Z16=0),($AA16=0),(AX$32="S"))),1,(IF((AB16+AC16+AD16+AE16+AF16)&lt;=$AI$7,$AI$7,(AB16+AC16+AD16+AE16+AF16))))))))))</f>
        <v>0.15221299999999999</v>
      </c>
      <c r="AH16" s="110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3.2848705432518908</v>
      </c>
      <c r="AI16" s="111">
        <f t="shared" si="11"/>
        <v>0.76662072053148278</v>
      </c>
      <c r="AJ16" s="112"/>
      <c r="AK16" s="113">
        <f t="shared" si="12"/>
        <v>0.71874279736900015</v>
      </c>
      <c r="AL16" s="112"/>
      <c r="AM16" s="114" t="str">
        <f t="shared" si="13"/>
        <v>1 / 2F</v>
      </c>
      <c r="AN16" s="105" t="str">
        <f t="shared" si="14"/>
        <v>OK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0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3.2848705432518908</v>
      </c>
      <c r="BD16" s="2">
        <f t="shared" si="27"/>
        <v>0</v>
      </c>
      <c r="BF16" s="52">
        <v>5</v>
      </c>
      <c r="BG16" s="52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6" t="str">
        <f t="shared" si="17"/>
        <v/>
      </c>
      <c r="BJ16" s="56">
        <f t="shared" si="18"/>
        <v>18</v>
      </c>
      <c r="BK16" s="56">
        <f t="shared" si="19"/>
        <v>18</v>
      </c>
      <c r="BL16" s="59" t="str">
        <f t="shared" si="20"/>
        <v/>
      </c>
      <c r="BM16" s="59">
        <f t="shared" si="21"/>
        <v>15</v>
      </c>
      <c r="BN16" s="59">
        <f t="shared" si="22"/>
        <v>15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ht="16.5" thickTop="1" thickBot="1" x14ac:dyDescent="0.3">
      <c r="A17" s="261" t="s">
        <v>51</v>
      </c>
      <c r="B17" s="262">
        <f>'DADOS FINAIS'!F17</f>
        <v>17</v>
      </c>
      <c r="C17" s="262">
        <f>'DADOS FINAIS'!G17</f>
        <v>17</v>
      </c>
      <c r="D17" s="262">
        <f>'DADOS FINAIS'!D17</f>
        <v>17</v>
      </c>
      <c r="E17" s="262">
        <f>'DADOS FINAIS'!E17</f>
        <v>20</v>
      </c>
      <c r="F17" s="262">
        <f>'DADOS FINAIS'!B17</f>
        <v>20</v>
      </c>
      <c r="G17" s="262">
        <f>'DADOS FINAIS'!C17</f>
        <v>22</v>
      </c>
      <c r="H17" s="101">
        <f t="shared" si="0"/>
        <v>17</v>
      </c>
      <c r="I17" s="101">
        <f t="shared" si="0"/>
        <v>17</v>
      </c>
      <c r="J17" s="101">
        <f t="shared" si="0"/>
        <v>17</v>
      </c>
      <c r="K17" s="101">
        <f t="shared" si="0"/>
        <v>20</v>
      </c>
      <c r="L17" s="101">
        <f t="shared" si="0"/>
        <v>20</v>
      </c>
      <c r="M17" s="101">
        <f t="shared" si="0"/>
        <v>22</v>
      </c>
      <c r="N17" s="102">
        <f t="shared" si="1"/>
        <v>17</v>
      </c>
      <c r="O17" s="102">
        <f t="shared" si="2"/>
        <v>17</v>
      </c>
      <c r="P17" s="102">
        <f t="shared" si="3"/>
        <v>17</v>
      </c>
      <c r="Q17" s="102">
        <f t="shared" si="4"/>
        <v>20</v>
      </c>
      <c r="R17" s="102">
        <f t="shared" si="5"/>
        <v>20</v>
      </c>
      <c r="S17" s="102">
        <f t="shared" si="6"/>
        <v>22</v>
      </c>
      <c r="T17" s="103">
        <f t="shared" si="7"/>
        <v>17</v>
      </c>
      <c r="U17" s="103">
        <f t="shared" si="8"/>
        <v>0</v>
      </c>
      <c r="V17" s="104">
        <f>(IF((OR((P17="&gt;28"),(Q17="&gt;28"))),2,(IF(((T17+U17)=(P17+Q17)),0,1))))</f>
        <v>1</v>
      </c>
      <c r="W17" s="105">
        <f t="shared" si="25"/>
        <v>17</v>
      </c>
      <c r="X17" s="128">
        <f t="shared" si="30"/>
        <v>20</v>
      </c>
      <c r="Y17" s="103">
        <f t="shared" si="31"/>
        <v>0</v>
      </c>
      <c r="Z17" s="106">
        <f t="shared" si="9"/>
        <v>20</v>
      </c>
      <c r="AA17" s="107">
        <f t="shared" si="10"/>
        <v>0</v>
      </c>
      <c r="AB17" s="108">
        <f>IF(X17=0,0,VLOOKUP(X17,FREQUENCIAS!$1:$1048576,(IF(($A17=FREQUENCIAS!$J$1),10,"ERRO")),FREQUENCIAS!$1:$1048576))</f>
        <v>0.13669999999999999</v>
      </c>
      <c r="AC17" s="108">
        <f>IF(Y17=0,0,VLOOKUP(Y17,FREQUENCIAS!$1:$1048576,(IF(($A17=FREQUENCIAS!$J$1),10,"ERRO")),FREQUENCIAS!$1:$1048576))</f>
        <v>0</v>
      </c>
      <c r="AD17" s="108"/>
      <c r="AE17" s="108"/>
      <c r="AF17" s="108"/>
      <c r="AG17" s="109">
        <f>(IF((A17="ERRO-FT"),"15",((IF((AND(($Z17=0),($AA17=0),($AX$32="N"))),0,(IF((AND(($Z17=0),($AA17=0),(AX$32="S"))),1,(IF((AB17+AC17+AD17+AE17+AF17)&lt;=$AI$7,$AI$7,(AB17+AC17+AD17+AE17+AF17))))))))))</f>
        <v>0.13669999999999999</v>
      </c>
      <c r="AH17" s="110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3.6576444769568401</v>
      </c>
      <c r="AI17" s="111">
        <f t="shared" si="11"/>
        <v>0.78529919899481715</v>
      </c>
      <c r="AJ17" s="112" t="s">
        <v>173</v>
      </c>
      <c r="AK17" s="113">
        <f t="shared" si="12"/>
        <v>0.74528688999999992</v>
      </c>
      <c r="AL17" s="112"/>
      <c r="AM17" s="114" t="str">
        <f t="shared" si="13"/>
        <v>1 / 2F</v>
      </c>
      <c r="AN17" s="105" t="str">
        <f t="shared" si="14"/>
        <v>OK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0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3.6576444769568401</v>
      </c>
      <c r="BD17" s="2">
        <f t="shared" si="27"/>
        <v>0</v>
      </c>
      <c r="BF17" s="52">
        <v>15</v>
      </c>
      <c r="BG17" s="52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CORRETO</v>
      </c>
      <c r="BI17" s="56" t="str">
        <f t="shared" si="17"/>
        <v/>
      </c>
      <c r="BJ17" s="56">
        <f t="shared" si="18"/>
        <v>17</v>
      </c>
      <c r="BK17" s="56">
        <f t="shared" si="19"/>
        <v>17</v>
      </c>
      <c r="BL17" s="59" t="str">
        <f t="shared" si="20"/>
        <v/>
      </c>
      <c r="BM17" s="59">
        <f t="shared" si="21"/>
        <v>20</v>
      </c>
      <c r="BN17" s="59">
        <f t="shared" si="22"/>
        <v>20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ht="16.5" thickTop="1" thickBot="1" x14ac:dyDescent="0.3">
      <c r="A18" s="261" t="s">
        <v>132</v>
      </c>
      <c r="B18" s="262">
        <f>'DADOS FINAIS'!F18</f>
        <v>10</v>
      </c>
      <c r="C18" s="262">
        <f>'DADOS FINAIS'!G18</f>
        <v>10</v>
      </c>
      <c r="D18" s="262">
        <f>'DADOS FINAIS'!D18</f>
        <v>10</v>
      </c>
      <c r="E18" s="262">
        <f>'DADOS FINAIS'!E18</f>
        <v>10</v>
      </c>
      <c r="F18" s="262">
        <f>'DADOS FINAIS'!B18</f>
        <v>10</v>
      </c>
      <c r="G18" s="262">
        <f>'DADOS FINAIS'!C18</f>
        <v>11</v>
      </c>
      <c r="H18" s="101">
        <f t="shared" si="0"/>
        <v>10</v>
      </c>
      <c r="I18" s="101">
        <f t="shared" si="0"/>
        <v>10</v>
      </c>
      <c r="J18" s="101">
        <f t="shared" si="0"/>
        <v>10</v>
      </c>
      <c r="K18" s="101">
        <f t="shared" si="0"/>
        <v>10</v>
      </c>
      <c r="L18" s="101">
        <f t="shared" si="0"/>
        <v>10</v>
      </c>
      <c r="M18" s="101">
        <f t="shared" si="0"/>
        <v>11</v>
      </c>
      <c r="N18" s="102">
        <f t="shared" si="1"/>
        <v>10</v>
      </c>
      <c r="O18" s="102">
        <f t="shared" si="2"/>
        <v>10</v>
      </c>
      <c r="P18" s="102">
        <f t="shared" si="3"/>
        <v>10</v>
      </c>
      <c r="Q18" s="102">
        <f t="shared" si="4"/>
        <v>10</v>
      </c>
      <c r="R18" s="102">
        <f t="shared" si="5"/>
        <v>10</v>
      </c>
      <c r="S18" s="102">
        <f t="shared" si="6"/>
        <v>11</v>
      </c>
      <c r="T18" s="103">
        <f t="shared" si="7"/>
        <v>10</v>
      </c>
      <c r="U18" s="103">
        <f t="shared" si="8"/>
        <v>10</v>
      </c>
      <c r="V18" s="104">
        <f>(IF((OR((P18="&gt;17,2"),(Q18="&gt;17,2"))),2,(IF(((T18+U18)=(P18+Q18)),0,1))))</f>
        <v>0</v>
      </c>
      <c r="W18" s="105">
        <f t="shared" si="25"/>
        <v>10</v>
      </c>
      <c r="X18" s="128">
        <f t="shared" si="30"/>
        <v>10</v>
      </c>
      <c r="Y18" s="103">
        <f t="shared" si="31"/>
        <v>0</v>
      </c>
      <c r="Z18" s="106">
        <f t="shared" si="9"/>
        <v>10</v>
      </c>
      <c r="AA18" s="107">
        <f t="shared" si="10"/>
        <v>0</v>
      </c>
      <c r="AB18" s="108">
        <f>IF(X18=0,0,VLOOKUP(X18,FREQUENCIAS!$1:$1048576,(IF(($A18=FREQUENCIAS!$K$1),11,"ERRO")),FREQUENCIAS!$1:$1048576))</f>
        <v>0.262376</v>
      </c>
      <c r="AC18" s="108">
        <f>IF(Y18=0,0,VLOOKUP(Y18,FREQUENCIAS!$1:$1048576,(IF(($A18=FREQUENCIAS!$K$1),11,"ERRO")),FREQUENCIAS!$1:$1048576))</f>
        <v>0</v>
      </c>
      <c r="AD18" s="108"/>
      <c r="AE18" s="108"/>
      <c r="AF18" s="108"/>
      <c r="AG18" s="109">
        <f>(IF((A18="ERRO-FT"),"9",((IF((AND(($Z18=0),($AA18=0),($AX$32="N"))),0,(IF((AND(($Z18=0),($AA18=0),(AX$32="S"))),1,(IF((AB18+AC18+AD18+AE18+AF18)&lt;=$AI$7,$AI$7,(AB18+AC18+AD18+AE18+AF18))))))))))</f>
        <v>0.262376</v>
      </c>
      <c r="AH18" s="110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1.90566210324115</v>
      </c>
      <c r="AI18" s="111">
        <f t="shared" si="11"/>
        <v>0.65584436026317716</v>
      </c>
      <c r="AJ18" s="112"/>
      <c r="AK18" s="113">
        <f t="shared" si="12"/>
        <v>0.54408916537600005</v>
      </c>
      <c r="AL18" s="112"/>
      <c r="AM18" s="114" t="str">
        <f t="shared" si="13"/>
        <v>1 / 2F</v>
      </c>
      <c r="AN18" s="105" t="str">
        <f t="shared" si="14"/>
        <v>OK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0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1.90566210324115</v>
      </c>
      <c r="BD18" s="2">
        <f t="shared" si="27"/>
        <v>0</v>
      </c>
      <c r="BF18" s="52">
        <v>9</v>
      </c>
      <c r="BG18" s="52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CORRETO</v>
      </c>
      <c r="BI18" s="56" t="str">
        <f t="shared" si="17"/>
        <v/>
      </c>
      <c r="BJ18" s="56">
        <f t="shared" si="18"/>
        <v>10</v>
      </c>
      <c r="BK18" s="56">
        <f t="shared" si="19"/>
        <v>10</v>
      </c>
      <c r="BL18" s="59" t="str">
        <f t="shared" si="20"/>
        <v/>
      </c>
      <c r="BM18" s="59">
        <f t="shared" si="21"/>
        <v>10</v>
      </c>
      <c r="BN18" s="59">
        <f t="shared" si="22"/>
        <v>10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 x14ac:dyDescent="0.3">
      <c r="A19" s="261" t="s">
        <v>227</v>
      </c>
      <c r="B19" s="262">
        <f>'DADOS FINAIS'!F19</f>
        <v>11</v>
      </c>
      <c r="C19" s="262">
        <f>'DADOS FINAIS'!G19</f>
        <v>12</v>
      </c>
      <c r="D19" s="262">
        <f>'DADOS FINAIS'!D19</f>
        <v>11</v>
      </c>
      <c r="E19" s="262">
        <f>'DADOS FINAIS'!E19</f>
        <v>11</v>
      </c>
      <c r="F19" s="262">
        <f>'DADOS FINAIS'!B19</f>
        <v>8</v>
      </c>
      <c r="G19" s="262">
        <f>'DADOS FINAIS'!C19</f>
        <v>11</v>
      </c>
      <c r="H19" s="101">
        <f t="shared" si="0"/>
        <v>11</v>
      </c>
      <c r="I19" s="101">
        <f t="shared" si="0"/>
        <v>12</v>
      </c>
      <c r="J19" s="101">
        <f t="shared" si="0"/>
        <v>11</v>
      </c>
      <c r="K19" s="101">
        <f t="shared" si="0"/>
        <v>11</v>
      </c>
      <c r="L19" s="101">
        <f t="shared" si="0"/>
        <v>8</v>
      </c>
      <c r="M19" s="101">
        <f t="shared" si="0"/>
        <v>11</v>
      </c>
      <c r="N19" s="102">
        <f t="shared" si="1"/>
        <v>11</v>
      </c>
      <c r="O19" s="102">
        <f t="shared" si="2"/>
        <v>12</v>
      </c>
      <c r="P19" s="102">
        <f t="shared" si="3"/>
        <v>11</v>
      </c>
      <c r="Q19" s="102">
        <f t="shared" si="4"/>
        <v>11</v>
      </c>
      <c r="R19" s="102">
        <f t="shared" si="5"/>
        <v>8</v>
      </c>
      <c r="S19" s="102">
        <f t="shared" si="6"/>
        <v>11</v>
      </c>
      <c r="T19" s="103">
        <f t="shared" si="7"/>
        <v>11</v>
      </c>
      <c r="U19" s="103">
        <f t="shared" si="8"/>
        <v>11</v>
      </c>
      <c r="V19" s="104">
        <f>(IF((OR((P19="&gt;21"),(Q19="&gt;21"))),2,(IF(((T19+U19)=(P19+Q19)),0,1))))</f>
        <v>0</v>
      </c>
      <c r="W19" s="105">
        <f t="shared" si="25"/>
        <v>11</v>
      </c>
      <c r="X19" s="128">
        <f t="shared" si="30"/>
        <v>11</v>
      </c>
      <c r="Y19" s="103">
        <f t="shared" si="31"/>
        <v>0</v>
      </c>
      <c r="Z19" s="106">
        <f t="shared" si="9"/>
        <v>11</v>
      </c>
      <c r="AA19" s="107">
        <f t="shared" si="10"/>
        <v>0</v>
      </c>
      <c r="AB19" s="108">
        <f>IF(X19=0,0,VLOOKUP(X19,FREQUENCIAS!$1:$1048576,(IF(($A19=FREQUENCIAS!$L$1),12,"ERRO")),FREQUENCIAS!$1:$1048576))</f>
        <v>0.15679799999999999</v>
      </c>
      <c r="AC19" s="108">
        <f>IF(Y19=0,0,VLOOKUP(Y19,FREQUENCIAS!$1:$1048576,(IF(($A19=FREQUENCIAS!$L$1),12,"ERRO")),FREQUENCIAS!$1:$1048576))</f>
        <v>0</v>
      </c>
      <c r="AD19" s="108"/>
      <c r="AE19" s="108"/>
      <c r="AF19" s="108"/>
      <c r="AG19" s="109">
        <f>(IF((A19="ERRO-FT"),"11",((IF((AND(($Z19=0),($AA19=0),($AX$32="N"))),0,(IF((AND(($Z19=0),($AA19=0),(AX$32="S"))),1,(IF((AB19+AC19+AD19+AE19+AF19)&lt;=$AI$7,$AI$7,(AB19+AC19+AD19+AE19+AF19))))))))))</f>
        <v>0.15679799999999999</v>
      </c>
      <c r="AH19" s="110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3.1888161838798967</v>
      </c>
      <c r="AI19" s="111">
        <f t="shared" si="11"/>
        <v>0.76126906598375754</v>
      </c>
      <c r="AJ19" s="112" t="s">
        <v>164</v>
      </c>
      <c r="AK19" s="113">
        <f t="shared" si="12"/>
        <v>0.71098961280399997</v>
      </c>
      <c r="AL19" s="112"/>
      <c r="AM19" s="114" t="str">
        <f t="shared" si="13"/>
        <v>1 / 2F</v>
      </c>
      <c r="AN19" s="105" t="str">
        <f t="shared" si="14"/>
        <v>OK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0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3.1888161838798967</v>
      </c>
      <c r="BD19" s="2">
        <f t="shared" si="27"/>
        <v>0</v>
      </c>
      <c r="BF19" s="52">
        <v>11</v>
      </c>
      <c r="BG19" s="52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6" t="str">
        <f t="shared" si="17"/>
        <v/>
      </c>
      <c r="BJ19" s="56">
        <f t="shared" si="18"/>
        <v>11</v>
      </c>
      <c r="BK19" s="56">
        <f t="shared" si="19"/>
        <v>11</v>
      </c>
      <c r="BL19" s="59" t="str">
        <f t="shared" si="20"/>
        <v/>
      </c>
      <c r="BM19" s="59">
        <f t="shared" si="21"/>
        <v>11</v>
      </c>
      <c r="BN19" s="59">
        <f t="shared" si="22"/>
        <v>11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 x14ac:dyDescent="0.3">
      <c r="A20" s="261" t="s">
        <v>144</v>
      </c>
      <c r="B20" s="262">
        <f>'DADOS FINAIS'!F20</f>
        <v>6</v>
      </c>
      <c r="C20" s="262">
        <f>'DADOS FINAIS'!G20</f>
        <v>6</v>
      </c>
      <c r="D20" s="262">
        <f>'DADOS FINAIS'!D20</f>
        <v>6</v>
      </c>
      <c r="E20" s="262">
        <f>'DADOS FINAIS'!E20</f>
        <v>6</v>
      </c>
      <c r="F20" s="262">
        <f>'DADOS FINAIS'!B20</f>
        <v>6</v>
      </c>
      <c r="G20" s="262">
        <f>'DADOS FINAIS'!C20</f>
        <v>7</v>
      </c>
      <c r="H20" s="101">
        <f t="shared" si="0"/>
        <v>6</v>
      </c>
      <c r="I20" s="101">
        <f t="shared" si="0"/>
        <v>6</v>
      </c>
      <c r="J20" s="101">
        <f t="shared" si="0"/>
        <v>6</v>
      </c>
      <c r="K20" s="101">
        <f t="shared" si="0"/>
        <v>6</v>
      </c>
      <c r="L20" s="101">
        <f t="shared" si="0"/>
        <v>6</v>
      </c>
      <c r="M20" s="101">
        <f t="shared" si="0"/>
        <v>7</v>
      </c>
      <c r="N20" s="102">
        <f t="shared" si="1"/>
        <v>6</v>
      </c>
      <c r="O20" s="102">
        <f t="shared" si="2"/>
        <v>6</v>
      </c>
      <c r="P20" s="102">
        <f t="shared" si="3"/>
        <v>6</v>
      </c>
      <c r="Q20" s="102">
        <f t="shared" si="4"/>
        <v>6</v>
      </c>
      <c r="R20" s="102">
        <f t="shared" si="5"/>
        <v>6</v>
      </c>
      <c r="S20" s="102">
        <f t="shared" si="6"/>
        <v>7</v>
      </c>
      <c r="T20" s="103">
        <f t="shared" si="7"/>
        <v>6</v>
      </c>
      <c r="U20" s="103">
        <f t="shared" si="8"/>
        <v>6</v>
      </c>
      <c r="V20" s="104">
        <f>(IF((OR((P20="&gt;20"),(Q20="&gt;20"))),2,(IF(((T20+U20)=(P20+Q20)),0,1))))</f>
        <v>0</v>
      </c>
      <c r="W20" s="105">
        <f t="shared" si="25"/>
        <v>6</v>
      </c>
      <c r="X20" s="128">
        <f t="shared" si="30"/>
        <v>6</v>
      </c>
      <c r="Y20" s="103">
        <f t="shared" si="31"/>
        <v>0</v>
      </c>
      <c r="Z20" s="106">
        <f t="shared" si="9"/>
        <v>6</v>
      </c>
      <c r="AA20" s="107">
        <f t="shared" si="10"/>
        <v>0</v>
      </c>
      <c r="AB20" s="108">
        <f>IF(X20=0,0,VLOOKUP(X20,FREQUENCIAS!$1:$1048576,(IF(($A20=FREQUENCIAS!$M$1),13,"ERRO")),FREQUENCIAS!$1:$1048576))</f>
        <v>0.21123800000000001</v>
      </c>
      <c r="AC20" s="108">
        <f>IF(Y20=0,0,VLOOKUP(Y20,FREQUENCIAS!$1:$1048576,(IF(($A20=FREQUENCIAS!$M$1),13,"ERRO")),FREQUENCIAS!$1:$1048576))</f>
        <v>0</v>
      </c>
      <c r="AD20" s="108"/>
      <c r="AE20" s="108"/>
      <c r="AF20" s="108"/>
      <c r="AG20" s="109">
        <f>(IF((A20="ERRO-FT"),"5",((IF((AND(($Z20=0),($AA20=0),($AX$32="N"))),0,(IF((AND(($Z20=0),($AA20=0),(AX$32="S"))),1,(IF((AB20+AC20+AD20+AE20+AF20)&lt;=$AI$7,$AI$7,(AB20+AC20+AD20+AE20+AF20))))))))))</f>
        <v>0.21123800000000001</v>
      </c>
      <c r="AH20" s="110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2.3669983620371333</v>
      </c>
      <c r="AI20" s="111">
        <f t="shared" si="11"/>
        <v>0.70299955851627727</v>
      </c>
      <c r="AJ20" s="112"/>
      <c r="AK20" s="113">
        <f t="shared" si="12"/>
        <v>0.62214549264399999</v>
      </c>
      <c r="AL20" s="112"/>
      <c r="AM20" s="114" t="str">
        <f t="shared" si="13"/>
        <v>1 / 2F</v>
      </c>
      <c r="AN20" s="105" t="str">
        <f t="shared" si="14"/>
        <v>OK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0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2.3669983620371333</v>
      </c>
      <c r="BD20" s="2">
        <f t="shared" si="27"/>
        <v>0</v>
      </c>
      <c r="BF20" s="52">
        <v>5</v>
      </c>
      <c r="BG20" s="52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CORRETO</v>
      </c>
      <c r="BI20" s="56" t="str">
        <f t="shared" si="17"/>
        <v/>
      </c>
      <c r="BJ20" s="56">
        <f t="shared" si="18"/>
        <v>6</v>
      </c>
      <c r="BK20" s="56">
        <f t="shared" si="19"/>
        <v>6</v>
      </c>
      <c r="BL20" s="59" t="str">
        <f t="shared" si="20"/>
        <v/>
      </c>
      <c r="BM20" s="59">
        <f t="shared" si="21"/>
        <v>6</v>
      </c>
      <c r="BN20" s="59">
        <f t="shared" si="22"/>
        <v>6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 x14ac:dyDescent="0.3">
      <c r="A21" s="261" t="s">
        <v>179</v>
      </c>
      <c r="B21" s="262">
        <f>'DADOS FINAIS'!F21</f>
        <v>17</v>
      </c>
      <c r="C21" s="262">
        <f>'DADOS FINAIS'!G21</f>
        <v>17</v>
      </c>
      <c r="D21" s="262">
        <f>'DADOS FINAIS'!D21</f>
        <v>15</v>
      </c>
      <c r="E21" s="262">
        <f>'DADOS FINAIS'!E21</f>
        <v>17</v>
      </c>
      <c r="F21" s="262">
        <f>'DADOS FINAIS'!B21</f>
        <v>15</v>
      </c>
      <c r="G21" s="262">
        <f>'DADOS FINAIS'!C21</f>
        <v>17</v>
      </c>
      <c r="H21" s="101">
        <f t="shared" si="0"/>
        <v>17</v>
      </c>
      <c r="I21" s="101">
        <f t="shared" si="0"/>
        <v>17</v>
      </c>
      <c r="J21" s="101">
        <f t="shared" si="0"/>
        <v>15</v>
      </c>
      <c r="K21" s="101">
        <f t="shared" si="0"/>
        <v>17</v>
      </c>
      <c r="L21" s="101">
        <f t="shared" si="0"/>
        <v>15</v>
      </c>
      <c r="M21" s="101">
        <f t="shared" si="0"/>
        <v>17</v>
      </c>
      <c r="N21" s="102">
        <f t="shared" si="1"/>
        <v>17</v>
      </c>
      <c r="O21" s="102">
        <f t="shared" si="2"/>
        <v>17</v>
      </c>
      <c r="P21" s="102">
        <f t="shared" si="3"/>
        <v>15</v>
      </c>
      <c r="Q21" s="102">
        <f t="shared" si="4"/>
        <v>17</v>
      </c>
      <c r="R21" s="102">
        <f t="shared" si="5"/>
        <v>15</v>
      </c>
      <c r="S21" s="102">
        <f t="shared" si="6"/>
        <v>17</v>
      </c>
      <c r="T21" s="103">
        <f t="shared" si="7"/>
        <v>0</v>
      </c>
      <c r="U21" s="103">
        <f t="shared" si="8"/>
        <v>17</v>
      </c>
      <c r="V21" s="104">
        <f>(IF((OR((P21="&gt;24"),(Q21="&gt;24"))),2,(IF(((T21+U21)=(P21+Q21)),0,1))))</f>
        <v>1</v>
      </c>
      <c r="W21" s="105">
        <f t="shared" si="25"/>
        <v>17</v>
      </c>
      <c r="X21" s="128">
        <f t="shared" si="30"/>
        <v>15</v>
      </c>
      <c r="Y21" s="103">
        <f t="shared" si="31"/>
        <v>0</v>
      </c>
      <c r="Z21" s="106">
        <f t="shared" si="9"/>
        <v>15</v>
      </c>
      <c r="AA21" s="107">
        <f t="shared" si="10"/>
        <v>0</v>
      </c>
      <c r="AB21" s="108">
        <f>IF(X21=0,0,VLOOKUP(X21,FREQUENCIAS!$1:$1048576,(IF(($A21=FREQUENCIAS!$N$1),14,"ERRO")),FREQUENCIAS!$1:$1048576))</f>
        <v>0.13799400000000001</v>
      </c>
      <c r="AC21" s="108">
        <f>IF(Y21=0,0,VLOOKUP(Y21,FREQUENCIAS!$1:$1048576,(IF(($A21=FREQUENCIAS!$N$1),14,"ERRO")),FREQUENCIAS!$1:$1048576))</f>
        <v>0</v>
      </c>
      <c r="AD21" s="108"/>
      <c r="AE21" s="108"/>
      <c r="AF21" s="108"/>
      <c r="AG21" s="109">
        <f>(IF((A21="ERRO-FT"),"7",((IF((AND(($Z21=0),($AA21=0),($AX$32="N"))),0,(IF((AND(($Z21=0),($AA21=0),(AX$32="S"))),1,(IF((AB21+AC21+AD21+AE21+AF21)&lt;=$AI$7,$AI$7,(AB21+AC21+AD21+AE21+AF21))))))))))</f>
        <v>0.13799400000000001</v>
      </c>
      <c r="AH21" s="110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3.6233459425772132</v>
      </c>
      <c r="AI21" s="111">
        <f t="shared" si="11"/>
        <v>0.783706429841033</v>
      </c>
      <c r="AJ21" s="112"/>
      <c r="AK21" s="113">
        <f t="shared" si="12"/>
        <v>0.74305434403600013</v>
      </c>
      <c r="AL21" s="112"/>
      <c r="AM21" s="114" t="str">
        <f t="shared" si="13"/>
        <v>1 / 2F</v>
      </c>
      <c r="AN21" s="105" t="str">
        <f t="shared" si="14"/>
        <v>OK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0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3.6233459425772132</v>
      </c>
      <c r="BD21" s="2">
        <f t="shared" si="27"/>
        <v>0</v>
      </c>
      <c r="BF21" s="52">
        <v>7</v>
      </c>
      <c r="BG21" s="52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CORRETO</v>
      </c>
      <c r="BI21" s="56" t="str">
        <f t="shared" si="17"/>
        <v/>
      </c>
      <c r="BJ21" s="56">
        <f t="shared" si="18"/>
        <v>17</v>
      </c>
      <c r="BK21" s="56">
        <f t="shared" si="19"/>
        <v>17</v>
      </c>
      <c r="BL21" s="59" t="str">
        <f t="shared" si="20"/>
        <v/>
      </c>
      <c r="BM21" s="59">
        <f t="shared" si="21"/>
        <v>15</v>
      </c>
      <c r="BN21" s="59">
        <f t="shared" si="22"/>
        <v>15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 x14ac:dyDescent="0.3">
      <c r="A22" s="261" t="s">
        <v>154</v>
      </c>
      <c r="B22" s="262">
        <f>'DADOS FINAIS'!F22</f>
        <v>28</v>
      </c>
      <c r="C22" s="262">
        <f>'DADOS FINAIS'!G22</f>
        <v>30</v>
      </c>
      <c r="D22" s="262">
        <f>'DADOS FINAIS'!D22</f>
        <v>28</v>
      </c>
      <c r="E22" s="262">
        <f>'DADOS FINAIS'!E22</f>
        <v>31.2</v>
      </c>
      <c r="F22" s="262">
        <f>'DADOS FINAIS'!B22</f>
        <v>31.2</v>
      </c>
      <c r="G22" s="262">
        <f>'DADOS FINAIS'!C22</f>
        <v>33.200000000000003</v>
      </c>
      <c r="H22" s="101">
        <f t="shared" si="0"/>
        <v>28</v>
      </c>
      <c r="I22" s="101">
        <f t="shared" si="0"/>
        <v>30</v>
      </c>
      <c r="J22" s="101">
        <f t="shared" si="0"/>
        <v>28</v>
      </c>
      <c r="K22" s="101">
        <f t="shared" si="0"/>
        <v>31.2</v>
      </c>
      <c r="L22" s="101">
        <f t="shared" si="0"/>
        <v>31.2</v>
      </c>
      <c r="M22" s="101">
        <f t="shared" si="0"/>
        <v>33.200000000000003</v>
      </c>
      <c r="N22" s="102">
        <f t="shared" si="1"/>
        <v>28</v>
      </c>
      <c r="O22" s="102">
        <f t="shared" si="2"/>
        <v>30</v>
      </c>
      <c r="P22" s="102">
        <f t="shared" si="3"/>
        <v>28</v>
      </c>
      <c r="Q22" s="102">
        <f t="shared" si="4"/>
        <v>31.2</v>
      </c>
      <c r="R22" s="102">
        <f t="shared" si="5"/>
        <v>31.2</v>
      </c>
      <c r="S22" s="102">
        <f t="shared" si="6"/>
        <v>33.200000000000003</v>
      </c>
      <c r="T22" s="103">
        <f t="shared" si="7"/>
        <v>28</v>
      </c>
      <c r="U22" s="103">
        <f t="shared" si="8"/>
        <v>0</v>
      </c>
      <c r="V22" s="104">
        <f>(IF((OR((P22="&gt;22"),(Q22="&gt;22"))),2,(IF(((T22+U22)=(P22+Q22)),0,1))))</f>
        <v>1</v>
      </c>
      <c r="W22" s="105">
        <f t="shared" si="25"/>
        <v>28</v>
      </c>
      <c r="X22" s="128">
        <f t="shared" si="30"/>
        <v>31.2</v>
      </c>
      <c r="Y22" s="103">
        <f t="shared" si="31"/>
        <v>0</v>
      </c>
      <c r="Z22" s="106">
        <f t="shared" si="9"/>
        <v>31.2</v>
      </c>
      <c r="AA22" s="107">
        <f t="shared" si="10"/>
        <v>0</v>
      </c>
      <c r="AB22" s="108">
        <f>IF(X22=0,0,VLOOKUP(X22,FREQUENCIAS!$1:$1048576,(IF(($A22=FREQUENCIAS!$O$1),15,"ERRO")),FREQUENCIAS!$1:$1048576))</f>
        <v>8.9885999999999994E-2</v>
      </c>
      <c r="AC22" s="108">
        <f>IF(Y22=0,0,VLOOKUP(Y22,FREQUENCIAS!$1:$1048576,(IF(($A22=FREQUENCIAS!$O$1),15,"ERRO")),FREQUENCIAS!$1:$1048576))</f>
        <v>0</v>
      </c>
      <c r="AD22" s="108"/>
      <c r="AE22" s="108"/>
      <c r="AF22" s="108"/>
      <c r="AG22" s="109">
        <f>(IF((A22="ERRO-FT"),"7",((IF((AND(($Z22=0),($AA22=0),($AX$32="N"))),0,(IF((AND(($Z22=0),($AA22=0),(AX$32="S"))),1,(IF((AB22+AC22+AD22+AE22+AF22)&lt;=$AI$7,$AI$7,(AB22+AC22+AD22+AE22+AF22))))))))))</f>
        <v>8.9885999999999994E-2</v>
      </c>
      <c r="AH22" s="110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5.5626015174776944</v>
      </c>
      <c r="AI22" s="111">
        <f t="shared" si="11"/>
        <v>0.84762140481381154</v>
      </c>
      <c r="AJ22" s="112"/>
      <c r="AK22" s="113">
        <f t="shared" si="12"/>
        <v>0.82830749299599993</v>
      </c>
      <c r="AL22" s="112"/>
      <c r="AM22" s="114" t="str">
        <f t="shared" si="13"/>
        <v>1 / 2F</v>
      </c>
      <c r="AN22" s="105" t="str">
        <f t="shared" si="14"/>
        <v>OK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0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5.5626015174776944</v>
      </c>
      <c r="BD22" s="2">
        <f t="shared" si="27"/>
        <v>0</v>
      </c>
      <c r="BF22" s="52">
        <v>7</v>
      </c>
      <c r="BG22" s="52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6" t="str">
        <f t="shared" si="17"/>
        <v/>
      </c>
      <c r="BJ22" s="56">
        <f t="shared" si="18"/>
        <v>28</v>
      </c>
      <c r="BK22" s="56">
        <f t="shared" si="19"/>
        <v>28</v>
      </c>
      <c r="BL22" s="59" t="str">
        <f t="shared" si="20"/>
        <v/>
      </c>
      <c r="BM22" s="59">
        <f t="shared" si="21"/>
        <v>31.2</v>
      </c>
      <c r="BN22" s="59">
        <f t="shared" si="22"/>
        <v>31.2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 x14ac:dyDescent="0.3">
      <c r="A23" s="261" t="s">
        <v>158</v>
      </c>
      <c r="B23" s="262">
        <f>'DADOS FINAIS'!F23</f>
        <v>10</v>
      </c>
      <c r="C23" s="262">
        <f>'DADOS FINAIS'!G23</f>
        <v>10</v>
      </c>
      <c r="D23" s="262">
        <f>'DADOS FINAIS'!D23</f>
        <v>10</v>
      </c>
      <c r="E23" s="262">
        <f>'DADOS FINAIS'!E23</f>
        <v>10</v>
      </c>
      <c r="F23" s="262">
        <f>'DADOS FINAIS'!B23</f>
        <v>8</v>
      </c>
      <c r="G23" s="262">
        <f>'DADOS FINAIS'!C23</f>
        <v>10</v>
      </c>
      <c r="H23" s="101">
        <f t="shared" si="0"/>
        <v>10</v>
      </c>
      <c r="I23" s="101">
        <f t="shared" si="0"/>
        <v>10</v>
      </c>
      <c r="J23" s="101">
        <f t="shared" si="0"/>
        <v>10</v>
      </c>
      <c r="K23" s="101">
        <f t="shared" si="0"/>
        <v>10</v>
      </c>
      <c r="L23" s="101">
        <f t="shared" si="0"/>
        <v>8</v>
      </c>
      <c r="M23" s="101">
        <f t="shared" si="0"/>
        <v>10</v>
      </c>
      <c r="N23" s="102">
        <f t="shared" si="1"/>
        <v>10</v>
      </c>
      <c r="O23" s="102">
        <f t="shared" si="2"/>
        <v>10</v>
      </c>
      <c r="P23" s="102">
        <f t="shared" si="3"/>
        <v>10</v>
      </c>
      <c r="Q23" s="102">
        <f t="shared" si="4"/>
        <v>10</v>
      </c>
      <c r="R23" s="102">
        <f t="shared" si="5"/>
        <v>8</v>
      </c>
      <c r="S23" s="102">
        <f t="shared" si="6"/>
        <v>10</v>
      </c>
      <c r="T23" s="103">
        <f t="shared" si="7"/>
        <v>10</v>
      </c>
      <c r="U23" s="103">
        <f t="shared" si="8"/>
        <v>10</v>
      </c>
      <c r="V23" s="104">
        <f>(IF((OR((P23="&gt;32"),(Q23="&gt;32"))),2,(IF(((T23+U23)=(P23+Q23)),0,1))))</f>
        <v>0</v>
      </c>
      <c r="W23" s="105">
        <f t="shared" si="25"/>
        <v>10</v>
      </c>
      <c r="X23" s="128">
        <f t="shared" si="30"/>
        <v>10</v>
      </c>
      <c r="Y23" s="103">
        <f t="shared" si="31"/>
        <v>0</v>
      </c>
      <c r="Z23" s="106">
        <f t="shared" si="9"/>
        <v>10</v>
      </c>
      <c r="AA23" s="107">
        <f t="shared" si="10"/>
        <v>0</v>
      </c>
      <c r="AB23" s="108">
        <f>IF(X23=0,0,VLOOKUP(X23,FREQUENCIAS!$1:$1048576,(IF(($A23=FREQUENCIAS!$P$1),16,"ERRO")),FREQUENCIAS!$1:$1048576))</f>
        <v>0.275034</v>
      </c>
      <c r="AC23" s="108">
        <f>IF(Y23=0,0,VLOOKUP(Y23,FREQUENCIAS!$1:$1048576,(IF(($A23=FREQUENCIAS!$P$1),16,"ERRO")),FREQUENCIAS!$1:$1048576))</f>
        <v>0</v>
      </c>
      <c r="AD23" s="108"/>
      <c r="AE23" s="108"/>
      <c r="AF23" s="108"/>
      <c r="AG23" s="109">
        <f>(IF((A23="ERRO-FT"),"16",((IF((AND(($Z23=0),($AA23=0),($AX$32="N"))),0,(IF((AND(($Z23=0),($AA23=0),(AX$32="S"))),1,(IF((AB23+AC23+AD23+AE23+AF23)&lt;=$AI$7,$AI$7,(AB23+AC23+AD23+AE23+AF23))))))))))</f>
        <v>0.275034</v>
      </c>
      <c r="AH23" s="110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1.8179570525825899</v>
      </c>
      <c r="AI23" s="111">
        <f t="shared" si="11"/>
        <v>0.64513298771408745</v>
      </c>
      <c r="AJ23" s="112" t="s">
        <v>173</v>
      </c>
      <c r="AK23" s="113">
        <f t="shared" si="12"/>
        <v>0.52557570115600005</v>
      </c>
      <c r="AL23" s="112"/>
      <c r="AM23" s="114" t="str">
        <f t="shared" si="13"/>
        <v>1 / 2F</v>
      </c>
      <c r="AN23" s="105" t="str">
        <f t="shared" si="14"/>
        <v>OK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0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1.8179570525825899</v>
      </c>
      <c r="BD23" s="2">
        <f t="shared" si="27"/>
        <v>0</v>
      </c>
      <c r="BF23" s="52">
        <v>17</v>
      </c>
      <c r="BG23" s="52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10</v>
      </c>
      <c r="BK23" s="25">
        <f t="shared" si="19"/>
        <v>10</v>
      </c>
      <c r="BL23" s="63" t="str">
        <f t="shared" si="20"/>
        <v/>
      </c>
      <c r="BM23" s="63">
        <f t="shared" si="21"/>
        <v>10</v>
      </c>
      <c r="BN23" s="63">
        <f t="shared" si="22"/>
        <v>10</v>
      </c>
      <c r="BO23" s="64" t="str">
        <f t="shared" si="28"/>
        <v/>
      </c>
      <c r="BP23" s="64">
        <f t="shared" si="23"/>
        <v>0</v>
      </c>
      <c r="BQ23" s="64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 x14ac:dyDescent="0.3">
      <c r="A24" s="261" t="s">
        <v>156</v>
      </c>
      <c r="B24" s="262">
        <f>'DADOS FINAIS'!F24</f>
        <v>11</v>
      </c>
      <c r="C24" s="262">
        <f>'DADOS FINAIS'!G24</f>
        <v>11</v>
      </c>
      <c r="D24" s="262">
        <f>'DADOS FINAIS'!D24</f>
        <v>9</v>
      </c>
      <c r="E24" s="262">
        <f>'DADOS FINAIS'!E24</f>
        <v>11</v>
      </c>
      <c r="F24" s="262">
        <f>'DADOS FINAIS'!B24</f>
        <v>9</v>
      </c>
      <c r="G24" s="262">
        <f>'DADOS FINAIS'!C24</f>
        <v>13</v>
      </c>
      <c r="H24" s="101">
        <f t="shared" si="0"/>
        <v>11</v>
      </c>
      <c r="I24" s="101">
        <f t="shared" si="0"/>
        <v>11</v>
      </c>
      <c r="J24" s="101">
        <f t="shared" si="0"/>
        <v>9</v>
      </c>
      <c r="K24" s="101">
        <f t="shared" si="0"/>
        <v>11</v>
      </c>
      <c r="L24" s="101">
        <f t="shared" si="0"/>
        <v>9</v>
      </c>
      <c r="M24" s="101">
        <f t="shared" si="0"/>
        <v>13</v>
      </c>
      <c r="N24" s="102">
        <f t="shared" si="1"/>
        <v>11</v>
      </c>
      <c r="O24" s="102">
        <f t="shared" si="2"/>
        <v>11</v>
      </c>
      <c r="P24" s="102">
        <f t="shared" si="3"/>
        <v>9</v>
      </c>
      <c r="Q24" s="102">
        <f t="shared" si="4"/>
        <v>11</v>
      </c>
      <c r="R24" s="102">
        <f t="shared" si="5"/>
        <v>9</v>
      </c>
      <c r="S24" s="102">
        <f t="shared" si="6"/>
        <v>13</v>
      </c>
      <c r="T24" s="103">
        <f t="shared" si="7"/>
        <v>0</v>
      </c>
      <c r="U24" s="103">
        <f t="shared" si="8"/>
        <v>11</v>
      </c>
      <c r="V24" s="104">
        <f>(IF((OR((P24="&gt;18"),(Q24="&gt;18"))),2,(IF(((T24+U24)=(P24+Q24)),0,1))))</f>
        <v>1</v>
      </c>
      <c r="W24" s="105">
        <f>IF(OR(($T24=$U24),($U24=0)),$T24,(IF(AND(($T24=0),($U24&lt;&gt;0)),$U24,$AJ$7)))</f>
        <v>11</v>
      </c>
      <c r="X24" s="128">
        <f t="shared" si="30"/>
        <v>9</v>
      </c>
      <c r="Y24" s="103">
        <f>(IF((AND(($T24=0),($U24=0))),$E24,(IF(($W24&lt;&gt;$AJ$7),0,$Q24))))</f>
        <v>0</v>
      </c>
      <c r="Z24" s="106">
        <f t="shared" si="9"/>
        <v>9</v>
      </c>
      <c r="AA24" s="107">
        <f t="shared" si="10"/>
        <v>0</v>
      </c>
      <c r="AB24" s="108">
        <f>IF(X24=0,0,VLOOKUP(X24,FREQUENCIAS!$1:$1048576,(IF(($A24=FREQUENCIAS!$Q$1),17,"ERRO")),FREQUENCIAS!$1:$1048576))</f>
        <v>3.8122999999999997E-2</v>
      </c>
      <c r="AC24" s="108">
        <f>IF(Y24=0,0,VLOOKUP(Y24,FREQUENCIAS!$1:$1048576,(IF(($A24=FREQUENCIAS!$Q$1),17,"ERRO")),FREQUENCIAS!$1:$1048576))</f>
        <v>0</v>
      </c>
      <c r="AD24" s="108"/>
      <c r="AE24" s="108"/>
      <c r="AF24" s="108"/>
      <c r="AG24" s="109">
        <f>(IF((A24="ERRO-FT"),"8",((IF((AND(($Z24=0),($AA24=0),($AX$32="N"))),0,(IF((AND(($Z24=0),($AA24=0),(AX$32="S"))),1,(IF((AB24+AC24+AD24+AE24+AF24)&lt;=$AI$7,$AI$7,(AB24+AC24+AD24+AE24+AF24))))))))))</f>
        <v>3.8122999999999997E-2</v>
      </c>
      <c r="AH24" s="110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13.115442121553919</v>
      </c>
      <c r="AI24" s="111">
        <f t="shared" si="11"/>
        <v>0.92915560197203984</v>
      </c>
      <c r="AJ24" s="112"/>
      <c r="AK24" s="113">
        <f t="shared" si="12"/>
        <v>0.92520736312899998</v>
      </c>
      <c r="AL24" s="112"/>
      <c r="AM24" s="114" t="str">
        <f t="shared" si="13"/>
        <v>1 / 2F</v>
      </c>
      <c r="AN24" s="105" t="str">
        <f t="shared" si="14"/>
        <v>OK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0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13.115442121553919</v>
      </c>
      <c r="BD24" s="2">
        <f>IF((W24=0),1,0)</f>
        <v>0</v>
      </c>
      <c r="BE24" s="67"/>
      <c r="BF24" s="51">
        <v>8</v>
      </c>
      <c r="BG24" s="51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CORRETO</v>
      </c>
      <c r="BI24" s="56" t="str">
        <f t="shared" si="17"/>
        <v/>
      </c>
      <c r="BJ24" s="56">
        <f t="shared" si="18"/>
        <v>11</v>
      </c>
      <c r="BK24" s="56">
        <f t="shared" si="19"/>
        <v>11</v>
      </c>
      <c r="BL24" s="59" t="str">
        <f t="shared" si="20"/>
        <v/>
      </c>
      <c r="BM24" s="59">
        <f t="shared" si="21"/>
        <v>9</v>
      </c>
      <c r="BN24" s="59">
        <f t="shared" si="22"/>
        <v>9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ht="16.5" thickTop="1" thickBot="1" x14ac:dyDescent="0.3">
      <c r="A25" s="261" t="s">
        <v>142</v>
      </c>
      <c r="B25" s="262">
        <f>'DADOS FINAIS'!F25</f>
        <v>7</v>
      </c>
      <c r="C25" s="262">
        <f>'DADOS FINAIS'!G25</f>
        <v>8</v>
      </c>
      <c r="D25" s="262">
        <f>'DADOS FINAIS'!D25</f>
        <v>8</v>
      </c>
      <c r="E25" s="262">
        <f>'DADOS FINAIS'!E25</f>
        <v>11</v>
      </c>
      <c r="F25" s="262">
        <f>'DADOS FINAIS'!B25</f>
        <v>11</v>
      </c>
      <c r="G25" s="262">
        <f>'DADOS FINAIS'!C25</f>
        <v>11</v>
      </c>
      <c r="H25" s="101">
        <f t="shared" ref="H25:M30" si="33">(IF(CODE(B25)=(60),($BF25-1),(IF(CODE(B25)=(62),($BG25+1),B25))))</f>
        <v>7</v>
      </c>
      <c r="I25" s="101">
        <f t="shared" si="33"/>
        <v>8</v>
      </c>
      <c r="J25" s="101">
        <f t="shared" si="33"/>
        <v>8</v>
      </c>
      <c r="K25" s="101">
        <f t="shared" si="33"/>
        <v>11</v>
      </c>
      <c r="L25" s="101">
        <f t="shared" si="33"/>
        <v>11</v>
      </c>
      <c r="M25" s="101">
        <f t="shared" si="33"/>
        <v>11</v>
      </c>
      <c r="N25" s="102">
        <f t="shared" si="1"/>
        <v>7</v>
      </c>
      <c r="O25" s="102">
        <f t="shared" si="2"/>
        <v>8</v>
      </c>
      <c r="P25" s="102">
        <f t="shared" si="3"/>
        <v>8</v>
      </c>
      <c r="Q25" s="102">
        <f t="shared" si="4"/>
        <v>11</v>
      </c>
      <c r="R25" s="102">
        <f t="shared" si="5"/>
        <v>11</v>
      </c>
      <c r="S25" s="102">
        <f t="shared" si="6"/>
        <v>11</v>
      </c>
      <c r="T25" s="103">
        <f t="shared" si="7"/>
        <v>8</v>
      </c>
      <c r="U25" s="103">
        <f t="shared" si="8"/>
        <v>0</v>
      </c>
      <c r="V25" s="104">
        <f>(IF((OR((P25="&gt;36"),(Q25="&gt;36"))),2,(IF(((T25+U25)=(P25+Q25)),0,1))))</f>
        <v>1</v>
      </c>
      <c r="W25" s="105">
        <f t="shared" ref="W25:W30" si="34">IF(OR((T25=U25),(U25=0)),T25,(IF(AND((T25=0),(U25&lt;&gt;0)),U25,$AJ$7)))</f>
        <v>8</v>
      </c>
      <c r="X25" s="128">
        <f t="shared" si="30"/>
        <v>11</v>
      </c>
      <c r="Y25" s="103">
        <f>(IF((AND((T25=0),(U25=0))),E25,(IF((W25&lt;&gt;$AJ$7),0,Q25))))</f>
        <v>0</v>
      </c>
      <c r="Z25" s="106">
        <f t="shared" si="9"/>
        <v>11</v>
      </c>
      <c r="AA25" s="107">
        <f t="shared" si="10"/>
        <v>0</v>
      </c>
      <c r="AB25" s="108">
        <f>IF(X25=0,0,VLOOKUP(X25,FREQUENCIAS!$1:$1048576,(IF(($A25=FREQUENCIAS!$R$1),18,"ERRO")),FREQUENCIAS!$1:$1048576))</f>
        <v>0.275532</v>
      </c>
      <c r="AC25" s="108">
        <f>IF(Y25=0,0,VLOOKUP(Y25,FREQUENCIAS!$1:$1048576,(IF(($A25=FREQUENCIAS!$R$1),18,"ERRO")),FREQUENCIAS!$1:$1048576))</f>
        <v>0</v>
      </c>
      <c r="AD25" s="108"/>
      <c r="AE25" s="108"/>
      <c r="AF25" s="108"/>
      <c r="AG25" s="109">
        <f>(IF((A25="ERRO-FT"),"24",((IF((AND(($Z25=0),($AA25=0),($AX$32="N"))),0,(IF((AND(($Z25=0),($AA25=0),(AX$32="S"))),1,(IF((AB25+AC25+AD25+AE25+AF25)&lt;=$AI$7,$AI$7,(AB25+AC25+AD25+AE25+AF25))))))))))</f>
        <v>0.275532</v>
      </c>
      <c r="AH25" s="110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3.6293425083111943</v>
      </c>
      <c r="AI25" s="111">
        <f t="shared" si="11"/>
        <v>0.78398660323692393</v>
      </c>
      <c r="AJ25" s="112"/>
      <c r="AK25" s="113">
        <f t="shared" si="12"/>
        <v>0.52485388302400005</v>
      </c>
      <c r="AL25" s="112"/>
      <c r="AM25" s="114" t="str">
        <f t="shared" si="13"/>
        <v>1 / F</v>
      </c>
      <c r="AN25" s="105" t="str">
        <f t="shared" si="14"/>
        <v>OK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0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3.6293425083111943</v>
      </c>
      <c r="BD25" s="2">
        <f t="shared" ref="BD25:BD30" si="35">IF((W25=0),1,0)</f>
        <v>0</v>
      </c>
      <c r="BF25" s="52">
        <v>24</v>
      </c>
      <c r="BG25" s="52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6" t="str">
        <f t="shared" si="17"/>
        <v/>
      </c>
      <c r="BJ25" s="56">
        <f t="shared" si="18"/>
        <v>8</v>
      </c>
      <c r="BK25" s="56">
        <f t="shared" si="19"/>
        <v>8</v>
      </c>
      <c r="BL25" s="59" t="str">
        <f t="shared" si="20"/>
        <v/>
      </c>
      <c r="BM25" s="65">
        <f t="shared" si="21"/>
        <v>11</v>
      </c>
      <c r="BN25" s="59">
        <f t="shared" si="22"/>
        <v>11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 x14ac:dyDescent="0.3">
      <c r="A26" s="261" t="s">
        <v>153</v>
      </c>
      <c r="B26" s="262">
        <f>'DADOS FINAIS'!F26</f>
        <v>14</v>
      </c>
      <c r="C26" s="262">
        <f>'DADOS FINAIS'!G26</f>
        <v>15</v>
      </c>
      <c r="D26" s="262">
        <f>'DADOS FINAIS'!D26</f>
        <v>10</v>
      </c>
      <c r="E26" s="262">
        <f>'DADOS FINAIS'!E26</f>
        <v>14</v>
      </c>
      <c r="F26" s="262">
        <f>'DADOS FINAIS'!B26</f>
        <v>10</v>
      </c>
      <c r="G26" s="262">
        <f>'DADOS FINAIS'!C26</f>
        <v>14</v>
      </c>
      <c r="H26" s="101">
        <f t="shared" si="33"/>
        <v>14</v>
      </c>
      <c r="I26" s="101">
        <f t="shared" si="33"/>
        <v>15</v>
      </c>
      <c r="J26" s="101">
        <f t="shared" si="33"/>
        <v>10</v>
      </c>
      <c r="K26" s="101">
        <f t="shared" si="33"/>
        <v>14</v>
      </c>
      <c r="L26" s="101">
        <f t="shared" si="33"/>
        <v>10</v>
      </c>
      <c r="M26" s="101">
        <f t="shared" si="33"/>
        <v>14</v>
      </c>
      <c r="N26" s="102">
        <f t="shared" si="1"/>
        <v>14</v>
      </c>
      <c r="O26" s="102">
        <f t="shared" si="2"/>
        <v>15</v>
      </c>
      <c r="P26" s="102">
        <f t="shared" si="3"/>
        <v>10</v>
      </c>
      <c r="Q26" s="102">
        <f t="shared" si="4"/>
        <v>14</v>
      </c>
      <c r="R26" s="102">
        <f t="shared" si="5"/>
        <v>10</v>
      </c>
      <c r="S26" s="102">
        <f t="shared" si="6"/>
        <v>14</v>
      </c>
      <c r="T26" s="103">
        <f t="shared" si="7"/>
        <v>0</v>
      </c>
      <c r="U26" s="103">
        <f t="shared" si="8"/>
        <v>14</v>
      </c>
      <c r="V26" s="104">
        <f>(IF((OR((P26="&gt;21"),(Q26="&gt;21"))),2,(IF(((T26+U26)=(P26+Q26)),0,1))))</f>
        <v>1</v>
      </c>
      <c r="W26" s="103">
        <f t="shared" si="34"/>
        <v>14</v>
      </c>
      <c r="X26" s="128">
        <f t="shared" si="30"/>
        <v>10</v>
      </c>
      <c r="Y26" s="103">
        <f xml:space="preserve"> (IF((AND((T26=0),(U26=0))),E26,(IF((W26&lt;&gt;$AJ$7),0,Q26))))</f>
        <v>0</v>
      </c>
      <c r="Z26" s="106">
        <f t="shared" si="9"/>
        <v>10</v>
      </c>
      <c r="AA26" s="107">
        <f t="shared" si="10"/>
        <v>0</v>
      </c>
      <c r="AB26" s="108">
        <f>IF(X26=0,0,VLOOKUP(X26,FREQUENCIAS!$1:$1048576,(IF(($A26=FREQUENCIAS!$S$1),19,"ERRO")),FREQUENCIAS!$1:$1048576))</f>
        <v>6.8212999999999996E-2</v>
      </c>
      <c r="AC26" s="108">
        <f>IF(Y26=0,0,VLOOKUP(Y26,FREQUENCIAS!$1:$1048576,(IF(($A26=FREQUENCIAS!$S$1),19,"ERRO")),FREQUENCIAS!$1:$1048576))</f>
        <v>0</v>
      </c>
      <c r="AD26" s="108"/>
      <c r="AE26" s="108"/>
      <c r="AF26" s="108"/>
      <c r="AG26" s="109">
        <f>(IF((A26="ERRO-FT"),"6",((IF((AND(($Z26=0),($AA26=0),($AX$32="N"))),0,(IF((AND(($Z26=0),($AA26=0),(AX$32="S"))),1,(IF((AB26+AC26+AD26+AE26+AF26)&lt;=$AI$7,$AI$7,(AB26+AC26+AD26+AE26+AF26))))))))))</f>
        <v>6.8212999999999996E-2</v>
      </c>
      <c r="AH26" s="110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7.3299810886487915</v>
      </c>
      <c r="AI26" s="111">
        <f t="shared" si="11"/>
        <v>0.87995170825025126</v>
      </c>
      <c r="AJ26" s="112" t="s">
        <v>140</v>
      </c>
      <c r="AK26" s="113">
        <f t="shared" si="12"/>
        <v>0.8682270133690001</v>
      </c>
      <c r="AL26" s="112"/>
      <c r="AM26" s="114" t="str">
        <f t="shared" si="13"/>
        <v>1 / 2F</v>
      </c>
      <c r="AN26" s="105" t="str">
        <f t="shared" si="14"/>
        <v>OK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0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7.3299810886487915</v>
      </c>
      <c r="BD26" s="2">
        <f t="shared" si="35"/>
        <v>0</v>
      </c>
      <c r="BF26" s="52">
        <v>6</v>
      </c>
      <c r="BG26" s="52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CORRETO</v>
      </c>
      <c r="BI26" s="56" t="str">
        <f t="shared" si="17"/>
        <v/>
      </c>
      <c r="BJ26" s="56">
        <f t="shared" si="18"/>
        <v>15</v>
      </c>
      <c r="BK26" s="56">
        <f t="shared" si="19"/>
        <v>14</v>
      </c>
      <c r="BL26" s="59" t="str">
        <f t="shared" si="20"/>
        <v/>
      </c>
      <c r="BM26" s="59">
        <f t="shared" si="21"/>
        <v>10</v>
      </c>
      <c r="BN26" s="59">
        <f t="shared" si="22"/>
        <v>10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 x14ac:dyDescent="0.3">
      <c r="A27" s="261" t="s">
        <v>224</v>
      </c>
      <c r="B27" s="262">
        <f>'DADOS FINAIS'!F27</f>
        <v>18.3</v>
      </c>
      <c r="C27" s="262">
        <f>'DADOS FINAIS'!G27</f>
        <v>22</v>
      </c>
      <c r="D27" s="262">
        <f>'DADOS FINAIS'!D27</f>
        <v>18.3</v>
      </c>
      <c r="E27" s="262">
        <f>'DADOS FINAIS'!E27</f>
        <v>19</v>
      </c>
      <c r="F27" s="262">
        <f>'DADOS FINAIS'!B27</f>
        <v>17</v>
      </c>
      <c r="G27" s="262">
        <f>'DADOS FINAIS'!C27</f>
        <v>19</v>
      </c>
      <c r="H27" s="101">
        <f t="shared" si="33"/>
        <v>18.3</v>
      </c>
      <c r="I27" s="101">
        <f t="shared" si="33"/>
        <v>22</v>
      </c>
      <c r="J27" s="101">
        <f t="shared" si="33"/>
        <v>18.3</v>
      </c>
      <c r="K27" s="101">
        <f t="shared" si="33"/>
        <v>19</v>
      </c>
      <c r="L27" s="101">
        <f t="shared" si="33"/>
        <v>17</v>
      </c>
      <c r="M27" s="101">
        <f t="shared" si="33"/>
        <v>19</v>
      </c>
      <c r="N27" s="102">
        <f t="shared" si="1"/>
        <v>18.3</v>
      </c>
      <c r="O27" s="102">
        <f t="shared" si="2"/>
        <v>22</v>
      </c>
      <c r="P27" s="102">
        <f t="shared" si="3"/>
        <v>18.3</v>
      </c>
      <c r="Q27" s="102">
        <f t="shared" si="4"/>
        <v>19</v>
      </c>
      <c r="R27" s="102">
        <f t="shared" si="5"/>
        <v>17</v>
      </c>
      <c r="S27" s="102">
        <f t="shared" si="6"/>
        <v>19</v>
      </c>
      <c r="T27" s="103">
        <f t="shared" si="7"/>
        <v>18.3</v>
      </c>
      <c r="U27" s="103">
        <f t="shared" si="8"/>
        <v>0</v>
      </c>
      <c r="V27" s="104">
        <f>(IF((OR((P27="&gt;21"),(Q27="&gt;21"))),2,(IF(((T27+U27)=(P27+Q27)),0,1))))</f>
        <v>1</v>
      </c>
      <c r="W27" s="105">
        <f t="shared" si="34"/>
        <v>18.3</v>
      </c>
      <c r="X27" s="128">
        <f t="shared" si="30"/>
        <v>19</v>
      </c>
      <c r="Y27" s="103">
        <f>(IF((AND((T27=0),(U27=0))),E27,(IF((W27&lt;&gt;$AJ$7),0,Q27))))</f>
        <v>0</v>
      </c>
      <c r="Z27" s="106">
        <f t="shared" si="9"/>
        <v>19</v>
      </c>
      <c r="AA27" s="107">
        <f t="shared" si="10"/>
        <v>0</v>
      </c>
      <c r="AB27" s="108">
        <f>IF(X27=0,0,VLOOKUP(X27,FREQUENCIAS!$1:$1048576,(IF(($A27=FREQUENCIAS!$T$1),20,"ERRO")),FREQUENCIAS!$1:$1048576))</f>
        <v>0.1699</v>
      </c>
      <c r="AC27" s="108">
        <f>IF(Y27=0,0,VLOOKUP(Y27,FREQUENCIAS!$1:$1048576,(IF(($A27=FREQUENCIAS!$T$1),20,"ERRO")),FREQUENCIAS!$1:$1048576))</f>
        <v>0</v>
      </c>
      <c r="AD27" s="108"/>
      <c r="AE27" s="108"/>
      <c r="AF27" s="108"/>
      <c r="AG27" s="109">
        <f>(IF((A27="ERRO-FT"),"11",((IF((AND(($Z27=0),($AA27=0),($AX$32="N"))),0,(IF((AND(($Z27=0),($AA27=0),(AX$32="S"))),1,(IF((AB27+AC27+AD27+AE27+AF27)&lt;=$AI$7,$AI$7,(AB27+AC27+AD27+AE27+AF27))))))))))</f>
        <v>0.1699</v>
      </c>
      <c r="AH27" s="110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2.9429075927015891</v>
      </c>
      <c r="AI27" s="111">
        <f t="shared" si="11"/>
        <v>0.74638005672488428</v>
      </c>
      <c r="AJ27" s="112" t="s">
        <v>163</v>
      </c>
      <c r="AK27" s="265">
        <f t="shared" si="12"/>
        <v>0.68906601000000012</v>
      </c>
      <c r="AL27" s="112"/>
      <c r="AM27" s="114" t="str">
        <f t="shared" si="13"/>
        <v>1 / 2F</v>
      </c>
      <c r="AN27" s="105" t="str">
        <f t="shared" si="14"/>
        <v>OK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0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2.9429075927015891</v>
      </c>
      <c r="BD27" s="2">
        <f t="shared" si="35"/>
        <v>0</v>
      </c>
      <c r="BF27" s="52">
        <v>12</v>
      </c>
      <c r="BG27" s="52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6" t="str">
        <f t="shared" si="17"/>
        <v/>
      </c>
      <c r="BJ27" s="56">
        <f t="shared" si="18"/>
        <v>18.3</v>
      </c>
      <c r="BK27" s="56">
        <f t="shared" si="19"/>
        <v>18.3</v>
      </c>
      <c r="BL27" s="59" t="str">
        <f t="shared" si="20"/>
        <v/>
      </c>
      <c r="BM27" s="59">
        <f t="shared" si="21"/>
        <v>19</v>
      </c>
      <c r="BN27" s="59">
        <f t="shared" si="22"/>
        <v>19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 x14ac:dyDescent="0.3">
      <c r="A28" s="261" t="s">
        <v>52</v>
      </c>
      <c r="B28" s="262">
        <f>'DADOS FINAIS'!F28</f>
        <v>14</v>
      </c>
      <c r="C28" s="262">
        <f>'DADOS FINAIS'!G28</f>
        <v>14</v>
      </c>
      <c r="D28" s="262">
        <f>'DADOS FINAIS'!D28</f>
        <v>14</v>
      </c>
      <c r="E28" s="262">
        <f>'DADOS FINAIS'!E28</f>
        <v>14</v>
      </c>
      <c r="F28" s="262">
        <f>'DADOS FINAIS'!B28</f>
        <v>12</v>
      </c>
      <c r="G28" s="262">
        <f>'DADOS FINAIS'!C28</f>
        <v>14</v>
      </c>
      <c r="H28" s="101">
        <f t="shared" si="33"/>
        <v>14</v>
      </c>
      <c r="I28" s="101">
        <f t="shared" si="33"/>
        <v>14</v>
      </c>
      <c r="J28" s="101">
        <f t="shared" si="33"/>
        <v>14</v>
      </c>
      <c r="K28" s="101">
        <f t="shared" si="33"/>
        <v>14</v>
      </c>
      <c r="L28" s="101">
        <f t="shared" si="33"/>
        <v>12</v>
      </c>
      <c r="M28" s="101">
        <f t="shared" si="33"/>
        <v>14</v>
      </c>
      <c r="N28" s="102">
        <f t="shared" si="1"/>
        <v>14</v>
      </c>
      <c r="O28" s="102">
        <f t="shared" si="2"/>
        <v>14</v>
      </c>
      <c r="P28" s="102">
        <f t="shared" si="3"/>
        <v>14</v>
      </c>
      <c r="Q28" s="102">
        <f t="shared" si="4"/>
        <v>14</v>
      </c>
      <c r="R28" s="102">
        <f t="shared" si="5"/>
        <v>12</v>
      </c>
      <c r="S28" s="102">
        <f t="shared" si="6"/>
        <v>14</v>
      </c>
      <c r="T28" s="103">
        <f t="shared" si="7"/>
        <v>14</v>
      </c>
      <c r="U28" s="103">
        <f t="shared" si="8"/>
        <v>14</v>
      </c>
      <c r="V28" s="104">
        <f>(IF((OR((P28="&gt;20"),(Q28="&gt;20"))),2,(IF(((T28+U28)=(P28+Q28)),0,1))))</f>
        <v>0</v>
      </c>
      <c r="W28" s="105">
        <f t="shared" si="34"/>
        <v>14</v>
      </c>
      <c r="X28" s="128">
        <f t="shared" si="30"/>
        <v>14</v>
      </c>
      <c r="Y28" s="103">
        <f>(IF((AND((T28=0),(U28=0))),E28,(IF((W28&lt;&gt;$AJ$7),0,Q28))))</f>
        <v>0</v>
      </c>
      <c r="Z28" s="106">
        <f t="shared" si="9"/>
        <v>14</v>
      </c>
      <c r="AA28" s="107">
        <f t="shared" si="10"/>
        <v>0</v>
      </c>
      <c r="AB28" s="108">
        <f>IF(X28=0,0,VLOOKUP(X28,FREQUENCIAS!$1:$1048576,(IF(($A28=FREQUENCIAS!$U$1),21,"ERRO")),FREQUENCIAS!$1:$1048576))</f>
        <v>0.29409999999999997</v>
      </c>
      <c r="AC28" s="108">
        <f>IF(Y28=0,0,VLOOKUP(Y28,FREQUENCIAS!$1:$1048576,(IF(($A28=FREQUENCIAS!$U$1),21,"ERRO")),FREQUENCIAS!$1:$1048576))</f>
        <v>0</v>
      </c>
      <c r="AD28" s="108"/>
      <c r="AE28" s="108"/>
      <c r="AF28" s="108"/>
      <c r="AG28" s="109">
        <f>(IF((A28="ERRO-FT"),"4",((IF((AND(($Z28=0),($AA28=0),($AX$32="N"))),0,(IF((AND(($Z28=0),($AA28=0),(AX$32="S"))),1,(IF((AB28+AC28+AD28+AE28+AF28)&lt;=$AI$7,$AI$7,(AB28+AC28+AD28+AE28+AF28))))))))))</f>
        <v>0.29409999999999997</v>
      </c>
      <c r="AH28" s="110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1.7001020061203673</v>
      </c>
      <c r="AI28" s="111">
        <f t="shared" si="11"/>
        <v>0.62964362171011201</v>
      </c>
      <c r="AJ28" s="112"/>
      <c r="AK28" s="113">
        <f t="shared" si="12"/>
        <v>0.49829480999999998</v>
      </c>
      <c r="AL28" s="112"/>
      <c r="AM28" s="114" t="str">
        <f t="shared" si="13"/>
        <v>1 / 2F</v>
      </c>
      <c r="AN28" s="105" t="str">
        <f t="shared" si="14"/>
        <v>OK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0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1.7001020061203673</v>
      </c>
      <c r="BD28" s="2">
        <f t="shared" si="35"/>
        <v>0</v>
      </c>
      <c r="BF28" s="52">
        <v>4</v>
      </c>
      <c r="BG28" s="52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6" t="str">
        <f t="shared" si="17"/>
        <v/>
      </c>
      <c r="BJ28" s="56">
        <f t="shared" si="18"/>
        <v>14</v>
      </c>
      <c r="BK28" s="56">
        <f t="shared" si="19"/>
        <v>14</v>
      </c>
      <c r="BL28" s="59" t="str">
        <f t="shared" si="20"/>
        <v/>
      </c>
      <c r="BM28" s="59">
        <f t="shared" si="21"/>
        <v>14</v>
      </c>
      <c r="BN28" s="59">
        <f t="shared" si="22"/>
        <v>14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 x14ac:dyDescent="0.3">
      <c r="A29" s="261" t="s">
        <v>152</v>
      </c>
      <c r="B29" s="262">
        <f>'DADOS FINAIS'!F29</f>
        <v>19</v>
      </c>
      <c r="C29" s="262">
        <f>'DADOS FINAIS'!G29</f>
        <v>26</v>
      </c>
      <c r="D29" s="262">
        <f>'DADOS FINAIS'!D29</f>
        <v>19</v>
      </c>
      <c r="E29" s="262">
        <f>'DADOS FINAIS'!E29</f>
        <v>21</v>
      </c>
      <c r="F29" s="262">
        <f>'DADOS FINAIS'!B29</f>
        <v>21</v>
      </c>
      <c r="G29" s="262">
        <f>'DADOS FINAIS'!C29</f>
        <v>23</v>
      </c>
      <c r="H29" s="101">
        <f t="shared" si="33"/>
        <v>19</v>
      </c>
      <c r="I29" s="101">
        <f t="shared" si="33"/>
        <v>26</v>
      </c>
      <c r="J29" s="101">
        <f t="shared" si="33"/>
        <v>19</v>
      </c>
      <c r="K29" s="101">
        <f t="shared" si="33"/>
        <v>21</v>
      </c>
      <c r="L29" s="101">
        <f t="shared" si="33"/>
        <v>21</v>
      </c>
      <c r="M29" s="101">
        <f t="shared" si="33"/>
        <v>23</v>
      </c>
      <c r="N29" s="102">
        <f t="shared" si="1"/>
        <v>19</v>
      </c>
      <c r="O29" s="102">
        <f t="shared" si="2"/>
        <v>26</v>
      </c>
      <c r="P29" s="102">
        <f t="shared" si="3"/>
        <v>19</v>
      </c>
      <c r="Q29" s="102">
        <f t="shared" si="4"/>
        <v>21</v>
      </c>
      <c r="R29" s="102">
        <f t="shared" si="5"/>
        <v>21</v>
      </c>
      <c r="S29" s="102">
        <f t="shared" si="6"/>
        <v>23</v>
      </c>
      <c r="T29" s="103">
        <f t="shared" si="7"/>
        <v>19</v>
      </c>
      <c r="U29" s="103">
        <f t="shared" si="8"/>
        <v>0</v>
      </c>
      <c r="V29" s="104">
        <f>(IF((OR((P29="&gt;23"),(Q29="&gt;23"))),2,(IF(((T29+U29)=(P29+Q29)),0,1))))</f>
        <v>1</v>
      </c>
      <c r="W29" s="105">
        <f t="shared" si="34"/>
        <v>19</v>
      </c>
      <c r="X29" s="128">
        <f t="shared" si="30"/>
        <v>21</v>
      </c>
      <c r="Y29" s="103">
        <f>(IF((AND((T29=0),(U29=0))),E29,(IF((W29&lt;&gt;$AJ$7),0,Q29))))</f>
        <v>0</v>
      </c>
      <c r="Z29" s="106">
        <f t="shared" si="9"/>
        <v>21</v>
      </c>
      <c r="AA29" s="107">
        <f t="shared" si="10"/>
        <v>0</v>
      </c>
      <c r="AB29" s="108">
        <f>IF(X29=0,0,VLOOKUP(X29,FREQUENCIAS!$1:$1048576,(IF(($A29=FREQUENCIAS!$V$1),22,"ERRO")),FREQUENCIAS!$1:$1048576))</f>
        <v>0.15107999999999999</v>
      </c>
      <c r="AC29" s="108">
        <f>IF(Y29=0,0,VLOOKUP(Y29,FREQUENCIAS!$1:$1048576,(IF(($A29=FREQUENCIAS!$V$1),22,"ERRO")),FREQUENCIAS!$1:$1048576))</f>
        <v>0</v>
      </c>
      <c r="AD29" s="108"/>
      <c r="AE29" s="108"/>
      <c r="AF29" s="108"/>
      <c r="AG29" s="109">
        <f>(IF((A29="ERRO-FT"),"8",((IF((AND(($Z29=0),($AA29=0),($AX$32="N"))),0,(IF((AND(($Z29=0),($AA29=0),(AX$32="S"))),1,(IF((AB29+AC29+AD29+AE29+AF29)&lt;=$AI$7,$AI$7,(AB29+AC29+AD29+AE29+AF29))))))))))</f>
        <v>0.15107999999999999</v>
      </c>
      <c r="AH29" s="110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3.3095048980672495</v>
      </c>
      <c r="AI29" s="111">
        <f t="shared" si="11"/>
        <v>0.76795478282238738</v>
      </c>
      <c r="AJ29" s="112"/>
      <c r="AK29" s="113">
        <f t="shared" si="12"/>
        <v>0.7206651664</v>
      </c>
      <c r="AL29" s="112"/>
      <c r="AM29" s="114" t="str">
        <f t="shared" si="13"/>
        <v>1 / 2F</v>
      </c>
      <c r="AN29" s="105" t="str">
        <f t="shared" si="14"/>
        <v>OK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0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3.3095048980672495</v>
      </c>
      <c r="BD29" s="2">
        <f t="shared" si="35"/>
        <v>0</v>
      </c>
      <c r="BF29" s="52">
        <v>8</v>
      </c>
      <c r="BG29" s="52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6" t="str">
        <f t="shared" si="17"/>
        <v/>
      </c>
      <c r="BJ29" s="56">
        <f t="shared" si="18"/>
        <v>19</v>
      </c>
      <c r="BK29" s="56">
        <f t="shared" si="19"/>
        <v>19</v>
      </c>
      <c r="BL29" s="59" t="str">
        <f t="shared" si="20"/>
        <v/>
      </c>
      <c r="BM29" s="59">
        <f t="shared" si="21"/>
        <v>21</v>
      </c>
      <c r="BN29" s="59">
        <f t="shared" si="22"/>
        <v>21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 x14ac:dyDescent="0.3">
      <c r="A30" s="261" t="s">
        <v>225</v>
      </c>
      <c r="B30" s="262">
        <f>'DADOS FINAIS'!F30</f>
        <v>16</v>
      </c>
      <c r="C30" s="262">
        <f>'DADOS FINAIS'!G30</f>
        <v>17</v>
      </c>
      <c r="D30" s="262">
        <f>'DADOS FINAIS'!D30</f>
        <v>16</v>
      </c>
      <c r="E30" s="262">
        <f>'DADOS FINAIS'!E30</f>
        <v>16</v>
      </c>
      <c r="F30" s="262">
        <f>'DADOS FINAIS'!B30</f>
        <v>11</v>
      </c>
      <c r="G30" s="262">
        <f>'DADOS FINAIS'!C30</f>
        <v>16</v>
      </c>
      <c r="H30" s="101">
        <f t="shared" si="33"/>
        <v>16</v>
      </c>
      <c r="I30" s="101">
        <f t="shared" si="33"/>
        <v>17</v>
      </c>
      <c r="J30" s="101">
        <f t="shared" si="33"/>
        <v>16</v>
      </c>
      <c r="K30" s="101">
        <f t="shared" si="33"/>
        <v>16</v>
      </c>
      <c r="L30" s="101">
        <f t="shared" si="33"/>
        <v>11</v>
      </c>
      <c r="M30" s="101">
        <f t="shared" si="33"/>
        <v>16</v>
      </c>
      <c r="N30" s="102">
        <f t="shared" si="1"/>
        <v>16</v>
      </c>
      <c r="O30" s="102">
        <f t="shared" si="2"/>
        <v>17</v>
      </c>
      <c r="P30" s="102">
        <f t="shared" si="3"/>
        <v>16</v>
      </c>
      <c r="Q30" s="102">
        <f t="shared" si="4"/>
        <v>16</v>
      </c>
      <c r="R30" s="102">
        <f t="shared" si="5"/>
        <v>11</v>
      </c>
      <c r="S30" s="102">
        <f t="shared" si="6"/>
        <v>16</v>
      </c>
      <c r="T30" s="103">
        <f t="shared" si="7"/>
        <v>16</v>
      </c>
      <c r="U30" s="103">
        <f t="shared" si="8"/>
        <v>16</v>
      </c>
      <c r="V30" s="104">
        <f>(IF((OR((P30="&gt;22"),(Q30="&gt;22"))),2,(IF(((T30+U30)=(P30+Q30)),0,1))))</f>
        <v>0</v>
      </c>
      <c r="W30" s="105">
        <f t="shared" si="34"/>
        <v>16</v>
      </c>
      <c r="X30" s="128">
        <f t="shared" si="30"/>
        <v>16</v>
      </c>
      <c r="Y30" s="103">
        <f>(IF((AND((T30=0),(U30=0))),E30,(IF((W30&lt;&gt;$AJ$7),0,Q30))))</f>
        <v>0</v>
      </c>
      <c r="Z30" s="106">
        <f t="shared" si="9"/>
        <v>16</v>
      </c>
      <c r="AA30" s="107">
        <f t="shared" si="10"/>
        <v>0</v>
      </c>
      <c r="AB30" s="108">
        <f>IF(X30=0,0,VLOOKUP(X30,FREQUENCIAS!$1:$1048576,(IF(($A30=FREQUENCIAS!$W$1),23,"ERRO")),FREQUENCIAS!$1:$1048576))</f>
        <v>0.32869999999999999</v>
      </c>
      <c r="AC30" s="108">
        <f>IF(Y30=0,0,VLOOKUP(Y30,FREQUENCIAS!$1:$1048576,(IF(($A30=FREQUENCIAS!$W$1),23,"ERRO")),FREQUENCIAS!$1:$1048576))</f>
        <v>0</v>
      </c>
      <c r="AD30" s="108"/>
      <c r="AE30" s="108"/>
      <c r="AF30" s="108"/>
      <c r="AG30" s="109">
        <f>(IF((A30="ERRO-FT"),"5",((IF((AND(($Z30=0),($AA30=0),($AX$32="N"))),0,(IF((AND(($Z30=0),($AA30=0),(AX$32="S"))),1,(IF((AB30+AC30+AD30+AE30+AF30)&lt;=$AI$7,$AI$7,(AB30+AC30+AD30+AE30+AF30))))))))))</f>
        <v>0.32869999999999999</v>
      </c>
      <c r="AH30" s="110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1.5211439002129601</v>
      </c>
      <c r="AI30" s="111">
        <f t="shared" si="11"/>
        <v>0.60335465186436588</v>
      </c>
      <c r="AJ30" s="112"/>
      <c r="AK30" s="113">
        <f t="shared" si="12"/>
        <v>0.45064368999999999</v>
      </c>
      <c r="AL30" s="112"/>
      <c r="AM30" s="114" t="str">
        <f t="shared" si="13"/>
        <v>1 / 2F</v>
      </c>
      <c r="AN30" s="105" t="str">
        <f t="shared" si="14"/>
        <v>OK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0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1.5211439002129601</v>
      </c>
      <c r="BD30" s="2">
        <f t="shared" si="35"/>
        <v>0</v>
      </c>
      <c r="BF30" s="52">
        <v>5</v>
      </c>
      <c r="BG30" s="52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6" t="str">
        <f t="shared" si="17"/>
        <v>&gt;</v>
      </c>
      <c r="BJ30" s="56">
        <f t="shared" si="18"/>
        <v>16</v>
      </c>
      <c r="BK30" s="56" t="str">
        <f t="shared" si="19"/>
        <v>&gt;16</v>
      </c>
      <c r="BL30" s="59" t="str">
        <f t="shared" si="20"/>
        <v>&gt;</v>
      </c>
      <c r="BM30" s="59">
        <f t="shared" si="21"/>
        <v>15</v>
      </c>
      <c r="BN30" s="59" t="str">
        <f t="shared" si="22"/>
        <v>&gt;15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 x14ac:dyDescent="0.25">
      <c r="A31" s="36"/>
      <c r="B31" s="16"/>
      <c r="C31" s="16"/>
      <c r="D31" s="16"/>
      <c r="E31" s="26"/>
      <c r="F31" s="26"/>
      <c r="G31" s="266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69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18862225816.37804</v>
      </c>
      <c r="AH31" s="369"/>
      <c r="AI31" s="369"/>
      <c r="AK31" s="365">
        <f>(IF(((AI9*AI10*AI11*AI12*AI13*AI14*AI15*AI16*AI17*AI18*AI19*AI20*AI21*AI22*AI23)&lt;&gt;0),((1-AK9)*(1-AK10)*(1-AK11)*(1-AK12)*(1-AK13)*(1-AK14)*(1-AK15)*(1-AK16)*(1-AK17)*(1-AK18)*(1-AK19)*(1-AK20)*(1-AK21)*(1-AK22)*(1-AK23)),$AJ$23))</f>
        <v>3.0660692310894172E-11</v>
      </c>
      <c r="AL31" s="365"/>
      <c r="AM31" s="267"/>
      <c r="AN31" s="17"/>
      <c r="AX31" s="54">
        <f>SUM(AX9:AX23)</f>
        <v>0</v>
      </c>
      <c r="BC31" s="41">
        <f>(IF((AND(($AX$32="N"),($AX$34="O"))),(BC9*BC10*BC11*BC12*BC13*BC14*BC15*BC16*BC17*BC18*BC19*BC20*BC21*BC22*BC23),0))</f>
        <v>0</v>
      </c>
      <c r="BD31" s="35">
        <f>SUM(BD9:BD23)</f>
        <v>0</v>
      </c>
    </row>
    <row r="32" spans="1:80" ht="15" x14ac:dyDescent="0.25">
      <c r="A32" s="18"/>
      <c r="B32" s="6"/>
      <c r="C32" s="6"/>
      <c r="D32" s="6"/>
      <c r="E32" s="27"/>
      <c r="F32" s="27"/>
      <c r="G32" s="72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66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0.99999999994</v>
      </c>
      <c r="AH32" s="366"/>
      <c r="AI32" s="366"/>
      <c r="AJ32" s="366"/>
      <c r="AK32" s="366"/>
      <c r="AL32" s="366"/>
      <c r="AM32" s="366"/>
      <c r="AN32" s="75"/>
      <c r="AR32" s="1" t="s">
        <v>102</v>
      </c>
      <c r="AS32" s="22" t="s">
        <v>139</v>
      </c>
      <c r="AX32" s="28" t="str">
        <f>IF(AH41="SIM","S",IF(AH41="NÃO","N",""))</f>
        <v>N</v>
      </c>
      <c r="AY32" s="49" t="s">
        <v>124</v>
      </c>
    </row>
    <row r="33" spans="1:74" ht="15" x14ac:dyDescent="0.25">
      <c r="A33" s="18"/>
      <c r="B33" s="6"/>
      <c r="C33" s="6"/>
      <c r="D33" s="6"/>
      <c r="E33" s="27"/>
      <c r="F33" s="27"/>
      <c r="G33" s="72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67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0.99999999996</v>
      </c>
      <c r="AH33" s="367"/>
      <c r="AI33" s="367"/>
      <c r="AJ33" s="367"/>
      <c r="AK33" s="367"/>
      <c r="AL33" s="367"/>
      <c r="AM33" s="367"/>
      <c r="AN33" s="74"/>
      <c r="AR33" s="1" t="s">
        <v>104</v>
      </c>
      <c r="AS33" s="22" t="s">
        <v>140</v>
      </c>
      <c r="AX33" s="29" t="s">
        <v>104</v>
      </c>
      <c r="AY33" s="49" t="s">
        <v>125</v>
      </c>
    </row>
    <row r="34" spans="1:74" ht="19.5" customHeight="1" thickBot="1" x14ac:dyDescent="0.3">
      <c r="A34" s="18"/>
      <c r="B34" s="6"/>
      <c r="C34" s="6"/>
      <c r="D34" s="6"/>
      <c r="E34" s="27"/>
      <c r="F34" s="27"/>
      <c r="G34" s="72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6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POSSÍVEL",(IF((AND((($AG32)&gt;0.9899),($AG32)&lt;=0.9949)),"PATERNIDADE PROVÁVEL",(IF((AND((($AG32)&gt;0.9949),($AG32)&lt;=0.9999)),"PATERNIDADE MUITO PROVÁVEL",(IF((AND((($AG32)&gt;0.9949),($AG32)&lt;=1)),"VÍNCULO BIOLOGICAMENTE PROVADO",A7)))))))))))))))</f>
        <v>VÍNCULO BIOLOGICAMENTE PROVADO</v>
      </c>
      <c r="AH34" s="268"/>
      <c r="AI34" s="269"/>
      <c r="AM34" s="42"/>
      <c r="AN34" s="12"/>
      <c r="AX34" s="29"/>
      <c r="AY34" s="49" t="s">
        <v>96</v>
      </c>
    </row>
    <row r="35" spans="1:74" ht="13.5" thickTop="1" x14ac:dyDescent="0.2">
      <c r="A35" s="270" t="s">
        <v>233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71"/>
      <c r="AK35" s="271"/>
      <c r="AL35" s="271"/>
      <c r="AM35" s="16"/>
      <c r="AN35" s="17"/>
    </row>
    <row r="36" spans="1:74" x14ac:dyDescent="0.2">
      <c r="A36" s="18" t="s">
        <v>234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272" t="s">
        <v>235</v>
      </c>
      <c r="AS36" s="273"/>
      <c r="AT36" s="273"/>
      <c r="AU36" s="273"/>
      <c r="AV36" s="273"/>
      <c r="AW36" s="273"/>
      <c r="AX36" s="273"/>
      <c r="AY36" s="273"/>
    </row>
    <row r="37" spans="1:74" ht="12.75" customHeight="1" x14ac:dyDescent="0.2">
      <c r="A37" s="274" t="s">
        <v>236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68" t="s">
        <v>237</v>
      </c>
      <c r="AS37" s="368"/>
      <c r="AT37" s="368"/>
      <c r="AU37" s="368"/>
      <c r="AV37" s="368"/>
      <c r="AW37" s="368"/>
      <c r="AX37" s="368"/>
      <c r="AY37" s="368"/>
    </row>
    <row r="38" spans="1:74" ht="12.75" customHeight="1" x14ac:dyDescent="0.2">
      <c r="A38" s="18" t="s">
        <v>238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68"/>
      <c r="AS38" s="368"/>
      <c r="AT38" s="368"/>
      <c r="AU38" s="368"/>
      <c r="AV38" s="368"/>
      <c r="AW38" s="368"/>
      <c r="AX38" s="368"/>
      <c r="AY38" s="368"/>
    </row>
    <row r="39" spans="1:74" ht="13.5" thickBot="1" x14ac:dyDescent="0.25">
      <c r="A39" s="275" t="s">
        <v>239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68"/>
      <c r="AS39" s="368"/>
      <c r="AT39" s="368"/>
      <c r="AU39" s="368"/>
      <c r="AV39" s="368"/>
      <c r="AW39" s="368"/>
      <c r="AX39" s="368"/>
      <c r="AY39" s="368"/>
    </row>
    <row r="40" spans="1:74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276" t="s">
        <v>139</v>
      </c>
      <c r="AI40" s="71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>= SUPERVISÃO OK</v>
      </c>
      <c r="AJ40" s="68"/>
      <c r="AK40" s="68"/>
      <c r="AL40" s="68"/>
      <c r="AM40" s="68"/>
      <c r="AN40" s="70"/>
      <c r="AO40" s="68"/>
      <c r="AP40" s="68"/>
      <c r="AQ40" s="68"/>
      <c r="AR40" s="368" t="s">
        <v>240</v>
      </c>
      <c r="AS40" s="368"/>
      <c r="AT40" s="368"/>
      <c r="AU40" s="368"/>
      <c r="AV40" s="368"/>
      <c r="AW40" s="368"/>
      <c r="AX40" s="368"/>
      <c r="AY40" s="3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9"/>
    </row>
    <row r="41" spans="1:74" ht="12.75" customHeight="1" x14ac:dyDescent="0.25">
      <c r="A41" s="8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277" t="s">
        <v>140</v>
      </c>
      <c r="AI41" s="278"/>
      <c r="AJ41" s="279"/>
      <c r="AK41" s="279"/>
      <c r="AL41" s="279"/>
      <c r="AM41" s="278"/>
      <c r="AN41" s="280"/>
      <c r="AR41" s="368"/>
      <c r="AS41" s="368"/>
      <c r="AT41" s="368"/>
      <c r="AU41" s="368"/>
      <c r="AV41" s="368"/>
      <c r="AW41" s="368"/>
      <c r="AX41" s="368"/>
      <c r="AY41" s="368"/>
    </row>
    <row r="42" spans="1:74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8"/>
      <c r="AH42" s="48"/>
      <c r="AI42" s="6"/>
      <c r="AJ42" s="43"/>
      <c r="AK42" s="43"/>
      <c r="AL42" s="43"/>
      <c r="AM42" s="6"/>
      <c r="AN42" s="7"/>
      <c r="AR42" s="368"/>
      <c r="AS42" s="368"/>
      <c r="AT42" s="368"/>
      <c r="AU42" s="368"/>
      <c r="AV42" s="368"/>
      <c r="AW42" s="368"/>
      <c r="AX42" s="368"/>
      <c r="AY42" s="368"/>
    </row>
    <row r="43" spans="1:74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277"/>
      <c r="AI43" s="278"/>
      <c r="AJ43" s="279"/>
      <c r="AK43" s="279"/>
      <c r="AL43" s="279"/>
      <c r="AM43" s="278"/>
      <c r="AN43" s="280"/>
      <c r="AY43" s="47"/>
    </row>
    <row r="44" spans="1:74" ht="12.75" customHeight="1" x14ac:dyDescent="0.2">
      <c r="A44" s="90"/>
      <c r="B44" s="93"/>
      <c r="C44" s="93"/>
      <c r="D44" s="281"/>
      <c r="E44" s="92"/>
      <c r="F44" s="92" t="s">
        <v>202</v>
      </c>
      <c r="G44" s="377">
        <f ca="1">TODAY()</f>
        <v>41863</v>
      </c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  <c r="AH44" s="377"/>
      <c r="AI44" s="377"/>
      <c r="AJ44" s="377"/>
      <c r="AK44" s="377"/>
      <c r="AL44" s="377"/>
      <c r="AM44" s="377"/>
      <c r="AN44" s="378"/>
    </row>
    <row r="45" spans="1:74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 x14ac:dyDescent="0.2">
      <c r="A47" s="98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/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100"/>
    </row>
    <row r="48" spans="1:74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x14ac:dyDescent="0.2">
      <c r="A49" s="379" t="s">
        <v>208</v>
      </c>
      <c r="B49" s="380"/>
      <c r="C49" s="380"/>
      <c r="D49" s="380"/>
      <c r="E49" s="380"/>
      <c r="F49" s="380"/>
      <c r="G49" s="120" t="s">
        <v>204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381" t="s">
        <v>205</v>
      </c>
      <c r="AH49" s="381"/>
      <c r="AI49" s="381"/>
      <c r="AJ49" s="381"/>
      <c r="AK49" s="381"/>
      <c r="AL49" s="381"/>
      <c r="AM49" s="381"/>
      <c r="AN49" s="382"/>
    </row>
    <row r="50" spans="1:59" x14ac:dyDescent="0.2">
      <c r="A50" s="370" t="s">
        <v>209</v>
      </c>
      <c r="B50" s="371"/>
      <c r="C50" s="371"/>
      <c r="D50" s="371"/>
      <c r="E50" s="371"/>
      <c r="F50" s="371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372" t="s">
        <v>206</v>
      </c>
      <c r="AH50" s="372"/>
      <c r="AI50" s="372"/>
      <c r="AJ50" s="372"/>
      <c r="AK50" s="372"/>
      <c r="AL50" s="372"/>
      <c r="AM50" s="372"/>
      <c r="AN50" s="373"/>
    </row>
    <row r="51" spans="1:59" x14ac:dyDescent="0.2">
      <c r="A51" s="370" t="s">
        <v>210</v>
      </c>
      <c r="B51" s="371"/>
      <c r="C51" s="371"/>
      <c r="D51" s="371"/>
      <c r="E51" s="371"/>
      <c r="F51" s="371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372" t="s">
        <v>207</v>
      </c>
      <c r="AH51" s="372"/>
      <c r="AI51" s="372"/>
      <c r="AJ51" s="372"/>
      <c r="AK51" s="372"/>
      <c r="AL51" s="372"/>
      <c r="AM51" s="372"/>
      <c r="AN51" s="373"/>
    </row>
    <row r="52" spans="1:59" ht="13.5" thickBot="1" x14ac:dyDescent="0.25">
      <c r="A52" s="374" t="s">
        <v>211</v>
      </c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6"/>
    </row>
    <row r="53" spans="1:59" s="115" customFormat="1" ht="26.25" thickTop="1" x14ac:dyDescent="0.5">
      <c r="A53" s="118" t="s">
        <v>195</v>
      </c>
      <c r="B53" s="118" t="s">
        <v>197</v>
      </c>
      <c r="C53" s="118" t="s">
        <v>198</v>
      </c>
      <c r="D53" s="118" t="s">
        <v>199</v>
      </c>
      <c r="E53" s="118" t="s">
        <v>200</v>
      </c>
      <c r="F53" s="118" t="s">
        <v>201</v>
      </c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M53" s="117"/>
      <c r="AN53" s="282" t="s">
        <v>195</v>
      </c>
      <c r="BF53" s="116"/>
      <c r="BG53" s="116"/>
    </row>
    <row r="54" spans="1:59" s="283" customFormat="1" x14ac:dyDescent="0.2">
      <c r="A54" s="283" t="str">
        <f>'IMPORTAÇÃO GENOTIPER'!$O$1</f>
        <v>Helder - MS</v>
      </c>
      <c r="B54" s="283" t="s">
        <v>194</v>
      </c>
      <c r="AN54" s="284" t="s">
        <v>196</v>
      </c>
      <c r="BF54" s="285"/>
      <c r="BG54" s="285"/>
    </row>
    <row r="55" spans="1:59" s="283" customFormat="1" x14ac:dyDescent="0.2">
      <c r="B55" s="283" t="s">
        <v>186</v>
      </c>
      <c r="BF55" s="285"/>
      <c r="BG55" s="285"/>
    </row>
    <row r="56" spans="1:59" s="283" customFormat="1" x14ac:dyDescent="0.2">
      <c r="B56" s="283" t="s">
        <v>188</v>
      </c>
      <c r="BF56" s="285"/>
      <c r="BG56" s="285"/>
    </row>
    <row r="57" spans="1:59" s="283" customFormat="1" x14ac:dyDescent="0.2">
      <c r="B57" s="283" t="s">
        <v>189</v>
      </c>
      <c r="BF57" s="285"/>
      <c r="BG57" s="285"/>
    </row>
    <row r="58" spans="1:59" s="283" customFormat="1" x14ac:dyDescent="0.2">
      <c r="B58" s="283" t="s">
        <v>190</v>
      </c>
      <c r="BF58" s="285"/>
      <c r="BG58" s="285"/>
    </row>
    <row r="59" spans="1:59" s="283" customFormat="1" x14ac:dyDescent="0.2">
      <c r="B59" s="283" t="s">
        <v>191</v>
      </c>
      <c r="BF59" s="285"/>
      <c r="BG59" s="285"/>
    </row>
    <row r="60" spans="1:59" s="283" customFormat="1" x14ac:dyDescent="0.2">
      <c r="B60" s="283" t="s">
        <v>192</v>
      </c>
      <c r="BF60" s="285"/>
      <c r="BG60" s="285"/>
    </row>
    <row r="61" spans="1:59" s="283" customFormat="1" x14ac:dyDescent="0.2">
      <c r="B61" s="283" t="s">
        <v>193</v>
      </c>
      <c r="BF61" s="285"/>
      <c r="BG61" s="285"/>
    </row>
    <row r="63" spans="1:59" x14ac:dyDescent="0.2">
      <c r="AM63" s="20"/>
    </row>
  </sheetData>
  <mergeCells count="33">
    <mergeCell ref="A51:F51"/>
    <mergeCell ref="AG51:AN51"/>
    <mergeCell ref="A52:AN52"/>
    <mergeCell ref="G44:AN44"/>
    <mergeCell ref="A49:F49"/>
    <mergeCell ref="AG49:AN49"/>
    <mergeCell ref="A50:F50"/>
    <mergeCell ref="AG50:AN50"/>
    <mergeCell ref="AK31:AL31"/>
    <mergeCell ref="AG32:AM32"/>
    <mergeCell ref="AG33:AM33"/>
    <mergeCell ref="AR37:AY39"/>
    <mergeCell ref="AR40:AY42"/>
    <mergeCell ref="AG31:AI31"/>
    <mergeCell ref="BO7:BQ7"/>
    <mergeCell ref="N8:O8"/>
    <mergeCell ref="P8:Q8"/>
    <mergeCell ref="X8:Y8"/>
    <mergeCell ref="Z8:AA8"/>
    <mergeCell ref="AZ6:BA6"/>
    <mergeCell ref="AQ7:AV8"/>
    <mergeCell ref="AZ7:BB7"/>
    <mergeCell ref="BI7:BK7"/>
    <mergeCell ref="BL7:BN7"/>
    <mergeCell ref="L8:M8"/>
    <mergeCell ref="R8:S8"/>
    <mergeCell ref="A1:AN1"/>
    <mergeCell ref="B3:G3"/>
    <mergeCell ref="B8:C8"/>
    <mergeCell ref="D8:E8"/>
    <mergeCell ref="F8:G8"/>
    <mergeCell ref="H8:I8"/>
    <mergeCell ref="J8:K8"/>
  </mergeCells>
  <conditionalFormatting sqref="AH9:AH23">
    <cfRule type="cellIs" dxfId="178" priority="45" stopIfTrue="1" operator="equal">
      <formula>"FT"</formula>
    </cfRule>
  </conditionalFormatting>
  <conditionalFormatting sqref="AA9">
    <cfRule type="cellIs" dxfId="177" priority="46" stopIfTrue="1" operator="equal">
      <formula>1</formula>
    </cfRule>
  </conditionalFormatting>
  <conditionalFormatting sqref="AG9">
    <cfRule type="cellIs" dxfId="176" priority="47" stopIfTrue="1" operator="equal">
      <formula>"EXCLUI"</formula>
    </cfRule>
    <cfRule type="cellIs" dxfId="175" priority="48" stopIfTrue="1" operator="equal">
      <formula>"MUTAÇÃO"</formula>
    </cfRule>
  </conditionalFormatting>
  <conditionalFormatting sqref="B9:C23">
    <cfRule type="cellIs" dxfId="174" priority="49" stopIfTrue="1" operator="equal">
      <formula>$T$9</formula>
    </cfRule>
    <cfRule type="cellIs" dxfId="173" priority="50" stopIfTrue="1" operator="equal">
      <formula>$U$9</formula>
    </cfRule>
  </conditionalFormatting>
  <conditionalFormatting sqref="D9:G23">
    <cfRule type="cellIs" dxfId="172" priority="51" stopIfTrue="1" operator="equal">
      <formula>$T9</formula>
    </cfRule>
    <cfRule type="cellIs" dxfId="171" priority="52" stopIfTrue="1" operator="equal">
      <formula>$U9</formula>
    </cfRule>
  </conditionalFormatting>
  <conditionalFormatting sqref="AH24:AH30">
    <cfRule type="cellIs" dxfId="170" priority="40" stopIfTrue="1" operator="equal">
      <formula>"FT"</formula>
    </cfRule>
  </conditionalFormatting>
  <conditionalFormatting sqref="B24:C30">
    <cfRule type="cellIs" dxfId="169" priority="41" stopIfTrue="1" operator="equal">
      <formula>$T$9</formula>
    </cfRule>
    <cfRule type="cellIs" dxfId="168" priority="42" stopIfTrue="1" operator="equal">
      <formula>$U$9</formula>
    </cfRule>
  </conditionalFormatting>
  <conditionalFormatting sqref="D24:G30">
    <cfRule type="cellIs" dxfId="167" priority="43" stopIfTrue="1" operator="equal">
      <formula>$T24</formula>
    </cfRule>
    <cfRule type="cellIs" dxfId="166" priority="44" stopIfTrue="1" operator="equal">
      <formula>$U24</formula>
    </cfRule>
  </conditionalFormatting>
  <conditionalFormatting sqref="AH9:AH23">
    <cfRule type="cellIs" dxfId="165" priority="39" stopIfTrue="1" operator="equal">
      <formula>"FT"</formula>
    </cfRule>
  </conditionalFormatting>
  <conditionalFormatting sqref="AA9">
    <cfRule type="cellIs" dxfId="164" priority="38" stopIfTrue="1" operator="equal">
      <formula>1</formula>
    </cfRule>
  </conditionalFormatting>
  <conditionalFormatting sqref="AG9">
    <cfRule type="cellIs" dxfId="163" priority="36" stopIfTrue="1" operator="equal">
      <formula>"EXCLUI"</formula>
    </cfRule>
    <cfRule type="cellIs" dxfId="162" priority="37" stopIfTrue="1" operator="equal">
      <formula>"MUTAÇÃO"</formula>
    </cfRule>
  </conditionalFormatting>
  <conditionalFormatting sqref="D9:E23">
    <cfRule type="cellIs" dxfId="161" priority="34" stopIfTrue="1" operator="equal">
      <formula>$T$9</formula>
    </cfRule>
    <cfRule type="cellIs" dxfId="160" priority="35" stopIfTrue="1" operator="equal">
      <formula>$U$9</formula>
    </cfRule>
  </conditionalFormatting>
  <conditionalFormatting sqref="F9:G23">
    <cfRule type="cellIs" dxfId="159" priority="32" stopIfTrue="1" operator="equal">
      <formula>$T9</formula>
    </cfRule>
    <cfRule type="cellIs" dxfId="158" priority="33" stopIfTrue="1" operator="equal">
      <formula>$U9</formula>
    </cfRule>
  </conditionalFormatting>
  <conditionalFormatting sqref="AB9">
    <cfRule type="cellIs" dxfId="157" priority="30" stopIfTrue="1" operator="equal">
      <formula>0</formula>
    </cfRule>
    <cfRule type="cellIs" dxfId="156" priority="31" stopIfTrue="1" operator="equal">
      <formula>$AS$13</formula>
    </cfRule>
  </conditionalFormatting>
  <conditionalFormatting sqref="AH24:AH30">
    <cfRule type="cellIs" dxfId="155" priority="29" stopIfTrue="1" operator="equal">
      <formula>"FT"</formula>
    </cfRule>
  </conditionalFormatting>
  <conditionalFormatting sqref="D24:E30">
    <cfRule type="cellIs" dxfId="154" priority="27" stopIfTrue="1" operator="equal">
      <formula>$T$9</formula>
    </cfRule>
    <cfRule type="cellIs" dxfId="153" priority="28" stopIfTrue="1" operator="equal">
      <formula>$U$9</formula>
    </cfRule>
  </conditionalFormatting>
  <conditionalFormatting sqref="F24:G30">
    <cfRule type="cellIs" dxfId="152" priority="25" stopIfTrue="1" operator="equal">
      <formula>$T24</formula>
    </cfRule>
    <cfRule type="cellIs" dxfId="151" priority="26" stopIfTrue="1" operator="equal">
      <formula>$U24</formula>
    </cfRule>
  </conditionalFormatting>
  <conditionalFormatting sqref="H9:M30">
    <cfRule type="cellIs" dxfId="150" priority="23" stopIfTrue="1" operator="equal">
      <formula>$Z9</formula>
    </cfRule>
    <cfRule type="cellIs" dxfId="149" priority="24" stopIfTrue="1" operator="equal">
      <formula>$AA9</formula>
    </cfRule>
  </conditionalFormatting>
  <conditionalFormatting sqref="AG43">
    <cfRule type="cellIs" dxfId="148" priority="21" stopIfTrue="1" operator="greaterThanOrEqual">
      <formula>1</formula>
    </cfRule>
    <cfRule type="cellIs" dxfId="147" priority="22" stopIfTrue="1" operator="lessThanOrEqual">
      <formula>2</formula>
    </cfRule>
  </conditionalFormatting>
  <conditionalFormatting sqref="AM9:AM30">
    <cfRule type="cellIs" dxfId="146" priority="19" stopIfTrue="1" operator="equal">
      <formula>"EXCLUI"</formula>
    </cfRule>
    <cfRule type="cellIs" dxfId="145" priority="20" stopIfTrue="1" operator="equal">
      <formula>"MUTAÇÃO"</formula>
    </cfRule>
  </conditionalFormatting>
  <conditionalFormatting sqref="BI9:BQ30">
    <cfRule type="cellIs" dxfId="144" priority="18" stopIfTrue="1" operator="equal">
      <formula>$BF9-1</formula>
    </cfRule>
  </conditionalFormatting>
  <conditionalFormatting sqref="BT9:BU30">
    <cfRule type="cellIs" dxfId="143" priority="16" stopIfTrue="1" operator="equal">
      <formula>$BN9</formula>
    </cfRule>
    <cfRule type="cellIs" dxfId="142" priority="17" stopIfTrue="1" operator="equal">
      <formula>$BQ9</formula>
    </cfRule>
  </conditionalFormatting>
  <conditionalFormatting sqref="A9:A30">
    <cfRule type="cellIs" dxfId="141" priority="15" stopIfTrue="1" operator="equal">
      <formula>"ERRO-FT"</formula>
    </cfRule>
  </conditionalFormatting>
  <conditionalFormatting sqref="AH8">
    <cfRule type="cellIs" dxfId="140" priority="14" stopIfTrue="1" operator="equal">
      <formula>"AL.SUP."</formula>
    </cfRule>
  </conditionalFormatting>
  <conditionalFormatting sqref="AG8">
    <cfRule type="cellIs" dxfId="139" priority="13" stopIfTrue="1" operator="equal">
      <formula>"AL.INF."</formula>
    </cfRule>
  </conditionalFormatting>
  <conditionalFormatting sqref="AG9:AG30">
    <cfRule type="expression" dxfId="138" priority="12" stopIfTrue="1">
      <formula>(A9="ERRO-FT")</formula>
    </cfRule>
  </conditionalFormatting>
  <conditionalFormatting sqref="AH9:AH30">
    <cfRule type="cellIs" dxfId="137" priority="9" stopIfTrue="1" operator="equal">
      <formula>0</formula>
    </cfRule>
    <cfRule type="cellIs" dxfId="136" priority="10" stopIfTrue="1" operator="equal">
      <formula>$AY9</formula>
    </cfRule>
    <cfRule type="expression" dxfId="135" priority="11" stopIfTrue="1">
      <formula>(A9="ERRO-FT")</formula>
    </cfRule>
  </conditionalFormatting>
  <conditionalFormatting sqref="AG31:AI31">
    <cfRule type="cellIs" dxfId="134" priority="8" stopIfTrue="1" operator="equal">
      <formula>"VERIFICAR ALELOS"</formula>
    </cfRule>
  </conditionalFormatting>
  <conditionalFormatting sqref="AG32:AM32">
    <cfRule type="cellIs" dxfId="133" priority="7" stopIfTrue="1" operator="equal">
      <formula>"OCORRÊNCIA DE 'OUT LADDER'"</formula>
    </cfRule>
  </conditionalFormatting>
  <conditionalFormatting sqref="AG33:AN33">
    <cfRule type="cellIs" dxfId="132" priority="5" stopIfTrue="1" operator="equal">
      <formula>"CÁLCULO COM OMISSÃO DE LOCUS"</formula>
    </cfRule>
    <cfRule type="cellIs" dxfId="131" priority="6" stopIfTrue="1" operator="equal">
      <formula>"ANALISAR DIGITAÇÃO"</formula>
    </cfRule>
  </conditionalFormatting>
  <conditionalFormatting sqref="AG46:AH46">
    <cfRule type="expression" dxfId="130" priority="3" stopIfTrue="1">
      <formula>($AH$46="SIM")</formula>
    </cfRule>
    <cfRule type="expression" dxfId="129" priority="4" stopIfTrue="1">
      <formula>($AH$46&lt;&gt;"SIM")</formula>
    </cfRule>
  </conditionalFormatting>
  <conditionalFormatting sqref="AN9:AN30">
    <cfRule type="cellIs" dxfId="128" priority="1" stopIfTrue="1" operator="equal">
      <formula>"EM"</formula>
    </cfRule>
    <cfRule type="cellIs" dxfId="127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0.85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CQ63"/>
  <sheetViews>
    <sheetView topLeftCell="A2" zoomScale="127" workbookViewId="0">
      <selection activeCell="AO2" sqref="AO1:CQ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5" width="4.85546875" style="1" hidden="1" customWidth="1"/>
    <col min="96" max="99" width="4.85546875" style="1" customWidth="1"/>
    <col min="100" max="16384" width="9.140625" style="1"/>
  </cols>
  <sheetData>
    <row r="1" spans="1:80" ht="17.25" thickTop="1" thickBot="1" x14ac:dyDescent="0.25">
      <c r="A1" s="349" t="s">
        <v>203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  <c r="AN1" s="351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 x14ac:dyDescent="0.25">
      <c r="A3" s="241" t="s">
        <v>81</v>
      </c>
      <c r="B3" s="352"/>
      <c r="C3" s="352"/>
      <c r="D3" s="352"/>
      <c r="E3" s="352"/>
      <c r="F3" s="352"/>
      <c r="G3" s="35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42" t="s">
        <v>0</v>
      </c>
      <c r="AI3" s="6"/>
      <c r="AM3" s="243" t="s">
        <v>230</v>
      </c>
      <c r="AN3" s="244"/>
    </row>
    <row r="4" spans="1:80" ht="15.75" x14ac:dyDescent="0.25">
      <c r="A4" s="241" t="s">
        <v>161</v>
      </c>
      <c r="B4" s="24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46" t="str">
        <f>(IF(('IMPORTAÇÃO GENOTIPER'!W4="X"),"XX",(IF(('IMPORTAÇÃO GENOTIPER'!W4&lt;&gt;"X"),"ERRO"))))</f>
        <v>XX</v>
      </c>
      <c r="AM4" s="247" t="str">
        <f>IF(('SUPERVISÃO 1'!$AB$34="EVIDÊNCIA DE TROCA"),"VERIFICAR","OK")</f>
        <v>OK</v>
      </c>
      <c r="AN4" s="248"/>
    </row>
    <row r="5" spans="1:80" ht="16.5" thickBot="1" x14ac:dyDescent="0.3">
      <c r="A5" s="241" t="s">
        <v>92</v>
      </c>
      <c r="B5" s="24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49"/>
      <c r="Y5" s="249"/>
      <c r="Z5" s="249"/>
      <c r="AA5" s="249"/>
      <c r="AB5" s="249"/>
      <c r="AC5" s="249"/>
      <c r="AD5" s="249"/>
      <c r="AE5" s="6"/>
      <c r="AF5" s="6"/>
      <c r="AG5" s="6"/>
      <c r="AH5" s="6"/>
      <c r="AI5" s="250" t="str">
        <f>(IF(('IMPORTAÇÃO GENOTIPER'!AM4="Y"),"XY",(IF(('IMPORTAÇÃO GENOTIPER'!AM4="X"),"XX","ERRO"))))</f>
        <v>XY</v>
      </c>
      <c r="AM5" s="247" t="str">
        <f>IF(('SUPERVISÃO 2'!$AB$34="EVIDÊNCIA DE TROCA"),"VERIFICAR","OK")</f>
        <v>OK</v>
      </c>
      <c r="AN5" s="248"/>
    </row>
    <row r="6" spans="1:80" ht="17.25" thickTop="1" thickBot="1" x14ac:dyDescent="0.3">
      <c r="A6" s="241" t="s">
        <v>93</v>
      </c>
      <c r="B6" s="24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51" t="str">
        <f>(IF(('IMPORTAÇÃO GENOTIPER'!BC4="Y"),"XY",(IF(('IMPORTAÇÃO GENOTIPER'!BC4&lt;&gt;"Y"),"ERRO"))))</f>
        <v>XY</v>
      </c>
      <c r="AJ6" s="1" t="s">
        <v>149</v>
      </c>
      <c r="AM6" s="247" t="str">
        <f>IF(('SUPERVISÃO 3'!$AB$34="TROCA POSSÍVEL"),"VERIFICAR","OK")</f>
        <v>OK</v>
      </c>
      <c r="AN6" s="248"/>
      <c r="AO6" s="22"/>
      <c r="AZ6" s="353" t="s">
        <v>88</v>
      </c>
      <c r="BA6" s="354"/>
      <c r="BB6" s="31">
        <v>1E-3</v>
      </c>
      <c r="BH6" s="66"/>
      <c r="BI6" s="55"/>
      <c r="BJ6" s="55"/>
      <c r="BK6" s="55"/>
      <c r="BL6" s="55"/>
    </row>
    <row r="7" spans="1:80" ht="24" customHeight="1" thickTop="1" thickBot="1" x14ac:dyDescent="0.35">
      <c r="A7" s="252" t="s">
        <v>246</v>
      </c>
      <c r="B7" s="253"/>
      <c r="C7" s="10"/>
      <c r="D7" s="10"/>
      <c r="E7" s="10"/>
      <c r="F7" s="25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2" t="str">
        <f>IF(('SUPERVISÃO 4'!$AG$34="VERIFICAR"),"VERIFICAR","OK")</f>
        <v>OK</v>
      </c>
      <c r="AN7" s="73"/>
      <c r="AO7" s="1" t="s">
        <v>78</v>
      </c>
      <c r="AQ7" s="355" t="s">
        <v>232</v>
      </c>
      <c r="AR7" s="355"/>
      <c r="AS7" s="355"/>
      <c r="AT7" s="355"/>
      <c r="AU7" s="355"/>
      <c r="AV7" s="355"/>
      <c r="AZ7" s="353" t="s">
        <v>87</v>
      </c>
      <c r="BA7" s="354"/>
      <c r="BB7" s="356"/>
      <c r="BI7" s="353" t="s">
        <v>108</v>
      </c>
      <c r="BJ7" s="354"/>
      <c r="BK7" s="356"/>
      <c r="BL7" s="357" t="s">
        <v>109</v>
      </c>
      <c r="BM7" s="358"/>
      <c r="BN7" s="359"/>
      <c r="BO7" s="360" t="s">
        <v>111</v>
      </c>
      <c r="BP7" s="361"/>
      <c r="BQ7" s="362"/>
    </row>
    <row r="8" spans="1:80" ht="16.5" thickTop="1" thickBot="1" x14ac:dyDescent="0.3">
      <c r="A8" s="255" t="s">
        <v>50</v>
      </c>
      <c r="B8" s="347" t="s">
        <v>130</v>
      </c>
      <c r="C8" s="348"/>
      <c r="D8" s="347" t="s">
        <v>55</v>
      </c>
      <c r="E8" s="348"/>
      <c r="F8" s="347" t="s">
        <v>56</v>
      </c>
      <c r="G8" s="348"/>
      <c r="H8" s="347" t="s">
        <v>97</v>
      </c>
      <c r="I8" s="348"/>
      <c r="J8" s="347" t="s">
        <v>98</v>
      </c>
      <c r="K8" s="348"/>
      <c r="L8" s="347" t="s">
        <v>99</v>
      </c>
      <c r="M8" s="348"/>
      <c r="N8" s="347" t="s">
        <v>165</v>
      </c>
      <c r="O8" s="348"/>
      <c r="P8" s="347" t="s">
        <v>166</v>
      </c>
      <c r="Q8" s="348"/>
      <c r="R8" s="347" t="s">
        <v>167</v>
      </c>
      <c r="S8" s="348"/>
      <c r="T8" s="256" t="s">
        <v>135</v>
      </c>
      <c r="U8" s="256" t="s">
        <v>136</v>
      </c>
      <c r="V8" s="256" t="s">
        <v>137</v>
      </c>
      <c r="W8" s="257" t="s">
        <v>134</v>
      </c>
      <c r="X8" s="363" t="s">
        <v>138</v>
      </c>
      <c r="Y8" s="364"/>
      <c r="Z8" s="363" t="s">
        <v>141</v>
      </c>
      <c r="AA8" s="364"/>
      <c r="AB8" s="256" t="s">
        <v>145</v>
      </c>
      <c r="AC8" s="256" t="s">
        <v>147</v>
      </c>
      <c r="AD8" s="256" t="s">
        <v>146</v>
      </c>
      <c r="AE8" s="256" t="s">
        <v>148</v>
      </c>
      <c r="AF8" s="256" t="s">
        <v>160</v>
      </c>
      <c r="AG8" s="25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5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59" t="s">
        <v>143</v>
      </c>
      <c r="AJ8" s="260" t="s">
        <v>139</v>
      </c>
      <c r="AK8" s="260"/>
      <c r="AL8" s="260"/>
      <c r="AM8" s="259" t="s">
        <v>176</v>
      </c>
      <c r="AN8" s="259" t="s">
        <v>129</v>
      </c>
      <c r="AQ8" s="355"/>
      <c r="AR8" s="355"/>
      <c r="AS8" s="355"/>
      <c r="AT8" s="355"/>
      <c r="AU8" s="355"/>
      <c r="AV8" s="355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0" t="s">
        <v>100</v>
      </c>
      <c r="BG8" s="50" t="s">
        <v>101</v>
      </c>
      <c r="BI8" s="13" t="s">
        <v>105</v>
      </c>
      <c r="BJ8" s="53" t="s">
        <v>106</v>
      </c>
      <c r="BK8" s="53" t="s">
        <v>107</v>
      </c>
      <c r="BL8" s="57" t="s">
        <v>105</v>
      </c>
      <c r="BM8" s="58" t="s">
        <v>112</v>
      </c>
      <c r="BN8" s="58" t="s">
        <v>110</v>
      </c>
      <c r="BO8" s="60" t="s">
        <v>105</v>
      </c>
      <c r="BP8" s="61" t="s">
        <v>113</v>
      </c>
      <c r="BQ8" s="62" t="s">
        <v>114</v>
      </c>
    </row>
    <row r="9" spans="1:80" ht="16.5" thickTop="1" thickBot="1" x14ac:dyDescent="0.3">
      <c r="A9" s="261" t="s">
        <v>151</v>
      </c>
      <c r="B9" s="262">
        <f>'DADOS FINAIS'!B9</f>
        <v>16</v>
      </c>
      <c r="C9" s="262">
        <f>'DADOS FINAIS'!C9</f>
        <v>18</v>
      </c>
      <c r="D9" s="262">
        <f>'DADOS FINAIS'!F9</f>
        <v>14</v>
      </c>
      <c r="E9" s="262">
        <f>'DADOS FINAIS'!G9</f>
        <v>15</v>
      </c>
      <c r="F9" s="262">
        <f>'DADOS FINAIS'!D9</f>
        <v>15</v>
      </c>
      <c r="G9" s="262">
        <f>'DADOS FINAIS'!E9</f>
        <v>18</v>
      </c>
      <c r="H9" s="101">
        <f t="shared" ref="H9:M24" si="0">(IF(CODE(B9)=(60),($BF9-1),(IF(CODE(B9)=(62),($BG9+1),B9))))</f>
        <v>16</v>
      </c>
      <c r="I9" s="101">
        <f t="shared" si="0"/>
        <v>18</v>
      </c>
      <c r="J9" s="101">
        <f t="shared" si="0"/>
        <v>14</v>
      </c>
      <c r="K9" s="101">
        <f t="shared" si="0"/>
        <v>15</v>
      </c>
      <c r="L9" s="101">
        <f t="shared" si="0"/>
        <v>15</v>
      </c>
      <c r="M9" s="101">
        <f t="shared" si="0"/>
        <v>18</v>
      </c>
      <c r="N9" s="102">
        <f t="shared" ref="N9:N30" si="1">IF((H9&gt;I9),I9,H9)</f>
        <v>16</v>
      </c>
      <c r="O9" s="102">
        <f t="shared" ref="O9:O30" si="2">IF((I9&gt;H9),I9,H9)</f>
        <v>18</v>
      </c>
      <c r="P9" s="102">
        <f t="shared" ref="P9:P30" si="3">IF((J9&gt;K9),K9,J9)</f>
        <v>14</v>
      </c>
      <c r="Q9" s="102">
        <f t="shared" ref="Q9:Q30" si="4">IF((K9&gt;J9),K9,J9)</f>
        <v>15</v>
      </c>
      <c r="R9" s="102">
        <f t="shared" ref="R9:R30" si="5">IF((L9&gt;M9),M9,L9)</f>
        <v>15</v>
      </c>
      <c r="S9" s="102">
        <f t="shared" ref="S9:S30" si="6">IF((M9&gt;L9),M9,L9)</f>
        <v>18</v>
      </c>
      <c r="T9" s="103">
        <f t="shared" ref="T9:T30" si="7">IF((P9=N9),P9,(IF((P9=O9),P9,0)))</f>
        <v>0</v>
      </c>
      <c r="U9" s="103">
        <f t="shared" ref="U9:U30" si="8">IF((Q9=N9),Q9,(IF((Q9=O9),Q9,0)))</f>
        <v>0</v>
      </c>
      <c r="V9" s="104">
        <f>(IF((OR((P9="&gt;18"),(Q9="&gt;18"))),2,(IF(((T9+U9)=(P9+Q9)),0,1))))</f>
        <v>1</v>
      </c>
      <c r="W9" s="105">
        <f>IF(OR(($T9=$U9),($U9=0)),$T9,(IF(AND(($T9=0),($U9&lt;&gt;0)),$U9,$AJ$7)))</f>
        <v>0</v>
      </c>
      <c r="X9" s="128">
        <f>(ROUND( (IF((AND((T9=0),(U9=0))),D9,(IF((V9=2),S9,(IF((W9&lt;&gt;$AJ$7),(P9+Q9-W9),P9)))))),1))</f>
        <v>14</v>
      </c>
      <c r="Y9" s="103">
        <f>(IF((AND(($T9=0),($U9=0))),$E9,(IF(($W9&lt;&gt;$AJ$7),0,$Q9))))</f>
        <v>15</v>
      </c>
      <c r="Z9" s="106">
        <f t="shared" ref="Z9:Z30" si="9">(IF(OR((X9=R9),(X9=S9)),X9,0))</f>
        <v>0</v>
      </c>
      <c r="AA9" s="107">
        <f t="shared" ref="AA9:AA30" si="10">(IF(AND((V9=0),(Z9=0),(OR((S9=T9),(S9=U9)))),Y9,(IF((Y9&lt;&gt;0),(IF(OR((Y9=R9),(Y9=S9)),Y9,0)),0))))</f>
        <v>15</v>
      </c>
      <c r="AB9" s="108">
        <f>IF(X9=0,0,VLOOKUP(X9,FREQUENCIAS!$1:$1048576,(IF(($A9=FREQUENCIAS!$B$1),2,"ERRO")),FREQUENCIAS!$1:$1048576))</f>
        <v>9.3156000000000003E-2</v>
      </c>
      <c r="AC9" s="108">
        <f>IF(Y9=0,0,VLOOKUP(Y9,FREQUENCIAS!$1:$1048576,(IF(($A9=FREQUENCIAS!$B$1),2,"ERRO")),FREQUENCIAS!$1:$1048576))</f>
        <v>0.290991</v>
      </c>
      <c r="AD9" s="108"/>
      <c r="AE9" s="108"/>
      <c r="AF9" s="108"/>
      <c r="AG9" s="109">
        <f>(IF((A9="ERRO-FT"),"8",((IF((AND(($Z9=0),($AA9=0),($AX$32="N"))),0,(IF((AND(($Z9=0),($AA9=0),(AX$32="S"))),1,(IF((AB9+AC9+AD9+AE9+AF9)&lt;=$AI$7,$AI$7,(AB9+AC9+AD9+AE9+AF9))))))))))</f>
        <v>0.38414700000000002</v>
      </c>
      <c r="AH9" s="110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1.3015850702986096</v>
      </c>
      <c r="AI9" s="111">
        <f t="shared" ref="AI9:AI30" si="11">(IF((AH9=0),0,(AH9/(AH9+1))))</f>
        <v>0.56551682016678217</v>
      </c>
      <c r="AJ9" s="112"/>
      <c r="AK9" s="113">
        <f t="shared" ref="AK9:AK30" si="12">(1-AG9)^2</f>
        <v>0.37927491760900001</v>
      </c>
      <c r="AL9" s="112"/>
      <c r="AM9" s="114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1 / 2F</v>
      </c>
      <c r="AN9" s="105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0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1.3015850702986096</v>
      </c>
      <c r="BD9" s="2">
        <f>IF((W9=0),1,0)</f>
        <v>1</v>
      </c>
      <c r="BE9" s="67"/>
      <c r="BF9" s="51">
        <v>8</v>
      </c>
      <c r="BG9" s="51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CORRETO</v>
      </c>
      <c r="BI9" s="56" t="str">
        <f t="shared" ref="BI9:BI30" si="17">IF(($W9=($BF9-1)),"&lt;",IF(($W9=($BG9+1)),"&gt;",""))</f>
        <v/>
      </c>
      <c r="BJ9" s="56">
        <f t="shared" ref="BJ9:BJ30" si="18">IF(($W9=($BF9-1)),$BF9,IF(($W9=($BG9-1)),$BG9,$W9))</f>
        <v>0</v>
      </c>
      <c r="BK9" s="56">
        <f t="shared" ref="BK9:BK30" si="19">(IF((OR(($W9=($BF9-1)),($W9=($BG9+1)))),(CONCATENATE((BI9),(BJ9))),$W9))</f>
        <v>0</v>
      </c>
      <c r="BL9" s="59" t="str">
        <f t="shared" ref="BL9:BL30" si="20">IF(($Z9=($BF9-1)),"&lt;",IF(($Z9=($BG9+1)),"&gt;",""))</f>
        <v/>
      </c>
      <c r="BM9" s="59">
        <f t="shared" ref="BM9:BM30" si="21">IF(($Z9=($BF9-1)),$BF9,IF(($Z9=($BG9+1)),$BG9,$Z9))</f>
        <v>0</v>
      </c>
      <c r="BN9" s="59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15</v>
      </c>
      <c r="BQ9" s="37">
        <f t="shared" ref="BQ9:BQ30" si="24">(IF((OR(($AA9=($BF9-1)),($AA9=($BG9+1)))),(CONCATENATE((BO9),(BP9))),$AA9))</f>
        <v>15</v>
      </c>
      <c r="BT9" s="23">
        <v>9</v>
      </c>
      <c r="BU9" s="24" t="s">
        <v>103</v>
      </c>
    </row>
    <row r="10" spans="1:80" ht="16.5" thickTop="1" thickBot="1" x14ac:dyDescent="0.3">
      <c r="A10" s="261" t="s">
        <v>218</v>
      </c>
      <c r="B10" s="262">
        <f>'DADOS FINAIS'!B10</f>
        <v>15</v>
      </c>
      <c r="C10" s="262">
        <f>'DADOS FINAIS'!C10</f>
        <v>16.3</v>
      </c>
      <c r="D10" s="262">
        <f>'DADOS FINAIS'!F10</f>
        <v>13</v>
      </c>
      <c r="E10" s="262">
        <f>'DADOS FINAIS'!G10</f>
        <v>19.3</v>
      </c>
      <c r="F10" s="262">
        <f>'DADOS FINAIS'!D10</f>
        <v>16.3</v>
      </c>
      <c r="G10" s="262">
        <f>'DADOS FINAIS'!E10</f>
        <v>19.3</v>
      </c>
      <c r="H10" s="101">
        <f t="shared" si="0"/>
        <v>15</v>
      </c>
      <c r="I10" s="101">
        <f t="shared" si="0"/>
        <v>16.3</v>
      </c>
      <c r="J10" s="101">
        <f t="shared" si="0"/>
        <v>13</v>
      </c>
      <c r="K10" s="101">
        <f t="shared" si="0"/>
        <v>19.3</v>
      </c>
      <c r="L10" s="101">
        <f t="shared" si="0"/>
        <v>16.3</v>
      </c>
      <c r="M10" s="101">
        <f t="shared" si="0"/>
        <v>19.3</v>
      </c>
      <c r="N10" s="102">
        <f t="shared" si="1"/>
        <v>15</v>
      </c>
      <c r="O10" s="102">
        <f t="shared" si="2"/>
        <v>16.3</v>
      </c>
      <c r="P10" s="102">
        <f t="shared" si="3"/>
        <v>13</v>
      </c>
      <c r="Q10" s="102">
        <f t="shared" si="4"/>
        <v>19.3</v>
      </c>
      <c r="R10" s="102">
        <f t="shared" si="5"/>
        <v>16.3</v>
      </c>
      <c r="S10" s="102">
        <f t="shared" si="6"/>
        <v>19.3</v>
      </c>
      <c r="T10" s="103">
        <f t="shared" si="7"/>
        <v>0</v>
      </c>
      <c r="U10" s="103">
        <f t="shared" si="8"/>
        <v>0</v>
      </c>
      <c r="V10" s="104">
        <f>(IF((OR((P10="&gt;36"),(Q10="&gt;36"))),2,(IF(((T10+U10)=(P10+Q10)),0,1))))</f>
        <v>1</v>
      </c>
      <c r="W10" s="105">
        <f t="shared" ref="W10:W23" si="25">IF(OR((T10=U10),(U10=0)),T10,(IF(AND((T10=0),(U10&lt;&gt;0)),U10,$AJ$7)))</f>
        <v>0</v>
      </c>
      <c r="X10" s="128">
        <f>(ROUND( (IF((AND((T10=0),(U10=0))),D10,(IF((V10=2),S10,(IF((W10&lt;&gt;$AJ$7),(P10+Q10-W10),P10)))))),1))</f>
        <v>13</v>
      </c>
      <c r="Y10" s="103">
        <f>(IF((AND((T10=0),(U10=0))),E10,(IF((W10&lt;&gt;$AJ$7),0,Q10))))</f>
        <v>19.3</v>
      </c>
      <c r="Z10" s="106">
        <f t="shared" si="9"/>
        <v>0</v>
      </c>
      <c r="AA10" s="107">
        <f t="shared" si="10"/>
        <v>19.3</v>
      </c>
      <c r="AB10" s="108">
        <f>IF(X10=0,0,VLOOKUP(X10,FREQUENCIAS!$1:$1048576,(IF(($A10=FREQUENCIAS!$C$1),3,"ERRO")),FREQUENCIAS!$1:$1048576))</f>
        <v>8.5300000000000001E-2</v>
      </c>
      <c r="AC10" s="108">
        <f>IF(Y10=0,0,VLOOKUP(Y10,FREQUENCIAS!$1:$1048576,(IF(($A10=FREQUENCIAS!$C$1),3,"ERRO")),FREQUENCIAS!$1:$1048576))</f>
        <v>3.5999999999999999E-3</v>
      </c>
      <c r="AD10" s="108"/>
      <c r="AE10" s="108"/>
      <c r="AF10" s="108"/>
      <c r="AG10" s="109">
        <f>(IF((A10="ERRO-FT"),"24",((IF((AND(($Z10=0),($AA10=0),($AX$32="N"))),0,(IF((AND(($Z10=0),($AA10=0),(AX$32="S"))),1,(IF((AB10+AC10+AD10+AE10+AF10)&lt;=$AI$7,$AI$7,(AB10+AC10+AD10+AE10+AF10))))))))))</f>
        <v>8.8900000000000007E-2</v>
      </c>
      <c r="AH10" s="110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5.6242969628796393</v>
      </c>
      <c r="AI10" s="111">
        <f t="shared" si="11"/>
        <v>0.84904058413992189</v>
      </c>
      <c r="AJ10" s="112"/>
      <c r="AK10" s="113">
        <f t="shared" si="12"/>
        <v>0.83010321000000009</v>
      </c>
      <c r="AL10" s="112"/>
      <c r="AM10" s="114" t="str">
        <f t="shared" si="13"/>
        <v>1 / 2F</v>
      </c>
      <c r="AN10" s="105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0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5.6242969628796393</v>
      </c>
      <c r="BD10" s="2">
        <f t="shared" ref="BD10:BD23" si="27">IF((W10=0),1,0)</f>
        <v>1</v>
      </c>
      <c r="BF10" s="52">
        <v>24</v>
      </c>
      <c r="BG10" s="52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6" t="str">
        <f t="shared" si="17"/>
        <v/>
      </c>
      <c r="BJ10" s="56">
        <f t="shared" si="18"/>
        <v>0</v>
      </c>
      <c r="BK10" s="56">
        <f t="shared" si="19"/>
        <v>0</v>
      </c>
      <c r="BL10" s="59" t="str">
        <f t="shared" si="20"/>
        <v/>
      </c>
      <c r="BM10" s="65">
        <f t="shared" si="21"/>
        <v>0</v>
      </c>
      <c r="BN10" s="59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19.3</v>
      </c>
      <c r="BQ10" s="37">
        <f t="shared" si="24"/>
        <v>19.3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 x14ac:dyDescent="0.3">
      <c r="A11" s="261" t="s">
        <v>219</v>
      </c>
      <c r="B11" s="262">
        <f>'DADOS FINAIS'!B11</f>
        <v>10</v>
      </c>
      <c r="C11" s="262">
        <f>'DADOS FINAIS'!C11</f>
        <v>12</v>
      </c>
      <c r="D11" s="262">
        <f>'DADOS FINAIS'!F11</f>
        <v>10</v>
      </c>
      <c r="E11" s="262">
        <f>'DADOS FINAIS'!G11</f>
        <v>11</v>
      </c>
      <c r="F11" s="262">
        <f>'DADOS FINAIS'!D11</f>
        <v>10</v>
      </c>
      <c r="G11" s="262">
        <f>'DADOS FINAIS'!E11</f>
        <v>12</v>
      </c>
      <c r="H11" s="101">
        <f t="shared" si="0"/>
        <v>10</v>
      </c>
      <c r="I11" s="101">
        <f t="shared" si="0"/>
        <v>12</v>
      </c>
      <c r="J11" s="101">
        <f t="shared" si="0"/>
        <v>10</v>
      </c>
      <c r="K11" s="101">
        <f t="shared" si="0"/>
        <v>11</v>
      </c>
      <c r="L11" s="101">
        <f t="shared" si="0"/>
        <v>10</v>
      </c>
      <c r="M11" s="101">
        <f t="shared" si="0"/>
        <v>12</v>
      </c>
      <c r="N11" s="102">
        <f t="shared" si="1"/>
        <v>10</v>
      </c>
      <c r="O11" s="102">
        <f t="shared" si="2"/>
        <v>12</v>
      </c>
      <c r="P11" s="102">
        <f t="shared" si="3"/>
        <v>10</v>
      </c>
      <c r="Q11" s="102">
        <f t="shared" si="4"/>
        <v>11</v>
      </c>
      <c r="R11" s="102">
        <f t="shared" si="5"/>
        <v>10</v>
      </c>
      <c r="S11" s="102">
        <f t="shared" si="6"/>
        <v>12</v>
      </c>
      <c r="T11" s="103">
        <f t="shared" si="7"/>
        <v>10</v>
      </c>
      <c r="U11" s="103">
        <f t="shared" si="8"/>
        <v>0</v>
      </c>
      <c r="V11" s="104">
        <f>(IF((OR((P11="&gt;22"),(Q11="&gt;22"))),2,(IF(((T11+U11)=(P11+Q11)),0,1))))</f>
        <v>1</v>
      </c>
      <c r="W11" s="105">
        <f t="shared" si="25"/>
        <v>10</v>
      </c>
      <c r="X11" s="128">
        <f>(ROUND( (IF((AND((T11=0),(U11=0))),D11,(IF((V11=2),S11,(IF((W11&lt;&gt;$AJ$7),(P11+Q11-W11),P11)))))),1))</f>
        <v>11</v>
      </c>
      <c r="Y11" s="103">
        <f>(ROUND( (IF((AND((T11=0),(U11=0))),E11,(IF((W11&lt;&gt;$AJ$7),0,Q11)))),1))</f>
        <v>0</v>
      </c>
      <c r="Z11" s="106">
        <f t="shared" si="9"/>
        <v>0</v>
      </c>
      <c r="AA11" s="107">
        <f t="shared" si="10"/>
        <v>0</v>
      </c>
      <c r="AB11" s="108">
        <f>IF(X11=0,0,VLOOKUP(X11,FREQUENCIAS!$1:$1048576,(IF(($A11=FREQUENCIAS!$D$1),4,"ERRO")),FREQUENCIAS!$1:$1048576))</f>
        <v>0.28860000000000002</v>
      </c>
      <c r="AC11" s="108">
        <f>IF(Y11=0,0,VLOOKUP(Y11,FREQUENCIAS!$1:$1048576,(IF(($A11=FREQUENCIAS!$D$1),4,"ERRO")),FREQUENCIAS!$1:$1048576))</f>
        <v>0</v>
      </c>
      <c r="AD11" s="108"/>
      <c r="AE11" s="108"/>
      <c r="AF11" s="108"/>
      <c r="AG11" s="109">
        <f>(IF((A11="ERRO-FT"),"6",((IF((AND(($Z11=0),($AA11=0),($AX$32="N"))),0,(IF((AND(($Z11=0),($AA11=0),(AX$32="S"))),1,(IF((AB11+AC11+AD11+AE11+AF11)&lt;=$AI$7,$AI$7,(AB11+AC11+AD11+AE11+AF11))))))))))</f>
        <v>0</v>
      </c>
      <c r="AH11" s="110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1">
        <f t="shared" si="11"/>
        <v>0</v>
      </c>
      <c r="AJ11" s="112"/>
      <c r="AK11" s="113">
        <f t="shared" si="12"/>
        <v>1</v>
      </c>
      <c r="AL11" s="112"/>
      <c r="AM11" s="114" t="str">
        <f t="shared" si="13"/>
        <v>EXCLUI</v>
      </c>
      <c r="AN11" s="105" t="str">
        <f t="shared" si="14"/>
        <v>OK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0</v>
      </c>
      <c r="BF11" s="52">
        <v>6</v>
      </c>
      <c r="BG11" s="52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CORRETO</v>
      </c>
      <c r="BI11" s="56" t="str">
        <f t="shared" si="17"/>
        <v/>
      </c>
      <c r="BJ11" s="56">
        <f t="shared" si="18"/>
        <v>10</v>
      </c>
      <c r="BK11" s="56">
        <f t="shared" si="19"/>
        <v>10</v>
      </c>
      <c r="BL11" s="59" t="str">
        <f t="shared" si="20"/>
        <v/>
      </c>
      <c r="BM11" s="59">
        <f t="shared" si="21"/>
        <v>0</v>
      </c>
      <c r="BN11" s="59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39" customFormat="1" ht="16.5" thickTop="1" thickBot="1" x14ac:dyDescent="0.3">
      <c r="A12" s="263" t="s">
        <v>220</v>
      </c>
      <c r="B12" s="264" t="str">
        <f>'DADOS FINAIS'!B12</f>
        <v>&lt;8</v>
      </c>
      <c r="C12" s="264">
        <f>'DADOS FINAIS'!C12</f>
        <v>13</v>
      </c>
      <c r="D12" s="264">
        <f>'DADOS FINAIS'!F12</f>
        <v>13</v>
      </c>
      <c r="E12" s="264">
        <f>'DADOS FINAIS'!G12</f>
        <v>14</v>
      </c>
      <c r="F12" s="264" t="str">
        <f>'DADOS FINAIS'!D12</f>
        <v>&lt;8</v>
      </c>
      <c r="G12" s="264">
        <f>'DADOS FINAIS'!E12</f>
        <v>14</v>
      </c>
      <c r="H12" s="124">
        <f t="shared" si="0"/>
        <v>5</v>
      </c>
      <c r="I12" s="124">
        <f t="shared" si="0"/>
        <v>13</v>
      </c>
      <c r="J12" s="124">
        <f t="shared" si="0"/>
        <v>13</v>
      </c>
      <c r="K12" s="124">
        <f t="shared" si="0"/>
        <v>14</v>
      </c>
      <c r="L12" s="124">
        <f t="shared" si="0"/>
        <v>5</v>
      </c>
      <c r="M12" s="124">
        <f t="shared" si="0"/>
        <v>14</v>
      </c>
      <c r="N12" s="125">
        <f t="shared" si="1"/>
        <v>5</v>
      </c>
      <c r="O12" s="125">
        <f t="shared" si="2"/>
        <v>13</v>
      </c>
      <c r="P12" s="125">
        <f t="shared" si="3"/>
        <v>13</v>
      </c>
      <c r="Q12" s="125">
        <f t="shared" si="4"/>
        <v>14</v>
      </c>
      <c r="R12" s="125">
        <f t="shared" si="5"/>
        <v>5</v>
      </c>
      <c r="S12" s="125">
        <f t="shared" si="6"/>
        <v>14</v>
      </c>
      <c r="T12" s="126">
        <f t="shared" si="7"/>
        <v>13</v>
      </c>
      <c r="U12" s="126">
        <f t="shared" si="8"/>
        <v>0</v>
      </c>
      <c r="V12" s="127">
        <f>(IF((OR((P12="&gt;21"),(Q12="&gt;21"))),2,(IF(((T12+U12)=(P12+Q12)),0,1))))</f>
        <v>1</v>
      </c>
      <c r="W12" s="126">
        <f t="shared" si="25"/>
        <v>13</v>
      </c>
      <c r="X12" s="128">
        <f>(ROUND( (IF((AND((T12=0),(U12=0))),D12,(IF((V12=2),S12,(IF((W12&lt;&gt;$AJ$7),(P12+Q12-W12),P12)))))),1))</f>
        <v>14</v>
      </c>
      <c r="Y12" s="126">
        <f xml:space="preserve"> (IF((AND((T12=0),(U12=0))),E12,(IF((W12&lt;&gt;$AJ$7),0,Q12))))</f>
        <v>0</v>
      </c>
      <c r="Z12" s="129">
        <f t="shared" si="9"/>
        <v>14</v>
      </c>
      <c r="AA12" s="130">
        <f t="shared" si="10"/>
        <v>0</v>
      </c>
      <c r="AB12" s="131">
        <f>IF(X12=0,0,VLOOKUP(X12,FREQUENCIAS!$1:$1048576,(IF(($A12=FREQUENCIAS!$E$1),5,"ERRO")),FREQUENCIAS!$1:$1048576))</f>
        <v>0.30480000000000002</v>
      </c>
      <c r="AC12" s="131">
        <f>IF(Y12=0,0,VLOOKUP(Y12,FREQUENCIAS!$1:$1048576,(IF(($A12=FREQUENCIAS!$E$1),5,"ERRO")),FREQUENCIAS!$1:$1048576))</f>
        <v>0</v>
      </c>
      <c r="AD12" s="131"/>
      <c r="AE12" s="131"/>
      <c r="AF12" s="131"/>
      <c r="AG12" s="132">
        <f>(IF((A12="ERRO-FT"),"6",((IF((AND(($Z12=0),($AA12=0),($AX$32="N"))),0,(IF((AND(($Z12=0),($AA12=0),(AX$32="S"))),1,(IF((AB12+AC12+AD12+AE12+AF12)&lt;=$AI$7,$AI$7,(AB12+AC12+AD12+AE12+AF12))))))))))</f>
        <v>0.30480000000000002</v>
      </c>
      <c r="AH12" s="133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1.6404199475065615</v>
      </c>
      <c r="AI12" s="134">
        <f t="shared" si="11"/>
        <v>0.62127236580516887</v>
      </c>
      <c r="AJ12" s="135" t="s">
        <v>140</v>
      </c>
      <c r="AK12" s="136">
        <f t="shared" si="12"/>
        <v>0.48330304000000007</v>
      </c>
      <c r="AL12" s="135"/>
      <c r="AM12" s="137" t="str">
        <f t="shared" si="13"/>
        <v>1 / 2F</v>
      </c>
      <c r="AN12" s="138" t="str">
        <f t="shared" si="14"/>
        <v>OK</v>
      </c>
      <c r="AQ12" s="139" t="e">
        <f>(IF(OR((B12="&lt;6"),(B12="&gt;15"),(B12=11.3),(B12=15),(B12=#REF!),(B12=#REF!),(B12=#REF!),(B12=#REF!),(B12=#REF!),(B12=#REF!),(B12=#REF!),(B12=#REF!),(B12=#REF!)),1,0))</f>
        <v>#REF!</v>
      </c>
      <c r="AR12" s="139" t="e">
        <f>(IF(OR((C12="&lt;6"),(C12="&gt;15"),(C12=11.3),(C12=15),(C12=#REF!),(C12=#REF!),(C12=#REF!),(C12=#REF!),(C12=#REF!),(C12=#REF!),(C12=#REF!),(C12=#REF!),(C12=#REF!)),1,0))</f>
        <v>#REF!</v>
      </c>
      <c r="AS12" s="139" t="e">
        <f>(IF(OR((D12="&lt;6"),(D12="&gt;15"),(D12=11.3),(D12=15),(D12=#REF!),(D12=#REF!),(D12=#REF!),(D12=#REF!),(D12=#REF!),(D12=#REF!),(D12=#REF!),(D12=#REF!),(D12=#REF!)),1,0))</f>
        <v>#REF!</v>
      </c>
      <c r="AT12" s="139" t="e">
        <f>(IF(OR((E12="&lt;6"),(E12="&gt;15"),(E12=11.3),(E12=15),(E12=#REF!),(E12=#REF!),(E12=#REF!),(E12=#REF!),(E12=#REF!),(E12=#REF!),(E12=#REF!),(E12=#REF!),(E12=#REF!)),1,0))</f>
        <v>#REF!</v>
      </c>
      <c r="AU12" s="139" t="e">
        <f>(IF(OR((F12="&lt;6"),(F12="&gt;15"),(F12=11.3),(F12=15),(F12=#REF!),(F12=#REF!),(F12=#REF!),(F12=#REF!),(F12=#REF!),(F12=#REF!),(F12=#REF!),(F12=#REF!),(F12=#REF!)),1,0))</f>
        <v>#REF!</v>
      </c>
      <c r="AV12" s="139" t="e">
        <f>(IF(OR((G12="&lt;6"),(G12="&gt;15"),(G12=11.3),(G12=15),(G12=#REF!),(G12=#REF!),(G12=#REF!),(G12=#REF!),(G12=#REF!),(G12=#REF!),(G12=#REF!),(G12=#REF!),(G12=#REF!)),1,0))</f>
        <v>#REF!</v>
      </c>
      <c r="AX12" s="140">
        <f t="shared" si="26"/>
        <v>0</v>
      </c>
      <c r="AY12" s="141">
        <f t="shared" si="15"/>
        <v>0</v>
      </c>
      <c r="AZ12" s="142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3">
        <f t="shared" si="16"/>
        <v>1.6404199475065615</v>
      </c>
      <c r="BD12" s="144">
        <f t="shared" si="27"/>
        <v>0</v>
      </c>
      <c r="BF12" s="145">
        <v>6</v>
      </c>
      <c r="BG12" s="145">
        <v>15</v>
      </c>
      <c r="BH12" s="139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6" t="str">
        <f t="shared" si="17"/>
        <v/>
      </c>
      <c r="BJ12" s="126">
        <f t="shared" si="18"/>
        <v>13</v>
      </c>
      <c r="BK12" s="126">
        <f t="shared" si="19"/>
        <v>13</v>
      </c>
      <c r="BL12" s="126" t="str">
        <f t="shared" si="20"/>
        <v/>
      </c>
      <c r="BM12" s="126">
        <f t="shared" si="21"/>
        <v>14</v>
      </c>
      <c r="BN12" s="126">
        <f t="shared" si="22"/>
        <v>14</v>
      </c>
      <c r="BO12" s="126" t="str">
        <f t="shared" si="28"/>
        <v/>
      </c>
      <c r="BP12" s="126">
        <f t="shared" si="23"/>
        <v>0</v>
      </c>
      <c r="BQ12" s="126">
        <f t="shared" si="24"/>
        <v>0</v>
      </c>
      <c r="BT12" s="146">
        <v>9</v>
      </c>
      <c r="BU12" s="147">
        <v>12</v>
      </c>
    </row>
    <row r="13" spans="1:80" ht="16.5" thickTop="1" thickBot="1" x14ac:dyDescent="0.3">
      <c r="A13" s="261" t="s">
        <v>157</v>
      </c>
      <c r="B13" s="262">
        <f>'DADOS FINAIS'!B13</f>
        <v>8</v>
      </c>
      <c r="C13" s="262">
        <f>'DADOS FINAIS'!C13</f>
        <v>10</v>
      </c>
      <c r="D13" s="262">
        <f>'DADOS FINAIS'!F13</f>
        <v>12</v>
      </c>
      <c r="E13" s="262">
        <f>'DADOS FINAIS'!G13</f>
        <v>12</v>
      </c>
      <c r="F13" s="262">
        <f>'DADOS FINAIS'!D13</f>
        <v>10</v>
      </c>
      <c r="G13" s="262">
        <f>'DADOS FINAIS'!E13</f>
        <v>12</v>
      </c>
      <c r="H13" s="101">
        <f t="shared" si="0"/>
        <v>8</v>
      </c>
      <c r="I13" s="101">
        <f t="shared" si="0"/>
        <v>10</v>
      </c>
      <c r="J13" s="101">
        <f t="shared" si="0"/>
        <v>12</v>
      </c>
      <c r="K13" s="101">
        <f t="shared" si="0"/>
        <v>12</v>
      </c>
      <c r="L13" s="101">
        <f t="shared" si="0"/>
        <v>10</v>
      </c>
      <c r="M13" s="101">
        <f t="shared" si="0"/>
        <v>12</v>
      </c>
      <c r="N13" s="102">
        <f t="shared" si="1"/>
        <v>8</v>
      </c>
      <c r="O13" s="102">
        <f t="shared" si="2"/>
        <v>10</v>
      </c>
      <c r="P13" s="102">
        <f t="shared" si="3"/>
        <v>12</v>
      </c>
      <c r="Q13" s="102">
        <f t="shared" si="4"/>
        <v>12</v>
      </c>
      <c r="R13" s="102">
        <f t="shared" si="5"/>
        <v>10</v>
      </c>
      <c r="S13" s="102">
        <f t="shared" si="6"/>
        <v>12</v>
      </c>
      <c r="T13" s="103">
        <f t="shared" si="7"/>
        <v>0</v>
      </c>
      <c r="U13" s="103">
        <f t="shared" si="8"/>
        <v>0</v>
      </c>
      <c r="V13" s="104">
        <f>(IF((OR((P13="&gt;21"),(Q13="&gt;21"))),2,(IF(((T13+U13)=(P13+Q13)),0,1))))</f>
        <v>1</v>
      </c>
      <c r="W13" s="105">
        <f t="shared" si="25"/>
        <v>0</v>
      </c>
      <c r="X13" s="128">
        <f t="shared" ref="X13:X30" si="30">(ROUND( (IF((AND((T13=0),(U13=0))),D13,(IF((V13=2),S13,(IF((W13&lt;&gt;$AJ$7),(P13+Q13-W13),P13)))))),1))</f>
        <v>12</v>
      </c>
      <c r="Y13" s="103">
        <f t="shared" ref="Y13:Y23" si="31">(IF((AND((T13=0),(U13=0))),E13,(IF((W13&lt;&gt;$AJ$7),0,Q13))))</f>
        <v>12</v>
      </c>
      <c r="Z13" s="106">
        <f t="shared" si="9"/>
        <v>12</v>
      </c>
      <c r="AA13" s="107">
        <f t="shared" si="10"/>
        <v>12</v>
      </c>
      <c r="AB13" s="108">
        <f>IF(X13=0,0,VLOOKUP(X13,FREQUENCIAS!$1:$1048576,(IF(($A13=FREQUENCIAS!$F$1),6,"ERRO")),FREQUENCIAS!$1:$1048576))</f>
        <v>0.29337999999999997</v>
      </c>
      <c r="AC13" s="108">
        <f>IF(Y13=0,0,VLOOKUP(Y13,FREQUENCIAS!$1:$1048576,(IF(($A13=FREQUENCIAS!$F$1),6,"ERRO")),FREQUENCIAS!$1:$1048576))</f>
        <v>0.29337999999999997</v>
      </c>
      <c r="AD13" s="108"/>
      <c r="AE13" s="108"/>
      <c r="AF13" s="108"/>
      <c r="AG13" s="109">
        <f>(IF((A13="ERRO-FT"),"11",((IF((AND(($Z13=0),($AA13=0),($AX$32="N"))),0,(IF((AND(($Z13=0),($AA13=0),(AX$32="S"))),1,(IF((AB13+AC13+AD13+AE13+AF13)&lt;=$AI$7,$AI$7,(AB13+AC13+AD13+AE13+AF13))))))))))</f>
        <v>0.58675999999999995</v>
      </c>
      <c r="AH13" s="110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0.85213715999727324</v>
      </c>
      <c r="AI13" s="111">
        <f t="shared" si="11"/>
        <v>0.46008318303949358</v>
      </c>
      <c r="AJ13" s="112" t="s">
        <v>163</v>
      </c>
      <c r="AK13" s="265">
        <f t="shared" si="12"/>
        <v>0.17076729760000003</v>
      </c>
      <c r="AL13" s="112"/>
      <c r="AM13" s="114" t="str">
        <f t="shared" si="13"/>
        <v>1 / 2F</v>
      </c>
      <c r="AN13" s="105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0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0.85213715999727324</v>
      </c>
      <c r="BD13" s="2">
        <f t="shared" si="27"/>
        <v>1</v>
      </c>
      <c r="BF13" s="52">
        <v>12</v>
      </c>
      <c r="BG13" s="52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6" t="str">
        <f t="shared" si="17"/>
        <v/>
      </c>
      <c r="BJ13" s="56">
        <f t="shared" si="18"/>
        <v>0</v>
      </c>
      <c r="BK13" s="56">
        <f t="shared" si="19"/>
        <v>0</v>
      </c>
      <c r="BL13" s="59" t="str">
        <f t="shared" si="20"/>
        <v/>
      </c>
      <c r="BM13" s="59">
        <f t="shared" si="21"/>
        <v>12</v>
      </c>
      <c r="BN13" s="59">
        <f t="shared" si="22"/>
        <v>12</v>
      </c>
      <c r="BO13" s="37" t="str">
        <f t="shared" si="28"/>
        <v/>
      </c>
      <c r="BP13" s="37">
        <f t="shared" si="23"/>
        <v>12</v>
      </c>
      <c r="BQ13" s="37">
        <f t="shared" si="24"/>
        <v>12</v>
      </c>
      <c r="BT13" s="23">
        <v>12</v>
      </c>
      <c r="BU13" s="24">
        <v>15</v>
      </c>
    </row>
    <row r="14" spans="1:80" ht="16.5" thickTop="1" thickBot="1" x14ac:dyDescent="0.3">
      <c r="A14" s="261" t="s">
        <v>226</v>
      </c>
      <c r="B14" s="262">
        <f>'DADOS FINAIS'!B14</f>
        <v>11</v>
      </c>
      <c r="C14" s="262">
        <f>'DADOS FINAIS'!C14</f>
        <v>11</v>
      </c>
      <c r="D14" s="262">
        <f>'DADOS FINAIS'!F14</f>
        <v>7</v>
      </c>
      <c r="E14" s="262">
        <f>'DADOS FINAIS'!G14</f>
        <v>12</v>
      </c>
      <c r="F14" s="262">
        <f>'DADOS FINAIS'!D14</f>
        <v>7</v>
      </c>
      <c r="G14" s="262">
        <f>'DADOS FINAIS'!E14</f>
        <v>11</v>
      </c>
      <c r="H14" s="101">
        <f t="shared" si="0"/>
        <v>11</v>
      </c>
      <c r="I14" s="101">
        <f t="shared" si="0"/>
        <v>11</v>
      </c>
      <c r="J14" s="101">
        <f t="shared" si="0"/>
        <v>7</v>
      </c>
      <c r="K14" s="101">
        <f t="shared" si="0"/>
        <v>12</v>
      </c>
      <c r="L14" s="101">
        <f t="shared" si="0"/>
        <v>7</v>
      </c>
      <c r="M14" s="101">
        <f t="shared" si="0"/>
        <v>11</v>
      </c>
      <c r="N14" s="102">
        <f t="shared" si="1"/>
        <v>11</v>
      </c>
      <c r="O14" s="102">
        <f t="shared" si="2"/>
        <v>11</v>
      </c>
      <c r="P14" s="102">
        <f t="shared" si="3"/>
        <v>7</v>
      </c>
      <c r="Q14" s="102">
        <f t="shared" si="4"/>
        <v>12</v>
      </c>
      <c r="R14" s="102">
        <f t="shared" si="5"/>
        <v>7</v>
      </c>
      <c r="S14" s="102">
        <f t="shared" si="6"/>
        <v>11</v>
      </c>
      <c r="T14" s="103">
        <f t="shared" si="7"/>
        <v>0</v>
      </c>
      <c r="U14" s="103">
        <f t="shared" si="8"/>
        <v>0</v>
      </c>
      <c r="V14" s="104">
        <f>(IF((OR((P14="&gt;20"),(Q14="&gt;20"))),2,(IF(((T14+U14)=(P14+Q14)),0,1))))</f>
        <v>1</v>
      </c>
      <c r="W14" s="105">
        <f t="shared" si="25"/>
        <v>0</v>
      </c>
      <c r="X14" s="128">
        <f t="shared" si="30"/>
        <v>7</v>
      </c>
      <c r="Y14" s="103">
        <f t="shared" si="31"/>
        <v>12</v>
      </c>
      <c r="Z14" s="106">
        <f t="shared" si="9"/>
        <v>7</v>
      </c>
      <c r="AA14" s="107">
        <f t="shared" si="10"/>
        <v>0</v>
      </c>
      <c r="AB14" s="108">
        <f>IF(X14=0,0,VLOOKUP(X14,FREQUENCIAS!$1:$1048576,(IF(($A14=FREQUENCIAS!$G$1),7,"ERRO")),FREQUENCIAS!$1:$1048576))</f>
        <v>0.10938299999999999</v>
      </c>
      <c r="AC14" s="108">
        <f>IF(Y14=0,0,VLOOKUP(Y14,FREQUENCIAS!$1:$1048576,(IF(($A14=FREQUENCIAS!$G$1),7,"ERRO")),FREQUENCIAS!$1:$1048576))</f>
        <v>1.6804900000000001E-2</v>
      </c>
      <c r="AD14" s="108"/>
      <c r="AE14" s="108"/>
      <c r="AF14" s="108"/>
      <c r="AG14" s="109">
        <f>(IF((A14="ERRO-FT"),"4",((IF((AND(($Z14=0),($AA14=0),($AX$32="N"))),0,(IF((AND(($Z14=0),($AA14=0),(AX$32="S"))),1,(IF((AB14+AC14+AD14+AE14+AF14)&lt;=$AI$7,$AI$7,(AB14+AC14+AD14+AE14+AF14))))))))))</f>
        <v>0.12618789999999999</v>
      </c>
      <c r="AH14" s="110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3.962345042591247</v>
      </c>
      <c r="AI14" s="111">
        <f t="shared" si="11"/>
        <v>0.79848237246360076</v>
      </c>
      <c r="AJ14" s="112"/>
      <c r="AK14" s="113">
        <f t="shared" si="12"/>
        <v>0.76354758610640994</v>
      </c>
      <c r="AL14" s="112"/>
      <c r="AM14" s="114" t="str">
        <f t="shared" si="13"/>
        <v>1 / 2F</v>
      </c>
      <c r="AN14" s="105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0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3.962345042591247</v>
      </c>
      <c r="BD14" s="2">
        <f t="shared" si="27"/>
        <v>1</v>
      </c>
      <c r="BF14" s="52">
        <v>4</v>
      </c>
      <c r="BG14" s="52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CORRETO</v>
      </c>
      <c r="BI14" s="56" t="str">
        <f t="shared" si="17"/>
        <v/>
      </c>
      <c r="BJ14" s="56">
        <f t="shared" si="18"/>
        <v>0</v>
      </c>
      <c r="BK14" s="56">
        <f t="shared" si="19"/>
        <v>0</v>
      </c>
      <c r="BL14" s="59" t="str">
        <f t="shared" si="20"/>
        <v/>
      </c>
      <c r="BM14" s="59">
        <f t="shared" si="21"/>
        <v>7</v>
      </c>
      <c r="BN14" s="59">
        <f t="shared" si="22"/>
        <v>7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 x14ac:dyDescent="0.3">
      <c r="A15" s="261" t="s">
        <v>159</v>
      </c>
      <c r="B15" s="262">
        <f>'DADOS FINAIS'!B15</f>
        <v>8</v>
      </c>
      <c r="C15" s="262">
        <f>'DADOS FINAIS'!C15</f>
        <v>12</v>
      </c>
      <c r="D15" s="262">
        <f>'DADOS FINAIS'!F15</f>
        <v>11</v>
      </c>
      <c r="E15" s="262">
        <f>'DADOS FINAIS'!G15</f>
        <v>12</v>
      </c>
      <c r="F15" s="262">
        <f>'DADOS FINAIS'!D15</f>
        <v>11</v>
      </c>
      <c r="G15" s="262">
        <f>'DADOS FINAIS'!E15</f>
        <v>12</v>
      </c>
      <c r="H15" s="101">
        <f t="shared" si="0"/>
        <v>8</v>
      </c>
      <c r="I15" s="101">
        <f t="shared" si="0"/>
        <v>12</v>
      </c>
      <c r="J15" s="101">
        <f t="shared" si="0"/>
        <v>11</v>
      </c>
      <c r="K15" s="101">
        <f t="shared" si="0"/>
        <v>12</v>
      </c>
      <c r="L15" s="101">
        <f t="shared" si="0"/>
        <v>11</v>
      </c>
      <c r="M15" s="101">
        <f t="shared" si="0"/>
        <v>12</v>
      </c>
      <c r="N15" s="102">
        <f t="shared" si="1"/>
        <v>8</v>
      </c>
      <c r="O15" s="102">
        <f t="shared" si="2"/>
        <v>12</v>
      </c>
      <c r="P15" s="102">
        <f t="shared" si="3"/>
        <v>11</v>
      </c>
      <c r="Q15" s="102">
        <f t="shared" si="4"/>
        <v>12</v>
      </c>
      <c r="R15" s="102">
        <f t="shared" si="5"/>
        <v>11</v>
      </c>
      <c r="S15" s="102">
        <f t="shared" si="6"/>
        <v>12</v>
      </c>
      <c r="T15" s="103">
        <f t="shared" si="7"/>
        <v>0</v>
      </c>
      <c r="U15" s="103">
        <f t="shared" si="8"/>
        <v>12</v>
      </c>
      <c r="V15" s="104">
        <f>(IF((OR((P15="&gt;23"),(Q15="&gt;23"))),2,(IF(((T15+U15)=(P15+Q15)),0,1))))</f>
        <v>1</v>
      </c>
      <c r="W15" s="105">
        <f t="shared" si="25"/>
        <v>12</v>
      </c>
      <c r="X15" s="128">
        <f t="shared" si="30"/>
        <v>11</v>
      </c>
      <c r="Y15" s="103">
        <f t="shared" si="31"/>
        <v>0</v>
      </c>
      <c r="Z15" s="106">
        <f t="shared" si="9"/>
        <v>11</v>
      </c>
      <c r="AA15" s="107">
        <f t="shared" si="10"/>
        <v>0</v>
      </c>
      <c r="AB15" s="108">
        <f>IF(X15=0,0,VLOOKUP(X15,FREQUENCIAS!$1:$1048576,(IF(($A15=FREQUENCIAS!$H$1),8,"ERRO")),FREQUENCIAS!$1:$1048576))</f>
        <v>0.28868100000000002</v>
      </c>
      <c r="AC15" s="108">
        <f>IF(Y15=0,0,VLOOKUP(Y15,FREQUENCIAS!$1:$1048576,(IF(($A15=FREQUENCIAS!$H$1),8,"ERRO")),FREQUENCIAS!$1:$1048576))</f>
        <v>0</v>
      </c>
      <c r="AD15" s="108"/>
      <c r="AE15" s="108"/>
      <c r="AF15" s="108"/>
      <c r="AG15" s="109">
        <f>(IF((A15="ERRO-FT"),"8",((IF((AND(($Z15=0),($AA15=0),($AX$32="N"))),0,(IF((AND(($Z15=0),($AA15=0),(AX$32="S"))),1,(IF((AB15+AC15+AD15+AE15+AF15)&lt;=$AI$7,$AI$7,(AB15+AC15+AD15+AE15+AF15))))))))))</f>
        <v>0.28868100000000002</v>
      </c>
      <c r="AH15" s="110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1.7320156158527924</v>
      </c>
      <c r="AI15" s="111">
        <f t="shared" si="11"/>
        <v>0.63396988135887633</v>
      </c>
      <c r="AJ15" s="112"/>
      <c r="AK15" s="113">
        <f t="shared" si="12"/>
        <v>0.50597471976100006</v>
      </c>
      <c r="AL15" s="112"/>
      <c r="AM15" s="114" t="str">
        <f t="shared" si="13"/>
        <v>1 / 2F</v>
      </c>
      <c r="AN15" s="105" t="str">
        <f t="shared" si="14"/>
        <v>OK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0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1.7320156158527924</v>
      </c>
      <c r="BD15" s="2">
        <f t="shared" si="27"/>
        <v>0</v>
      </c>
      <c r="BF15" s="52">
        <v>8</v>
      </c>
      <c r="BG15" s="52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CORRETO</v>
      </c>
      <c r="BI15" s="56" t="str">
        <f t="shared" si="17"/>
        <v/>
      </c>
      <c r="BJ15" s="56">
        <f t="shared" si="18"/>
        <v>12</v>
      </c>
      <c r="BK15" s="56">
        <f t="shared" si="19"/>
        <v>12</v>
      </c>
      <c r="BL15" s="59" t="str">
        <f t="shared" si="20"/>
        <v/>
      </c>
      <c r="BM15" s="59">
        <f t="shared" si="21"/>
        <v>11</v>
      </c>
      <c r="BN15" s="59">
        <f t="shared" si="22"/>
        <v>11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ht="16.5" thickTop="1" thickBot="1" x14ac:dyDescent="0.3">
      <c r="A16" s="261" t="s">
        <v>155</v>
      </c>
      <c r="B16" s="262">
        <f>'DADOS FINAIS'!B16</f>
        <v>15</v>
      </c>
      <c r="C16" s="262">
        <f>'DADOS FINAIS'!C16</f>
        <v>20</v>
      </c>
      <c r="D16" s="262">
        <f>'DADOS FINAIS'!F16</f>
        <v>14</v>
      </c>
      <c r="E16" s="262">
        <f>'DADOS FINAIS'!G16</f>
        <v>18</v>
      </c>
      <c r="F16" s="262">
        <f>'DADOS FINAIS'!D16</f>
        <v>15</v>
      </c>
      <c r="G16" s="262">
        <f>'DADOS FINAIS'!E16</f>
        <v>18</v>
      </c>
      <c r="H16" s="101">
        <f t="shared" si="0"/>
        <v>15</v>
      </c>
      <c r="I16" s="101">
        <f t="shared" si="0"/>
        <v>20</v>
      </c>
      <c r="J16" s="101">
        <f t="shared" si="0"/>
        <v>14</v>
      </c>
      <c r="K16" s="101">
        <f t="shared" si="0"/>
        <v>18</v>
      </c>
      <c r="L16" s="101">
        <f t="shared" si="0"/>
        <v>15</v>
      </c>
      <c r="M16" s="101">
        <f t="shared" si="0"/>
        <v>18</v>
      </c>
      <c r="N16" s="102">
        <f t="shared" si="1"/>
        <v>15</v>
      </c>
      <c r="O16" s="102">
        <f t="shared" si="2"/>
        <v>20</v>
      </c>
      <c r="P16" s="102">
        <f t="shared" si="3"/>
        <v>14</v>
      </c>
      <c r="Q16" s="102">
        <f t="shared" si="4"/>
        <v>18</v>
      </c>
      <c r="R16" s="102">
        <f t="shared" si="5"/>
        <v>15</v>
      </c>
      <c r="S16" s="102">
        <f t="shared" si="6"/>
        <v>18</v>
      </c>
      <c r="T16" s="103">
        <f t="shared" si="7"/>
        <v>0</v>
      </c>
      <c r="U16" s="103">
        <f t="shared" si="8"/>
        <v>0</v>
      </c>
      <c r="V16" s="104">
        <f>(IF((OR((P16="&gt;22"),(Q16="&gt;22"))),2,(IF(((T16+U16)=(P16+Q16)),0,1))))</f>
        <v>1</v>
      </c>
      <c r="W16" s="105">
        <f t="shared" si="25"/>
        <v>0</v>
      </c>
      <c r="X16" s="128">
        <f t="shared" si="30"/>
        <v>14</v>
      </c>
      <c r="Y16" s="103">
        <f t="shared" si="31"/>
        <v>18</v>
      </c>
      <c r="Z16" s="106">
        <f t="shared" si="9"/>
        <v>0</v>
      </c>
      <c r="AA16" s="107">
        <f t="shared" si="10"/>
        <v>18</v>
      </c>
      <c r="AB16" s="108">
        <f>IF(X16=0,0,VLOOKUP(X16,FREQUENCIAS!$1:$1048576,(IF(($A16=FREQUENCIAS!$I$1),9,"ERRO")),FREQUENCIAS!$1:$1048576))</f>
        <v>0.14722199999999999</v>
      </c>
      <c r="AC16" s="108">
        <f>IF(Y16=0,0,VLOOKUP(Y16,FREQUENCIAS!$1:$1048576,(IF(($A16=FREQUENCIAS!$I$1),9,"ERRO")),FREQUENCIAS!$1:$1048576))</f>
        <v>7.7560000000000004E-2</v>
      </c>
      <c r="AD16" s="108"/>
      <c r="AE16" s="108"/>
      <c r="AF16" s="108"/>
      <c r="AG16" s="109">
        <f>(IF((A16="ERRO-FT"),"5",((IF((AND(($Z16=0),($AA16=0),($AX$32="N"))),0,(IF((AND(($Z16=0),($AA16=0),(AX$32="S"))),1,(IF((AB16+AC16+AD16+AE16+AF16)&lt;=$AI$7,$AI$7,(AB16+AC16+AD16+AE16+AF16))))))))))</f>
        <v>0.22478199999999998</v>
      </c>
      <c r="AH16" s="110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2.2243773967666454</v>
      </c>
      <c r="AI16" s="111">
        <f t="shared" si="11"/>
        <v>0.68986260696319723</v>
      </c>
      <c r="AJ16" s="112"/>
      <c r="AK16" s="113">
        <f t="shared" si="12"/>
        <v>0.60096294752399992</v>
      </c>
      <c r="AL16" s="112"/>
      <c r="AM16" s="114" t="str">
        <f t="shared" si="13"/>
        <v>1 / 2F</v>
      </c>
      <c r="AN16" s="105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0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2.2243773967666454</v>
      </c>
      <c r="BD16" s="2">
        <f t="shared" si="27"/>
        <v>1</v>
      </c>
      <c r="BF16" s="52">
        <v>5</v>
      </c>
      <c r="BG16" s="52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6" t="str">
        <f t="shared" si="17"/>
        <v/>
      </c>
      <c r="BJ16" s="56">
        <f t="shared" si="18"/>
        <v>0</v>
      </c>
      <c r="BK16" s="56">
        <f t="shared" si="19"/>
        <v>0</v>
      </c>
      <c r="BL16" s="59" t="str">
        <f t="shared" si="20"/>
        <v/>
      </c>
      <c r="BM16" s="59">
        <f t="shared" si="21"/>
        <v>0</v>
      </c>
      <c r="BN16" s="59">
        <f t="shared" si="22"/>
        <v>0</v>
      </c>
      <c r="BO16" s="37" t="str">
        <f t="shared" si="28"/>
        <v/>
      </c>
      <c r="BP16" s="37">
        <f t="shared" si="23"/>
        <v>18</v>
      </c>
      <c r="BQ16" s="37">
        <f t="shared" si="24"/>
        <v>18</v>
      </c>
      <c r="BT16" s="23">
        <v>9</v>
      </c>
      <c r="BU16" s="24">
        <v>10</v>
      </c>
    </row>
    <row r="17" spans="1:80" ht="16.5" thickTop="1" thickBot="1" x14ac:dyDescent="0.3">
      <c r="A17" s="261" t="s">
        <v>51</v>
      </c>
      <c r="B17" s="262">
        <f>'DADOS FINAIS'!B17</f>
        <v>20</v>
      </c>
      <c r="C17" s="262">
        <f>'DADOS FINAIS'!C17</f>
        <v>22</v>
      </c>
      <c r="D17" s="262">
        <f>'DADOS FINAIS'!F17</f>
        <v>17</v>
      </c>
      <c r="E17" s="262">
        <f>'DADOS FINAIS'!G17</f>
        <v>17</v>
      </c>
      <c r="F17" s="262">
        <f>'DADOS FINAIS'!D17</f>
        <v>17</v>
      </c>
      <c r="G17" s="262">
        <f>'DADOS FINAIS'!E17</f>
        <v>20</v>
      </c>
      <c r="H17" s="101">
        <f t="shared" si="0"/>
        <v>20</v>
      </c>
      <c r="I17" s="101">
        <f t="shared" si="0"/>
        <v>22</v>
      </c>
      <c r="J17" s="101">
        <f t="shared" si="0"/>
        <v>17</v>
      </c>
      <c r="K17" s="101">
        <f t="shared" si="0"/>
        <v>17</v>
      </c>
      <c r="L17" s="101">
        <f t="shared" si="0"/>
        <v>17</v>
      </c>
      <c r="M17" s="101">
        <f t="shared" si="0"/>
        <v>20</v>
      </c>
      <c r="N17" s="102">
        <f t="shared" si="1"/>
        <v>20</v>
      </c>
      <c r="O17" s="102">
        <f t="shared" si="2"/>
        <v>22</v>
      </c>
      <c r="P17" s="102">
        <f t="shared" si="3"/>
        <v>17</v>
      </c>
      <c r="Q17" s="102">
        <f t="shared" si="4"/>
        <v>17</v>
      </c>
      <c r="R17" s="102">
        <f t="shared" si="5"/>
        <v>17</v>
      </c>
      <c r="S17" s="102">
        <f t="shared" si="6"/>
        <v>20</v>
      </c>
      <c r="T17" s="103">
        <f t="shared" si="7"/>
        <v>0</v>
      </c>
      <c r="U17" s="103">
        <f t="shared" si="8"/>
        <v>0</v>
      </c>
      <c r="V17" s="104">
        <f>(IF((OR((P17="&gt;28"),(Q17="&gt;28"))),2,(IF(((T17+U17)=(P17+Q17)),0,1))))</f>
        <v>1</v>
      </c>
      <c r="W17" s="105">
        <f t="shared" si="25"/>
        <v>0</v>
      </c>
      <c r="X17" s="128">
        <f t="shared" si="30"/>
        <v>17</v>
      </c>
      <c r="Y17" s="103">
        <f t="shared" si="31"/>
        <v>17</v>
      </c>
      <c r="Z17" s="106">
        <f t="shared" si="9"/>
        <v>17</v>
      </c>
      <c r="AA17" s="107">
        <f t="shared" si="10"/>
        <v>17</v>
      </c>
      <c r="AB17" s="108">
        <f>IF(X17=0,0,VLOOKUP(X17,FREQUENCIAS!$1:$1048576,(IF(($A17=FREQUENCIAS!$J$1),10,"ERRO")),FREQUENCIAS!$1:$1048576))</f>
        <v>0.2077</v>
      </c>
      <c r="AC17" s="108">
        <f>IF(Y17=0,0,VLOOKUP(Y17,FREQUENCIAS!$1:$1048576,(IF(($A17=FREQUENCIAS!$J$1),10,"ERRO")),FREQUENCIAS!$1:$1048576))</f>
        <v>0.2077</v>
      </c>
      <c r="AD17" s="108"/>
      <c r="AE17" s="108"/>
      <c r="AF17" s="108"/>
      <c r="AG17" s="109">
        <f>(IF((A17="ERRO-FT"),"15",((IF((AND(($Z17=0),($AA17=0),($AX$32="N"))),0,(IF((AND(($Z17=0),($AA17=0),(AX$32="S"))),1,(IF((AB17+AC17+AD17+AE17+AF17)&lt;=$AI$7,$AI$7,(AB17+AC17+AD17+AE17+AF17))))))))))</f>
        <v>0.41539999999999999</v>
      </c>
      <c r="AH17" s="110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1.203659123736158</v>
      </c>
      <c r="AI17" s="111">
        <f t="shared" si="11"/>
        <v>0.54620930740659812</v>
      </c>
      <c r="AJ17" s="112" t="s">
        <v>173</v>
      </c>
      <c r="AK17" s="113">
        <f t="shared" si="12"/>
        <v>0.34175716</v>
      </c>
      <c r="AL17" s="112"/>
      <c r="AM17" s="114" t="str">
        <f t="shared" si="13"/>
        <v>1 / 2F</v>
      </c>
      <c r="AN17" s="105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0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1.203659123736158</v>
      </c>
      <c r="BD17" s="2">
        <f t="shared" si="27"/>
        <v>1</v>
      </c>
      <c r="BF17" s="52">
        <v>15</v>
      </c>
      <c r="BG17" s="52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CORRETO</v>
      </c>
      <c r="BI17" s="56" t="str">
        <f t="shared" si="17"/>
        <v/>
      </c>
      <c r="BJ17" s="56">
        <f t="shared" si="18"/>
        <v>0</v>
      </c>
      <c r="BK17" s="56">
        <f t="shared" si="19"/>
        <v>0</v>
      </c>
      <c r="BL17" s="59" t="str">
        <f t="shared" si="20"/>
        <v/>
      </c>
      <c r="BM17" s="59">
        <f t="shared" si="21"/>
        <v>17</v>
      </c>
      <c r="BN17" s="59">
        <f t="shared" si="22"/>
        <v>17</v>
      </c>
      <c r="BO17" s="37" t="str">
        <f t="shared" si="28"/>
        <v/>
      </c>
      <c r="BP17" s="37">
        <f t="shared" si="23"/>
        <v>17</v>
      </c>
      <c r="BQ17" s="37">
        <f t="shared" si="24"/>
        <v>17</v>
      </c>
      <c r="BT17" s="23">
        <v>23</v>
      </c>
      <c r="BU17" s="24">
        <v>24</v>
      </c>
    </row>
    <row r="18" spans="1:80" ht="16.5" thickTop="1" thickBot="1" x14ac:dyDescent="0.3">
      <c r="A18" s="261" t="s">
        <v>132</v>
      </c>
      <c r="B18" s="262">
        <f>'DADOS FINAIS'!B18</f>
        <v>10</v>
      </c>
      <c r="C18" s="262">
        <f>'DADOS FINAIS'!C18</f>
        <v>11</v>
      </c>
      <c r="D18" s="262">
        <f>'DADOS FINAIS'!F18</f>
        <v>10</v>
      </c>
      <c r="E18" s="262">
        <f>'DADOS FINAIS'!G18</f>
        <v>10</v>
      </c>
      <c r="F18" s="262">
        <f>'DADOS FINAIS'!D18</f>
        <v>10</v>
      </c>
      <c r="G18" s="262">
        <f>'DADOS FINAIS'!E18</f>
        <v>10</v>
      </c>
      <c r="H18" s="101">
        <f t="shared" si="0"/>
        <v>10</v>
      </c>
      <c r="I18" s="101">
        <f t="shared" si="0"/>
        <v>11</v>
      </c>
      <c r="J18" s="101">
        <f t="shared" si="0"/>
        <v>10</v>
      </c>
      <c r="K18" s="101">
        <f t="shared" si="0"/>
        <v>10</v>
      </c>
      <c r="L18" s="101">
        <f t="shared" si="0"/>
        <v>10</v>
      </c>
      <c r="M18" s="101">
        <f t="shared" si="0"/>
        <v>10</v>
      </c>
      <c r="N18" s="102">
        <f t="shared" si="1"/>
        <v>10</v>
      </c>
      <c r="O18" s="102">
        <f t="shared" si="2"/>
        <v>11</v>
      </c>
      <c r="P18" s="102">
        <f t="shared" si="3"/>
        <v>10</v>
      </c>
      <c r="Q18" s="102">
        <f t="shared" si="4"/>
        <v>10</v>
      </c>
      <c r="R18" s="102">
        <f t="shared" si="5"/>
        <v>10</v>
      </c>
      <c r="S18" s="102">
        <f t="shared" si="6"/>
        <v>10</v>
      </c>
      <c r="T18" s="103">
        <f t="shared" si="7"/>
        <v>10</v>
      </c>
      <c r="U18" s="103">
        <f t="shared" si="8"/>
        <v>10</v>
      </c>
      <c r="V18" s="104">
        <f>(IF((OR((P18="&gt;17,2"),(Q18="&gt;17,2"))),2,(IF(((T18+U18)=(P18+Q18)),0,1))))</f>
        <v>0</v>
      </c>
      <c r="W18" s="105">
        <f t="shared" si="25"/>
        <v>10</v>
      </c>
      <c r="X18" s="128">
        <f t="shared" si="30"/>
        <v>10</v>
      </c>
      <c r="Y18" s="103">
        <f t="shared" si="31"/>
        <v>0</v>
      </c>
      <c r="Z18" s="106">
        <f t="shared" si="9"/>
        <v>10</v>
      </c>
      <c r="AA18" s="107">
        <f t="shared" si="10"/>
        <v>0</v>
      </c>
      <c r="AB18" s="108">
        <f>IF(X18=0,0,VLOOKUP(X18,FREQUENCIAS!$1:$1048576,(IF(($A18=FREQUENCIAS!$K$1),11,"ERRO")),FREQUENCIAS!$1:$1048576))</f>
        <v>0.262376</v>
      </c>
      <c r="AC18" s="108">
        <f>IF(Y18=0,0,VLOOKUP(Y18,FREQUENCIAS!$1:$1048576,(IF(($A18=FREQUENCIAS!$K$1),11,"ERRO")),FREQUENCIAS!$1:$1048576))</f>
        <v>0</v>
      </c>
      <c r="AD18" s="108"/>
      <c r="AE18" s="108"/>
      <c r="AF18" s="108"/>
      <c r="AG18" s="109">
        <f>(IF((A18="ERRO-FT"),"9",((IF((AND(($Z18=0),($AA18=0),($AX$32="N"))),0,(IF((AND(($Z18=0),($AA18=0),(AX$32="S"))),1,(IF((AB18+AC18+AD18+AE18+AF18)&lt;=$AI$7,$AI$7,(AB18+AC18+AD18+AE18+AF18))))))))))</f>
        <v>0.262376</v>
      </c>
      <c r="AH18" s="110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3.8113242064823001</v>
      </c>
      <c r="AI18" s="111">
        <f t="shared" si="11"/>
        <v>0.79215701185700604</v>
      </c>
      <c r="AJ18" s="112"/>
      <c r="AK18" s="113">
        <f t="shared" si="12"/>
        <v>0.54408916537600005</v>
      </c>
      <c r="AL18" s="112"/>
      <c r="AM18" s="114" t="str">
        <f t="shared" si="13"/>
        <v>1 / F</v>
      </c>
      <c r="AN18" s="105" t="str">
        <f t="shared" si="14"/>
        <v>OK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0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3.8113242064823001</v>
      </c>
      <c r="BD18" s="2">
        <f t="shared" si="27"/>
        <v>0</v>
      </c>
      <c r="BF18" s="52">
        <v>9</v>
      </c>
      <c r="BG18" s="52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CORRETO</v>
      </c>
      <c r="BI18" s="56" t="str">
        <f t="shared" si="17"/>
        <v/>
      </c>
      <c r="BJ18" s="56">
        <f t="shared" si="18"/>
        <v>10</v>
      </c>
      <c r="BK18" s="56">
        <f t="shared" si="19"/>
        <v>10</v>
      </c>
      <c r="BL18" s="59" t="str">
        <f t="shared" si="20"/>
        <v/>
      </c>
      <c r="BM18" s="59">
        <f t="shared" si="21"/>
        <v>10</v>
      </c>
      <c r="BN18" s="59">
        <f t="shared" si="22"/>
        <v>10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 x14ac:dyDescent="0.3">
      <c r="A19" s="261" t="s">
        <v>227</v>
      </c>
      <c r="B19" s="262">
        <f>'DADOS FINAIS'!B19</f>
        <v>8</v>
      </c>
      <c r="C19" s="262">
        <f>'DADOS FINAIS'!C19</f>
        <v>11</v>
      </c>
      <c r="D19" s="262">
        <f>'DADOS FINAIS'!F19</f>
        <v>11</v>
      </c>
      <c r="E19" s="262">
        <f>'DADOS FINAIS'!G19</f>
        <v>12</v>
      </c>
      <c r="F19" s="262">
        <f>'DADOS FINAIS'!D19</f>
        <v>11</v>
      </c>
      <c r="G19" s="262">
        <f>'DADOS FINAIS'!E19</f>
        <v>11</v>
      </c>
      <c r="H19" s="101">
        <f t="shared" si="0"/>
        <v>8</v>
      </c>
      <c r="I19" s="101">
        <f t="shared" si="0"/>
        <v>11</v>
      </c>
      <c r="J19" s="101">
        <f t="shared" si="0"/>
        <v>11</v>
      </c>
      <c r="K19" s="101">
        <f t="shared" si="0"/>
        <v>12</v>
      </c>
      <c r="L19" s="101">
        <f t="shared" si="0"/>
        <v>11</v>
      </c>
      <c r="M19" s="101">
        <f t="shared" si="0"/>
        <v>11</v>
      </c>
      <c r="N19" s="102">
        <f t="shared" si="1"/>
        <v>8</v>
      </c>
      <c r="O19" s="102">
        <f t="shared" si="2"/>
        <v>11</v>
      </c>
      <c r="P19" s="102">
        <f t="shared" si="3"/>
        <v>11</v>
      </c>
      <c r="Q19" s="102">
        <f t="shared" si="4"/>
        <v>12</v>
      </c>
      <c r="R19" s="102">
        <f t="shared" si="5"/>
        <v>11</v>
      </c>
      <c r="S19" s="102">
        <f t="shared" si="6"/>
        <v>11</v>
      </c>
      <c r="T19" s="103">
        <f t="shared" si="7"/>
        <v>11</v>
      </c>
      <c r="U19" s="103">
        <f t="shared" si="8"/>
        <v>0</v>
      </c>
      <c r="V19" s="104">
        <f>(IF((OR((P19="&gt;21"),(Q19="&gt;21"))),2,(IF(((T19+U19)=(P19+Q19)),0,1))))</f>
        <v>1</v>
      </c>
      <c r="W19" s="105">
        <f t="shared" si="25"/>
        <v>11</v>
      </c>
      <c r="X19" s="128">
        <f t="shared" si="30"/>
        <v>12</v>
      </c>
      <c r="Y19" s="103">
        <f t="shared" si="31"/>
        <v>0</v>
      </c>
      <c r="Z19" s="106">
        <f t="shared" si="9"/>
        <v>0</v>
      </c>
      <c r="AA19" s="107">
        <f t="shared" si="10"/>
        <v>0</v>
      </c>
      <c r="AB19" s="108">
        <f>IF(X19=0,0,VLOOKUP(X19,FREQUENCIAS!$1:$1048576,(IF(($A19=FREQUENCIAS!$L$1),12,"ERRO")),FREQUENCIAS!$1:$1048576))</f>
        <v>0.16545399999999999</v>
      </c>
      <c r="AC19" s="108">
        <f>IF(Y19=0,0,VLOOKUP(Y19,FREQUENCIAS!$1:$1048576,(IF(($A19=FREQUENCIAS!$L$1),12,"ERRO")),FREQUENCIAS!$1:$1048576))</f>
        <v>0</v>
      </c>
      <c r="AD19" s="108"/>
      <c r="AE19" s="108"/>
      <c r="AF19" s="108"/>
      <c r="AG19" s="109">
        <f>(IF((A19="ERRO-FT"),"11",((IF((AND(($Z19=0),($AA19=0),($AX$32="N"))),0,(IF((AND(($Z19=0),($AA19=0),(AX$32="S"))),1,(IF((AB19+AC19+AD19+AE19+AF19)&lt;=$AI$7,$AI$7,(AB19+AC19+AD19+AE19+AF19))))))))))</f>
        <v>0</v>
      </c>
      <c r="AH19" s="110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1">
        <f t="shared" si="11"/>
        <v>0</v>
      </c>
      <c r="AJ19" s="112" t="s">
        <v>164</v>
      </c>
      <c r="AK19" s="113">
        <f t="shared" si="12"/>
        <v>1</v>
      </c>
      <c r="AL19" s="112"/>
      <c r="AM19" s="114" t="str">
        <f t="shared" si="13"/>
        <v>EXCLUI</v>
      </c>
      <c r="AN19" s="105" t="str">
        <f t="shared" si="14"/>
        <v>OK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0</v>
      </c>
      <c r="BF19" s="52">
        <v>11</v>
      </c>
      <c r="BG19" s="52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6" t="str">
        <f t="shared" si="17"/>
        <v/>
      </c>
      <c r="BJ19" s="56">
        <f t="shared" si="18"/>
        <v>11</v>
      </c>
      <c r="BK19" s="56">
        <f t="shared" si="19"/>
        <v>11</v>
      </c>
      <c r="BL19" s="59" t="str">
        <f t="shared" si="20"/>
        <v/>
      </c>
      <c r="BM19" s="59">
        <f t="shared" si="21"/>
        <v>0</v>
      </c>
      <c r="BN19" s="59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 x14ac:dyDescent="0.3">
      <c r="A20" s="261" t="s">
        <v>144</v>
      </c>
      <c r="B20" s="262">
        <f>'DADOS FINAIS'!B20</f>
        <v>6</v>
      </c>
      <c r="C20" s="262">
        <f>'DADOS FINAIS'!C20</f>
        <v>7</v>
      </c>
      <c r="D20" s="262">
        <f>'DADOS FINAIS'!F20</f>
        <v>6</v>
      </c>
      <c r="E20" s="262">
        <f>'DADOS FINAIS'!G20</f>
        <v>6</v>
      </c>
      <c r="F20" s="262">
        <f>'DADOS FINAIS'!D20</f>
        <v>6</v>
      </c>
      <c r="G20" s="262">
        <f>'DADOS FINAIS'!E20</f>
        <v>6</v>
      </c>
      <c r="H20" s="101">
        <f t="shared" si="0"/>
        <v>6</v>
      </c>
      <c r="I20" s="101">
        <f t="shared" si="0"/>
        <v>7</v>
      </c>
      <c r="J20" s="101">
        <f t="shared" si="0"/>
        <v>6</v>
      </c>
      <c r="K20" s="101">
        <f t="shared" si="0"/>
        <v>6</v>
      </c>
      <c r="L20" s="101">
        <f t="shared" si="0"/>
        <v>6</v>
      </c>
      <c r="M20" s="101">
        <f t="shared" si="0"/>
        <v>6</v>
      </c>
      <c r="N20" s="102">
        <f t="shared" si="1"/>
        <v>6</v>
      </c>
      <c r="O20" s="102">
        <f t="shared" si="2"/>
        <v>7</v>
      </c>
      <c r="P20" s="102">
        <f t="shared" si="3"/>
        <v>6</v>
      </c>
      <c r="Q20" s="102">
        <f t="shared" si="4"/>
        <v>6</v>
      </c>
      <c r="R20" s="102">
        <f t="shared" si="5"/>
        <v>6</v>
      </c>
      <c r="S20" s="102">
        <f t="shared" si="6"/>
        <v>6</v>
      </c>
      <c r="T20" s="103">
        <f t="shared" si="7"/>
        <v>6</v>
      </c>
      <c r="U20" s="103">
        <f t="shared" si="8"/>
        <v>6</v>
      </c>
      <c r="V20" s="104">
        <f>(IF((OR((P20="&gt;20"),(Q20="&gt;20"))),2,(IF(((T20+U20)=(P20+Q20)),0,1))))</f>
        <v>0</v>
      </c>
      <c r="W20" s="105">
        <f t="shared" si="25"/>
        <v>6</v>
      </c>
      <c r="X20" s="128">
        <f t="shared" si="30"/>
        <v>6</v>
      </c>
      <c r="Y20" s="103">
        <f t="shared" si="31"/>
        <v>0</v>
      </c>
      <c r="Z20" s="106">
        <f t="shared" si="9"/>
        <v>6</v>
      </c>
      <c r="AA20" s="107">
        <f t="shared" si="10"/>
        <v>0</v>
      </c>
      <c r="AB20" s="108">
        <f>IF(X20=0,0,VLOOKUP(X20,FREQUENCIAS!$1:$1048576,(IF(($A20=FREQUENCIAS!$M$1),13,"ERRO")),FREQUENCIAS!$1:$1048576))</f>
        <v>0.21123800000000001</v>
      </c>
      <c r="AC20" s="108">
        <f>IF(Y20=0,0,VLOOKUP(Y20,FREQUENCIAS!$1:$1048576,(IF(($A20=FREQUENCIAS!$M$1),13,"ERRO")),FREQUENCIAS!$1:$1048576))</f>
        <v>0</v>
      </c>
      <c r="AD20" s="108"/>
      <c r="AE20" s="108"/>
      <c r="AF20" s="108"/>
      <c r="AG20" s="109">
        <f>(IF((A20="ERRO-FT"),"5",((IF((AND(($Z20=0),($AA20=0),($AX$32="N"))),0,(IF((AND(($Z20=0),($AA20=0),(AX$32="S"))),1,(IF((AB20+AC20+AD20+AE20+AF20)&lt;=$AI$7,$AI$7,(AB20+AC20+AD20+AE20+AF20))))))))))</f>
        <v>0.21123800000000001</v>
      </c>
      <c r="AH20" s="110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4.7339967240742666</v>
      </c>
      <c r="AI20" s="111">
        <f t="shared" si="11"/>
        <v>0.82560157458732308</v>
      </c>
      <c r="AJ20" s="112"/>
      <c r="AK20" s="113">
        <f t="shared" si="12"/>
        <v>0.62214549264399999</v>
      </c>
      <c r="AL20" s="112"/>
      <c r="AM20" s="114" t="str">
        <f t="shared" si="13"/>
        <v>1 / F</v>
      </c>
      <c r="AN20" s="105" t="str">
        <f t="shared" si="14"/>
        <v>OK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0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4.7339967240742666</v>
      </c>
      <c r="BD20" s="2">
        <f t="shared" si="27"/>
        <v>0</v>
      </c>
      <c r="BF20" s="52">
        <v>5</v>
      </c>
      <c r="BG20" s="52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CORRETO</v>
      </c>
      <c r="BI20" s="56" t="str">
        <f t="shared" si="17"/>
        <v/>
      </c>
      <c r="BJ20" s="56">
        <f t="shared" si="18"/>
        <v>6</v>
      </c>
      <c r="BK20" s="56">
        <f t="shared" si="19"/>
        <v>6</v>
      </c>
      <c r="BL20" s="59" t="str">
        <f t="shared" si="20"/>
        <v/>
      </c>
      <c r="BM20" s="59">
        <f t="shared" si="21"/>
        <v>6</v>
      </c>
      <c r="BN20" s="59">
        <f t="shared" si="22"/>
        <v>6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 x14ac:dyDescent="0.3">
      <c r="A21" s="261" t="s">
        <v>179</v>
      </c>
      <c r="B21" s="262">
        <f>'DADOS FINAIS'!B21</f>
        <v>15</v>
      </c>
      <c r="C21" s="262">
        <f>'DADOS FINAIS'!C21</f>
        <v>17</v>
      </c>
      <c r="D21" s="262">
        <f>'DADOS FINAIS'!F21</f>
        <v>17</v>
      </c>
      <c r="E21" s="262">
        <f>'DADOS FINAIS'!G21</f>
        <v>17</v>
      </c>
      <c r="F21" s="262">
        <f>'DADOS FINAIS'!D21</f>
        <v>15</v>
      </c>
      <c r="G21" s="262">
        <f>'DADOS FINAIS'!E21</f>
        <v>17</v>
      </c>
      <c r="H21" s="101">
        <f t="shared" si="0"/>
        <v>15</v>
      </c>
      <c r="I21" s="101">
        <f t="shared" si="0"/>
        <v>17</v>
      </c>
      <c r="J21" s="101">
        <f t="shared" si="0"/>
        <v>17</v>
      </c>
      <c r="K21" s="101">
        <f t="shared" si="0"/>
        <v>17</v>
      </c>
      <c r="L21" s="101">
        <f t="shared" si="0"/>
        <v>15</v>
      </c>
      <c r="M21" s="101">
        <f t="shared" si="0"/>
        <v>17</v>
      </c>
      <c r="N21" s="102">
        <f t="shared" si="1"/>
        <v>15</v>
      </c>
      <c r="O21" s="102">
        <f t="shared" si="2"/>
        <v>17</v>
      </c>
      <c r="P21" s="102">
        <f t="shared" si="3"/>
        <v>17</v>
      </c>
      <c r="Q21" s="102">
        <f t="shared" si="4"/>
        <v>17</v>
      </c>
      <c r="R21" s="102">
        <f t="shared" si="5"/>
        <v>15</v>
      </c>
      <c r="S21" s="102">
        <f t="shared" si="6"/>
        <v>17</v>
      </c>
      <c r="T21" s="103">
        <f t="shared" si="7"/>
        <v>17</v>
      </c>
      <c r="U21" s="103">
        <f t="shared" si="8"/>
        <v>17</v>
      </c>
      <c r="V21" s="104">
        <f>(IF((OR((P21="&gt;24"),(Q21="&gt;24"))),2,(IF(((T21+U21)=(P21+Q21)),0,1))))</f>
        <v>0</v>
      </c>
      <c r="W21" s="105">
        <f t="shared" si="25"/>
        <v>17</v>
      </c>
      <c r="X21" s="128">
        <f t="shared" si="30"/>
        <v>17</v>
      </c>
      <c r="Y21" s="103">
        <f t="shared" si="31"/>
        <v>0</v>
      </c>
      <c r="Z21" s="106">
        <f t="shared" si="9"/>
        <v>17</v>
      </c>
      <c r="AA21" s="107">
        <f t="shared" si="10"/>
        <v>0</v>
      </c>
      <c r="AB21" s="108">
        <f>IF(X21=0,0,VLOOKUP(X21,FREQUENCIAS!$1:$1048576,(IF(($A21=FREQUENCIAS!$N$1),14,"ERRO")),FREQUENCIAS!$1:$1048576))</f>
        <v>0.25484400000000001</v>
      </c>
      <c r="AC21" s="108">
        <f>IF(Y21=0,0,VLOOKUP(Y21,FREQUENCIAS!$1:$1048576,(IF(($A21=FREQUENCIAS!$N$1),14,"ERRO")),FREQUENCIAS!$1:$1048576))</f>
        <v>0</v>
      </c>
      <c r="AD21" s="108"/>
      <c r="AE21" s="108"/>
      <c r="AF21" s="108"/>
      <c r="AG21" s="109">
        <f>(IF((A21="ERRO-FT"),"7",((IF((AND(($Z21=0),($AA21=0),($AX$32="N"))),0,(IF((AND(($Z21=0),($AA21=0),(AX$32="S"))),1,(IF((AB21+AC21+AD21+AE21+AF21)&lt;=$AI$7,$AI$7,(AB21+AC21+AD21+AE21+AF21))))))))))</f>
        <v>0.25484400000000001</v>
      </c>
      <c r="AH21" s="110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1.9619845866490873</v>
      </c>
      <c r="AI21" s="111">
        <f t="shared" si="11"/>
        <v>0.66238852001208193</v>
      </c>
      <c r="AJ21" s="112"/>
      <c r="AK21" s="113">
        <f t="shared" si="12"/>
        <v>0.55525746433599987</v>
      </c>
      <c r="AL21" s="112"/>
      <c r="AM21" s="114" t="str">
        <f t="shared" si="13"/>
        <v>1 / 2F</v>
      </c>
      <c r="AN21" s="105" t="str">
        <f t="shared" si="14"/>
        <v>OK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0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1.9619845866490873</v>
      </c>
      <c r="BD21" s="2">
        <f t="shared" si="27"/>
        <v>0</v>
      </c>
      <c r="BF21" s="52">
        <v>7</v>
      </c>
      <c r="BG21" s="52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CORRETO</v>
      </c>
      <c r="BI21" s="56" t="str">
        <f t="shared" si="17"/>
        <v/>
      </c>
      <c r="BJ21" s="56">
        <f t="shared" si="18"/>
        <v>17</v>
      </c>
      <c r="BK21" s="56">
        <f t="shared" si="19"/>
        <v>17</v>
      </c>
      <c r="BL21" s="59" t="str">
        <f t="shared" si="20"/>
        <v/>
      </c>
      <c r="BM21" s="59">
        <f t="shared" si="21"/>
        <v>17</v>
      </c>
      <c r="BN21" s="59">
        <f t="shared" si="22"/>
        <v>17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 x14ac:dyDescent="0.3">
      <c r="A22" s="261" t="s">
        <v>154</v>
      </c>
      <c r="B22" s="262">
        <f>'DADOS FINAIS'!B22</f>
        <v>31.2</v>
      </c>
      <c r="C22" s="262">
        <f>'DADOS FINAIS'!C22</f>
        <v>33.200000000000003</v>
      </c>
      <c r="D22" s="262">
        <f>'DADOS FINAIS'!F22</f>
        <v>28</v>
      </c>
      <c r="E22" s="262">
        <f>'DADOS FINAIS'!G22</f>
        <v>30</v>
      </c>
      <c r="F22" s="262">
        <f>'DADOS FINAIS'!D22</f>
        <v>28</v>
      </c>
      <c r="G22" s="262">
        <f>'DADOS FINAIS'!E22</f>
        <v>31.2</v>
      </c>
      <c r="H22" s="101">
        <f t="shared" si="0"/>
        <v>31.2</v>
      </c>
      <c r="I22" s="101">
        <f t="shared" si="0"/>
        <v>33.200000000000003</v>
      </c>
      <c r="J22" s="101">
        <f t="shared" si="0"/>
        <v>28</v>
      </c>
      <c r="K22" s="101">
        <f t="shared" si="0"/>
        <v>30</v>
      </c>
      <c r="L22" s="101">
        <f t="shared" si="0"/>
        <v>28</v>
      </c>
      <c r="M22" s="101">
        <f t="shared" si="0"/>
        <v>31.2</v>
      </c>
      <c r="N22" s="102">
        <f t="shared" si="1"/>
        <v>31.2</v>
      </c>
      <c r="O22" s="102">
        <f t="shared" si="2"/>
        <v>33.200000000000003</v>
      </c>
      <c r="P22" s="102">
        <f t="shared" si="3"/>
        <v>28</v>
      </c>
      <c r="Q22" s="102">
        <f t="shared" si="4"/>
        <v>30</v>
      </c>
      <c r="R22" s="102">
        <f t="shared" si="5"/>
        <v>28</v>
      </c>
      <c r="S22" s="102">
        <f t="shared" si="6"/>
        <v>31.2</v>
      </c>
      <c r="T22" s="103">
        <f t="shared" si="7"/>
        <v>0</v>
      </c>
      <c r="U22" s="103">
        <f t="shared" si="8"/>
        <v>0</v>
      </c>
      <c r="V22" s="104">
        <f>(IF((OR((P22="&gt;22"),(Q22="&gt;22"))),2,(IF(((T22+U22)=(P22+Q22)),0,1))))</f>
        <v>1</v>
      </c>
      <c r="W22" s="105">
        <f t="shared" si="25"/>
        <v>0</v>
      </c>
      <c r="X22" s="128">
        <f t="shared" si="30"/>
        <v>28</v>
      </c>
      <c r="Y22" s="103">
        <f t="shared" si="31"/>
        <v>30</v>
      </c>
      <c r="Z22" s="106">
        <f t="shared" si="9"/>
        <v>28</v>
      </c>
      <c r="AA22" s="107">
        <f t="shared" si="10"/>
        <v>0</v>
      </c>
      <c r="AB22" s="108">
        <f>IF(X22=0,0,VLOOKUP(X22,FREQUENCIAS!$1:$1048576,(IF(($A22=FREQUENCIAS!$O$1),15,"ERRO")),FREQUENCIAS!$1:$1048576))</f>
        <v>0.15936700000000001</v>
      </c>
      <c r="AC22" s="108">
        <f>IF(Y22=0,0,VLOOKUP(Y22,FREQUENCIAS!$1:$1048576,(IF(($A22=FREQUENCIAS!$O$1),15,"ERRO")),FREQUENCIAS!$1:$1048576))</f>
        <v>0.231679</v>
      </c>
      <c r="AD22" s="108"/>
      <c r="AE22" s="108"/>
      <c r="AF22" s="108"/>
      <c r="AG22" s="109">
        <f>(IF((A22="ERRO-FT"),"7",((IF((AND(($Z22=0),($AA22=0),($AX$32="N"))),0,(IF((AND(($Z22=0),($AA22=0),(AX$32="S"))),1,(IF((AB22+AC22+AD22+AE22+AF22)&lt;=$AI$7,$AI$7,(AB22+AC22+AD22+AE22+AF22))))))))))</f>
        <v>0.391046</v>
      </c>
      <c r="AH22" s="110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1.2786219524045763</v>
      </c>
      <c r="AI22" s="111">
        <f t="shared" si="11"/>
        <v>0.56113825773304626</v>
      </c>
      <c r="AJ22" s="112"/>
      <c r="AK22" s="113">
        <f t="shared" si="12"/>
        <v>0.37082497411600002</v>
      </c>
      <c r="AL22" s="112"/>
      <c r="AM22" s="114" t="str">
        <f t="shared" si="13"/>
        <v>1 / 2F</v>
      </c>
      <c r="AN22" s="105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0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1.2786219524045763</v>
      </c>
      <c r="BD22" s="2">
        <f t="shared" si="27"/>
        <v>1</v>
      </c>
      <c r="BF22" s="52">
        <v>7</v>
      </c>
      <c r="BG22" s="52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6" t="str">
        <f t="shared" si="17"/>
        <v/>
      </c>
      <c r="BJ22" s="56">
        <f t="shared" si="18"/>
        <v>0</v>
      </c>
      <c r="BK22" s="56">
        <f t="shared" si="19"/>
        <v>0</v>
      </c>
      <c r="BL22" s="59" t="str">
        <f t="shared" si="20"/>
        <v/>
      </c>
      <c r="BM22" s="59">
        <f t="shared" si="21"/>
        <v>28</v>
      </c>
      <c r="BN22" s="59">
        <f t="shared" si="22"/>
        <v>28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 x14ac:dyDescent="0.3">
      <c r="A23" s="261" t="s">
        <v>158</v>
      </c>
      <c r="B23" s="262">
        <f>'DADOS FINAIS'!B23</f>
        <v>8</v>
      </c>
      <c r="C23" s="262">
        <f>'DADOS FINAIS'!C23</f>
        <v>10</v>
      </c>
      <c r="D23" s="262">
        <f>'DADOS FINAIS'!F23</f>
        <v>10</v>
      </c>
      <c r="E23" s="262">
        <f>'DADOS FINAIS'!G23</f>
        <v>10</v>
      </c>
      <c r="F23" s="262">
        <f>'DADOS FINAIS'!D23</f>
        <v>10</v>
      </c>
      <c r="G23" s="262">
        <f>'DADOS FINAIS'!E23</f>
        <v>10</v>
      </c>
      <c r="H23" s="101">
        <f t="shared" si="0"/>
        <v>8</v>
      </c>
      <c r="I23" s="101">
        <f t="shared" si="0"/>
        <v>10</v>
      </c>
      <c r="J23" s="101">
        <f t="shared" si="0"/>
        <v>10</v>
      </c>
      <c r="K23" s="101">
        <f t="shared" si="0"/>
        <v>10</v>
      </c>
      <c r="L23" s="101">
        <f t="shared" si="0"/>
        <v>10</v>
      </c>
      <c r="M23" s="101">
        <f t="shared" si="0"/>
        <v>10</v>
      </c>
      <c r="N23" s="102">
        <f t="shared" si="1"/>
        <v>8</v>
      </c>
      <c r="O23" s="102">
        <f t="shared" si="2"/>
        <v>10</v>
      </c>
      <c r="P23" s="102">
        <f t="shared" si="3"/>
        <v>10</v>
      </c>
      <c r="Q23" s="102">
        <f t="shared" si="4"/>
        <v>10</v>
      </c>
      <c r="R23" s="102">
        <f t="shared" si="5"/>
        <v>10</v>
      </c>
      <c r="S23" s="102">
        <f t="shared" si="6"/>
        <v>10</v>
      </c>
      <c r="T23" s="103">
        <f t="shared" si="7"/>
        <v>10</v>
      </c>
      <c r="U23" s="103">
        <f t="shared" si="8"/>
        <v>10</v>
      </c>
      <c r="V23" s="104">
        <f>(IF((OR((P23="&gt;32"),(Q23="&gt;32"))),2,(IF(((T23+U23)=(P23+Q23)),0,1))))</f>
        <v>0</v>
      </c>
      <c r="W23" s="105">
        <f t="shared" si="25"/>
        <v>10</v>
      </c>
      <c r="X23" s="128">
        <f t="shared" si="30"/>
        <v>10</v>
      </c>
      <c r="Y23" s="103">
        <f t="shared" si="31"/>
        <v>0</v>
      </c>
      <c r="Z23" s="106">
        <f t="shared" si="9"/>
        <v>10</v>
      </c>
      <c r="AA23" s="107">
        <f t="shared" si="10"/>
        <v>0</v>
      </c>
      <c r="AB23" s="108">
        <f>IF(X23=0,0,VLOOKUP(X23,FREQUENCIAS!$1:$1048576,(IF(($A23=FREQUENCIAS!$P$1),16,"ERRO")),FREQUENCIAS!$1:$1048576))</f>
        <v>0.275034</v>
      </c>
      <c r="AC23" s="108">
        <f>IF(Y23=0,0,VLOOKUP(Y23,FREQUENCIAS!$1:$1048576,(IF(($A23=FREQUENCIAS!$P$1),16,"ERRO")),FREQUENCIAS!$1:$1048576))</f>
        <v>0</v>
      </c>
      <c r="AD23" s="108"/>
      <c r="AE23" s="108"/>
      <c r="AF23" s="108"/>
      <c r="AG23" s="109">
        <f>(IF((A23="ERRO-FT"),"16",((IF((AND(($Z23=0),($AA23=0),($AX$32="N"))),0,(IF((AND(($Z23=0),($AA23=0),(AX$32="S"))),1,(IF((AB23+AC23+AD23+AE23+AF23)&lt;=$AI$7,$AI$7,(AB23+AC23+AD23+AE23+AF23))))))))))</f>
        <v>0.275034</v>
      </c>
      <c r="AH23" s="110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3.6359141051651798</v>
      </c>
      <c r="AI23" s="111">
        <f t="shared" si="11"/>
        <v>0.78429281101523574</v>
      </c>
      <c r="AJ23" s="112" t="s">
        <v>173</v>
      </c>
      <c r="AK23" s="113">
        <f t="shared" si="12"/>
        <v>0.52557570115600005</v>
      </c>
      <c r="AL23" s="112"/>
      <c r="AM23" s="114" t="str">
        <f t="shared" si="13"/>
        <v>1 / F</v>
      </c>
      <c r="AN23" s="105" t="str">
        <f t="shared" si="14"/>
        <v>OK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0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3.6359141051651798</v>
      </c>
      <c r="BD23" s="2">
        <f t="shared" si="27"/>
        <v>0</v>
      </c>
      <c r="BF23" s="52">
        <v>17</v>
      </c>
      <c r="BG23" s="52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10</v>
      </c>
      <c r="BK23" s="25">
        <f t="shared" si="19"/>
        <v>10</v>
      </c>
      <c r="BL23" s="63" t="str">
        <f t="shared" si="20"/>
        <v/>
      </c>
      <c r="BM23" s="63">
        <f t="shared" si="21"/>
        <v>10</v>
      </c>
      <c r="BN23" s="63">
        <f t="shared" si="22"/>
        <v>10</v>
      </c>
      <c r="BO23" s="64" t="str">
        <f t="shared" si="28"/>
        <v/>
      </c>
      <c r="BP23" s="64">
        <f t="shared" si="23"/>
        <v>0</v>
      </c>
      <c r="BQ23" s="64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 x14ac:dyDescent="0.3">
      <c r="A24" s="261" t="s">
        <v>156</v>
      </c>
      <c r="B24" s="262">
        <f>'DADOS FINAIS'!B24</f>
        <v>9</v>
      </c>
      <c r="C24" s="262">
        <f>'DADOS FINAIS'!C24</f>
        <v>13</v>
      </c>
      <c r="D24" s="262">
        <f>'DADOS FINAIS'!F24</f>
        <v>11</v>
      </c>
      <c r="E24" s="262">
        <f>'DADOS FINAIS'!G24</f>
        <v>11</v>
      </c>
      <c r="F24" s="262">
        <f>'DADOS FINAIS'!D24</f>
        <v>9</v>
      </c>
      <c r="G24" s="262">
        <f>'DADOS FINAIS'!E24</f>
        <v>11</v>
      </c>
      <c r="H24" s="101">
        <f t="shared" si="0"/>
        <v>9</v>
      </c>
      <c r="I24" s="101">
        <f t="shared" si="0"/>
        <v>13</v>
      </c>
      <c r="J24" s="101">
        <f t="shared" si="0"/>
        <v>11</v>
      </c>
      <c r="K24" s="101">
        <f t="shared" si="0"/>
        <v>11</v>
      </c>
      <c r="L24" s="101">
        <f t="shared" si="0"/>
        <v>9</v>
      </c>
      <c r="M24" s="101">
        <f t="shared" si="0"/>
        <v>11</v>
      </c>
      <c r="N24" s="102">
        <f t="shared" si="1"/>
        <v>9</v>
      </c>
      <c r="O24" s="102">
        <f t="shared" si="2"/>
        <v>13</v>
      </c>
      <c r="P24" s="102">
        <f t="shared" si="3"/>
        <v>11</v>
      </c>
      <c r="Q24" s="102">
        <f t="shared" si="4"/>
        <v>11</v>
      </c>
      <c r="R24" s="102">
        <f t="shared" si="5"/>
        <v>9</v>
      </c>
      <c r="S24" s="102">
        <f t="shared" si="6"/>
        <v>11</v>
      </c>
      <c r="T24" s="103">
        <f t="shared" si="7"/>
        <v>0</v>
      </c>
      <c r="U24" s="103">
        <f t="shared" si="8"/>
        <v>0</v>
      </c>
      <c r="V24" s="104">
        <f>(IF((OR((P24="&gt;18"),(Q24="&gt;18"))),2,(IF(((T24+U24)=(P24+Q24)),0,1))))</f>
        <v>1</v>
      </c>
      <c r="W24" s="105">
        <f>IF(OR(($T24=$U24),($U24=0)),$T24,(IF(AND(($T24=0),($U24&lt;&gt;0)),$U24,$AJ$7)))</f>
        <v>0</v>
      </c>
      <c r="X24" s="128">
        <f t="shared" si="30"/>
        <v>11</v>
      </c>
      <c r="Y24" s="103">
        <f>(IF((AND(($T24=0),($U24=0))),$E24,(IF(($W24&lt;&gt;$AJ$7),0,$Q24))))</f>
        <v>11</v>
      </c>
      <c r="Z24" s="106">
        <f t="shared" si="9"/>
        <v>11</v>
      </c>
      <c r="AA24" s="107">
        <f t="shared" si="10"/>
        <v>11</v>
      </c>
      <c r="AB24" s="108">
        <f>IF(X24=0,0,VLOOKUP(X24,FREQUENCIAS!$1:$1048576,(IF(($A24=FREQUENCIAS!$Q$1),17,"ERRO")),FREQUENCIAS!$1:$1048576))</f>
        <v>0.32906299999999999</v>
      </c>
      <c r="AC24" s="108">
        <f>IF(Y24=0,0,VLOOKUP(Y24,FREQUENCIAS!$1:$1048576,(IF(($A24=FREQUENCIAS!$Q$1),17,"ERRO")),FREQUENCIAS!$1:$1048576))</f>
        <v>0.32906299999999999</v>
      </c>
      <c r="AD24" s="108"/>
      <c r="AE24" s="108"/>
      <c r="AF24" s="108"/>
      <c r="AG24" s="109">
        <f>(IF((A24="ERRO-FT"),"8",((IF((AND(($Z24=0),($AA24=0),($AX$32="N"))),0,(IF((AND(($Z24=0),($AA24=0),(AX$32="S"))),1,(IF((AB24+AC24+AD24+AE24+AF24)&lt;=$AI$7,$AI$7,(AB24+AC24+AD24+AE24+AF24))))))))))</f>
        <v>0.65812599999999999</v>
      </c>
      <c r="AH24" s="110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0.75973293867739611</v>
      </c>
      <c r="AI24" s="111">
        <f t="shared" si="11"/>
        <v>0.43173195317262542</v>
      </c>
      <c r="AJ24" s="112"/>
      <c r="AK24" s="113">
        <f t="shared" si="12"/>
        <v>0.11687783187600001</v>
      </c>
      <c r="AL24" s="112"/>
      <c r="AM24" s="114" t="str">
        <f t="shared" si="13"/>
        <v>1 / 2F</v>
      </c>
      <c r="AN24" s="105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0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0.75973293867739611</v>
      </c>
      <c r="BD24" s="2">
        <f>IF((W24=0),1,0)</f>
        <v>1</v>
      </c>
      <c r="BE24" s="67"/>
      <c r="BF24" s="51">
        <v>8</v>
      </c>
      <c r="BG24" s="51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CORRETO</v>
      </c>
      <c r="BI24" s="56" t="str">
        <f t="shared" si="17"/>
        <v/>
      </c>
      <c r="BJ24" s="56">
        <f t="shared" si="18"/>
        <v>0</v>
      </c>
      <c r="BK24" s="56">
        <f t="shared" si="19"/>
        <v>0</v>
      </c>
      <c r="BL24" s="59" t="str">
        <f t="shared" si="20"/>
        <v/>
      </c>
      <c r="BM24" s="59">
        <f t="shared" si="21"/>
        <v>11</v>
      </c>
      <c r="BN24" s="59">
        <f t="shared" si="22"/>
        <v>11</v>
      </c>
      <c r="BO24" s="37" t="str">
        <f>IF(($AA24=($BF24-1)),"&lt;",IF(($AA24=($BG24+1)),"&gt;",""))</f>
        <v/>
      </c>
      <c r="BP24" s="37">
        <f t="shared" si="23"/>
        <v>11</v>
      </c>
      <c r="BQ24" s="37">
        <f t="shared" si="24"/>
        <v>11</v>
      </c>
      <c r="BT24" s="23">
        <v>9</v>
      </c>
      <c r="BU24" s="24" t="s">
        <v>103</v>
      </c>
    </row>
    <row r="25" spans="1:80" ht="16.5" thickTop="1" thickBot="1" x14ac:dyDescent="0.3">
      <c r="A25" s="261" t="s">
        <v>142</v>
      </c>
      <c r="B25" s="262">
        <f>'DADOS FINAIS'!B25</f>
        <v>11</v>
      </c>
      <c r="C25" s="262">
        <f>'DADOS FINAIS'!C25</f>
        <v>11</v>
      </c>
      <c r="D25" s="262">
        <f>'DADOS FINAIS'!F25</f>
        <v>7</v>
      </c>
      <c r="E25" s="262">
        <f>'DADOS FINAIS'!G25</f>
        <v>8</v>
      </c>
      <c r="F25" s="262">
        <f>'DADOS FINAIS'!D25</f>
        <v>8</v>
      </c>
      <c r="G25" s="262">
        <f>'DADOS FINAIS'!E25</f>
        <v>11</v>
      </c>
      <c r="H25" s="101">
        <f t="shared" ref="H25:M30" si="33">(IF(CODE(B25)=(60),($BF25-1),(IF(CODE(B25)=(62),($BG25+1),B25))))</f>
        <v>11</v>
      </c>
      <c r="I25" s="101">
        <f t="shared" si="33"/>
        <v>11</v>
      </c>
      <c r="J25" s="101">
        <f t="shared" si="33"/>
        <v>7</v>
      </c>
      <c r="K25" s="101">
        <f t="shared" si="33"/>
        <v>8</v>
      </c>
      <c r="L25" s="101">
        <f t="shared" si="33"/>
        <v>8</v>
      </c>
      <c r="M25" s="101">
        <f t="shared" si="33"/>
        <v>11</v>
      </c>
      <c r="N25" s="102">
        <f t="shared" si="1"/>
        <v>11</v>
      </c>
      <c r="O25" s="102">
        <f t="shared" si="2"/>
        <v>11</v>
      </c>
      <c r="P25" s="102">
        <f t="shared" si="3"/>
        <v>7</v>
      </c>
      <c r="Q25" s="102">
        <f t="shared" si="4"/>
        <v>8</v>
      </c>
      <c r="R25" s="102">
        <f t="shared" si="5"/>
        <v>8</v>
      </c>
      <c r="S25" s="102">
        <f t="shared" si="6"/>
        <v>11</v>
      </c>
      <c r="T25" s="103">
        <f t="shared" si="7"/>
        <v>0</v>
      </c>
      <c r="U25" s="103">
        <f t="shared" si="8"/>
        <v>0</v>
      </c>
      <c r="V25" s="104">
        <f>(IF((OR((P25="&gt;36"),(Q25="&gt;36"))),2,(IF(((T25+U25)=(P25+Q25)),0,1))))</f>
        <v>1</v>
      </c>
      <c r="W25" s="105">
        <f t="shared" ref="W25:W30" si="34">IF(OR((T25=U25),(U25=0)),T25,(IF(AND((T25=0),(U25&lt;&gt;0)),U25,$AJ$7)))</f>
        <v>0</v>
      </c>
      <c r="X25" s="128">
        <f t="shared" si="30"/>
        <v>7</v>
      </c>
      <c r="Y25" s="103">
        <f>(IF((AND((T25=0),(U25=0))),E25,(IF((W25&lt;&gt;$AJ$7),0,Q25))))</f>
        <v>8</v>
      </c>
      <c r="Z25" s="106">
        <f t="shared" si="9"/>
        <v>0</v>
      </c>
      <c r="AA25" s="107">
        <f t="shared" si="10"/>
        <v>8</v>
      </c>
      <c r="AB25" s="108">
        <f>IF(X25=0,0,VLOOKUP(X25,FREQUENCIAS!$1:$1048576,(IF(($A25=FREQUENCIAS!$R$1),18,"ERRO")),FREQUENCIAS!$1:$1048576))</f>
        <v>8.404E-3</v>
      </c>
      <c r="AC25" s="108">
        <f>IF(Y25=0,0,VLOOKUP(Y25,FREQUENCIAS!$1:$1048576,(IF(($A25=FREQUENCIAS!$R$1),18,"ERRO")),FREQUENCIAS!$1:$1048576))</f>
        <v>0.45586199999999999</v>
      </c>
      <c r="AD25" s="108"/>
      <c r="AE25" s="108"/>
      <c r="AF25" s="108"/>
      <c r="AG25" s="109">
        <f>(IF((A25="ERRO-FT"),"24",((IF((AND(($Z25=0),($AA25=0),($AX$32="N"))),0,(IF((AND(($Z25=0),($AA25=0),(AX$32="S"))),1,(IF((AB25+AC25+AD25+AE25+AF25)&lt;=$AI$7,$AI$7,(AB25+AC25+AD25+AE25+AF25))))))))))</f>
        <v>0.46426600000000001</v>
      </c>
      <c r="AH25" s="110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1.0769688066754834</v>
      </c>
      <c r="AI25" s="111">
        <f t="shared" si="11"/>
        <v>0.51852911955829606</v>
      </c>
      <c r="AJ25" s="112"/>
      <c r="AK25" s="113">
        <f t="shared" si="12"/>
        <v>0.28701091875599993</v>
      </c>
      <c r="AL25" s="112"/>
      <c r="AM25" s="114" t="str">
        <f t="shared" si="13"/>
        <v>1 / 2F</v>
      </c>
      <c r="AN25" s="105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0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1.0769688066754834</v>
      </c>
      <c r="BD25" s="2">
        <f t="shared" ref="BD25:BD30" si="35">IF((W25=0),1,0)</f>
        <v>1</v>
      </c>
      <c r="BF25" s="52">
        <v>24</v>
      </c>
      <c r="BG25" s="52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6" t="str">
        <f t="shared" si="17"/>
        <v/>
      </c>
      <c r="BJ25" s="56">
        <f t="shared" si="18"/>
        <v>0</v>
      </c>
      <c r="BK25" s="56">
        <f t="shared" si="19"/>
        <v>0</v>
      </c>
      <c r="BL25" s="59" t="str">
        <f t="shared" si="20"/>
        <v/>
      </c>
      <c r="BM25" s="65">
        <f t="shared" si="21"/>
        <v>0</v>
      </c>
      <c r="BN25" s="59">
        <f t="shared" si="22"/>
        <v>0</v>
      </c>
      <c r="BO25" s="37" t="str">
        <f t="shared" si="28"/>
        <v/>
      </c>
      <c r="BP25" s="37">
        <f t="shared" si="23"/>
        <v>8</v>
      </c>
      <c r="BQ25" s="37">
        <f t="shared" si="24"/>
        <v>8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 x14ac:dyDescent="0.3">
      <c r="A26" s="261" t="s">
        <v>153</v>
      </c>
      <c r="B26" s="262">
        <f>'DADOS FINAIS'!B26</f>
        <v>10</v>
      </c>
      <c r="C26" s="262">
        <f>'DADOS FINAIS'!C26</f>
        <v>14</v>
      </c>
      <c r="D26" s="262">
        <f>'DADOS FINAIS'!F26</f>
        <v>14</v>
      </c>
      <c r="E26" s="262">
        <f>'DADOS FINAIS'!G26</f>
        <v>15</v>
      </c>
      <c r="F26" s="262">
        <f>'DADOS FINAIS'!D26</f>
        <v>10</v>
      </c>
      <c r="G26" s="262">
        <f>'DADOS FINAIS'!E26</f>
        <v>14</v>
      </c>
      <c r="H26" s="101">
        <f t="shared" si="33"/>
        <v>10</v>
      </c>
      <c r="I26" s="101">
        <f t="shared" si="33"/>
        <v>14</v>
      </c>
      <c r="J26" s="101">
        <f t="shared" si="33"/>
        <v>14</v>
      </c>
      <c r="K26" s="101">
        <f t="shared" si="33"/>
        <v>15</v>
      </c>
      <c r="L26" s="101">
        <f t="shared" si="33"/>
        <v>10</v>
      </c>
      <c r="M26" s="101">
        <f t="shared" si="33"/>
        <v>14</v>
      </c>
      <c r="N26" s="102">
        <f t="shared" si="1"/>
        <v>10</v>
      </c>
      <c r="O26" s="102">
        <f t="shared" si="2"/>
        <v>14</v>
      </c>
      <c r="P26" s="102">
        <f t="shared" si="3"/>
        <v>14</v>
      </c>
      <c r="Q26" s="102">
        <f t="shared" si="4"/>
        <v>15</v>
      </c>
      <c r="R26" s="102">
        <f t="shared" si="5"/>
        <v>10</v>
      </c>
      <c r="S26" s="102">
        <f t="shared" si="6"/>
        <v>14</v>
      </c>
      <c r="T26" s="103">
        <f t="shared" si="7"/>
        <v>14</v>
      </c>
      <c r="U26" s="103">
        <f t="shared" si="8"/>
        <v>0</v>
      </c>
      <c r="V26" s="104">
        <f>(IF((OR((P26="&gt;21"),(Q26="&gt;21"))),2,(IF(((T26+U26)=(P26+Q26)),0,1))))</f>
        <v>1</v>
      </c>
      <c r="W26" s="103">
        <f t="shared" si="34"/>
        <v>14</v>
      </c>
      <c r="X26" s="128">
        <f t="shared" si="30"/>
        <v>15</v>
      </c>
      <c r="Y26" s="103">
        <f xml:space="preserve"> (IF((AND((T26=0),(U26=0))),E26,(IF((W26&lt;&gt;$AJ$7),0,Q26))))</f>
        <v>0</v>
      </c>
      <c r="Z26" s="106">
        <f t="shared" si="9"/>
        <v>0</v>
      </c>
      <c r="AA26" s="107">
        <f t="shared" si="10"/>
        <v>0</v>
      </c>
      <c r="AB26" s="108">
        <f>IF(X26=0,0,VLOOKUP(X26,FREQUENCIAS!$1:$1048576,(IF(($A26=FREQUENCIAS!$S$1),19,"ERRO")),FREQUENCIAS!$1:$1048576))</f>
        <v>0.13833100000000001</v>
      </c>
      <c r="AC26" s="108">
        <f>IF(Y26=0,0,VLOOKUP(Y26,FREQUENCIAS!$1:$1048576,(IF(($A26=FREQUENCIAS!$S$1),19,"ERRO")),FREQUENCIAS!$1:$1048576))</f>
        <v>0</v>
      </c>
      <c r="AD26" s="108"/>
      <c r="AE26" s="108"/>
      <c r="AF26" s="108"/>
      <c r="AG26" s="109">
        <f>(IF((A26="ERRO-FT"),"6",((IF((AND(($Z26=0),($AA26=0),($AX$32="N"))),0,(IF((AND(($Z26=0),($AA26=0),(AX$32="S"))),1,(IF((AB26+AC26+AD26+AE26+AF26)&lt;=$AI$7,$AI$7,(AB26+AC26+AD26+AE26+AF26))))))))))</f>
        <v>0</v>
      </c>
      <c r="AH26" s="110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1">
        <f t="shared" si="11"/>
        <v>0</v>
      </c>
      <c r="AJ26" s="112" t="s">
        <v>140</v>
      </c>
      <c r="AK26" s="113">
        <f t="shared" si="12"/>
        <v>1</v>
      </c>
      <c r="AL26" s="112"/>
      <c r="AM26" s="114" t="str">
        <f t="shared" si="13"/>
        <v>EXCLUI</v>
      </c>
      <c r="AN26" s="105" t="str">
        <f t="shared" si="14"/>
        <v>OK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0</v>
      </c>
      <c r="BF26" s="52">
        <v>6</v>
      </c>
      <c r="BG26" s="52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CORRETO</v>
      </c>
      <c r="BI26" s="56" t="str">
        <f t="shared" si="17"/>
        <v/>
      </c>
      <c r="BJ26" s="56">
        <f t="shared" si="18"/>
        <v>15</v>
      </c>
      <c r="BK26" s="56">
        <f t="shared" si="19"/>
        <v>14</v>
      </c>
      <c r="BL26" s="59" t="str">
        <f t="shared" si="20"/>
        <v/>
      </c>
      <c r="BM26" s="59">
        <f t="shared" si="21"/>
        <v>0</v>
      </c>
      <c r="BN26" s="59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 x14ac:dyDescent="0.3">
      <c r="A27" s="261" t="s">
        <v>224</v>
      </c>
      <c r="B27" s="262">
        <f>'DADOS FINAIS'!B27</f>
        <v>17</v>
      </c>
      <c r="C27" s="262">
        <f>'DADOS FINAIS'!C27</f>
        <v>19</v>
      </c>
      <c r="D27" s="262">
        <f>'DADOS FINAIS'!F27</f>
        <v>18.3</v>
      </c>
      <c r="E27" s="262">
        <f>'DADOS FINAIS'!G27</f>
        <v>22</v>
      </c>
      <c r="F27" s="262">
        <f>'DADOS FINAIS'!D27</f>
        <v>18.3</v>
      </c>
      <c r="G27" s="262">
        <f>'DADOS FINAIS'!E27</f>
        <v>19</v>
      </c>
      <c r="H27" s="101">
        <f t="shared" si="33"/>
        <v>17</v>
      </c>
      <c r="I27" s="101">
        <f t="shared" si="33"/>
        <v>19</v>
      </c>
      <c r="J27" s="101">
        <f t="shared" si="33"/>
        <v>18.3</v>
      </c>
      <c r="K27" s="101">
        <f t="shared" si="33"/>
        <v>22</v>
      </c>
      <c r="L27" s="101">
        <f t="shared" si="33"/>
        <v>18.3</v>
      </c>
      <c r="M27" s="101">
        <f t="shared" si="33"/>
        <v>19</v>
      </c>
      <c r="N27" s="102">
        <f t="shared" si="1"/>
        <v>17</v>
      </c>
      <c r="O27" s="102">
        <f t="shared" si="2"/>
        <v>19</v>
      </c>
      <c r="P27" s="102">
        <f t="shared" si="3"/>
        <v>18.3</v>
      </c>
      <c r="Q27" s="102">
        <f t="shared" si="4"/>
        <v>22</v>
      </c>
      <c r="R27" s="102">
        <f t="shared" si="5"/>
        <v>18.3</v>
      </c>
      <c r="S27" s="102">
        <f t="shared" si="6"/>
        <v>19</v>
      </c>
      <c r="T27" s="103">
        <f t="shared" si="7"/>
        <v>0</v>
      </c>
      <c r="U27" s="103">
        <f t="shared" si="8"/>
        <v>0</v>
      </c>
      <c r="V27" s="104">
        <f>(IF((OR((P27="&gt;21"),(Q27="&gt;21"))),2,(IF(((T27+U27)=(P27+Q27)),0,1))))</f>
        <v>1</v>
      </c>
      <c r="W27" s="105">
        <f t="shared" si="34"/>
        <v>0</v>
      </c>
      <c r="X27" s="128">
        <f t="shared" si="30"/>
        <v>18.3</v>
      </c>
      <c r="Y27" s="103">
        <f>(IF((AND((T27=0),(U27=0))),E27,(IF((W27&lt;&gt;$AJ$7),0,Q27))))</f>
        <v>22</v>
      </c>
      <c r="Z27" s="106">
        <f t="shared" si="9"/>
        <v>18.3</v>
      </c>
      <c r="AA27" s="107">
        <f t="shared" si="10"/>
        <v>0</v>
      </c>
      <c r="AB27" s="108">
        <f>IF(X27=0,0,VLOOKUP(X27,FREQUENCIAS!$1:$1048576,(IF(($A27=FREQUENCIAS!$T$1),20,"ERRO")),FREQUENCIAS!$1:$1048576))</f>
        <v>1.44E-2</v>
      </c>
      <c r="AC27" s="108">
        <f>IF(Y27=0,0,VLOOKUP(Y27,FREQUENCIAS!$1:$1048576,(IF(($A27=FREQUENCIAS!$T$1),20,"ERRO")),FREQUENCIAS!$1:$1048576))</f>
        <v>6.3E-2</v>
      </c>
      <c r="AD27" s="108"/>
      <c r="AE27" s="108"/>
      <c r="AF27" s="108"/>
      <c r="AG27" s="109">
        <f>(IF((A27="ERRO-FT"),"11",((IF((AND(($Z27=0),($AA27=0),($AX$32="N"))),0,(IF((AND(($Z27=0),($AA27=0),(AX$32="S"))),1,(IF((AB27+AC27+AD27+AE27+AF27)&lt;=$AI$7,$AI$7,(AB27+AC27+AD27+AE27+AF27))))))))))</f>
        <v>7.7399999999999997E-2</v>
      </c>
      <c r="AH27" s="110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6.4599483204134369</v>
      </c>
      <c r="AI27" s="111">
        <f t="shared" si="11"/>
        <v>0.86595081399376517</v>
      </c>
      <c r="AJ27" s="112" t="s">
        <v>163</v>
      </c>
      <c r="AK27" s="265">
        <f t="shared" si="12"/>
        <v>0.85119075999999994</v>
      </c>
      <c r="AL27" s="112"/>
      <c r="AM27" s="114" t="str">
        <f t="shared" si="13"/>
        <v>1 / 2F</v>
      </c>
      <c r="AN27" s="105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0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6.4599483204134369</v>
      </c>
      <c r="BD27" s="2">
        <f t="shared" si="35"/>
        <v>1</v>
      </c>
      <c r="BF27" s="52">
        <v>12</v>
      </c>
      <c r="BG27" s="52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6" t="str">
        <f t="shared" si="17"/>
        <v/>
      </c>
      <c r="BJ27" s="56">
        <f t="shared" si="18"/>
        <v>0</v>
      </c>
      <c r="BK27" s="56">
        <f t="shared" si="19"/>
        <v>0</v>
      </c>
      <c r="BL27" s="59" t="str">
        <f t="shared" si="20"/>
        <v/>
      </c>
      <c r="BM27" s="59">
        <f t="shared" si="21"/>
        <v>18.3</v>
      </c>
      <c r="BN27" s="59">
        <f t="shared" si="22"/>
        <v>18.3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 x14ac:dyDescent="0.3">
      <c r="A28" s="261" t="s">
        <v>52</v>
      </c>
      <c r="B28" s="262">
        <f>'DADOS FINAIS'!B28</f>
        <v>12</v>
      </c>
      <c r="C28" s="262">
        <f>'DADOS FINAIS'!C28</f>
        <v>14</v>
      </c>
      <c r="D28" s="262">
        <f>'DADOS FINAIS'!F28</f>
        <v>14</v>
      </c>
      <c r="E28" s="262">
        <f>'DADOS FINAIS'!G28</f>
        <v>14</v>
      </c>
      <c r="F28" s="262">
        <f>'DADOS FINAIS'!D28</f>
        <v>14</v>
      </c>
      <c r="G28" s="262">
        <f>'DADOS FINAIS'!E28</f>
        <v>14</v>
      </c>
      <c r="H28" s="101">
        <f t="shared" si="33"/>
        <v>12</v>
      </c>
      <c r="I28" s="101">
        <f t="shared" si="33"/>
        <v>14</v>
      </c>
      <c r="J28" s="101">
        <f t="shared" si="33"/>
        <v>14</v>
      </c>
      <c r="K28" s="101">
        <f t="shared" si="33"/>
        <v>14</v>
      </c>
      <c r="L28" s="101">
        <f t="shared" si="33"/>
        <v>14</v>
      </c>
      <c r="M28" s="101">
        <f t="shared" si="33"/>
        <v>14</v>
      </c>
      <c r="N28" s="102">
        <f t="shared" si="1"/>
        <v>12</v>
      </c>
      <c r="O28" s="102">
        <f t="shared" si="2"/>
        <v>14</v>
      </c>
      <c r="P28" s="102">
        <f t="shared" si="3"/>
        <v>14</v>
      </c>
      <c r="Q28" s="102">
        <f t="shared" si="4"/>
        <v>14</v>
      </c>
      <c r="R28" s="102">
        <f t="shared" si="5"/>
        <v>14</v>
      </c>
      <c r="S28" s="102">
        <f t="shared" si="6"/>
        <v>14</v>
      </c>
      <c r="T28" s="103">
        <f t="shared" si="7"/>
        <v>14</v>
      </c>
      <c r="U28" s="103">
        <f t="shared" si="8"/>
        <v>14</v>
      </c>
      <c r="V28" s="104">
        <f>(IF((OR((P28="&gt;20"),(Q28="&gt;20"))),2,(IF(((T28+U28)=(P28+Q28)),0,1))))</f>
        <v>0</v>
      </c>
      <c r="W28" s="105">
        <f t="shared" si="34"/>
        <v>14</v>
      </c>
      <c r="X28" s="128">
        <f t="shared" si="30"/>
        <v>14</v>
      </c>
      <c r="Y28" s="103">
        <f>(IF((AND((T28=0),(U28=0))),E28,(IF((W28&lt;&gt;$AJ$7),0,Q28))))</f>
        <v>0</v>
      </c>
      <c r="Z28" s="106">
        <f t="shared" si="9"/>
        <v>14</v>
      </c>
      <c r="AA28" s="107">
        <f t="shared" si="10"/>
        <v>0</v>
      </c>
      <c r="AB28" s="108">
        <f>IF(X28=0,0,VLOOKUP(X28,FREQUENCIAS!$1:$1048576,(IF(($A28=FREQUENCIAS!$U$1),21,"ERRO")),FREQUENCIAS!$1:$1048576))</f>
        <v>0.29409999999999997</v>
      </c>
      <c r="AC28" s="108">
        <f>IF(Y28=0,0,VLOOKUP(Y28,FREQUENCIAS!$1:$1048576,(IF(($A28=FREQUENCIAS!$U$1),21,"ERRO")),FREQUENCIAS!$1:$1048576))</f>
        <v>0</v>
      </c>
      <c r="AD28" s="108"/>
      <c r="AE28" s="108"/>
      <c r="AF28" s="108"/>
      <c r="AG28" s="109">
        <f>(IF((A28="ERRO-FT"),"4",((IF((AND(($Z28=0),($AA28=0),($AX$32="N"))),0,(IF((AND(($Z28=0),($AA28=0),(AX$32="S"))),1,(IF((AB28+AC28+AD28+AE28+AF28)&lt;=$AI$7,$AI$7,(AB28+AC28+AD28+AE28+AF28))))))))))</f>
        <v>0.29409999999999997</v>
      </c>
      <c r="AH28" s="110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3.4002040122407347</v>
      </c>
      <c r="AI28" s="111">
        <f t="shared" si="11"/>
        <v>0.77273781006104625</v>
      </c>
      <c r="AJ28" s="112"/>
      <c r="AK28" s="113">
        <f t="shared" si="12"/>
        <v>0.49829480999999998</v>
      </c>
      <c r="AL28" s="112"/>
      <c r="AM28" s="114" t="str">
        <f t="shared" si="13"/>
        <v>1 / F</v>
      </c>
      <c r="AN28" s="105" t="str">
        <f t="shared" si="14"/>
        <v>OK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0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3.4002040122407347</v>
      </c>
      <c r="BD28" s="2">
        <f t="shared" si="35"/>
        <v>0</v>
      </c>
      <c r="BF28" s="52">
        <v>4</v>
      </c>
      <c r="BG28" s="52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6" t="str">
        <f t="shared" si="17"/>
        <v/>
      </c>
      <c r="BJ28" s="56">
        <f t="shared" si="18"/>
        <v>14</v>
      </c>
      <c r="BK28" s="56">
        <f t="shared" si="19"/>
        <v>14</v>
      </c>
      <c r="BL28" s="59" t="str">
        <f t="shared" si="20"/>
        <v/>
      </c>
      <c r="BM28" s="59">
        <f t="shared" si="21"/>
        <v>14</v>
      </c>
      <c r="BN28" s="59">
        <f t="shared" si="22"/>
        <v>14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 x14ac:dyDescent="0.3">
      <c r="A29" s="261" t="s">
        <v>152</v>
      </c>
      <c r="B29" s="262">
        <f>'DADOS FINAIS'!B29</f>
        <v>21</v>
      </c>
      <c r="C29" s="262">
        <f>'DADOS FINAIS'!C29</f>
        <v>23</v>
      </c>
      <c r="D29" s="262">
        <f>'DADOS FINAIS'!F29</f>
        <v>19</v>
      </c>
      <c r="E29" s="262">
        <f>'DADOS FINAIS'!G29</f>
        <v>26</v>
      </c>
      <c r="F29" s="262">
        <f>'DADOS FINAIS'!D29</f>
        <v>19</v>
      </c>
      <c r="G29" s="262">
        <f>'DADOS FINAIS'!E29</f>
        <v>21</v>
      </c>
      <c r="H29" s="101">
        <f t="shared" si="33"/>
        <v>21</v>
      </c>
      <c r="I29" s="101">
        <f t="shared" si="33"/>
        <v>23</v>
      </c>
      <c r="J29" s="101">
        <f t="shared" si="33"/>
        <v>19</v>
      </c>
      <c r="K29" s="101">
        <f t="shared" si="33"/>
        <v>26</v>
      </c>
      <c r="L29" s="101">
        <f t="shared" si="33"/>
        <v>19</v>
      </c>
      <c r="M29" s="101">
        <f t="shared" si="33"/>
        <v>21</v>
      </c>
      <c r="N29" s="102">
        <f t="shared" si="1"/>
        <v>21</v>
      </c>
      <c r="O29" s="102">
        <f t="shared" si="2"/>
        <v>23</v>
      </c>
      <c r="P29" s="102">
        <f t="shared" si="3"/>
        <v>19</v>
      </c>
      <c r="Q29" s="102">
        <f t="shared" si="4"/>
        <v>26</v>
      </c>
      <c r="R29" s="102">
        <f t="shared" si="5"/>
        <v>19</v>
      </c>
      <c r="S29" s="102">
        <f t="shared" si="6"/>
        <v>21</v>
      </c>
      <c r="T29" s="103">
        <f t="shared" si="7"/>
        <v>0</v>
      </c>
      <c r="U29" s="103">
        <f t="shared" si="8"/>
        <v>0</v>
      </c>
      <c r="V29" s="104">
        <f>(IF((OR((P29="&gt;23"),(Q29="&gt;23"))),2,(IF(((T29+U29)=(P29+Q29)),0,1))))</f>
        <v>1</v>
      </c>
      <c r="W29" s="105">
        <f t="shared" si="34"/>
        <v>0</v>
      </c>
      <c r="X29" s="128">
        <f t="shared" si="30"/>
        <v>19</v>
      </c>
      <c r="Y29" s="103">
        <f>(IF((AND((T29=0),(U29=0))),E29,(IF((W29&lt;&gt;$AJ$7),0,Q29))))</f>
        <v>26</v>
      </c>
      <c r="Z29" s="106">
        <f t="shared" si="9"/>
        <v>19</v>
      </c>
      <c r="AA29" s="107">
        <f t="shared" si="10"/>
        <v>0</v>
      </c>
      <c r="AB29" s="108">
        <f>IF(X29=0,0,VLOOKUP(X29,FREQUENCIAS!$1:$1048576,(IF(($A29=FREQUENCIAS!$V$1),22,"ERRO")),FREQUENCIAS!$1:$1048576))</f>
        <v>7.5357999999999994E-2</v>
      </c>
      <c r="AC29" s="108">
        <f>IF(Y29=0,0,VLOOKUP(Y29,FREQUENCIAS!$1:$1048576,(IF(($A29=FREQUENCIAS!$V$1),22,"ERRO")),FREQUENCIAS!$1:$1048576))</f>
        <v>4.7419999999999997E-2</v>
      </c>
      <c r="AD29" s="108"/>
      <c r="AE29" s="108"/>
      <c r="AF29" s="108"/>
      <c r="AG29" s="109">
        <f>(IF((A29="ERRO-FT"),"8",((IF((AND(($Z29=0),($AA29=0),($AX$32="N"))),0,(IF((AND(($Z29=0),($AA29=0),(AX$32="S"))),1,(IF((AB29+AC29+AD29+AE29+AF29)&lt;=$AI$7,$AI$7,(AB29+AC29+AD29+AE29+AF29))))))))))</f>
        <v>0.122778</v>
      </c>
      <c r="AH29" s="110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4.0723908192021376</v>
      </c>
      <c r="AI29" s="111">
        <f t="shared" si="11"/>
        <v>0.80285430763450216</v>
      </c>
      <c r="AJ29" s="112"/>
      <c r="AK29" s="113">
        <f t="shared" si="12"/>
        <v>0.76951843728399993</v>
      </c>
      <c r="AL29" s="112"/>
      <c r="AM29" s="114" t="str">
        <f t="shared" si="13"/>
        <v>1 / 2F</v>
      </c>
      <c r="AN29" s="105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0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4.0723908192021376</v>
      </c>
      <c r="BD29" s="2">
        <f t="shared" si="35"/>
        <v>1</v>
      </c>
      <c r="BF29" s="52">
        <v>8</v>
      </c>
      <c r="BG29" s="52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6" t="str">
        <f t="shared" si="17"/>
        <v/>
      </c>
      <c r="BJ29" s="56">
        <f t="shared" si="18"/>
        <v>0</v>
      </c>
      <c r="BK29" s="56">
        <f t="shared" si="19"/>
        <v>0</v>
      </c>
      <c r="BL29" s="59" t="str">
        <f t="shared" si="20"/>
        <v/>
      </c>
      <c r="BM29" s="59">
        <f t="shared" si="21"/>
        <v>19</v>
      </c>
      <c r="BN29" s="59">
        <f t="shared" si="22"/>
        <v>19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 x14ac:dyDescent="0.3">
      <c r="A30" s="261" t="s">
        <v>225</v>
      </c>
      <c r="B30" s="262">
        <f>'DADOS FINAIS'!B30</f>
        <v>11</v>
      </c>
      <c r="C30" s="262">
        <f>'DADOS FINAIS'!C30</f>
        <v>16</v>
      </c>
      <c r="D30" s="262">
        <f>'DADOS FINAIS'!F30</f>
        <v>16</v>
      </c>
      <c r="E30" s="262">
        <f>'DADOS FINAIS'!G30</f>
        <v>17</v>
      </c>
      <c r="F30" s="262">
        <f>'DADOS FINAIS'!D30</f>
        <v>16</v>
      </c>
      <c r="G30" s="262">
        <f>'DADOS FINAIS'!E30</f>
        <v>16</v>
      </c>
      <c r="H30" s="101">
        <f t="shared" si="33"/>
        <v>11</v>
      </c>
      <c r="I30" s="101">
        <f t="shared" si="33"/>
        <v>16</v>
      </c>
      <c r="J30" s="101">
        <f t="shared" si="33"/>
        <v>16</v>
      </c>
      <c r="K30" s="101">
        <f t="shared" si="33"/>
        <v>17</v>
      </c>
      <c r="L30" s="101">
        <f t="shared" si="33"/>
        <v>16</v>
      </c>
      <c r="M30" s="101">
        <f t="shared" si="33"/>
        <v>16</v>
      </c>
      <c r="N30" s="102">
        <f t="shared" si="1"/>
        <v>11</v>
      </c>
      <c r="O30" s="102">
        <f t="shared" si="2"/>
        <v>16</v>
      </c>
      <c r="P30" s="102">
        <f t="shared" si="3"/>
        <v>16</v>
      </c>
      <c r="Q30" s="102">
        <f t="shared" si="4"/>
        <v>17</v>
      </c>
      <c r="R30" s="102">
        <f t="shared" si="5"/>
        <v>16</v>
      </c>
      <c r="S30" s="102">
        <f t="shared" si="6"/>
        <v>16</v>
      </c>
      <c r="T30" s="103">
        <f t="shared" si="7"/>
        <v>16</v>
      </c>
      <c r="U30" s="103">
        <f t="shared" si="8"/>
        <v>0</v>
      </c>
      <c r="V30" s="104">
        <f>(IF((OR((P30="&gt;22"),(Q30="&gt;22"))),2,(IF(((T30+U30)=(P30+Q30)),0,1))))</f>
        <v>1</v>
      </c>
      <c r="W30" s="105">
        <f t="shared" si="34"/>
        <v>16</v>
      </c>
      <c r="X30" s="128">
        <f t="shared" si="30"/>
        <v>17</v>
      </c>
      <c r="Y30" s="103">
        <f>(IF((AND((T30=0),(U30=0))),E30,(IF((W30&lt;&gt;$AJ$7),0,Q30))))</f>
        <v>0</v>
      </c>
      <c r="Z30" s="106">
        <f t="shared" si="9"/>
        <v>0</v>
      </c>
      <c r="AA30" s="107">
        <f t="shared" si="10"/>
        <v>0</v>
      </c>
      <c r="AB30" s="108">
        <f>IF(X30=0,0,VLOOKUP(X30,FREQUENCIAS!$1:$1048576,(IF(($A30=FREQUENCIAS!$W$1),23,"ERRO")),FREQUENCIAS!$1:$1048576))</f>
        <v>0.12039999999999999</v>
      </c>
      <c r="AC30" s="108">
        <f>IF(Y30=0,0,VLOOKUP(Y30,FREQUENCIAS!$1:$1048576,(IF(($A30=FREQUENCIAS!$W$1),23,"ERRO")),FREQUENCIAS!$1:$1048576))</f>
        <v>0</v>
      </c>
      <c r="AD30" s="108"/>
      <c r="AE30" s="108"/>
      <c r="AF30" s="108"/>
      <c r="AG30" s="109">
        <f>(IF((A30="ERRO-FT"),"5",((IF((AND(($Z30=0),($AA30=0),($AX$32="N"))),0,(IF((AND(($Z30=0),($AA30=0),(AX$32="S"))),1,(IF((AB30+AC30+AD30+AE30+AF30)&lt;=$AI$7,$AI$7,(AB30+AC30+AD30+AE30+AF30))))))))))</f>
        <v>0</v>
      </c>
      <c r="AH30" s="110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1">
        <f t="shared" si="11"/>
        <v>0</v>
      </c>
      <c r="AJ30" s="112"/>
      <c r="AK30" s="113">
        <f t="shared" si="12"/>
        <v>1</v>
      </c>
      <c r="AL30" s="112"/>
      <c r="AM30" s="114" t="str">
        <f t="shared" si="13"/>
        <v>EXCLUI</v>
      </c>
      <c r="AN30" s="105" t="str">
        <f t="shared" si="14"/>
        <v>OK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0</v>
      </c>
      <c r="BF30" s="52">
        <v>5</v>
      </c>
      <c r="BG30" s="52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6" t="str">
        <f t="shared" si="17"/>
        <v>&gt;</v>
      </c>
      <c r="BJ30" s="56">
        <f t="shared" si="18"/>
        <v>16</v>
      </c>
      <c r="BK30" s="56" t="str">
        <f t="shared" si="19"/>
        <v>&gt;16</v>
      </c>
      <c r="BL30" s="59" t="str">
        <f t="shared" si="20"/>
        <v/>
      </c>
      <c r="BM30" s="59">
        <f t="shared" si="21"/>
        <v>0</v>
      </c>
      <c r="BN30" s="59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 x14ac:dyDescent="0.25">
      <c r="A31" s="36"/>
      <c r="B31" s="16"/>
      <c r="C31" s="16"/>
      <c r="D31" s="16"/>
      <c r="E31" s="26"/>
      <c r="F31" s="26"/>
      <c r="G31" s="266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6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69"/>
      <c r="AI31" s="369"/>
      <c r="AK31" s="365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65"/>
      <c r="AM31" s="267"/>
      <c r="AN31" s="17"/>
      <c r="AX31" s="54">
        <f>SUM(AX9:AX23)</f>
        <v>2</v>
      </c>
      <c r="BC31" s="41">
        <f>(IF((AND(($AX$32="N"),($AX$34="O"))),(BC9*BC10*BC11*BC12*BC13*BC14*BC15*BC16*BC17*BC18*BC19*BC20*BC21*BC22*BC23),0))</f>
        <v>0</v>
      </c>
      <c r="BD31" s="35">
        <f>SUM(BD9:BD23)</f>
        <v>7</v>
      </c>
    </row>
    <row r="32" spans="1:80" ht="15" x14ac:dyDescent="0.25">
      <c r="A32" s="18"/>
      <c r="B32" s="6"/>
      <c r="C32" s="6"/>
      <c r="D32" s="6"/>
      <c r="E32" s="27"/>
      <c r="F32" s="27"/>
      <c r="G32" s="72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6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66"/>
      <c r="AI32" s="366"/>
      <c r="AJ32" s="366"/>
      <c r="AK32" s="366"/>
      <c r="AL32" s="366"/>
      <c r="AM32" s="366"/>
      <c r="AN32" s="75"/>
      <c r="AR32" s="1" t="s">
        <v>102</v>
      </c>
      <c r="AS32" s="22" t="s">
        <v>139</v>
      </c>
      <c r="AX32" s="28" t="str">
        <f>IF(AH41="SIM","S",IF(AH41="NÃO","N",""))</f>
        <v>N</v>
      </c>
      <c r="AY32" s="49" t="s">
        <v>124</v>
      </c>
    </row>
    <row r="33" spans="1:74" ht="15" x14ac:dyDescent="0.25">
      <c r="A33" s="18"/>
      <c r="B33" s="6"/>
      <c r="C33" s="6"/>
      <c r="D33" s="6"/>
      <c r="E33" s="27"/>
      <c r="F33" s="27"/>
      <c r="G33" s="72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67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67"/>
      <c r="AI33" s="367"/>
      <c r="AJ33" s="367"/>
      <c r="AK33" s="367"/>
      <c r="AL33" s="367"/>
      <c r="AM33" s="367"/>
      <c r="AN33" s="74"/>
      <c r="AR33" s="1" t="s">
        <v>104</v>
      </c>
      <c r="AS33" s="22" t="s">
        <v>140</v>
      </c>
      <c r="AX33" s="29" t="s">
        <v>104</v>
      </c>
      <c r="AY33" s="49" t="s">
        <v>125</v>
      </c>
    </row>
    <row r="34" spans="1:74" ht="19.5" customHeight="1" thickBot="1" x14ac:dyDescent="0.3">
      <c r="A34" s="18"/>
      <c r="B34" s="6"/>
      <c r="C34" s="6"/>
      <c r="D34" s="6"/>
      <c r="E34" s="27"/>
      <c r="F34" s="27"/>
      <c r="G34" s="72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6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68"/>
      <c r="AI34" s="269"/>
      <c r="AM34" s="42"/>
      <c r="AN34" s="12"/>
      <c r="AX34" s="29"/>
      <c r="AY34" s="49" t="s">
        <v>96</v>
      </c>
    </row>
    <row r="35" spans="1:74" ht="13.5" thickTop="1" x14ac:dyDescent="0.2">
      <c r="A35" s="270" t="s">
        <v>233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71"/>
      <c r="AK35" s="271"/>
      <c r="AL35" s="271"/>
      <c r="AM35" s="16"/>
      <c r="AN35" s="17"/>
    </row>
    <row r="36" spans="1:74" x14ac:dyDescent="0.2">
      <c r="A36" s="18" t="s">
        <v>234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272" t="s">
        <v>235</v>
      </c>
      <c r="AS36" s="273"/>
      <c r="AT36" s="273"/>
      <c r="AU36" s="273"/>
      <c r="AV36" s="273"/>
      <c r="AW36" s="273"/>
      <c r="AX36" s="273"/>
      <c r="AY36" s="273"/>
    </row>
    <row r="37" spans="1:74" ht="12.75" customHeight="1" x14ac:dyDescent="0.2">
      <c r="A37" s="274" t="s">
        <v>236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68" t="s">
        <v>237</v>
      </c>
      <c r="AS37" s="368"/>
      <c r="AT37" s="368"/>
      <c r="AU37" s="368"/>
      <c r="AV37" s="368"/>
      <c r="AW37" s="368"/>
      <c r="AX37" s="368"/>
      <c r="AY37" s="368"/>
    </row>
    <row r="38" spans="1:74" ht="12.75" customHeight="1" x14ac:dyDescent="0.2">
      <c r="A38" s="18" t="s">
        <v>238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68"/>
      <c r="AS38" s="368"/>
      <c r="AT38" s="368"/>
      <c r="AU38" s="368"/>
      <c r="AV38" s="368"/>
      <c r="AW38" s="368"/>
      <c r="AX38" s="368"/>
      <c r="AY38" s="368"/>
    </row>
    <row r="39" spans="1:74" ht="13.5" thickBot="1" x14ac:dyDescent="0.25">
      <c r="A39" s="275" t="s">
        <v>239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68"/>
      <c r="AS39" s="368"/>
      <c r="AT39" s="368"/>
      <c r="AU39" s="368"/>
      <c r="AV39" s="368"/>
      <c r="AW39" s="368"/>
      <c r="AX39" s="368"/>
      <c r="AY39" s="368"/>
    </row>
    <row r="40" spans="1:74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276" t="s">
        <v>139</v>
      </c>
      <c r="AI40" s="71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>= SUPERVISÃO OK</v>
      </c>
      <c r="AJ40" s="68"/>
      <c r="AK40" s="68"/>
      <c r="AL40" s="68"/>
      <c r="AM40" s="68"/>
      <c r="AN40" s="70"/>
      <c r="AO40" s="68"/>
      <c r="AP40" s="68"/>
      <c r="AQ40" s="68"/>
      <c r="AR40" s="368" t="s">
        <v>240</v>
      </c>
      <c r="AS40" s="368"/>
      <c r="AT40" s="368"/>
      <c r="AU40" s="368"/>
      <c r="AV40" s="368"/>
      <c r="AW40" s="368"/>
      <c r="AX40" s="368"/>
      <c r="AY40" s="3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9"/>
    </row>
    <row r="41" spans="1:74" ht="12.75" customHeight="1" x14ac:dyDescent="0.25">
      <c r="A41" s="8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>Estudar ocorrência de MUTAÇÃO?</v>
      </c>
      <c r="AH41" s="277" t="s">
        <v>140</v>
      </c>
      <c r="AI41" s="278"/>
      <c r="AJ41" s="279"/>
      <c r="AK41" s="279"/>
      <c r="AL41" s="279"/>
      <c r="AM41" s="278"/>
      <c r="AN41" s="280"/>
      <c r="AR41" s="368"/>
      <c r="AS41" s="368"/>
      <c r="AT41" s="368"/>
      <c r="AU41" s="368"/>
      <c r="AV41" s="368"/>
      <c r="AW41" s="368"/>
      <c r="AX41" s="368"/>
      <c r="AY41" s="368"/>
    </row>
    <row r="42" spans="1:74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8"/>
      <c r="AH42" s="48"/>
      <c r="AI42" s="6"/>
      <c r="AJ42" s="43"/>
      <c r="AK42" s="43"/>
      <c r="AL42" s="43"/>
      <c r="AM42" s="6"/>
      <c r="AN42" s="7"/>
      <c r="AR42" s="368"/>
      <c r="AS42" s="368"/>
      <c r="AT42" s="368"/>
      <c r="AU42" s="368"/>
      <c r="AV42" s="368"/>
      <c r="AW42" s="368"/>
      <c r="AX42" s="368"/>
      <c r="AY42" s="368"/>
    </row>
    <row r="43" spans="1:74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277"/>
      <c r="AI43" s="278"/>
      <c r="AJ43" s="279"/>
      <c r="AK43" s="279"/>
      <c r="AL43" s="279"/>
      <c r="AM43" s="278"/>
      <c r="AN43" s="280"/>
      <c r="AY43" s="47"/>
    </row>
    <row r="44" spans="1:74" ht="12.75" customHeight="1" x14ac:dyDescent="0.2">
      <c r="A44" s="90"/>
      <c r="B44" s="93"/>
      <c r="C44" s="93"/>
      <c r="D44" s="281"/>
      <c r="E44" s="92"/>
      <c r="F44" s="92" t="s">
        <v>202</v>
      </c>
      <c r="G44" s="377">
        <f ca="1">TODAY()</f>
        <v>41863</v>
      </c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  <c r="AH44" s="377"/>
      <c r="AI44" s="377"/>
      <c r="AJ44" s="377"/>
      <c r="AK44" s="377"/>
      <c r="AL44" s="377"/>
      <c r="AM44" s="377"/>
      <c r="AN44" s="378"/>
    </row>
    <row r="45" spans="1:74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 x14ac:dyDescent="0.2">
      <c r="A47" s="98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/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100"/>
    </row>
    <row r="48" spans="1:74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x14ac:dyDescent="0.2">
      <c r="A49" s="379" t="s">
        <v>208</v>
      </c>
      <c r="B49" s="380"/>
      <c r="C49" s="380"/>
      <c r="D49" s="380"/>
      <c r="E49" s="380"/>
      <c r="F49" s="380"/>
      <c r="G49" s="120" t="s">
        <v>204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381" t="s">
        <v>205</v>
      </c>
      <c r="AH49" s="381"/>
      <c r="AI49" s="381"/>
      <c r="AJ49" s="381"/>
      <c r="AK49" s="381"/>
      <c r="AL49" s="381"/>
      <c r="AM49" s="381"/>
      <c r="AN49" s="382"/>
    </row>
    <row r="50" spans="1:59" x14ac:dyDescent="0.2">
      <c r="A50" s="370" t="s">
        <v>209</v>
      </c>
      <c r="B50" s="371"/>
      <c r="C50" s="371"/>
      <c r="D50" s="371"/>
      <c r="E50" s="371"/>
      <c r="F50" s="371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372" t="s">
        <v>206</v>
      </c>
      <c r="AH50" s="372"/>
      <c r="AI50" s="372"/>
      <c r="AJ50" s="372"/>
      <c r="AK50" s="372"/>
      <c r="AL50" s="372"/>
      <c r="AM50" s="372"/>
      <c r="AN50" s="373"/>
    </row>
    <row r="51" spans="1:59" x14ac:dyDescent="0.2">
      <c r="A51" s="370" t="s">
        <v>210</v>
      </c>
      <c r="B51" s="371"/>
      <c r="C51" s="371"/>
      <c r="D51" s="371"/>
      <c r="E51" s="371"/>
      <c r="F51" s="371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372" t="s">
        <v>207</v>
      </c>
      <c r="AH51" s="372"/>
      <c r="AI51" s="372"/>
      <c r="AJ51" s="372"/>
      <c r="AK51" s="372"/>
      <c r="AL51" s="372"/>
      <c r="AM51" s="372"/>
      <c r="AN51" s="373"/>
    </row>
    <row r="52" spans="1:59" ht="13.5" thickBot="1" x14ac:dyDescent="0.25">
      <c r="A52" s="374" t="s">
        <v>211</v>
      </c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6"/>
    </row>
    <row r="53" spans="1:59" s="115" customFormat="1" ht="26.25" thickTop="1" x14ac:dyDescent="0.5">
      <c r="A53" s="118" t="s">
        <v>195</v>
      </c>
      <c r="B53" s="118" t="s">
        <v>197</v>
      </c>
      <c r="C53" s="118" t="s">
        <v>198</v>
      </c>
      <c r="D53" s="118" t="s">
        <v>199</v>
      </c>
      <c r="E53" s="118" t="s">
        <v>200</v>
      </c>
      <c r="F53" s="118" t="s">
        <v>201</v>
      </c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M53" s="117"/>
      <c r="AN53" s="282" t="s">
        <v>195</v>
      </c>
      <c r="BF53" s="116"/>
      <c r="BG53" s="116"/>
    </row>
    <row r="54" spans="1:59" s="283" customFormat="1" x14ac:dyDescent="0.2">
      <c r="A54" s="283" t="str">
        <f>'IMPORTAÇÃO GENOTIPER'!$O$1</f>
        <v>Helder - MS</v>
      </c>
      <c r="B54" s="283" t="s">
        <v>194</v>
      </c>
      <c r="AN54" s="284" t="s">
        <v>196</v>
      </c>
      <c r="BF54" s="285"/>
      <c r="BG54" s="285"/>
    </row>
    <row r="55" spans="1:59" s="283" customFormat="1" x14ac:dyDescent="0.2">
      <c r="B55" s="283" t="s">
        <v>186</v>
      </c>
      <c r="BF55" s="285"/>
      <c r="BG55" s="285"/>
    </row>
    <row r="56" spans="1:59" s="283" customFormat="1" x14ac:dyDescent="0.2">
      <c r="B56" s="283" t="s">
        <v>188</v>
      </c>
      <c r="BF56" s="285"/>
      <c r="BG56" s="285"/>
    </row>
    <row r="57" spans="1:59" s="283" customFormat="1" x14ac:dyDescent="0.2">
      <c r="B57" s="283" t="s">
        <v>189</v>
      </c>
      <c r="BF57" s="285"/>
      <c r="BG57" s="285"/>
    </row>
    <row r="58" spans="1:59" s="283" customFormat="1" x14ac:dyDescent="0.2">
      <c r="B58" s="283" t="s">
        <v>190</v>
      </c>
      <c r="BF58" s="285"/>
      <c r="BG58" s="285"/>
    </row>
    <row r="59" spans="1:59" s="283" customFormat="1" x14ac:dyDescent="0.2">
      <c r="B59" s="283" t="s">
        <v>191</v>
      </c>
      <c r="BF59" s="285"/>
      <c r="BG59" s="285"/>
    </row>
    <row r="60" spans="1:59" s="283" customFormat="1" x14ac:dyDescent="0.2">
      <c r="B60" s="283" t="s">
        <v>192</v>
      </c>
      <c r="BF60" s="285"/>
      <c r="BG60" s="285"/>
    </row>
    <row r="61" spans="1:59" s="283" customFormat="1" x14ac:dyDescent="0.2">
      <c r="B61" s="283" t="s">
        <v>193</v>
      </c>
      <c r="BF61" s="285"/>
      <c r="BG61" s="285"/>
    </row>
    <row r="63" spans="1:59" x14ac:dyDescent="0.2">
      <c r="AM63" s="20"/>
    </row>
  </sheetData>
  <mergeCells count="33">
    <mergeCell ref="A51:F51"/>
    <mergeCell ref="AG51:AN51"/>
    <mergeCell ref="A52:AN52"/>
    <mergeCell ref="G44:AN44"/>
    <mergeCell ref="A49:F49"/>
    <mergeCell ref="AG49:AN49"/>
    <mergeCell ref="A50:F50"/>
    <mergeCell ref="AG50:AN50"/>
    <mergeCell ref="AK31:AL31"/>
    <mergeCell ref="AG32:AM32"/>
    <mergeCell ref="AG33:AM33"/>
    <mergeCell ref="AR37:AY39"/>
    <mergeCell ref="AR40:AY42"/>
    <mergeCell ref="AG31:AI31"/>
    <mergeCell ref="BO7:BQ7"/>
    <mergeCell ref="N8:O8"/>
    <mergeCell ref="P8:Q8"/>
    <mergeCell ref="X8:Y8"/>
    <mergeCell ref="Z8:AA8"/>
    <mergeCell ref="AZ6:BA6"/>
    <mergeCell ref="AQ7:AV8"/>
    <mergeCell ref="AZ7:BB7"/>
    <mergeCell ref="BI7:BK7"/>
    <mergeCell ref="BL7:BN7"/>
    <mergeCell ref="L8:M8"/>
    <mergeCell ref="R8:S8"/>
    <mergeCell ref="A1:AN1"/>
    <mergeCell ref="B3:G3"/>
    <mergeCell ref="B8:C8"/>
    <mergeCell ref="D8:E8"/>
    <mergeCell ref="F8:G8"/>
    <mergeCell ref="H8:I8"/>
    <mergeCell ref="J8:K8"/>
  </mergeCells>
  <conditionalFormatting sqref="AH9:AH23">
    <cfRule type="cellIs" dxfId="126" priority="45" stopIfTrue="1" operator="equal">
      <formula>"FT"</formula>
    </cfRule>
  </conditionalFormatting>
  <conditionalFormatting sqref="B9:C23">
    <cfRule type="cellIs" dxfId="125" priority="46" stopIfTrue="1" operator="equal">
      <formula>$T$9</formula>
    </cfRule>
    <cfRule type="cellIs" dxfId="124" priority="47" stopIfTrue="1" operator="equal">
      <formula>$U$9</formula>
    </cfRule>
  </conditionalFormatting>
  <conditionalFormatting sqref="D9:G23">
    <cfRule type="cellIs" dxfId="123" priority="48" stopIfTrue="1" operator="equal">
      <formula>$T9</formula>
    </cfRule>
    <cfRule type="cellIs" dxfId="122" priority="49" stopIfTrue="1" operator="equal">
      <formula>$U9</formula>
    </cfRule>
  </conditionalFormatting>
  <conditionalFormatting sqref="AH24:AH30">
    <cfRule type="cellIs" dxfId="121" priority="40" stopIfTrue="1" operator="equal">
      <formula>"FT"</formula>
    </cfRule>
  </conditionalFormatting>
  <conditionalFormatting sqref="B24:C30">
    <cfRule type="cellIs" dxfId="120" priority="41" stopIfTrue="1" operator="equal">
      <formula>$T$9</formula>
    </cfRule>
    <cfRule type="cellIs" dxfId="119" priority="42" stopIfTrue="1" operator="equal">
      <formula>$U$9</formula>
    </cfRule>
  </conditionalFormatting>
  <conditionalFormatting sqref="D24:G30">
    <cfRule type="cellIs" dxfId="118" priority="43" stopIfTrue="1" operator="equal">
      <formula>$T24</formula>
    </cfRule>
    <cfRule type="cellIs" dxfId="117" priority="44" stopIfTrue="1" operator="equal">
      <formula>$U24</formula>
    </cfRule>
  </conditionalFormatting>
  <conditionalFormatting sqref="AH9:AH23">
    <cfRule type="cellIs" dxfId="116" priority="39" stopIfTrue="1" operator="equal">
      <formula>"FT"</formula>
    </cfRule>
  </conditionalFormatting>
  <conditionalFormatting sqref="AA9">
    <cfRule type="cellIs" dxfId="115" priority="38" stopIfTrue="1" operator="equal">
      <formula>1</formula>
    </cfRule>
  </conditionalFormatting>
  <conditionalFormatting sqref="AG9">
    <cfRule type="cellIs" dxfId="114" priority="36" stopIfTrue="1" operator="equal">
      <formula>"EXCLUI"</formula>
    </cfRule>
    <cfRule type="cellIs" dxfId="113" priority="37" stopIfTrue="1" operator="equal">
      <formula>"MUTAÇÃO"</formula>
    </cfRule>
  </conditionalFormatting>
  <conditionalFormatting sqref="D9:E23">
    <cfRule type="cellIs" dxfId="112" priority="34" stopIfTrue="1" operator="equal">
      <formula>$T$9</formula>
    </cfRule>
    <cfRule type="cellIs" dxfId="111" priority="35" stopIfTrue="1" operator="equal">
      <formula>$U$9</formula>
    </cfRule>
  </conditionalFormatting>
  <conditionalFormatting sqref="F9:G23">
    <cfRule type="cellIs" dxfId="110" priority="32" stopIfTrue="1" operator="equal">
      <formula>$T9</formula>
    </cfRule>
    <cfRule type="cellIs" dxfId="109" priority="33" stopIfTrue="1" operator="equal">
      <formula>$U9</formula>
    </cfRule>
  </conditionalFormatting>
  <conditionalFormatting sqref="AB9">
    <cfRule type="cellIs" dxfId="108" priority="30" stopIfTrue="1" operator="equal">
      <formula>0</formula>
    </cfRule>
    <cfRule type="cellIs" dxfId="107" priority="31" stopIfTrue="1" operator="equal">
      <formula>$AS$13</formula>
    </cfRule>
  </conditionalFormatting>
  <conditionalFormatting sqref="AH24:AH30">
    <cfRule type="cellIs" dxfId="106" priority="29" stopIfTrue="1" operator="equal">
      <formula>"FT"</formula>
    </cfRule>
  </conditionalFormatting>
  <conditionalFormatting sqref="D24:E30">
    <cfRule type="cellIs" dxfId="105" priority="27" stopIfTrue="1" operator="equal">
      <formula>$T$9</formula>
    </cfRule>
    <cfRule type="cellIs" dxfId="104" priority="28" stopIfTrue="1" operator="equal">
      <formula>$U$9</formula>
    </cfRule>
  </conditionalFormatting>
  <conditionalFormatting sqref="F24:G30">
    <cfRule type="cellIs" dxfId="103" priority="25" stopIfTrue="1" operator="equal">
      <formula>$T24</formula>
    </cfRule>
    <cfRule type="cellIs" dxfId="102" priority="26" stopIfTrue="1" operator="equal">
      <formula>$U24</formula>
    </cfRule>
  </conditionalFormatting>
  <conditionalFormatting sqref="H9:M30">
    <cfRule type="cellIs" dxfId="101" priority="23" stopIfTrue="1" operator="equal">
      <formula>$Z9</formula>
    </cfRule>
    <cfRule type="cellIs" dxfId="100" priority="24" stopIfTrue="1" operator="equal">
      <formula>$AA9</formula>
    </cfRule>
  </conditionalFormatting>
  <conditionalFormatting sqref="AG43">
    <cfRule type="cellIs" dxfId="99" priority="21" stopIfTrue="1" operator="greaterThanOrEqual">
      <formula>1</formula>
    </cfRule>
    <cfRule type="cellIs" dxfId="98" priority="22" stopIfTrue="1" operator="lessThanOrEqual">
      <formula>2</formula>
    </cfRule>
  </conditionalFormatting>
  <conditionalFormatting sqref="AM9:AM30">
    <cfRule type="cellIs" dxfId="97" priority="19" stopIfTrue="1" operator="equal">
      <formula>"EXCLUI"</formula>
    </cfRule>
    <cfRule type="cellIs" dxfId="96" priority="20" stopIfTrue="1" operator="equal">
      <formula>"MUTAÇÃO"</formula>
    </cfRule>
  </conditionalFormatting>
  <conditionalFormatting sqref="BI9:BQ30">
    <cfRule type="cellIs" dxfId="95" priority="18" stopIfTrue="1" operator="equal">
      <formula>$BF9-1</formula>
    </cfRule>
  </conditionalFormatting>
  <conditionalFormatting sqref="BT9:BU30">
    <cfRule type="cellIs" dxfId="94" priority="16" stopIfTrue="1" operator="equal">
      <formula>$BN9</formula>
    </cfRule>
    <cfRule type="cellIs" dxfId="93" priority="17" stopIfTrue="1" operator="equal">
      <formula>$BQ9</formula>
    </cfRule>
  </conditionalFormatting>
  <conditionalFormatting sqref="A9:A30">
    <cfRule type="cellIs" dxfId="92" priority="15" stopIfTrue="1" operator="equal">
      <formula>"ERRO-FT"</formula>
    </cfRule>
  </conditionalFormatting>
  <conditionalFormatting sqref="AH8">
    <cfRule type="cellIs" dxfId="91" priority="14" stopIfTrue="1" operator="equal">
      <formula>"AL.SUP."</formula>
    </cfRule>
  </conditionalFormatting>
  <conditionalFormatting sqref="AG8">
    <cfRule type="cellIs" dxfId="90" priority="13" stopIfTrue="1" operator="equal">
      <formula>"AL.INF."</formula>
    </cfRule>
  </conditionalFormatting>
  <conditionalFormatting sqref="AG9:AG30">
    <cfRule type="expression" dxfId="89" priority="12" stopIfTrue="1">
      <formula>(A9="ERRO-FT")</formula>
    </cfRule>
  </conditionalFormatting>
  <conditionalFormatting sqref="AH9:AH30">
    <cfRule type="cellIs" dxfId="88" priority="9" stopIfTrue="1" operator="equal">
      <formula>0</formula>
    </cfRule>
    <cfRule type="cellIs" dxfId="87" priority="10" stopIfTrue="1" operator="equal">
      <formula>$AY9</formula>
    </cfRule>
    <cfRule type="expression" dxfId="86" priority="11" stopIfTrue="1">
      <formula>(A9="ERRO-FT")</formula>
    </cfRule>
  </conditionalFormatting>
  <conditionalFormatting sqref="AG31:AI31">
    <cfRule type="cellIs" dxfId="85" priority="8" stopIfTrue="1" operator="equal">
      <formula>"VERIFICAR ALELOS"</formula>
    </cfRule>
  </conditionalFormatting>
  <conditionalFormatting sqref="AG32:AM32">
    <cfRule type="cellIs" dxfId="84" priority="7" stopIfTrue="1" operator="equal">
      <formula>"OCORRÊNCIA DE 'OUT LADDER'"</formula>
    </cfRule>
  </conditionalFormatting>
  <conditionalFormatting sqref="AG33:AN33">
    <cfRule type="cellIs" dxfId="83" priority="5" stopIfTrue="1" operator="equal">
      <formula>"CÁLCULO COM OMISSÃO DE LOCUS"</formula>
    </cfRule>
    <cfRule type="cellIs" dxfId="82" priority="6" stopIfTrue="1" operator="equal">
      <formula>"ANALISAR DIGITAÇÃO"</formula>
    </cfRule>
  </conditionalFormatting>
  <conditionalFormatting sqref="AG46:AH46">
    <cfRule type="expression" dxfId="81" priority="3" stopIfTrue="1">
      <formula>($AH$46="SIM")</formula>
    </cfRule>
    <cfRule type="expression" dxfId="80" priority="4" stopIfTrue="1">
      <formula>($AH$46&lt;&gt;"SIM")</formula>
    </cfRule>
  </conditionalFormatting>
  <conditionalFormatting sqref="AN9:AN30">
    <cfRule type="cellIs" dxfId="79" priority="1" stopIfTrue="1" operator="equal">
      <formula>"EM"</formula>
    </cfRule>
    <cfRule type="cellIs" dxfId="78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1.1000000000000001" right="0.39" top="2.0099999999999998" bottom="0.59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WWQ63"/>
  <sheetViews>
    <sheetView zoomScale="127" workbookViewId="0">
      <selection activeCell="L2" sqref="H1:L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0" width="4.85546875" style="1" hidden="1" customWidth="1"/>
    <col min="81" max="99" width="4.85546875" style="1" customWidth="1"/>
    <col min="100" max="16163" width="9.140625" style="148"/>
    <col min="16164" max="16384" width="9.140625" style="1"/>
  </cols>
  <sheetData>
    <row r="1" spans="1:80" s="1" customFormat="1" ht="17.25" thickTop="1" thickBot="1" x14ac:dyDescent="0.25">
      <c r="A1" s="349" t="s">
        <v>203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  <c r="AN1" s="351"/>
      <c r="AO1" s="20"/>
      <c r="AP1" s="21"/>
      <c r="BF1" s="2"/>
      <c r="BG1" s="2"/>
    </row>
    <row r="2" spans="1:80" s="1" customFormat="1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  <c r="BF2" s="2"/>
      <c r="BG2" s="2"/>
    </row>
    <row r="3" spans="1:80" s="1" customFormat="1" ht="25.5" customHeight="1" x14ac:dyDescent="0.25">
      <c r="A3" s="241" t="s">
        <v>81</v>
      </c>
      <c r="B3" s="352"/>
      <c r="C3" s="352"/>
      <c r="D3" s="352"/>
      <c r="E3" s="352"/>
      <c r="F3" s="352"/>
      <c r="G3" s="35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42" t="s">
        <v>0</v>
      </c>
      <c r="AI3" s="6"/>
      <c r="AM3" s="243" t="s">
        <v>230</v>
      </c>
      <c r="AN3" s="244"/>
      <c r="BF3" s="2"/>
      <c r="BG3" s="2"/>
    </row>
    <row r="4" spans="1:80" s="1" customFormat="1" ht="15.75" x14ac:dyDescent="0.25">
      <c r="A4" s="241" t="s">
        <v>161</v>
      </c>
      <c r="B4" s="24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46" t="str">
        <f>(IF(('IMPORTAÇÃO GENOTIPER'!W4="X"),"XX",(IF(('IMPORTAÇÃO GENOTIPER'!W4&lt;&gt;"X"),"ERRO"))))</f>
        <v>XX</v>
      </c>
      <c r="AM4" s="247" t="str">
        <f>IF(('SUPERVISÃO 1'!$AB$34="EVIDÊNCIA DE TROCA"),"VERIFICAR","OK")</f>
        <v>OK</v>
      </c>
      <c r="AN4" s="248"/>
      <c r="BF4" s="2"/>
      <c r="BG4" s="2"/>
    </row>
    <row r="5" spans="1:80" s="1" customFormat="1" ht="16.5" thickBot="1" x14ac:dyDescent="0.3">
      <c r="A5" s="241" t="s">
        <v>92</v>
      </c>
      <c r="B5" s="24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49"/>
      <c r="Y5" s="249"/>
      <c r="Z5" s="249"/>
      <c r="AA5" s="249"/>
      <c r="AB5" s="249"/>
      <c r="AC5" s="249"/>
      <c r="AD5" s="249"/>
      <c r="AE5" s="6"/>
      <c r="AF5" s="6"/>
      <c r="AG5" s="6"/>
      <c r="AH5" s="6"/>
      <c r="AI5" s="250" t="str">
        <f>(IF(('IMPORTAÇÃO GENOTIPER'!AM4="Y"),"XY",(IF(('IMPORTAÇÃO GENOTIPER'!AM4="X"),"XX","ERRO"))))</f>
        <v>XY</v>
      </c>
      <c r="AM5" s="247" t="str">
        <f>IF(('SUPERVISÃO 2'!$AB$34="EVIDÊNCIA DE TROCA"),"VERIFICAR","OK")</f>
        <v>OK</v>
      </c>
      <c r="AN5" s="248"/>
      <c r="BF5" s="2"/>
      <c r="BG5" s="2"/>
    </row>
    <row r="6" spans="1:80" s="1" customFormat="1" ht="17.25" thickTop="1" thickBot="1" x14ac:dyDescent="0.3">
      <c r="A6" s="241" t="s">
        <v>93</v>
      </c>
      <c r="B6" s="24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51" t="str">
        <f>(IF(('IMPORTAÇÃO GENOTIPER'!BC4="Y"),"XY",(IF(('IMPORTAÇÃO GENOTIPER'!BC4&lt;&gt;"Y"),"ERRO"))))</f>
        <v>XY</v>
      </c>
      <c r="AJ6" s="1" t="s">
        <v>149</v>
      </c>
      <c r="AM6" s="247" t="str">
        <f>IF(('SUPERVISÃO 3'!$AB$34="TROCA POSSÍVEL"),"VERIFICAR","OK")</f>
        <v>OK</v>
      </c>
      <c r="AN6" s="248"/>
      <c r="AO6" s="22"/>
      <c r="AZ6" s="353" t="s">
        <v>88</v>
      </c>
      <c r="BA6" s="354"/>
      <c r="BB6" s="31">
        <v>1E-3</v>
      </c>
      <c r="BF6" s="2"/>
      <c r="BG6" s="2"/>
      <c r="BH6" s="66"/>
      <c r="BI6" s="55"/>
      <c r="BJ6" s="55"/>
      <c r="BK6" s="55"/>
      <c r="BL6" s="55"/>
    </row>
    <row r="7" spans="1:80" s="1" customFormat="1" ht="24" customHeight="1" thickTop="1" thickBot="1" x14ac:dyDescent="0.35">
      <c r="A7" s="252" t="s">
        <v>231</v>
      </c>
      <c r="B7" s="253"/>
      <c r="C7" s="10"/>
      <c r="D7" s="10"/>
      <c r="E7" s="10"/>
      <c r="F7" s="254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2" t="str">
        <f>IF(('SUPERVISÃO 4'!$AG$34="VERIFICAR"),"VERIFICAR","OK")</f>
        <v>OK</v>
      </c>
      <c r="AN7" s="73"/>
      <c r="AO7" s="1" t="s">
        <v>78</v>
      </c>
      <c r="AQ7" s="355" t="s">
        <v>232</v>
      </c>
      <c r="AR7" s="355"/>
      <c r="AS7" s="355"/>
      <c r="AT7" s="355"/>
      <c r="AU7" s="355"/>
      <c r="AV7" s="355"/>
      <c r="AZ7" s="353" t="s">
        <v>87</v>
      </c>
      <c r="BA7" s="354"/>
      <c r="BB7" s="356"/>
      <c r="BF7" s="2"/>
      <c r="BG7" s="2"/>
      <c r="BI7" s="353" t="s">
        <v>108</v>
      </c>
      <c r="BJ7" s="354"/>
      <c r="BK7" s="356"/>
      <c r="BL7" s="357" t="s">
        <v>109</v>
      </c>
      <c r="BM7" s="358"/>
      <c r="BN7" s="359"/>
      <c r="BO7" s="360" t="s">
        <v>111</v>
      </c>
      <c r="BP7" s="361"/>
      <c r="BQ7" s="362"/>
    </row>
    <row r="8" spans="1:80" s="1" customFormat="1" ht="16.5" thickTop="1" thickBot="1" x14ac:dyDescent="0.3">
      <c r="A8" s="255" t="s">
        <v>50</v>
      </c>
      <c r="B8" s="347" t="s">
        <v>54</v>
      </c>
      <c r="C8" s="348"/>
      <c r="D8" s="347" t="s">
        <v>55</v>
      </c>
      <c r="E8" s="348"/>
      <c r="F8" s="347" t="s">
        <v>133</v>
      </c>
      <c r="G8" s="348"/>
      <c r="H8" s="347" t="s">
        <v>97</v>
      </c>
      <c r="I8" s="348"/>
      <c r="J8" s="347" t="s">
        <v>98</v>
      </c>
      <c r="K8" s="348"/>
      <c r="L8" s="347" t="s">
        <v>99</v>
      </c>
      <c r="M8" s="348"/>
      <c r="N8" s="347" t="s">
        <v>165</v>
      </c>
      <c r="O8" s="348"/>
      <c r="P8" s="347" t="s">
        <v>166</v>
      </c>
      <c r="Q8" s="348"/>
      <c r="R8" s="347" t="s">
        <v>167</v>
      </c>
      <c r="S8" s="348"/>
      <c r="T8" s="256" t="s">
        <v>135</v>
      </c>
      <c r="U8" s="256" t="s">
        <v>136</v>
      </c>
      <c r="V8" s="256" t="s">
        <v>137</v>
      </c>
      <c r="W8" s="257" t="s">
        <v>134</v>
      </c>
      <c r="X8" s="363" t="s">
        <v>138</v>
      </c>
      <c r="Y8" s="364"/>
      <c r="Z8" s="363" t="s">
        <v>141</v>
      </c>
      <c r="AA8" s="364"/>
      <c r="AB8" s="256" t="s">
        <v>145</v>
      </c>
      <c r="AC8" s="256" t="s">
        <v>147</v>
      </c>
      <c r="AD8" s="256" t="s">
        <v>146</v>
      </c>
      <c r="AE8" s="256" t="s">
        <v>148</v>
      </c>
      <c r="AF8" s="256" t="s">
        <v>160</v>
      </c>
      <c r="AG8" s="25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5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59" t="s">
        <v>143</v>
      </c>
      <c r="AJ8" s="260" t="s">
        <v>139</v>
      </c>
      <c r="AK8" s="260"/>
      <c r="AL8" s="260"/>
      <c r="AM8" s="259" t="s">
        <v>176</v>
      </c>
      <c r="AN8" s="259" t="s">
        <v>129</v>
      </c>
      <c r="AQ8" s="355"/>
      <c r="AR8" s="355"/>
      <c r="AS8" s="355"/>
      <c r="AT8" s="355"/>
      <c r="AU8" s="355"/>
      <c r="AV8" s="355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0" t="s">
        <v>100</v>
      </c>
      <c r="BG8" s="50" t="s">
        <v>101</v>
      </c>
      <c r="BI8" s="13" t="s">
        <v>105</v>
      </c>
      <c r="BJ8" s="53" t="s">
        <v>106</v>
      </c>
      <c r="BK8" s="53" t="s">
        <v>107</v>
      </c>
      <c r="BL8" s="57" t="s">
        <v>105</v>
      </c>
      <c r="BM8" s="58" t="s">
        <v>112</v>
      </c>
      <c r="BN8" s="58" t="s">
        <v>110</v>
      </c>
      <c r="BO8" s="60" t="s">
        <v>105</v>
      </c>
      <c r="BP8" s="61" t="s">
        <v>113</v>
      </c>
      <c r="BQ8" s="62" t="s">
        <v>114</v>
      </c>
    </row>
    <row r="9" spans="1:80" s="1" customFormat="1" ht="16.5" thickTop="1" thickBot="1" x14ac:dyDescent="0.3">
      <c r="A9" s="261" t="s">
        <v>151</v>
      </c>
      <c r="B9" s="262">
        <f>'DADOS FINAIS'!D9</f>
        <v>15</v>
      </c>
      <c r="C9" s="262">
        <f>'DADOS FINAIS'!E9</f>
        <v>18</v>
      </c>
      <c r="D9" s="262">
        <f>'DADOS FINAIS'!B9</f>
        <v>16</v>
      </c>
      <c r="E9" s="262">
        <f>'DADOS FINAIS'!C9</f>
        <v>18</v>
      </c>
      <c r="F9" s="262">
        <f>'IMPORTAÇÃO GENOTIPER'!AU5</f>
        <v>14</v>
      </c>
      <c r="G9" s="262">
        <f>'IMPORTAÇÃO GENOTIPER'!BC5</f>
        <v>15</v>
      </c>
      <c r="H9" s="101">
        <f t="shared" ref="H9:M24" si="0">(IF(CODE(B9)=(60),($BF9-1),(IF(CODE(B9)=(62),($BG9+1),B9))))</f>
        <v>15</v>
      </c>
      <c r="I9" s="101">
        <f t="shared" si="0"/>
        <v>18</v>
      </c>
      <c r="J9" s="101">
        <f t="shared" si="0"/>
        <v>16</v>
      </c>
      <c r="K9" s="101">
        <f t="shared" si="0"/>
        <v>18</v>
      </c>
      <c r="L9" s="101">
        <f t="shared" si="0"/>
        <v>14</v>
      </c>
      <c r="M9" s="101">
        <f t="shared" si="0"/>
        <v>15</v>
      </c>
      <c r="N9" s="102">
        <f t="shared" ref="N9:N30" si="1">IF((H9&gt;I9),I9,H9)</f>
        <v>15</v>
      </c>
      <c r="O9" s="102">
        <f t="shared" ref="O9:O30" si="2">IF((I9&gt;H9),I9,H9)</f>
        <v>18</v>
      </c>
      <c r="P9" s="102">
        <f t="shared" ref="P9:P30" si="3">IF((J9&gt;K9),K9,J9)</f>
        <v>16</v>
      </c>
      <c r="Q9" s="102">
        <f t="shared" ref="Q9:Q30" si="4">IF((K9&gt;J9),K9,J9)</f>
        <v>18</v>
      </c>
      <c r="R9" s="102">
        <f t="shared" ref="R9:R30" si="5">IF((L9&gt;M9),M9,L9)</f>
        <v>14</v>
      </c>
      <c r="S9" s="102">
        <f t="shared" ref="S9:S30" si="6">IF((M9&gt;L9),M9,L9)</f>
        <v>15</v>
      </c>
      <c r="T9" s="103">
        <f t="shared" ref="T9:T30" si="7">IF((P9=N9),P9,(IF((P9=O9),P9,0)))</f>
        <v>0</v>
      </c>
      <c r="U9" s="103">
        <f t="shared" ref="U9:U30" si="8">IF((Q9=N9),Q9,(IF((Q9=O9),Q9,0)))</f>
        <v>18</v>
      </c>
      <c r="V9" s="104">
        <f>(IF((OR((P9="&gt;18"),(Q9="&gt;18"))),2,(IF(((T9+U9)=(P9+Q9)),0,1))))</f>
        <v>1</v>
      </c>
      <c r="W9" s="105">
        <f>IF(OR(($T9=$U9),($U9=0)),$T9,(IF(AND(($T9=0),($U9&lt;&gt;0)),$U9,$AJ$7)))</f>
        <v>18</v>
      </c>
      <c r="X9" s="128">
        <f>(ROUND( (IF((AND((T9=0),(U9=0))),D9,(IF((V9=2),S9,(IF((W9&lt;&gt;$AJ$7),(P9+Q9-W9),P9)))))),1))</f>
        <v>16</v>
      </c>
      <c r="Y9" s="103">
        <f>(IF((AND(($T9=0),($U9=0))),$E9,(IF(($W9&lt;&gt;$AJ$7),0,$Q9))))</f>
        <v>0</v>
      </c>
      <c r="Z9" s="106">
        <f t="shared" ref="Z9:Z30" si="9">(IF(OR((X9=R9),(X9=S9)),X9,0))</f>
        <v>0</v>
      </c>
      <c r="AA9" s="107">
        <f t="shared" ref="AA9:AA30" si="10">(IF(AND((V9=0),(Z9=0),(OR((S9=T9),(S9=U9)))),Y9,(IF((Y9&lt;&gt;0),(IF(OR((Y9=R9),(Y9=S9)),Y9,0)),0))))</f>
        <v>0</v>
      </c>
      <c r="AB9" s="108">
        <f>IF(X9=0,0,VLOOKUP(X9,FREQUENCIAS!$1:$1048576,(IF(($A9=FREQUENCIAS!$B$1),2,"ERRO")),FREQUENCIAS!$1:$1048576))</f>
        <v>0.27030799999999999</v>
      </c>
      <c r="AC9" s="108">
        <f>IF(Y9=0,0,VLOOKUP(Y9,FREQUENCIAS!$1:$1048576,(IF(($A9=FREQUENCIAS!$B$1),2,"ERRO")),FREQUENCIAS!$1:$1048576))</f>
        <v>0</v>
      </c>
      <c r="AD9" s="108"/>
      <c r="AE9" s="108"/>
      <c r="AF9" s="108"/>
      <c r="AG9" s="109">
        <f>(IF((A9="ERRO-FT"),"8",((IF((AND(($Z9=0),($AA9=0),($AX$32="N"))),0,(IF((AND(($Z9=0),($AA9=0),(AX$32="S"))),1,(IF((AB9+AC9+AD9+AE9+AF9)&lt;=$AI$7,$AI$7,(AB9+AC9+AD9+AE9+AF9))))))))))</f>
        <v>0</v>
      </c>
      <c r="AH9" s="110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1">
        <f t="shared" ref="AI9:AI30" si="11">(IF((AH9=0),0,(AH9/(AH9+1))))</f>
        <v>0</v>
      </c>
      <c r="AJ9" s="112"/>
      <c r="AK9" s="113">
        <f t="shared" ref="AK9:AK30" si="12">(1-AG9)^2</f>
        <v>1</v>
      </c>
      <c r="AL9" s="112"/>
      <c r="AM9" s="114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5" t="str">
        <f t="shared" ref="AN9:AN30" si="14">(IF((AND(($BD$31&lt;=2),(BD9=1))),"MT",(IF((AND(($BD$31&gt;2),(BD9=1))),"EM","OK"))))</f>
        <v>OK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0</v>
      </c>
      <c r="BE9" s="67"/>
      <c r="BF9" s="51">
        <v>8</v>
      </c>
      <c r="BG9" s="51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CORRETO</v>
      </c>
      <c r="BI9" s="56" t="str">
        <f t="shared" ref="BI9:BI30" si="17">IF(($W9=($BF9-1)),"&lt;",IF(($W9=($BG9+1)),"&gt;",""))</f>
        <v/>
      </c>
      <c r="BJ9" s="56">
        <f t="shared" ref="BJ9:BJ30" si="18">IF(($W9=($BF9-1)),$BF9,IF(($W9=($BG9-1)),$BG9,$W9))</f>
        <v>19</v>
      </c>
      <c r="BK9" s="56">
        <f t="shared" ref="BK9:BK30" si="19">(IF((OR(($W9=($BF9-1)),($W9=($BG9+1)))),(CONCATENATE((BI9),(BJ9))),$W9))</f>
        <v>18</v>
      </c>
      <c r="BL9" s="59" t="str">
        <f t="shared" ref="BL9:BL30" si="20">IF(($Z9=($BF9-1)),"&lt;",IF(($Z9=($BG9+1)),"&gt;",""))</f>
        <v/>
      </c>
      <c r="BM9" s="59">
        <f t="shared" ref="BM9:BM30" si="21">IF(($Z9=($BF9-1)),$BF9,IF(($Z9=($BG9+1)),$BG9,$Z9))</f>
        <v>0</v>
      </c>
      <c r="BN9" s="59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s="1" customFormat="1" ht="16.5" thickTop="1" thickBot="1" x14ac:dyDescent="0.3">
      <c r="A10" s="261" t="s">
        <v>218</v>
      </c>
      <c r="B10" s="262">
        <f>'DADOS FINAIS'!D10</f>
        <v>16.3</v>
      </c>
      <c r="C10" s="262">
        <f>'DADOS FINAIS'!E10</f>
        <v>19.3</v>
      </c>
      <c r="D10" s="262">
        <f>'DADOS FINAIS'!B10</f>
        <v>15</v>
      </c>
      <c r="E10" s="262">
        <f>'DADOS FINAIS'!C10</f>
        <v>16.3</v>
      </c>
      <c r="F10" s="262">
        <f>'IMPORTAÇÃO GENOTIPER'!AU6</f>
        <v>13</v>
      </c>
      <c r="G10" s="262">
        <f>'IMPORTAÇÃO GENOTIPER'!BC6</f>
        <v>19.3</v>
      </c>
      <c r="H10" s="101">
        <f t="shared" si="0"/>
        <v>16.3</v>
      </c>
      <c r="I10" s="101">
        <f t="shared" si="0"/>
        <v>19.3</v>
      </c>
      <c r="J10" s="101">
        <f t="shared" si="0"/>
        <v>15</v>
      </c>
      <c r="K10" s="101">
        <f t="shared" si="0"/>
        <v>16.3</v>
      </c>
      <c r="L10" s="101">
        <f t="shared" si="0"/>
        <v>13</v>
      </c>
      <c r="M10" s="101">
        <f t="shared" si="0"/>
        <v>19.3</v>
      </c>
      <c r="N10" s="102">
        <f t="shared" si="1"/>
        <v>16.3</v>
      </c>
      <c r="O10" s="102">
        <f t="shared" si="2"/>
        <v>19.3</v>
      </c>
      <c r="P10" s="102">
        <f t="shared" si="3"/>
        <v>15</v>
      </c>
      <c r="Q10" s="102">
        <f t="shared" si="4"/>
        <v>16.3</v>
      </c>
      <c r="R10" s="102">
        <f t="shared" si="5"/>
        <v>13</v>
      </c>
      <c r="S10" s="102">
        <f t="shared" si="6"/>
        <v>19.3</v>
      </c>
      <c r="T10" s="103">
        <f t="shared" si="7"/>
        <v>0</v>
      </c>
      <c r="U10" s="103">
        <f t="shared" si="8"/>
        <v>16.3</v>
      </c>
      <c r="V10" s="104">
        <f>(IF((OR((P10="&gt;36"),(Q10="&gt;36"))),2,(IF(((T10+U10)=(P10+Q10)),0,1))))</f>
        <v>1</v>
      </c>
      <c r="W10" s="105">
        <f t="shared" ref="W10:W23" si="25">IF(OR((T10=U10),(U10=0)),T10,(IF(AND((T10=0),(U10&lt;&gt;0)),U10,$AJ$7)))</f>
        <v>16.3</v>
      </c>
      <c r="X10" s="128">
        <f>(ROUND( (IF((AND((T10=0),(U10=0))),D10,(IF((V10=2),S10,(IF((W10&lt;&gt;$AJ$7),(P10+Q10-W10),P10)))))),1))</f>
        <v>15</v>
      </c>
      <c r="Y10" s="103">
        <f>(IF((AND((T10=0),(U10=0))),E10,(IF((W10&lt;&gt;$AJ$7),0,Q10))))</f>
        <v>0</v>
      </c>
      <c r="Z10" s="106">
        <f t="shared" si="9"/>
        <v>0</v>
      </c>
      <c r="AA10" s="107">
        <f t="shared" si="10"/>
        <v>0</v>
      </c>
      <c r="AB10" s="108">
        <f>IF(X10=0,0,VLOOKUP(X10,FREQUENCIAS!$1:$1048576,(IF(($A10=FREQUENCIAS!$C$1),3,"ERRO")),FREQUENCIAS!$1:$1048576))</f>
        <v>0.15870000000000001</v>
      </c>
      <c r="AC10" s="108">
        <f>IF(Y10=0,0,VLOOKUP(Y10,FREQUENCIAS!$1:$1048576,(IF(($A10=FREQUENCIAS!$C$1),3,"ERRO")),FREQUENCIAS!$1:$1048576))</f>
        <v>0</v>
      </c>
      <c r="AD10" s="108"/>
      <c r="AE10" s="108"/>
      <c r="AF10" s="108"/>
      <c r="AG10" s="109">
        <f>(IF((A10="ERRO-FT"),"24",((IF((AND(($Z10=0),($AA10=0),($AX$32="N"))),0,(IF((AND(($Z10=0),($AA10=0),(AX$32="S"))),1,(IF((AB10+AC10+AD10+AE10+AF10)&lt;=$AI$7,$AI$7,(AB10+AC10+AD10+AE10+AF10))))))))))</f>
        <v>0</v>
      </c>
      <c r="AH10" s="110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1">
        <f t="shared" si="11"/>
        <v>0</v>
      </c>
      <c r="AJ10" s="112"/>
      <c r="AK10" s="113">
        <f t="shared" si="12"/>
        <v>1</v>
      </c>
      <c r="AL10" s="112"/>
      <c r="AM10" s="114" t="str">
        <f t="shared" si="13"/>
        <v>EXCLUI</v>
      </c>
      <c r="AN10" s="105" t="str">
        <f t="shared" si="14"/>
        <v>OK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0</v>
      </c>
      <c r="BF10" s="52">
        <v>24</v>
      </c>
      <c r="BG10" s="52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6" t="str">
        <f t="shared" si="17"/>
        <v/>
      </c>
      <c r="BJ10" s="56">
        <f t="shared" si="18"/>
        <v>16.3</v>
      </c>
      <c r="BK10" s="56">
        <f t="shared" si="19"/>
        <v>16.3</v>
      </c>
      <c r="BL10" s="59" t="str">
        <f t="shared" si="20"/>
        <v/>
      </c>
      <c r="BM10" s="65">
        <f t="shared" si="21"/>
        <v>0</v>
      </c>
      <c r="BN10" s="59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s="1" customFormat="1" ht="16.5" thickTop="1" thickBot="1" x14ac:dyDescent="0.3">
      <c r="A11" s="261" t="s">
        <v>219</v>
      </c>
      <c r="B11" s="262">
        <f>'DADOS FINAIS'!D11</f>
        <v>10</v>
      </c>
      <c r="C11" s="262">
        <f>'DADOS FINAIS'!E11</f>
        <v>12</v>
      </c>
      <c r="D11" s="262">
        <f>'DADOS FINAIS'!B11</f>
        <v>10</v>
      </c>
      <c r="E11" s="262">
        <f>'DADOS FINAIS'!C11</f>
        <v>12</v>
      </c>
      <c r="F11" s="262">
        <f>'IMPORTAÇÃO GENOTIPER'!AU7</f>
        <v>10</v>
      </c>
      <c r="G11" s="262">
        <f>'IMPORTAÇÃO GENOTIPER'!BC7</f>
        <v>11</v>
      </c>
      <c r="H11" s="101">
        <f t="shared" si="0"/>
        <v>10</v>
      </c>
      <c r="I11" s="101">
        <f t="shared" si="0"/>
        <v>12</v>
      </c>
      <c r="J11" s="101">
        <f t="shared" si="0"/>
        <v>10</v>
      </c>
      <c r="K11" s="101">
        <f t="shared" si="0"/>
        <v>12</v>
      </c>
      <c r="L11" s="101">
        <f t="shared" si="0"/>
        <v>10</v>
      </c>
      <c r="M11" s="101">
        <f t="shared" si="0"/>
        <v>11</v>
      </c>
      <c r="N11" s="102">
        <f t="shared" si="1"/>
        <v>10</v>
      </c>
      <c r="O11" s="102">
        <f t="shared" si="2"/>
        <v>12</v>
      </c>
      <c r="P11" s="102">
        <f t="shared" si="3"/>
        <v>10</v>
      </c>
      <c r="Q11" s="102">
        <f t="shared" si="4"/>
        <v>12</v>
      </c>
      <c r="R11" s="102">
        <f t="shared" si="5"/>
        <v>10</v>
      </c>
      <c r="S11" s="102">
        <f t="shared" si="6"/>
        <v>11</v>
      </c>
      <c r="T11" s="103">
        <f t="shared" si="7"/>
        <v>10</v>
      </c>
      <c r="U11" s="103">
        <f t="shared" si="8"/>
        <v>12</v>
      </c>
      <c r="V11" s="104">
        <f>(IF((OR((P11="&gt;22"),(Q11="&gt;22"))),2,(IF(((T11+U11)=(P11+Q11)),0,1))))</f>
        <v>0</v>
      </c>
      <c r="W11" s="105" t="str">
        <f t="shared" si="25"/>
        <v>NÃO DEF</v>
      </c>
      <c r="X11" s="128">
        <f>(ROUND( (IF((AND((T11=0),(U11=0))),D11,(IF((V11=2),S11,(IF((W11&lt;&gt;$AJ$7),(P11+Q11-W11),P11)))))),1))</f>
        <v>10</v>
      </c>
      <c r="Y11" s="103">
        <f>(ROUND( (IF((AND((T11=0),(U11=0))),E11,(IF((W11&lt;&gt;$AJ$7),0,Q11)))),1))</f>
        <v>12</v>
      </c>
      <c r="Z11" s="106">
        <f t="shared" si="9"/>
        <v>10</v>
      </c>
      <c r="AA11" s="107">
        <f t="shared" si="10"/>
        <v>0</v>
      </c>
      <c r="AB11" s="108">
        <f>IF(X11=0,0,VLOOKUP(X11,FREQUENCIAS!$1:$1048576,(IF(($A11=FREQUENCIAS!$D$1),4,"ERRO")),FREQUENCIAS!$1:$1048576))</f>
        <v>0.2611</v>
      </c>
      <c r="AC11" s="108">
        <f>IF(Y11=0,0,VLOOKUP(Y11,FREQUENCIAS!$1:$1048576,(IF(($A11=FREQUENCIAS!$D$1),4,"ERRO")),FREQUENCIAS!$1:$1048576))</f>
        <v>7.3099999999999998E-2</v>
      </c>
      <c r="AD11" s="108"/>
      <c r="AE11" s="108"/>
      <c r="AF11" s="108"/>
      <c r="AG11" s="109">
        <f>(IF((A11="ERRO-FT"),"6",((IF((AND(($Z11=0),($AA11=0),($AX$32="N"))),0,(IF((AND(($Z11=0),($AA11=0),(AX$32="S"))),1,(IF((AB11+AC11+AD11+AE11+AF11)&lt;=$AI$7,$AI$7,(AB11+AC11+AD11+AE11+AF11))))))))))</f>
        <v>0.3342</v>
      </c>
      <c r="AH11" s="110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1.4961101137043686</v>
      </c>
      <c r="AI11" s="111">
        <f t="shared" si="11"/>
        <v>0.59937664828578285</v>
      </c>
      <c r="AJ11" s="112"/>
      <c r="AK11" s="113">
        <f t="shared" si="12"/>
        <v>0.44328963999999993</v>
      </c>
      <c r="AL11" s="112"/>
      <c r="AM11" s="114" t="str">
        <f t="shared" si="13"/>
        <v>1 / 2F</v>
      </c>
      <c r="AN11" s="105" t="str">
        <f t="shared" si="14"/>
        <v>OK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0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1.4961101137043686</v>
      </c>
      <c r="BD11" s="2">
        <f t="shared" si="27"/>
        <v>0</v>
      </c>
      <c r="BF11" s="52">
        <v>6</v>
      </c>
      <c r="BG11" s="52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CORRETO</v>
      </c>
      <c r="BI11" s="56" t="str">
        <f t="shared" si="17"/>
        <v/>
      </c>
      <c r="BJ11" s="56" t="str">
        <f t="shared" si="18"/>
        <v>NÃO DEF</v>
      </c>
      <c r="BK11" s="56" t="str">
        <f t="shared" si="19"/>
        <v>NÃO DEF</v>
      </c>
      <c r="BL11" s="59" t="str">
        <f t="shared" si="20"/>
        <v/>
      </c>
      <c r="BM11" s="59">
        <f t="shared" si="21"/>
        <v>10</v>
      </c>
      <c r="BN11" s="59">
        <f t="shared" si="22"/>
        <v>10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39" customFormat="1" ht="16.5" thickTop="1" thickBot="1" x14ac:dyDescent="0.3">
      <c r="A12" s="263" t="s">
        <v>220</v>
      </c>
      <c r="B12" s="264" t="str">
        <f>'DADOS FINAIS'!D12</f>
        <v>&lt;8</v>
      </c>
      <c r="C12" s="264">
        <f>'DADOS FINAIS'!E12</f>
        <v>14</v>
      </c>
      <c r="D12" s="264" t="str">
        <f>'DADOS FINAIS'!B12</f>
        <v>&lt;8</v>
      </c>
      <c r="E12" s="264">
        <f>'DADOS FINAIS'!C12</f>
        <v>13</v>
      </c>
      <c r="F12" s="264">
        <f>'IMPORTAÇÃO GENOTIPER'!AU8</f>
        <v>13</v>
      </c>
      <c r="G12" s="264">
        <f>'IMPORTAÇÃO GENOTIPER'!BC8</f>
        <v>14</v>
      </c>
      <c r="H12" s="124">
        <f t="shared" si="0"/>
        <v>5</v>
      </c>
      <c r="I12" s="124">
        <f t="shared" si="0"/>
        <v>14</v>
      </c>
      <c r="J12" s="124">
        <f t="shared" si="0"/>
        <v>5</v>
      </c>
      <c r="K12" s="124">
        <f t="shared" si="0"/>
        <v>13</v>
      </c>
      <c r="L12" s="124">
        <f t="shared" si="0"/>
        <v>13</v>
      </c>
      <c r="M12" s="124">
        <f t="shared" si="0"/>
        <v>14</v>
      </c>
      <c r="N12" s="125">
        <f t="shared" si="1"/>
        <v>5</v>
      </c>
      <c r="O12" s="125">
        <f t="shared" si="2"/>
        <v>14</v>
      </c>
      <c r="P12" s="125">
        <f t="shared" si="3"/>
        <v>5</v>
      </c>
      <c r="Q12" s="125">
        <f t="shared" si="4"/>
        <v>13</v>
      </c>
      <c r="R12" s="125">
        <f t="shared" si="5"/>
        <v>13</v>
      </c>
      <c r="S12" s="125">
        <f t="shared" si="6"/>
        <v>14</v>
      </c>
      <c r="T12" s="126">
        <f t="shared" si="7"/>
        <v>5</v>
      </c>
      <c r="U12" s="126">
        <f t="shared" si="8"/>
        <v>0</v>
      </c>
      <c r="V12" s="127">
        <f>(IF((OR((P12="&gt;21"),(Q12="&gt;21"))),2,(IF(((T12+U12)=(P12+Q12)),0,1))))</f>
        <v>1</v>
      </c>
      <c r="W12" s="126">
        <f t="shared" si="25"/>
        <v>5</v>
      </c>
      <c r="X12" s="128">
        <f>(ROUND( (IF((AND((T12=0),(U12=0))),D12,(IF((V12=2),S12,(IF((W12&lt;&gt;$AJ$7),(P12+Q12-W12),P12)))))),1))</f>
        <v>13</v>
      </c>
      <c r="Y12" s="126">
        <f xml:space="preserve"> (IF((AND((T12=0),(U12=0))),E12,(IF((W12&lt;&gt;$AJ$7),0,Q12))))</f>
        <v>0</v>
      </c>
      <c r="Z12" s="129">
        <f t="shared" si="9"/>
        <v>13</v>
      </c>
      <c r="AA12" s="130">
        <f t="shared" si="10"/>
        <v>0</v>
      </c>
      <c r="AB12" s="131">
        <f>IF(X12=0,0,VLOOKUP(X12,FREQUENCIAS!$1:$1048576,(IF(($A12=FREQUENCIAS!$E$1),5,"ERRO")),FREQUENCIAS!$1:$1048576))</f>
        <v>0.27010000000000001</v>
      </c>
      <c r="AC12" s="131">
        <f>IF(Y12=0,0,VLOOKUP(Y12,FREQUENCIAS!$1:$1048576,(IF(($A12=FREQUENCIAS!$E$1),5,"ERRO")),FREQUENCIAS!$1:$1048576))</f>
        <v>0</v>
      </c>
      <c r="AD12" s="131"/>
      <c r="AE12" s="131"/>
      <c r="AF12" s="131"/>
      <c r="AG12" s="132">
        <f>(IF((A12="ERRO-FT"),"6",((IF((AND(($Z12=0),($AA12=0),($AX$32="N"))),0,(IF((AND(($Z12=0),($AA12=0),(AX$32="S"))),1,(IF((AB12+AC12+AD12+AE12+AF12)&lt;=$AI$7,$AI$7,(AB12+AC12+AD12+AE12+AF12))))))))))</f>
        <v>0.27010000000000001</v>
      </c>
      <c r="AH12" s="133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1.8511662347278786</v>
      </c>
      <c r="AI12" s="134">
        <f t="shared" si="11"/>
        <v>0.64926632904817561</v>
      </c>
      <c r="AJ12" s="135" t="s">
        <v>140</v>
      </c>
      <c r="AK12" s="136">
        <f t="shared" si="12"/>
        <v>0.53275401</v>
      </c>
      <c r="AL12" s="135"/>
      <c r="AM12" s="137" t="str">
        <f t="shared" si="13"/>
        <v>1 / 2F</v>
      </c>
      <c r="AN12" s="138" t="str">
        <f t="shared" si="14"/>
        <v>OK</v>
      </c>
      <c r="AQ12" s="139" t="e">
        <f>(IF(OR((B12="&lt;6"),(B12="&gt;15"),(B12=11.3),(B12=15),(B12=#REF!),(B12=#REF!),(B12=#REF!),(B12=#REF!),(B12=#REF!),(B12=#REF!),(B12=#REF!),(B12=#REF!),(B12=#REF!)),1,0))</f>
        <v>#REF!</v>
      </c>
      <c r="AR12" s="139" t="e">
        <f>(IF(OR((C12="&lt;6"),(C12="&gt;15"),(C12=11.3),(C12=15),(C12=#REF!),(C12=#REF!),(C12=#REF!),(C12=#REF!),(C12=#REF!),(C12=#REF!),(C12=#REF!),(C12=#REF!),(C12=#REF!)),1,0))</f>
        <v>#REF!</v>
      </c>
      <c r="AS12" s="139" t="e">
        <f>(IF(OR((D12="&lt;6"),(D12="&gt;15"),(D12=11.3),(D12=15),(D12=#REF!),(D12=#REF!),(D12=#REF!),(D12=#REF!),(D12=#REF!),(D12=#REF!),(D12=#REF!),(D12=#REF!),(D12=#REF!)),1,0))</f>
        <v>#REF!</v>
      </c>
      <c r="AT12" s="139" t="e">
        <f>(IF(OR((E12="&lt;6"),(E12="&gt;15"),(E12=11.3),(E12=15),(E12=#REF!),(E12=#REF!),(E12=#REF!),(E12=#REF!),(E12=#REF!),(E12=#REF!),(E12=#REF!),(E12=#REF!),(E12=#REF!)),1,0))</f>
        <v>#REF!</v>
      </c>
      <c r="AU12" s="139" t="e">
        <f>(IF(OR((F12="&lt;6"),(F12="&gt;15"),(F12=11.3),(F12=15),(F12=#REF!),(F12=#REF!),(F12=#REF!),(F12=#REF!),(F12=#REF!),(F12=#REF!),(F12=#REF!),(F12=#REF!),(F12=#REF!)),1,0))</f>
        <v>#REF!</v>
      </c>
      <c r="AV12" s="139" t="e">
        <f>(IF(OR((G12="&lt;6"),(G12="&gt;15"),(G12=11.3),(G12=15),(G12=#REF!),(G12=#REF!),(G12=#REF!),(G12=#REF!),(G12=#REF!),(G12=#REF!),(G12=#REF!),(G12=#REF!),(G12=#REF!)),1,0))</f>
        <v>#REF!</v>
      </c>
      <c r="AX12" s="140">
        <f t="shared" si="26"/>
        <v>0</v>
      </c>
      <c r="AY12" s="141">
        <f t="shared" si="15"/>
        <v>0</v>
      </c>
      <c r="AZ12" s="142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3">
        <f t="shared" si="16"/>
        <v>1.8511662347278786</v>
      </c>
      <c r="BD12" s="144">
        <f t="shared" si="27"/>
        <v>0</v>
      </c>
      <c r="BF12" s="145">
        <v>6</v>
      </c>
      <c r="BG12" s="145">
        <v>15</v>
      </c>
      <c r="BH12" s="139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6" t="str">
        <f t="shared" si="17"/>
        <v>&lt;</v>
      </c>
      <c r="BJ12" s="126">
        <f t="shared" si="18"/>
        <v>6</v>
      </c>
      <c r="BK12" s="126" t="str">
        <f t="shared" si="19"/>
        <v>&lt;6</v>
      </c>
      <c r="BL12" s="126" t="str">
        <f t="shared" si="20"/>
        <v/>
      </c>
      <c r="BM12" s="126">
        <f t="shared" si="21"/>
        <v>13</v>
      </c>
      <c r="BN12" s="126">
        <f t="shared" si="22"/>
        <v>13</v>
      </c>
      <c r="BO12" s="126" t="str">
        <f t="shared" si="28"/>
        <v/>
      </c>
      <c r="BP12" s="126">
        <f t="shared" si="23"/>
        <v>0</v>
      </c>
      <c r="BQ12" s="126">
        <f t="shared" si="24"/>
        <v>0</v>
      </c>
      <c r="BT12" s="146">
        <v>9</v>
      </c>
      <c r="BU12" s="147">
        <v>12</v>
      </c>
    </row>
    <row r="13" spans="1:80" s="1" customFormat="1" ht="16.5" thickTop="1" thickBot="1" x14ac:dyDescent="0.3">
      <c r="A13" s="261" t="s">
        <v>157</v>
      </c>
      <c r="B13" s="262">
        <f>'DADOS FINAIS'!D13</f>
        <v>10</v>
      </c>
      <c r="C13" s="262">
        <f>'DADOS FINAIS'!E13</f>
        <v>12</v>
      </c>
      <c r="D13" s="262">
        <f>'DADOS FINAIS'!B13</f>
        <v>8</v>
      </c>
      <c r="E13" s="262">
        <f>'DADOS FINAIS'!C13</f>
        <v>10</v>
      </c>
      <c r="F13" s="262">
        <f>'IMPORTAÇÃO GENOTIPER'!AU9</f>
        <v>12</v>
      </c>
      <c r="G13" s="262">
        <f>'IMPORTAÇÃO GENOTIPER'!BC9</f>
        <v>12</v>
      </c>
      <c r="H13" s="101">
        <f t="shared" si="0"/>
        <v>10</v>
      </c>
      <c r="I13" s="101">
        <f t="shared" si="0"/>
        <v>12</v>
      </c>
      <c r="J13" s="101">
        <f t="shared" si="0"/>
        <v>8</v>
      </c>
      <c r="K13" s="101">
        <f t="shared" si="0"/>
        <v>10</v>
      </c>
      <c r="L13" s="101">
        <f t="shared" si="0"/>
        <v>12</v>
      </c>
      <c r="M13" s="101">
        <f t="shared" si="0"/>
        <v>12</v>
      </c>
      <c r="N13" s="102">
        <f t="shared" si="1"/>
        <v>10</v>
      </c>
      <c r="O13" s="102">
        <f t="shared" si="2"/>
        <v>12</v>
      </c>
      <c r="P13" s="102">
        <f t="shared" si="3"/>
        <v>8</v>
      </c>
      <c r="Q13" s="102">
        <f t="shared" si="4"/>
        <v>10</v>
      </c>
      <c r="R13" s="102">
        <f t="shared" si="5"/>
        <v>12</v>
      </c>
      <c r="S13" s="102">
        <f t="shared" si="6"/>
        <v>12</v>
      </c>
      <c r="T13" s="103">
        <f t="shared" si="7"/>
        <v>0</v>
      </c>
      <c r="U13" s="103">
        <f t="shared" si="8"/>
        <v>10</v>
      </c>
      <c r="V13" s="104">
        <f>(IF((OR((P13="&gt;21"),(Q13="&gt;21"))),2,(IF(((T13+U13)=(P13+Q13)),0,1))))</f>
        <v>1</v>
      </c>
      <c r="W13" s="105">
        <f t="shared" si="25"/>
        <v>10</v>
      </c>
      <c r="X13" s="128">
        <f t="shared" ref="X13:X30" si="30">(ROUND( (IF((AND((T13=0),(U13=0))),D13,(IF((V13=2),S13,(IF((W13&lt;&gt;$AJ$7),(P13+Q13-W13),P13)))))),1))</f>
        <v>8</v>
      </c>
      <c r="Y13" s="103">
        <f t="shared" ref="Y13:Y23" si="31">(IF((AND((T13=0),(U13=0))),E13,(IF((W13&lt;&gt;$AJ$7),0,Q13))))</f>
        <v>0</v>
      </c>
      <c r="Z13" s="106">
        <f t="shared" si="9"/>
        <v>0</v>
      </c>
      <c r="AA13" s="107">
        <f t="shared" si="10"/>
        <v>0</v>
      </c>
      <c r="AB13" s="108">
        <f>IF(X13=0,0,VLOOKUP(X13,FREQUENCIAS!$1:$1048576,(IF(($A13=FREQUENCIAS!$F$1),6,"ERRO")),FREQUENCIAS!$1:$1048576))</f>
        <v>9.9838999999999997E-2</v>
      </c>
      <c r="AC13" s="108">
        <f>IF(Y13=0,0,VLOOKUP(Y13,FREQUENCIAS!$1:$1048576,(IF(($A13=FREQUENCIAS!$F$1),6,"ERRO")),FREQUENCIAS!$1:$1048576))</f>
        <v>0</v>
      </c>
      <c r="AD13" s="108"/>
      <c r="AE13" s="108"/>
      <c r="AF13" s="108"/>
      <c r="AG13" s="109">
        <f>(IF((A13="ERRO-FT"),"11",((IF((AND(($Z13=0),($AA13=0),($AX$32="N"))),0,(IF((AND(($Z13=0),($AA13=0),(AX$32="S"))),1,(IF((AB13+AC13+AD13+AE13+AF13)&lt;=$AI$7,$AI$7,(AB13+AC13+AD13+AE13+AF13))))))))))</f>
        <v>0</v>
      </c>
      <c r="AH13" s="110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1">
        <f t="shared" si="11"/>
        <v>0</v>
      </c>
      <c r="AJ13" s="112" t="s">
        <v>163</v>
      </c>
      <c r="AK13" s="265">
        <f t="shared" si="12"/>
        <v>1</v>
      </c>
      <c r="AL13" s="112"/>
      <c r="AM13" s="114" t="str">
        <f t="shared" si="13"/>
        <v>EXCLUI</v>
      </c>
      <c r="AN13" s="105" t="str">
        <f t="shared" si="14"/>
        <v>OK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0</v>
      </c>
      <c r="BF13" s="52">
        <v>12</v>
      </c>
      <c r="BG13" s="52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6" t="str">
        <f t="shared" si="17"/>
        <v/>
      </c>
      <c r="BJ13" s="56">
        <f t="shared" si="18"/>
        <v>10</v>
      </c>
      <c r="BK13" s="56">
        <f t="shared" si="19"/>
        <v>10</v>
      </c>
      <c r="BL13" s="59" t="str">
        <f t="shared" si="20"/>
        <v/>
      </c>
      <c r="BM13" s="59">
        <f t="shared" si="21"/>
        <v>0</v>
      </c>
      <c r="BN13" s="59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s="1" customFormat="1" ht="16.5" thickTop="1" thickBot="1" x14ac:dyDescent="0.3">
      <c r="A14" s="261" t="s">
        <v>226</v>
      </c>
      <c r="B14" s="262">
        <f>'DADOS FINAIS'!D14</f>
        <v>7</v>
      </c>
      <c r="C14" s="262">
        <f>'DADOS FINAIS'!E14</f>
        <v>11</v>
      </c>
      <c r="D14" s="262">
        <f>'DADOS FINAIS'!B14</f>
        <v>11</v>
      </c>
      <c r="E14" s="262">
        <f>'DADOS FINAIS'!C14</f>
        <v>11</v>
      </c>
      <c r="F14" s="262">
        <f>'IMPORTAÇÃO GENOTIPER'!AU10</f>
        <v>7</v>
      </c>
      <c r="G14" s="262">
        <f>'IMPORTAÇÃO GENOTIPER'!BC10</f>
        <v>12</v>
      </c>
      <c r="H14" s="101">
        <f t="shared" si="0"/>
        <v>7</v>
      </c>
      <c r="I14" s="101">
        <f t="shared" si="0"/>
        <v>11</v>
      </c>
      <c r="J14" s="101">
        <f t="shared" si="0"/>
        <v>11</v>
      </c>
      <c r="K14" s="101">
        <f t="shared" si="0"/>
        <v>11</v>
      </c>
      <c r="L14" s="101">
        <f t="shared" si="0"/>
        <v>7</v>
      </c>
      <c r="M14" s="101">
        <f t="shared" si="0"/>
        <v>12</v>
      </c>
      <c r="N14" s="102">
        <f t="shared" si="1"/>
        <v>7</v>
      </c>
      <c r="O14" s="102">
        <f t="shared" si="2"/>
        <v>11</v>
      </c>
      <c r="P14" s="102">
        <f t="shared" si="3"/>
        <v>11</v>
      </c>
      <c r="Q14" s="102">
        <f t="shared" si="4"/>
        <v>11</v>
      </c>
      <c r="R14" s="102">
        <f t="shared" si="5"/>
        <v>7</v>
      </c>
      <c r="S14" s="102">
        <f t="shared" si="6"/>
        <v>12</v>
      </c>
      <c r="T14" s="103">
        <f t="shared" si="7"/>
        <v>11</v>
      </c>
      <c r="U14" s="103">
        <f t="shared" si="8"/>
        <v>11</v>
      </c>
      <c r="V14" s="104">
        <f>(IF((OR((P14="&gt;20"),(Q14="&gt;20"))),2,(IF(((T14+U14)=(P14+Q14)),0,1))))</f>
        <v>0</v>
      </c>
      <c r="W14" s="105">
        <f t="shared" si="25"/>
        <v>11</v>
      </c>
      <c r="X14" s="128">
        <f t="shared" si="30"/>
        <v>11</v>
      </c>
      <c r="Y14" s="103">
        <f t="shared" si="31"/>
        <v>0</v>
      </c>
      <c r="Z14" s="106">
        <f t="shared" si="9"/>
        <v>0</v>
      </c>
      <c r="AA14" s="107">
        <f t="shared" si="10"/>
        <v>0</v>
      </c>
      <c r="AB14" s="108">
        <f>IF(X14=0,0,VLOOKUP(X14,FREQUENCIAS!$1:$1048576,(IF(($A14=FREQUENCIAS!$G$1),7,"ERRO")),FREQUENCIAS!$1:$1048576))</f>
        <v>1.10308E-2</v>
      </c>
      <c r="AC14" s="108">
        <f>IF(Y14=0,0,VLOOKUP(Y14,FREQUENCIAS!$1:$1048576,(IF(($A14=FREQUENCIAS!$G$1),7,"ERRO")),FREQUENCIAS!$1:$1048576))</f>
        <v>0</v>
      </c>
      <c r="AD14" s="108"/>
      <c r="AE14" s="108"/>
      <c r="AF14" s="108"/>
      <c r="AG14" s="109">
        <f>(IF((A14="ERRO-FT"),"4",((IF((AND(($Z14=0),($AA14=0),($AX$32="N"))),0,(IF((AND(($Z14=0),($AA14=0),(AX$32="S"))),1,(IF((AB14+AC14+AD14+AE14+AF14)&lt;=$AI$7,$AI$7,(AB14+AC14+AD14+AE14+AF14))))))))))</f>
        <v>0</v>
      </c>
      <c r="AH14" s="110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1">
        <f t="shared" si="11"/>
        <v>0</v>
      </c>
      <c r="AJ14" s="112"/>
      <c r="AK14" s="113">
        <f t="shared" si="12"/>
        <v>1</v>
      </c>
      <c r="AL14" s="112"/>
      <c r="AM14" s="114" t="str">
        <f t="shared" si="13"/>
        <v>EXCLUI</v>
      </c>
      <c r="AN14" s="105" t="str">
        <f t="shared" si="14"/>
        <v>OK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0</v>
      </c>
      <c r="BF14" s="52">
        <v>4</v>
      </c>
      <c r="BG14" s="52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CORRETO</v>
      </c>
      <c r="BI14" s="56" t="str">
        <f t="shared" si="17"/>
        <v/>
      </c>
      <c r="BJ14" s="56">
        <f t="shared" si="18"/>
        <v>11</v>
      </c>
      <c r="BK14" s="56">
        <f t="shared" si="19"/>
        <v>11</v>
      </c>
      <c r="BL14" s="59" t="str">
        <f t="shared" si="20"/>
        <v/>
      </c>
      <c r="BM14" s="59">
        <f t="shared" si="21"/>
        <v>0</v>
      </c>
      <c r="BN14" s="59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s="1" customFormat="1" ht="16.5" thickTop="1" thickBot="1" x14ac:dyDescent="0.3">
      <c r="A15" s="261" t="s">
        <v>159</v>
      </c>
      <c r="B15" s="262">
        <f>'DADOS FINAIS'!D15</f>
        <v>11</v>
      </c>
      <c r="C15" s="262">
        <f>'DADOS FINAIS'!E15</f>
        <v>12</v>
      </c>
      <c r="D15" s="262">
        <f>'DADOS FINAIS'!B15</f>
        <v>8</v>
      </c>
      <c r="E15" s="262">
        <f>'DADOS FINAIS'!C15</f>
        <v>12</v>
      </c>
      <c r="F15" s="262">
        <f>'IMPORTAÇÃO GENOTIPER'!AU11</f>
        <v>11</v>
      </c>
      <c r="G15" s="262">
        <f>'IMPORTAÇÃO GENOTIPER'!BC11</f>
        <v>12</v>
      </c>
      <c r="H15" s="101">
        <f t="shared" si="0"/>
        <v>11</v>
      </c>
      <c r="I15" s="101">
        <f t="shared" si="0"/>
        <v>12</v>
      </c>
      <c r="J15" s="101">
        <f t="shared" si="0"/>
        <v>8</v>
      </c>
      <c r="K15" s="101">
        <f t="shared" si="0"/>
        <v>12</v>
      </c>
      <c r="L15" s="101">
        <f t="shared" si="0"/>
        <v>11</v>
      </c>
      <c r="M15" s="101">
        <f t="shared" si="0"/>
        <v>12</v>
      </c>
      <c r="N15" s="102">
        <f t="shared" si="1"/>
        <v>11</v>
      </c>
      <c r="O15" s="102">
        <f t="shared" si="2"/>
        <v>12</v>
      </c>
      <c r="P15" s="102">
        <f t="shared" si="3"/>
        <v>8</v>
      </c>
      <c r="Q15" s="102">
        <f t="shared" si="4"/>
        <v>12</v>
      </c>
      <c r="R15" s="102">
        <f t="shared" si="5"/>
        <v>11</v>
      </c>
      <c r="S15" s="102">
        <f t="shared" si="6"/>
        <v>12</v>
      </c>
      <c r="T15" s="103">
        <f t="shared" si="7"/>
        <v>0</v>
      </c>
      <c r="U15" s="103">
        <f t="shared" si="8"/>
        <v>12</v>
      </c>
      <c r="V15" s="104">
        <f>(IF((OR((P15="&gt;23"),(Q15="&gt;23"))),2,(IF(((T15+U15)=(P15+Q15)),0,1))))</f>
        <v>1</v>
      </c>
      <c r="W15" s="105">
        <f t="shared" si="25"/>
        <v>12</v>
      </c>
      <c r="X15" s="128">
        <f t="shared" si="30"/>
        <v>8</v>
      </c>
      <c r="Y15" s="103">
        <f t="shared" si="31"/>
        <v>0</v>
      </c>
      <c r="Z15" s="106">
        <f t="shared" si="9"/>
        <v>0</v>
      </c>
      <c r="AA15" s="107">
        <f t="shared" si="10"/>
        <v>0</v>
      </c>
      <c r="AB15" s="108">
        <f>IF(X15=0,0,VLOOKUP(X15,FREQUENCIAS!$1:$1048576,(IF(($A15=FREQUENCIAS!$H$1),8,"ERRO")),FREQUENCIAS!$1:$1048576))</f>
        <v>2.4126999999999999E-2</v>
      </c>
      <c r="AC15" s="108">
        <f>IF(Y15=0,0,VLOOKUP(Y15,FREQUENCIAS!$1:$1048576,(IF(($A15=FREQUENCIAS!$H$1),8,"ERRO")),FREQUENCIAS!$1:$1048576))</f>
        <v>0</v>
      </c>
      <c r="AD15" s="108"/>
      <c r="AE15" s="108"/>
      <c r="AF15" s="108"/>
      <c r="AG15" s="109">
        <f>(IF((A15="ERRO-FT"),"8",((IF((AND(($Z15=0),($AA15=0),($AX$32="N"))),0,(IF((AND(($Z15=0),($AA15=0),(AX$32="S"))),1,(IF((AB15+AC15+AD15+AE15+AF15)&lt;=$AI$7,$AI$7,(AB15+AC15+AD15+AE15+AF15))))))))))</f>
        <v>0</v>
      </c>
      <c r="AH15" s="110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1">
        <f t="shared" si="11"/>
        <v>0</v>
      </c>
      <c r="AJ15" s="112"/>
      <c r="AK15" s="113">
        <f t="shared" si="12"/>
        <v>1</v>
      </c>
      <c r="AL15" s="112"/>
      <c r="AM15" s="114" t="str">
        <f t="shared" si="13"/>
        <v>EXCLUI</v>
      </c>
      <c r="AN15" s="105" t="str">
        <f t="shared" si="14"/>
        <v>OK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0</v>
      </c>
      <c r="BF15" s="52">
        <v>8</v>
      </c>
      <c r="BG15" s="52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CORRETO</v>
      </c>
      <c r="BI15" s="56" t="str">
        <f t="shared" si="17"/>
        <v/>
      </c>
      <c r="BJ15" s="56">
        <f t="shared" si="18"/>
        <v>12</v>
      </c>
      <c r="BK15" s="56">
        <f t="shared" si="19"/>
        <v>12</v>
      </c>
      <c r="BL15" s="59" t="str">
        <f t="shared" si="20"/>
        <v/>
      </c>
      <c r="BM15" s="59">
        <f t="shared" si="21"/>
        <v>0</v>
      </c>
      <c r="BN15" s="59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s="1" customFormat="1" ht="16.5" thickTop="1" thickBot="1" x14ac:dyDescent="0.3">
      <c r="A16" s="261" t="s">
        <v>155</v>
      </c>
      <c r="B16" s="262">
        <f>'DADOS FINAIS'!D16</f>
        <v>15</v>
      </c>
      <c r="C16" s="262">
        <f>'DADOS FINAIS'!E16</f>
        <v>18</v>
      </c>
      <c r="D16" s="262">
        <f>'DADOS FINAIS'!B16</f>
        <v>15</v>
      </c>
      <c r="E16" s="262">
        <f>'DADOS FINAIS'!C16</f>
        <v>20</v>
      </c>
      <c r="F16" s="262">
        <f>'IMPORTAÇÃO GENOTIPER'!AU12</f>
        <v>14</v>
      </c>
      <c r="G16" s="262">
        <f>'IMPORTAÇÃO GENOTIPER'!BC12</f>
        <v>18</v>
      </c>
      <c r="H16" s="101">
        <f t="shared" si="0"/>
        <v>15</v>
      </c>
      <c r="I16" s="101">
        <f t="shared" si="0"/>
        <v>18</v>
      </c>
      <c r="J16" s="101">
        <f t="shared" si="0"/>
        <v>15</v>
      </c>
      <c r="K16" s="101">
        <f t="shared" si="0"/>
        <v>20</v>
      </c>
      <c r="L16" s="101">
        <f t="shared" si="0"/>
        <v>14</v>
      </c>
      <c r="M16" s="101">
        <f t="shared" si="0"/>
        <v>18</v>
      </c>
      <c r="N16" s="102">
        <f t="shared" si="1"/>
        <v>15</v>
      </c>
      <c r="O16" s="102">
        <f t="shared" si="2"/>
        <v>18</v>
      </c>
      <c r="P16" s="102">
        <f t="shared" si="3"/>
        <v>15</v>
      </c>
      <c r="Q16" s="102">
        <f t="shared" si="4"/>
        <v>20</v>
      </c>
      <c r="R16" s="102">
        <f t="shared" si="5"/>
        <v>14</v>
      </c>
      <c r="S16" s="102">
        <f t="shared" si="6"/>
        <v>18</v>
      </c>
      <c r="T16" s="103">
        <f t="shared" si="7"/>
        <v>15</v>
      </c>
      <c r="U16" s="103">
        <f t="shared" si="8"/>
        <v>0</v>
      </c>
      <c r="V16" s="104">
        <f>(IF((OR((P16="&gt;22"),(Q16="&gt;22"))),2,(IF(((T16+U16)=(P16+Q16)),0,1))))</f>
        <v>1</v>
      </c>
      <c r="W16" s="105">
        <f t="shared" si="25"/>
        <v>15</v>
      </c>
      <c r="X16" s="128">
        <f t="shared" si="30"/>
        <v>20</v>
      </c>
      <c r="Y16" s="103">
        <f t="shared" si="31"/>
        <v>0</v>
      </c>
      <c r="Z16" s="106">
        <f t="shared" si="9"/>
        <v>0</v>
      </c>
      <c r="AA16" s="107">
        <f t="shared" si="10"/>
        <v>0</v>
      </c>
      <c r="AB16" s="108">
        <f>IF(X16=0,0,VLOOKUP(X16,FREQUENCIAS!$1:$1048576,(IF(($A16=FREQUENCIAS!$I$1),9,"ERRO")),FREQUENCIAS!$1:$1048576))</f>
        <v>2.9085E-2</v>
      </c>
      <c r="AC16" s="108">
        <f>IF(Y16=0,0,VLOOKUP(Y16,FREQUENCIAS!$1:$1048576,(IF(($A16=FREQUENCIAS!$I$1),9,"ERRO")),FREQUENCIAS!$1:$1048576))</f>
        <v>0</v>
      </c>
      <c r="AD16" s="108"/>
      <c r="AE16" s="108"/>
      <c r="AF16" s="108"/>
      <c r="AG16" s="109">
        <f>(IF((A16="ERRO-FT"),"5",((IF((AND(($Z16=0),($AA16=0),($AX$32="N"))),0,(IF((AND(($Z16=0),($AA16=0),(AX$32="S"))),1,(IF((AB16+AC16+AD16+AE16+AF16)&lt;=$AI$7,$AI$7,(AB16+AC16+AD16+AE16+AF16))))))))))</f>
        <v>0</v>
      </c>
      <c r="AH16" s="110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1">
        <f t="shared" si="11"/>
        <v>0</v>
      </c>
      <c r="AJ16" s="112"/>
      <c r="AK16" s="113">
        <f t="shared" si="12"/>
        <v>1</v>
      </c>
      <c r="AL16" s="112"/>
      <c r="AM16" s="114" t="str">
        <f t="shared" si="13"/>
        <v>EXCLUI</v>
      </c>
      <c r="AN16" s="105" t="str">
        <f t="shared" si="14"/>
        <v>OK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0</v>
      </c>
      <c r="BF16" s="52">
        <v>5</v>
      </c>
      <c r="BG16" s="52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6" t="str">
        <f t="shared" si="17"/>
        <v/>
      </c>
      <c r="BJ16" s="56">
        <f t="shared" si="18"/>
        <v>15</v>
      </c>
      <c r="BK16" s="56">
        <f t="shared" si="19"/>
        <v>15</v>
      </c>
      <c r="BL16" s="59" t="str">
        <f t="shared" si="20"/>
        <v/>
      </c>
      <c r="BM16" s="59">
        <f t="shared" si="21"/>
        <v>0</v>
      </c>
      <c r="BN16" s="59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s="1" customFormat="1" ht="16.5" thickTop="1" thickBot="1" x14ac:dyDescent="0.3">
      <c r="A17" s="261" t="s">
        <v>51</v>
      </c>
      <c r="B17" s="262">
        <f>'DADOS FINAIS'!D17</f>
        <v>17</v>
      </c>
      <c r="C17" s="262">
        <f>'DADOS FINAIS'!E17</f>
        <v>20</v>
      </c>
      <c r="D17" s="262">
        <f>'DADOS FINAIS'!B17</f>
        <v>20</v>
      </c>
      <c r="E17" s="262">
        <f>'DADOS FINAIS'!C17</f>
        <v>22</v>
      </c>
      <c r="F17" s="262">
        <f>'IMPORTAÇÃO GENOTIPER'!AU13</f>
        <v>17</v>
      </c>
      <c r="G17" s="262">
        <f>'IMPORTAÇÃO GENOTIPER'!BC13</f>
        <v>17</v>
      </c>
      <c r="H17" s="101">
        <f t="shared" si="0"/>
        <v>17</v>
      </c>
      <c r="I17" s="101">
        <f t="shared" si="0"/>
        <v>20</v>
      </c>
      <c r="J17" s="101">
        <f t="shared" si="0"/>
        <v>20</v>
      </c>
      <c r="K17" s="101">
        <f t="shared" si="0"/>
        <v>22</v>
      </c>
      <c r="L17" s="101">
        <f t="shared" si="0"/>
        <v>17</v>
      </c>
      <c r="M17" s="101">
        <f t="shared" si="0"/>
        <v>17</v>
      </c>
      <c r="N17" s="102">
        <f t="shared" si="1"/>
        <v>17</v>
      </c>
      <c r="O17" s="102">
        <f t="shared" si="2"/>
        <v>20</v>
      </c>
      <c r="P17" s="102">
        <f t="shared" si="3"/>
        <v>20</v>
      </c>
      <c r="Q17" s="102">
        <f t="shared" si="4"/>
        <v>22</v>
      </c>
      <c r="R17" s="102">
        <f t="shared" si="5"/>
        <v>17</v>
      </c>
      <c r="S17" s="102">
        <f t="shared" si="6"/>
        <v>17</v>
      </c>
      <c r="T17" s="103">
        <f t="shared" si="7"/>
        <v>20</v>
      </c>
      <c r="U17" s="103">
        <f t="shared" si="8"/>
        <v>0</v>
      </c>
      <c r="V17" s="104">
        <f>(IF((OR((P17="&gt;28"),(Q17="&gt;28"))),2,(IF(((T17+U17)=(P17+Q17)),0,1))))</f>
        <v>1</v>
      </c>
      <c r="W17" s="105">
        <f t="shared" si="25"/>
        <v>20</v>
      </c>
      <c r="X17" s="128">
        <f t="shared" si="30"/>
        <v>22</v>
      </c>
      <c r="Y17" s="103">
        <f t="shared" si="31"/>
        <v>0</v>
      </c>
      <c r="Z17" s="106">
        <f t="shared" si="9"/>
        <v>0</v>
      </c>
      <c r="AA17" s="107">
        <f t="shared" si="10"/>
        <v>0</v>
      </c>
      <c r="AB17" s="108">
        <f>IF(X17=0,0,VLOOKUP(X17,FREQUENCIAS!$1:$1048576,(IF(($A17=FREQUENCIAS!$J$1),10,"ERRO")),FREQUENCIAS!$1:$1048576))</f>
        <v>8.14E-2</v>
      </c>
      <c r="AC17" s="108">
        <f>IF(Y17=0,0,VLOOKUP(Y17,FREQUENCIAS!$1:$1048576,(IF(($A17=FREQUENCIAS!$J$1),10,"ERRO")),FREQUENCIAS!$1:$1048576))</f>
        <v>0</v>
      </c>
      <c r="AD17" s="108"/>
      <c r="AE17" s="108"/>
      <c r="AF17" s="108"/>
      <c r="AG17" s="109">
        <f>(IF((A17="ERRO-FT"),"15",((IF((AND(($Z17=0),($AA17=0),($AX$32="N"))),0,(IF((AND(($Z17=0),($AA17=0),(AX$32="S"))),1,(IF((AB17+AC17+AD17+AE17+AF17)&lt;=$AI$7,$AI$7,(AB17+AC17+AD17+AE17+AF17))))))))))</f>
        <v>0</v>
      </c>
      <c r="AH17" s="110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1">
        <f t="shared" si="11"/>
        <v>0</v>
      </c>
      <c r="AJ17" s="112" t="s">
        <v>173</v>
      </c>
      <c r="AK17" s="113">
        <f t="shared" si="12"/>
        <v>1</v>
      </c>
      <c r="AL17" s="112"/>
      <c r="AM17" s="114" t="str">
        <f t="shared" si="13"/>
        <v>EXCLUI</v>
      </c>
      <c r="AN17" s="105" t="str">
        <f t="shared" si="14"/>
        <v>OK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0</v>
      </c>
      <c r="BF17" s="52">
        <v>15</v>
      </c>
      <c r="BG17" s="52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CORRETO</v>
      </c>
      <c r="BI17" s="56" t="str">
        <f t="shared" si="17"/>
        <v/>
      </c>
      <c r="BJ17" s="56">
        <f t="shared" si="18"/>
        <v>20</v>
      </c>
      <c r="BK17" s="56">
        <f t="shared" si="19"/>
        <v>20</v>
      </c>
      <c r="BL17" s="59" t="str">
        <f t="shared" si="20"/>
        <v/>
      </c>
      <c r="BM17" s="59">
        <f t="shared" si="21"/>
        <v>0</v>
      </c>
      <c r="BN17" s="59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s="1" customFormat="1" ht="16.5" thickTop="1" thickBot="1" x14ac:dyDescent="0.3">
      <c r="A18" s="261" t="s">
        <v>132</v>
      </c>
      <c r="B18" s="262">
        <f>'DADOS FINAIS'!D18</f>
        <v>10</v>
      </c>
      <c r="C18" s="262">
        <f>'DADOS FINAIS'!E18</f>
        <v>10</v>
      </c>
      <c r="D18" s="262">
        <f>'DADOS FINAIS'!B18</f>
        <v>10</v>
      </c>
      <c r="E18" s="262">
        <f>'DADOS FINAIS'!C18</f>
        <v>11</v>
      </c>
      <c r="F18" s="262">
        <f>'IMPORTAÇÃO GENOTIPER'!AU14</f>
        <v>10</v>
      </c>
      <c r="G18" s="262">
        <f>'IMPORTAÇÃO GENOTIPER'!BC14</f>
        <v>10</v>
      </c>
      <c r="H18" s="101">
        <f t="shared" si="0"/>
        <v>10</v>
      </c>
      <c r="I18" s="101">
        <f t="shared" si="0"/>
        <v>10</v>
      </c>
      <c r="J18" s="101">
        <f t="shared" si="0"/>
        <v>10</v>
      </c>
      <c r="K18" s="101">
        <f t="shared" si="0"/>
        <v>11</v>
      </c>
      <c r="L18" s="101">
        <f t="shared" si="0"/>
        <v>10</v>
      </c>
      <c r="M18" s="101">
        <f t="shared" si="0"/>
        <v>10</v>
      </c>
      <c r="N18" s="102">
        <f t="shared" si="1"/>
        <v>10</v>
      </c>
      <c r="O18" s="102">
        <f t="shared" si="2"/>
        <v>10</v>
      </c>
      <c r="P18" s="102">
        <f t="shared" si="3"/>
        <v>10</v>
      </c>
      <c r="Q18" s="102">
        <f t="shared" si="4"/>
        <v>11</v>
      </c>
      <c r="R18" s="102">
        <f t="shared" si="5"/>
        <v>10</v>
      </c>
      <c r="S18" s="102">
        <f t="shared" si="6"/>
        <v>10</v>
      </c>
      <c r="T18" s="103">
        <f t="shared" si="7"/>
        <v>10</v>
      </c>
      <c r="U18" s="103">
        <f t="shared" si="8"/>
        <v>0</v>
      </c>
      <c r="V18" s="104">
        <f>(IF((OR((P18="&gt;17,2"),(Q18="&gt;17,2"))),2,(IF(((T18+U18)=(P18+Q18)),0,1))))</f>
        <v>1</v>
      </c>
      <c r="W18" s="105">
        <f t="shared" si="25"/>
        <v>10</v>
      </c>
      <c r="X18" s="128">
        <f t="shared" si="30"/>
        <v>11</v>
      </c>
      <c r="Y18" s="103">
        <f t="shared" si="31"/>
        <v>0</v>
      </c>
      <c r="Z18" s="106">
        <f t="shared" si="9"/>
        <v>0</v>
      </c>
      <c r="AA18" s="107">
        <f t="shared" si="10"/>
        <v>0</v>
      </c>
      <c r="AB18" s="108">
        <f>IF(X18=0,0,VLOOKUP(X18,FREQUENCIAS!$1:$1048576,(IF(($A18=FREQUENCIAS!$K$1),11,"ERRO")),FREQUENCIAS!$1:$1048576))</f>
        <v>0.29358499999999998</v>
      </c>
      <c r="AC18" s="108">
        <f>IF(Y18=0,0,VLOOKUP(Y18,FREQUENCIAS!$1:$1048576,(IF(($A18=FREQUENCIAS!$K$1),11,"ERRO")),FREQUENCIAS!$1:$1048576))</f>
        <v>0</v>
      </c>
      <c r="AD18" s="108"/>
      <c r="AE18" s="108"/>
      <c r="AF18" s="108"/>
      <c r="AG18" s="109">
        <f>(IF((A18="ERRO-FT"),"9",((IF((AND(($Z18=0),($AA18=0),($AX$32="N"))),0,(IF((AND(($Z18=0),($AA18=0),(AX$32="S"))),1,(IF((AB18+AC18+AD18+AE18+AF18)&lt;=$AI$7,$AI$7,(AB18+AC18+AD18+AE18+AF18))))))))))</f>
        <v>0</v>
      </c>
      <c r="AH18" s="110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1">
        <f t="shared" si="11"/>
        <v>0</v>
      </c>
      <c r="AJ18" s="112"/>
      <c r="AK18" s="113">
        <f t="shared" si="12"/>
        <v>1</v>
      </c>
      <c r="AL18" s="112"/>
      <c r="AM18" s="114" t="str">
        <f t="shared" si="13"/>
        <v>EXCLUI</v>
      </c>
      <c r="AN18" s="105" t="str">
        <f t="shared" si="14"/>
        <v>OK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0</v>
      </c>
      <c r="BF18" s="52">
        <v>9</v>
      </c>
      <c r="BG18" s="52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CORRETO</v>
      </c>
      <c r="BI18" s="56" t="str">
        <f t="shared" si="17"/>
        <v/>
      </c>
      <c r="BJ18" s="56">
        <f t="shared" si="18"/>
        <v>10</v>
      </c>
      <c r="BK18" s="56">
        <f t="shared" si="19"/>
        <v>10</v>
      </c>
      <c r="BL18" s="59" t="str">
        <f t="shared" si="20"/>
        <v/>
      </c>
      <c r="BM18" s="59">
        <f t="shared" si="21"/>
        <v>0</v>
      </c>
      <c r="BN18" s="59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s="1" customFormat="1" ht="16.5" thickTop="1" thickBot="1" x14ac:dyDescent="0.3">
      <c r="A19" s="261" t="s">
        <v>227</v>
      </c>
      <c r="B19" s="262">
        <f>'DADOS FINAIS'!D19</f>
        <v>11</v>
      </c>
      <c r="C19" s="262">
        <f>'DADOS FINAIS'!E19</f>
        <v>11</v>
      </c>
      <c r="D19" s="262">
        <f>'DADOS FINAIS'!B19</f>
        <v>8</v>
      </c>
      <c r="E19" s="262">
        <f>'DADOS FINAIS'!C19</f>
        <v>11</v>
      </c>
      <c r="F19" s="262">
        <f>'IMPORTAÇÃO GENOTIPER'!AU15</f>
        <v>11</v>
      </c>
      <c r="G19" s="262">
        <f>'IMPORTAÇÃO GENOTIPER'!BC15</f>
        <v>12</v>
      </c>
      <c r="H19" s="101">
        <f t="shared" si="0"/>
        <v>11</v>
      </c>
      <c r="I19" s="101">
        <f t="shared" si="0"/>
        <v>11</v>
      </c>
      <c r="J19" s="101">
        <f t="shared" si="0"/>
        <v>8</v>
      </c>
      <c r="K19" s="101">
        <f t="shared" si="0"/>
        <v>11</v>
      </c>
      <c r="L19" s="101">
        <f t="shared" si="0"/>
        <v>11</v>
      </c>
      <c r="M19" s="101">
        <f t="shared" si="0"/>
        <v>12</v>
      </c>
      <c r="N19" s="102">
        <f t="shared" si="1"/>
        <v>11</v>
      </c>
      <c r="O19" s="102">
        <f t="shared" si="2"/>
        <v>11</v>
      </c>
      <c r="P19" s="102">
        <f t="shared" si="3"/>
        <v>8</v>
      </c>
      <c r="Q19" s="102">
        <f t="shared" si="4"/>
        <v>11</v>
      </c>
      <c r="R19" s="102">
        <f t="shared" si="5"/>
        <v>11</v>
      </c>
      <c r="S19" s="102">
        <f t="shared" si="6"/>
        <v>12</v>
      </c>
      <c r="T19" s="103">
        <f t="shared" si="7"/>
        <v>0</v>
      </c>
      <c r="U19" s="103">
        <f t="shared" si="8"/>
        <v>11</v>
      </c>
      <c r="V19" s="104">
        <f>(IF((OR((P19="&gt;21"),(Q19="&gt;21"))),2,(IF(((T19+U19)=(P19+Q19)),0,1))))</f>
        <v>1</v>
      </c>
      <c r="W19" s="105">
        <f t="shared" si="25"/>
        <v>11</v>
      </c>
      <c r="X19" s="128">
        <f t="shared" si="30"/>
        <v>8</v>
      </c>
      <c r="Y19" s="103">
        <f t="shared" si="31"/>
        <v>0</v>
      </c>
      <c r="Z19" s="106">
        <f t="shared" si="9"/>
        <v>0</v>
      </c>
      <c r="AA19" s="107">
        <f t="shared" si="10"/>
        <v>0</v>
      </c>
      <c r="AB19" s="108">
        <f>IF(X19=0,0,VLOOKUP(X19,FREQUENCIAS!$1:$1048576,(IF(($A19=FREQUENCIAS!$L$1),12,"ERRO")),FREQUENCIAS!$1:$1048576))</f>
        <v>5.0805000000000003E-2</v>
      </c>
      <c r="AC19" s="108">
        <f>IF(Y19=0,0,VLOOKUP(Y19,FREQUENCIAS!$1:$1048576,(IF(($A19=FREQUENCIAS!$L$1),12,"ERRO")),FREQUENCIAS!$1:$1048576))</f>
        <v>0</v>
      </c>
      <c r="AD19" s="108"/>
      <c r="AE19" s="108"/>
      <c r="AF19" s="108"/>
      <c r="AG19" s="109">
        <f>(IF((A19="ERRO-FT"),"11",((IF((AND(($Z19=0),($AA19=0),($AX$32="N"))),0,(IF((AND(($Z19=0),($AA19=0),(AX$32="S"))),1,(IF((AB19+AC19+AD19+AE19+AF19)&lt;=$AI$7,$AI$7,(AB19+AC19+AD19+AE19+AF19))))))))))</f>
        <v>0</v>
      </c>
      <c r="AH19" s="110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1">
        <f t="shared" si="11"/>
        <v>0</v>
      </c>
      <c r="AJ19" s="112" t="s">
        <v>164</v>
      </c>
      <c r="AK19" s="113">
        <f t="shared" si="12"/>
        <v>1</v>
      </c>
      <c r="AL19" s="112"/>
      <c r="AM19" s="114" t="str">
        <f t="shared" si="13"/>
        <v>EXCLUI</v>
      </c>
      <c r="AN19" s="105" t="str">
        <f t="shared" si="14"/>
        <v>OK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0</v>
      </c>
      <c r="BF19" s="52">
        <v>11</v>
      </c>
      <c r="BG19" s="52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6" t="str">
        <f t="shared" si="17"/>
        <v/>
      </c>
      <c r="BJ19" s="56">
        <f t="shared" si="18"/>
        <v>11</v>
      </c>
      <c r="BK19" s="56">
        <f t="shared" si="19"/>
        <v>11</v>
      </c>
      <c r="BL19" s="59" t="str">
        <f t="shared" si="20"/>
        <v/>
      </c>
      <c r="BM19" s="59">
        <f t="shared" si="21"/>
        <v>0</v>
      </c>
      <c r="BN19" s="59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s="1" customFormat="1" ht="16.5" thickTop="1" thickBot="1" x14ac:dyDescent="0.3">
      <c r="A20" s="261" t="s">
        <v>144</v>
      </c>
      <c r="B20" s="262">
        <f>'DADOS FINAIS'!D20</f>
        <v>6</v>
      </c>
      <c r="C20" s="262">
        <f>'DADOS FINAIS'!E20</f>
        <v>6</v>
      </c>
      <c r="D20" s="262">
        <f>'DADOS FINAIS'!B20</f>
        <v>6</v>
      </c>
      <c r="E20" s="262">
        <f>'DADOS FINAIS'!C20</f>
        <v>7</v>
      </c>
      <c r="F20" s="262">
        <f>'IMPORTAÇÃO GENOTIPER'!AU16</f>
        <v>6</v>
      </c>
      <c r="G20" s="262">
        <f>'IMPORTAÇÃO GENOTIPER'!BC16</f>
        <v>6</v>
      </c>
      <c r="H20" s="101">
        <f t="shared" si="0"/>
        <v>6</v>
      </c>
      <c r="I20" s="101">
        <f t="shared" si="0"/>
        <v>6</v>
      </c>
      <c r="J20" s="101">
        <f t="shared" si="0"/>
        <v>6</v>
      </c>
      <c r="K20" s="101">
        <f t="shared" si="0"/>
        <v>7</v>
      </c>
      <c r="L20" s="101">
        <f t="shared" si="0"/>
        <v>6</v>
      </c>
      <c r="M20" s="101">
        <f t="shared" si="0"/>
        <v>6</v>
      </c>
      <c r="N20" s="102">
        <f t="shared" si="1"/>
        <v>6</v>
      </c>
      <c r="O20" s="102">
        <f t="shared" si="2"/>
        <v>6</v>
      </c>
      <c r="P20" s="102">
        <f t="shared" si="3"/>
        <v>6</v>
      </c>
      <c r="Q20" s="102">
        <f t="shared" si="4"/>
        <v>7</v>
      </c>
      <c r="R20" s="102">
        <f t="shared" si="5"/>
        <v>6</v>
      </c>
      <c r="S20" s="102">
        <f t="shared" si="6"/>
        <v>6</v>
      </c>
      <c r="T20" s="103">
        <f t="shared" si="7"/>
        <v>6</v>
      </c>
      <c r="U20" s="103">
        <f t="shared" si="8"/>
        <v>0</v>
      </c>
      <c r="V20" s="104">
        <f>(IF((OR((P20="&gt;20"),(Q20="&gt;20"))),2,(IF(((T20+U20)=(P20+Q20)),0,1))))</f>
        <v>1</v>
      </c>
      <c r="W20" s="105">
        <f t="shared" si="25"/>
        <v>6</v>
      </c>
      <c r="X20" s="128">
        <f t="shared" si="30"/>
        <v>7</v>
      </c>
      <c r="Y20" s="103">
        <f t="shared" si="31"/>
        <v>0</v>
      </c>
      <c r="Z20" s="106">
        <f t="shared" si="9"/>
        <v>0</v>
      </c>
      <c r="AA20" s="107">
        <f t="shared" si="10"/>
        <v>0</v>
      </c>
      <c r="AB20" s="108">
        <f>IF(X20=0,0,VLOOKUP(X20,FREQUENCIAS!$1:$1048576,(IF(($A20=FREQUENCIAS!$M$1),13,"ERRO")),FREQUENCIAS!$1:$1048576))</f>
        <v>0.24045900000000001</v>
      </c>
      <c r="AC20" s="108">
        <f>IF(Y20=0,0,VLOOKUP(Y20,FREQUENCIAS!$1:$1048576,(IF(($A20=FREQUENCIAS!$M$1),13,"ERRO")),FREQUENCIAS!$1:$1048576))</f>
        <v>0</v>
      </c>
      <c r="AD20" s="108"/>
      <c r="AE20" s="108"/>
      <c r="AF20" s="108"/>
      <c r="AG20" s="109">
        <f>(IF((A20="ERRO-FT"),"5",((IF((AND(($Z20=0),($AA20=0),($AX$32="N"))),0,(IF((AND(($Z20=0),($AA20=0),(AX$32="S"))),1,(IF((AB20+AC20+AD20+AE20+AF20)&lt;=$AI$7,$AI$7,(AB20+AC20+AD20+AE20+AF20))))))))))</f>
        <v>0</v>
      </c>
      <c r="AH20" s="110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1">
        <f t="shared" si="11"/>
        <v>0</v>
      </c>
      <c r="AJ20" s="112"/>
      <c r="AK20" s="113">
        <f t="shared" si="12"/>
        <v>1</v>
      </c>
      <c r="AL20" s="112"/>
      <c r="AM20" s="114" t="str">
        <f t="shared" si="13"/>
        <v>EXCLUI</v>
      </c>
      <c r="AN20" s="105" t="str">
        <f t="shared" si="14"/>
        <v>OK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0</v>
      </c>
      <c r="BF20" s="52">
        <v>5</v>
      </c>
      <c r="BG20" s="52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CORRETO</v>
      </c>
      <c r="BI20" s="56" t="str">
        <f t="shared" si="17"/>
        <v/>
      </c>
      <c r="BJ20" s="56">
        <f t="shared" si="18"/>
        <v>6</v>
      </c>
      <c r="BK20" s="56">
        <f t="shared" si="19"/>
        <v>6</v>
      </c>
      <c r="BL20" s="59" t="str">
        <f t="shared" si="20"/>
        <v/>
      </c>
      <c r="BM20" s="59">
        <f t="shared" si="21"/>
        <v>0</v>
      </c>
      <c r="BN20" s="59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s="1" customFormat="1" ht="16.5" thickTop="1" thickBot="1" x14ac:dyDescent="0.3">
      <c r="A21" s="261" t="s">
        <v>179</v>
      </c>
      <c r="B21" s="262">
        <f>'DADOS FINAIS'!D21</f>
        <v>15</v>
      </c>
      <c r="C21" s="262">
        <f>'DADOS FINAIS'!E21</f>
        <v>17</v>
      </c>
      <c r="D21" s="262">
        <f>'DADOS FINAIS'!B21</f>
        <v>15</v>
      </c>
      <c r="E21" s="262">
        <f>'DADOS FINAIS'!C21</f>
        <v>17</v>
      </c>
      <c r="F21" s="262">
        <f>'IMPORTAÇÃO GENOTIPER'!AU17</f>
        <v>17</v>
      </c>
      <c r="G21" s="262">
        <f>'IMPORTAÇÃO GENOTIPER'!BC17</f>
        <v>17</v>
      </c>
      <c r="H21" s="101">
        <f t="shared" si="0"/>
        <v>15</v>
      </c>
      <c r="I21" s="101">
        <f t="shared" si="0"/>
        <v>17</v>
      </c>
      <c r="J21" s="101">
        <f t="shared" si="0"/>
        <v>15</v>
      </c>
      <c r="K21" s="101">
        <f t="shared" si="0"/>
        <v>17</v>
      </c>
      <c r="L21" s="101">
        <f t="shared" si="0"/>
        <v>17</v>
      </c>
      <c r="M21" s="101">
        <f t="shared" si="0"/>
        <v>17</v>
      </c>
      <c r="N21" s="102">
        <f t="shared" si="1"/>
        <v>15</v>
      </c>
      <c r="O21" s="102">
        <f t="shared" si="2"/>
        <v>17</v>
      </c>
      <c r="P21" s="102">
        <f t="shared" si="3"/>
        <v>15</v>
      </c>
      <c r="Q21" s="102">
        <f t="shared" si="4"/>
        <v>17</v>
      </c>
      <c r="R21" s="102">
        <f t="shared" si="5"/>
        <v>17</v>
      </c>
      <c r="S21" s="102">
        <f t="shared" si="6"/>
        <v>17</v>
      </c>
      <c r="T21" s="103">
        <f t="shared" si="7"/>
        <v>15</v>
      </c>
      <c r="U21" s="103">
        <f t="shared" si="8"/>
        <v>17</v>
      </c>
      <c r="V21" s="104">
        <f>(IF((OR((P21="&gt;24"),(Q21="&gt;24"))),2,(IF(((T21+U21)=(P21+Q21)),0,1))))</f>
        <v>0</v>
      </c>
      <c r="W21" s="105" t="str">
        <f t="shared" si="25"/>
        <v>NÃO DEF</v>
      </c>
      <c r="X21" s="128">
        <f t="shared" si="30"/>
        <v>15</v>
      </c>
      <c r="Y21" s="103">
        <f t="shared" si="31"/>
        <v>17</v>
      </c>
      <c r="Z21" s="106">
        <f t="shared" si="9"/>
        <v>0</v>
      </c>
      <c r="AA21" s="107">
        <f t="shared" si="10"/>
        <v>17</v>
      </c>
      <c r="AB21" s="108">
        <f>IF(X21=0,0,VLOOKUP(X21,FREQUENCIAS!$1:$1048576,(IF(($A21=FREQUENCIAS!$N$1),14,"ERRO")),FREQUENCIAS!$1:$1048576))</f>
        <v>0.13799400000000001</v>
      </c>
      <c r="AC21" s="108">
        <f>IF(Y21=0,0,VLOOKUP(Y21,FREQUENCIAS!$1:$1048576,(IF(($A21=FREQUENCIAS!$N$1),14,"ERRO")),FREQUENCIAS!$1:$1048576))</f>
        <v>0.25484400000000001</v>
      </c>
      <c r="AD21" s="108"/>
      <c r="AE21" s="108"/>
      <c r="AF21" s="108"/>
      <c r="AG21" s="109">
        <f>(IF((A21="ERRO-FT"),"7",((IF((AND(($Z21=0),($AA21=0),($AX$32="N"))),0,(IF((AND(($Z21=0),($AA21=0),(AX$32="S"))),1,(IF((AB21+AC21+AD21+AE21+AF21)&lt;=$AI$7,$AI$7,(AB21+AC21+AD21+AE21+AF21))))))))))</f>
        <v>0.39283800000000002</v>
      </c>
      <c r="AH21" s="110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1.2727892922782418</v>
      </c>
      <c r="AI21" s="111">
        <f t="shared" si="11"/>
        <v>0.56001200665742268</v>
      </c>
      <c r="AJ21" s="112"/>
      <c r="AK21" s="113">
        <f t="shared" si="12"/>
        <v>0.36864569424399996</v>
      </c>
      <c r="AL21" s="112"/>
      <c r="AM21" s="114" t="str">
        <f t="shared" si="13"/>
        <v>1 / 2F</v>
      </c>
      <c r="AN21" s="105" t="str">
        <f t="shared" si="14"/>
        <v>OK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0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1.2727892922782418</v>
      </c>
      <c r="BD21" s="2">
        <f t="shared" si="27"/>
        <v>0</v>
      </c>
      <c r="BF21" s="52">
        <v>7</v>
      </c>
      <c r="BG21" s="52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CORRETO</v>
      </c>
      <c r="BI21" s="56" t="str">
        <f t="shared" si="17"/>
        <v/>
      </c>
      <c r="BJ21" s="56" t="str">
        <f t="shared" si="18"/>
        <v>NÃO DEF</v>
      </c>
      <c r="BK21" s="56" t="str">
        <f t="shared" si="19"/>
        <v>NÃO DEF</v>
      </c>
      <c r="BL21" s="59" t="str">
        <f t="shared" si="20"/>
        <v/>
      </c>
      <c r="BM21" s="59">
        <f t="shared" si="21"/>
        <v>0</v>
      </c>
      <c r="BN21" s="59">
        <f t="shared" si="22"/>
        <v>0</v>
      </c>
      <c r="BO21" s="37" t="str">
        <f t="shared" si="28"/>
        <v/>
      </c>
      <c r="BP21" s="37">
        <f t="shared" si="23"/>
        <v>17</v>
      </c>
      <c r="BQ21" s="37">
        <f t="shared" si="24"/>
        <v>17</v>
      </c>
      <c r="BT21" s="23">
        <v>12</v>
      </c>
      <c r="BU21" s="24">
        <v>16</v>
      </c>
    </row>
    <row r="22" spans="1:80" s="1" customFormat="1" ht="16.5" thickTop="1" thickBot="1" x14ac:dyDescent="0.3">
      <c r="A22" s="261" t="s">
        <v>154</v>
      </c>
      <c r="B22" s="262">
        <f>'DADOS FINAIS'!D22</f>
        <v>28</v>
      </c>
      <c r="C22" s="262">
        <f>'DADOS FINAIS'!E22</f>
        <v>31.2</v>
      </c>
      <c r="D22" s="262">
        <f>'DADOS FINAIS'!B22</f>
        <v>31.2</v>
      </c>
      <c r="E22" s="262">
        <f>'DADOS FINAIS'!C22</f>
        <v>33.200000000000003</v>
      </c>
      <c r="F22" s="262">
        <f>'IMPORTAÇÃO GENOTIPER'!AU18</f>
        <v>28</v>
      </c>
      <c r="G22" s="262">
        <f>'IMPORTAÇÃO GENOTIPER'!BC18</f>
        <v>30</v>
      </c>
      <c r="H22" s="101">
        <f t="shared" si="0"/>
        <v>28</v>
      </c>
      <c r="I22" s="101">
        <f t="shared" si="0"/>
        <v>31.2</v>
      </c>
      <c r="J22" s="101">
        <f t="shared" si="0"/>
        <v>31.2</v>
      </c>
      <c r="K22" s="101">
        <f t="shared" si="0"/>
        <v>33.200000000000003</v>
      </c>
      <c r="L22" s="101">
        <f t="shared" si="0"/>
        <v>28</v>
      </c>
      <c r="M22" s="101">
        <f t="shared" si="0"/>
        <v>30</v>
      </c>
      <c r="N22" s="102">
        <f t="shared" si="1"/>
        <v>28</v>
      </c>
      <c r="O22" s="102">
        <f t="shared" si="2"/>
        <v>31.2</v>
      </c>
      <c r="P22" s="102">
        <f t="shared" si="3"/>
        <v>31.2</v>
      </c>
      <c r="Q22" s="102">
        <f t="shared" si="4"/>
        <v>33.200000000000003</v>
      </c>
      <c r="R22" s="102">
        <f t="shared" si="5"/>
        <v>28</v>
      </c>
      <c r="S22" s="102">
        <f t="shared" si="6"/>
        <v>30</v>
      </c>
      <c r="T22" s="103">
        <f t="shared" si="7"/>
        <v>31.2</v>
      </c>
      <c r="U22" s="103">
        <f t="shared" si="8"/>
        <v>0</v>
      </c>
      <c r="V22" s="104">
        <f>(IF((OR((P22="&gt;22"),(Q22="&gt;22"))),2,(IF(((T22+U22)=(P22+Q22)),0,1))))</f>
        <v>1</v>
      </c>
      <c r="W22" s="105">
        <f t="shared" si="25"/>
        <v>31.2</v>
      </c>
      <c r="X22" s="128">
        <f t="shared" si="30"/>
        <v>33.200000000000003</v>
      </c>
      <c r="Y22" s="103">
        <f t="shared" si="31"/>
        <v>0</v>
      </c>
      <c r="Z22" s="106">
        <f t="shared" si="9"/>
        <v>0</v>
      </c>
      <c r="AA22" s="107">
        <f t="shared" si="10"/>
        <v>0</v>
      </c>
      <c r="AB22" s="108">
        <f>IF(X22=0,0,VLOOKUP(X22,FREQUENCIAS!$1:$1048576,(IF(($A22=FREQUENCIAS!$O$1),15,"ERRO")),FREQUENCIAS!$1:$1048576))</f>
        <v>2.8434999999999998E-2</v>
      </c>
      <c r="AC22" s="108">
        <f>IF(Y22=0,0,VLOOKUP(Y22,FREQUENCIAS!$1:$1048576,(IF(($A22=FREQUENCIAS!$O$1),15,"ERRO")),FREQUENCIAS!$1:$1048576))</f>
        <v>0</v>
      </c>
      <c r="AD22" s="108"/>
      <c r="AE22" s="108"/>
      <c r="AF22" s="108"/>
      <c r="AG22" s="109">
        <f>(IF((A22="ERRO-FT"),"7",((IF((AND(($Z22=0),($AA22=0),($AX$32="N"))),0,(IF((AND(($Z22=0),($AA22=0),(AX$32="S"))),1,(IF((AB22+AC22+AD22+AE22+AF22)&lt;=$AI$7,$AI$7,(AB22+AC22+AD22+AE22+AF22))))))))))</f>
        <v>0</v>
      </c>
      <c r="AH22" s="110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1">
        <f t="shared" si="11"/>
        <v>0</v>
      </c>
      <c r="AJ22" s="112"/>
      <c r="AK22" s="113">
        <f t="shared" si="12"/>
        <v>1</v>
      </c>
      <c r="AL22" s="112"/>
      <c r="AM22" s="114" t="str">
        <f t="shared" si="13"/>
        <v>EXCLUI</v>
      </c>
      <c r="AN22" s="105" t="str">
        <f t="shared" si="14"/>
        <v>OK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0</v>
      </c>
      <c r="BF22" s="52">
        <v>7</v>
      </c>
      <c r="BG22" s="52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6" t="str">
        <f t="shared" si="17"/>
        <v/>
      </c>
      <c r="BJ22" s="56">
        <f t="shared" si="18"/>
        <v>31.2</v>
      </c>
      <c r="BK22" s="56">
        <f t="shared" si="19"/>
        <v>31.2</v>
      </c>
      <c r="BL22" s="59" t="str">
        <f t="shared" si="20"/>
        <v/>
      </c>
      <c r="BM22" s="59">
        <f t="shared" si="21"/>
        <v>0</v>
      </c>
      <c r="BN22" s="59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s="1" customFormat="1" ht="16.5" thickTop="1" thickBot="1" x14ac:dyDescent="0.3">
      <c r="A23" s="261" t="s">
        <v>158</v>
      </c>
      <c r="B23" s="262">
        <f>'DADOS FINAIS'!D23</f>
        <v>10</v>
      </c>
      <c r="C23" s="262">
        <f>'DADOS FINAIS'!E23</f>
        <v>10</v>
      </c>
      <c r="D23" s="262">
        <f>'DADOS FINAIS'!B23</f>
        <v>8</v>
      </c>
      <c r="E23" s="262">
        <f>'DADOS FINAIS'!C23</f>
        <v>10</v>
      </c>
      <c r="F23" s="262">
        <f>'IMPORTAÇÃO GENOTIPER'!AU19</f>
        <v>10</v>
      </c>
      <c r="G23" s="262">
        <f>'IMPORTAÇÃO GENOTIPER'!BC19</f>
        <v>10</v>
      </c>
      <c r="H23" s="101">
        <f t="shared" si="0"/>
        <v>10</v>
      </c>
      <c r="I23" s="101">
        <f t="shared" si="0"/>
        <v>10</v>
      </c>
      <c r="J23" s="101">
        <f t="shared" si="0"/>
        <v>8</v>
      </c>
      <c r="K23" s="101">
        <f t="shared" si="0"/>
        <v>10</v>
      </c>
      <c r="L23" s="101">
        <f t="shared" si="0"/>
        <v>10</v>
      </c>
      <c r="M23" s="101">
        <f t="shared" si="0"/>
        <v>10</v>
      </c>
      <c r="N23" s="102">
        <f t="shared" si="1"/>
        <v>10</v>
      </c>
      <c r="O23" s="102">
        <f t="shared" si="2"/>
        <v>10</v>
      </c>
      <c r="P23" s="102">
        <f t="shared" si="3"/>
        <v>8</v>
      </c>
      <c r="Q23" s="102">
        <f t="shared" si="4"/>
        <v>10</v>
      </c>
      <c r="R23" s="102">
        <f t="shared" si="5"/>
        <v>10</v>
      </c>
      <c r="S23" s="102">
        <f t="shared" si="6"/>
        <v>10</v>
      </c>
      <c r="T23" s="103">
        <f t="shared" si="7"/>
        <v>0</v>
      </c>
      <c r="U23" s="103">
        <f t="shared" si="8"/>
        <v>10</v>
      </c>
      <c r="V23" s="104">
        <f>(IF((OR((P23="&gt;32"),(Q23="&gt;32"))),2,(IF(((T23+U23)=(P23+Q23)),0,1))))</f>
        <v>1</v>
      </c>
      <c r="W23" s="105">
        <f t="shared" si="25"/>
        <v>10</v>
      </c>
      <c r="X23" s="128">
        <f t="shared" si="30"/>
        <v>8</v>
      </c>
      <c r="Y23" s="103">
        <f t="shared" si="31"/>
        <v>0</v>
      </c>
      <c r="Z23" s="106">
        <f t="shared" si="9"/>
        <v>0</v>
      </c>
      <c r="AA23" s="107">
        <f t="shared" si="10"/>
        <v>0</v>
      </c>
      <c r="AB23" s="108">
        <f>IF(X23=0,0,VLOOKUP(X23,FREQUENCIAS!$1:$1048576,(IF(($A23=FREQUENCIAS!$P$1),16,"ERRO")),FREQUENCIAS!$1:$1048576))</f>
        <v>0.157085</v>
      </c>
      <c r="AC23" s="108">
        <f>IF(Y23=0,0,VLOOKUP(Y23,FREQUENCIAS!$1:$1048576,(IF(($A23=FREQUENCIAS!$P$1),16,"ERRO")),FREQUENCIAS!$1:$1048576))</f>
        <v>0</v>
      </c>
      <c r="AD23" s="108"/>
      <c r="AE23" s="108"/>
      <c r="AF23" s="108"/>
      <c r="AG23" s="109">
        <f>(IF((A23="ERRO-FT"),"16",((IF((AND(($Z23=0),($AA23=0),($AX$32="N"))),0,(IF((AND(($Z23=0),($AA23=0),(AX$32="S"))),1,(IF((AB23+AC23+AD23+AE23+AF23)&lt;=$AI$7,$AI$7,(AB23+AC23+AD23+AE23+AF23))))))))))</f>
        <v>0</v>
      </c>
      <c r="AH23" s="110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1">
        <f t="shared" si="11"/>
        <v>0</v>
      </c>
      <c r="AJ23" s="112" t="s">
        <v>173</v>
      </c>
      <c r="AK23" s="113">
        <f t="shared" si="12"/>
        <v>1</v>
      </c>
      <c r="AL23" s="112"/>
      <c r="AM23" s="114" t="str">
        <f t="shared" si="13"/>
        <v>EXCLUI</v>
      </c>
      <c r="AN23" s="105" t="str">
        <f t="shared" si="14"/>
        <v>OK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0</v>
      </c>
      <c r="BF23" s="52">
        <v>17</v>
      </c>
      <c r="BG23" s="52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10</v>
      </c>
      <c r="BK23" s="25">
        <f t="shared" si="19"/>
        <v>10</v>
      </c>
      <c r="BL23" s="63" t="str">
        <f t="shared" si="20"/>
        <v/>
      </c>
      <c r="BM23" s="63">
        <f t="shared" si="21"/>
        <v>0</v>
      </c>
      <c r="BN23" s="63">
        <f t="shared" si="22"/>
        <v>0</v>
      </c>
      <c r="BO23" s="64" t="str">
        <f t="shared" si="28"/>
        <v/>
      </c>
      <c r="BP23" s="64">
        <f t="shared" si="23"/>
        <v>0</v>
      </c>
      <c r="BQ23" s="64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s="1" customFormat="1" ht="16.5" thickTop="1" thickBot="1" x14ac:dyDescent="0.3">
      <c r="A24" s="261" t="s">
        <v>156</v>
      </c>
      <c r="B24" s="262">
        <f>'DADOS FINAIS'!D24</f>
        <v>9</v>
      </c>
      <c r="C24" s="262">
        <f>'DADOS FINAIS'!E24</f>
        <v>11</v>
      </c>
      <c r="D24" s="262">
        <f>'DADOS FINAIS'!B24</f>
        <v>9</v>
      </c>
      <c r="E24" s="262">
        <f>'DADOS FINAIS'!C24</f>
        <v>13</v>
      </c>
      <c r="F24" s="262">
        <f>'IMPORTAÇÃO GENOTIPER'!AU20</f>
        <v>11</v>
      </c>
      <c r="G24" s="262">
        <f>'IMPORTAÇÃO GENOTIPER'!BC20</f>
        <v>11</v>
      </c>
      <c r="H24" s="101">
        <f t="shared" si="0"/>
        <v>9</v>
      </c>
      <c r="I24" s="101">
        <f t="shared" si="0"/>
        <v>11</v>
      </c>
      <c r="J24" s="101">
        <f t="shared" si="0"/>
        <v>9</v>
      </c>
      <c r="K24" s="101">
        <f t="shared" si="0"/>
        <v>13</v>
      </c>
      <c r="L24" s="101">
        <f t="shared" si="0"/>
        <v>11</v>
      </c>
      <c r="M24" s="101">
        <f t="shared" si="0"/>
        <v>11</v>
      </c>
      <c r="N24" s="102">
        <f t="shared" si="1"/>
        <v>9</v>
      </c>
      <c r="O24" s="102">
        <f t="shared" si="2"/>
        <v>11</v>
      </c>
      <c r="P24" s="102">
        <f t="shared" si="3"/>
        <v>9</v>
      </c>
      <c r="Q24" s="102">
        <f t="shared" si="4"/>
        <v>13</v>
      </c>
      <c r="R24" s="102">
        <f t="shared" si="5"/>
        <v>11</v>
      </c>
      <c r="S24" s="102">
        <f t="shared" si="6"/>
        <v>11</v>
      </c>
      <c r="T24" s="103">
        <f t="shared" si="7"/>
        <v>9</v>
      </c>
      <c r="U24" s="103">
        <f t="shared" si="8"/>
        <v>0</v>
      </c>
      <c r="V24" s="104">
        <f>(IF((OR((P24="&gt;18"),(Q24="&gt;18"))),2,(IF(((T24+U24)=(P24+Q24)),0,1))))</f>
        <v>1</v>
      </c>
      <c r="W24" s="105">
        <f>IF(OR(($T24=$U24),($U24=0)),$T24,(IF(AND(($T24=0),($U24&lt;&gt;0)),$U24,$AJ$7)))</f>
        <v>9</v>
      </c>
      <c r="X24" s="128">
        <f t="shared" si="30"/>
        <v>13</v>
      </c>
      <c r="Y24" s="103">
        <f>(IF((AND(($T24=0),($U24=0))),$E24,(IF(($W24&lt;&gt;$AJ$7),0,$Q24))))</f>
        <v>0</v>
      </c>
      <c r="Z24" s="106">
        <f t="shared" si="9"/>
        <v>0</v>
      </c>
      <c r="AA24" s="107">
        <f t="shared" si="10"/>
        <v>0</v>
      </c>
      <c r="AB24" s="108">
        <f>IF(X24=0,0,VLOOKUP(X24,FREQUENCIAS!$1:$1048576,(IF(($A24=FREQUENCIAS!$Q$1),17,"ERRO")),FREQUENCIAS!$1:$1048576))</f>
        <v>0.17447299999999999</v>
      </c>
      <c r="AC24" s="108">
        <f>IF(Y24=0,0,VLOOKUP(Y24,FREQUENCIAS!$1:$1048576,(IF(($A24=FREQUENCIAS!$Q$1),17,"ERRO")),FREQUENCIAS!$1:$1048576))</f>
        <v>0</v>
      </c>
      <c r="AD24" s="108"/>
      <c r="AE24" s="108"/>
      <c r="AF24" s="108"/>
      <c r="AG24" s="109">
        <f>(IF((A24="ERRO-FT"),"8",((IF((AND(($Z24=0),($AA24=0),($AX$32="N"))),0,(IF((AND(($Z24=0),($AA24=0),(AX$32="S"))),1,(IF((AB24+AC24+AD24+AE24+AF24)&lt;=$AI$7,$AI$7,(AB24+AC24+AD24+AE24+AF24))))))))))</f>
        <v>0</v>
      </c>
      <c r="AH24" s="110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1">
        <f t="shared" si="11"/>
        <v>0</v>
      </c>
      <c r="AJ24" s="112"/>
      <c r="AK24" s="113">
        <f t="shared" si="12"/>
        <v>1</v>
      </c>
      <c r="AL24" s="112"/>
      <c r="AM24" s="114" t="str">
        <f t="shared" si="13"/>
        <v>EXCLUI</v>
      </c>
      <c r="AN24" s="105" t="str">
        <f t="shared" si="14"/>
        <v>OK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0</v>
      </c>
      <c r="BE24" s="67"/>
      <c r="BF24" s="51">
        <v>8</v>
      </c>
      <c r="BG24" s="51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CORRETO</v>
      </c>
      <c r="BI24" s="56" t="str">
        <f t="shared" si="17"/>
        <v/>
      </c>
      <c r="BJ24" s="56">
        <f t="shared" si="18"/>
        <v>9</v>
      </c>
      <c r="BK24" s="56">
        <f t="shared" si="19"/>
        <v>9</v>
      </c>
      <c r="BL24" s="59" t="str">
        <f t="shared" si="20"/>
        <v/>
      </c>
      <c r="BM24" s="59">
        <f t="shared" si="21"/>
        <v>0</v>
      </c>
      <c r="BN24" s="59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s="1" customFormat="1" ht="16.5" thickTop="1" thickBot="1" x14ac:dyDescent="0.3">
      <c r="A25" s="261" t="s">
        <v>142</v>
      </c>
      <c r="B25" s="262">
        <f>'DADOS FINAIS'!D25</f>
        <v>8</v>
      </c>
      <c r="C25" s="262">
        <f>'DADOS FINAIS'!E25</f>
        <v>11</v>
      </c>
      <c r="D25" s="262">
        <f>'DADOS FINAIS'!B25</f>
        <v>11</v>
      </c>
      <c r="E25" s="262">
        <f>'DADOS FINAIS'!C25</f>
        <v>11</v>
      </c>
      <c r="F25" s="262">
        <f>'IMPORTAÇÃO GENOTIPER'!AU21</f>
        <v>7</v>
      </c>
      <c r="G25" s="262">
        <f>'IMPORTAÇÃO GENOTIPER'!BC21</f>
        <v>8</v>
      </c>
      <c r="H25" s="101">
        <f t="shared" ref="H25:M30" si="33">(IF(CODE(B25)=(60),($BF25-1),(IF(CODE(B25)=(62),($BG25+1),B25))))</f>
        <v>8</v>
      </c>
      <c r="I25" s="101">
        <f t="shared" si="33"/>
        <v>11</v>
      </c>
      <c r="J25" s="101">
        <f t="shared" si="33"/>
        <v>11</v>
      </c>
      <c r="K25" s="101">
        <f t="shared" si="33"/>
        <v>11</v>
      </c>
      <c r="L25" s="101">
        <f t="shared" si="33"/>
        <v>7</v>
      </c>
      <c r="M25" s="101">
        <f t="shared" si="33"/>
        <v>8</v>
      </c>
      <c r="N25" s="102">
        <f t="shared" si="1"/>
        <v>8</v>
      </c>
      <c r="O25" s="102">
        <f t="shared" si="2"/>
        <v>11</v>
      </c>
      <c r="P25" s="102">
        <f t="shared" si="3"/>
        <v>11</v>
      </c>
      <c r="Q25" s="102">
        <f t="shared" si="4"/>
        <v>11</v>
      </c>
      <c r="R25" s="102">
        <f t="shared" si="5"/>
        <v>7</v>
      </c>
      <c r="S25" s="102">
        <f t="shared" si="6"/>
        <v>8</v>
      </c>
      <c r="T25" s="103">
        <f t="shared" si="7"/>
        <v>11</v>
      </c>
      <c r="U25" s="103">
        <f t="shared" si="8"/>
        <v>11</v>
      </c>
      <c r="V25" s="104">
        <f>(IF((OR((P25="&gt;36"),(Q25="&gt;36"))),2,(IF(((T25+U25)=(P25+Q25)),0,1))))</f>
        <v>0</v>
      </c>
      <c r="W25" s="105">
        <f t="shared" ref="W25:W30" si="34">IF(OR((T25=U25),(U25=0)),T25,(IF(AND((T25=0),(U25&lt;&gt;0)),U25,$AJ$7)))</f>
        <v>11</v>
      </c>
      <c r="X25" s="128">
        <f t="shared" si="30"/>
        <v>11</v>
      </c>
      <c r="Y25" s="103">
        <f>(IF((AND((T25=0),(U25=0))),E25,(IF((W25&lt;&gt;$AJ$7),0,Q25))))</f>
        <v>0</v>
      </c>
      <c r="Z25" s="106">
        <f t="shared" si="9"/>
        <v>0</v>
      </c>
      <c r="AA25" s="107">
        <f t="shared" si="10"/>
        <v>0</v>
      </c>
      <c r="AB25" s="108">
        <f>IF(X25=0,0,VLOOKUP(X25,FREQUENCIAS!$1:$1048576,(IF(($A25=FREQUENCIAS!$R$1),18,"ERRO")),FREQUENCIAS!$1:$1048576))</f>
        <v>0.275532</v>
      </c>
      <c r="AC25" s="108">
        <f>IF(Y25=0,0,VLOOKUP(Y25,FREQUENCIAS!$1:$1048576,(IF(($A25=FREQUENCIAS!$R$1),18,"ERRO")),FREQUENCIAS!$1:$1048576))</f>
        <v>0</v>
      </c>
      <c r="AD25" s="108"/>
      <c r="AE25" s="108"/>
      <c r="AF25" s="108"/>
      <c r="AG25" s="109">
        <f>(IF((A25="ERRO-FT"),"24",((IF((AND(($Z25=0),($AA25=0),($AX$32="N"))),0,(IF((AND(($Z25=0),($AA25=0),(AX$32="S"))),1,(IF((AB25+AC25+AD25+AE25+AF25)&lt;=$AI$7,$AI$7,(AB25+AC25+AD25+AE25+AF25))))))))))</f>
        <v>0</v>
      </c>
      <c r="AH25" s="110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1">
        <f t="shared" si="11"/>
        <v>0</v>
      </c>
      <c r="AJ25" s="112"/>
      <c r="AK25" s="113">
        <f t="shared" si="12"/>
        <v>1</v>
      </c>
      <c r="AL25" s="112"/>
      <c r="AM25" s="114" t="str">
        <f t="shared" si="13"/>
        <v>EXCLUI</v>
      </c>
      <c r="AN25" s="105" t="str">
        <f t="shared" si="14"/>
        <v>OK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0</v>
      </c>
      <c r="BF25" s="52">
        <v>24</v>
      </c>
      <c r="BG25" s="52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6" t="str">
        <f t="shared" si="17"/>
        <v/>
      </c>
      <c r="BJ25" s="56">
        <f t="shared" si="18"/>
        <v>11</v>
      </c>
      <c r="BK25" s="56">
        <f t="shared" si="19"/>
        <v>11</v>
      </c>
      <c r="BL25" s="59" t="str">
        <f t="shared" si="20"/>
        <v/>
      </c>
      <c r="BM25" s="65">
        <f t="shared" si="21"/>
        <v>0</v>
      </c>
      <c r="BN25" s="59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s="1" customFormat="1" ht="16.5" thickTop="1" thickBot="1" x14ac:dyDescent="0.3">
      <c r="A26" s="261" t="s">
        <v>153</v>
      </c>
      <c r="B26" s="262">
        <f>'DADOS FINAIS'!D26</f>
        <v>10</v>
      </c>
      <c r="C26" s="262">
        <f>'DADOS FINAIS'!E26</f>
        <v>14</v>
      </c>
      <c r="D26" s="262">
        <f>'DADOS FINAIS'!B26</f>
        <v>10</v>
      </c>
      <c r="E26" s="262">
        <f>'DADOS FINAIS'!C26</f>
        <v>14</v>
      </c>
      <c r="F26" s="262">
        <f>'IMPORTAÇÃO GENOTIPER'!AU23</f>
        <v>14</v>
      </c>
      <c r="G26" s="262">
        <f>'IMPORTAÇÃO GENOTIPER'!BC23</f>
        <v>15</v>
      </c>
      <c r="H26" s="101">
        <f t="shared" si="33"/>
        <v>10</v>
      </c>
      <c r="I26" s="101">
        <f t="shared" si="33"/>
        <v>14</v>
      </c>
      <c r="J26" s="101">
        <f t="shared" si="33"/>
        <v>10</v>
      </c>
      <c r="K26" s="101">
        <f t="shared" si="33"/>
        <v>14</v>
      </c>
      <c r="L26" s="101">
        <f t="shared" si="33"/>
        <v>14</v>
      </c>
      <c r="M26" s="101">
        <f t="shared" si="33"/>
        <v>15</v>
      </c>
      <c r="N26" s="102">
        <f t="shared" si="1"/>
        <v>10</v>
      </c>
      <c r="O26" s="102">
        <f t="shared" si="2"/>
        <v>14</v>
      </c>
      <c r="P26" s="102">
        <f t="shared" si="3"/>
        <v>10</v>
      </c>
      <c r="Q26" s="102">
        <f t="shared" si="4"/>
        <v>14</v>
      </c>
      <c r="R26" s="102">
        <f t="shared" si="5"/>
        <v>14</v>
      </c>
      <c r="S26" s="102">
        <f t="shared" si="6"/>
        <v>15</v>
      </c>
      <c r="T26" s="103">
        <f t="shared" si="7"/>
        <v>10</v>
      </c>
      <c r="U26" s="103">
        <f t="shared" si="8"/>
        <v>14</v>
      </c>
      <c r="V26" s="104">
        <f>(IF((OR((P26="&gt;21"),(Q26="&gt;21"))),2,(IF(((T26+U26)=(P26+Q26)),0,1))))</f>
        <v>0</v>
      </c>
      <c r="W26" s="103" t="str">
        <f t="shared" si="34"/>
        <v>NÃO DEF</v>
      </c>
      <c r="X26" s="128">
        <f t="shared" si="30"/>
        <v>10</v>
      </c>
      <c r="Y26" s="103">
        <f xml:space="preserve"> (IF((AND((T26=0),(U26=0))),E26,(IF((W26&lt;&gt;$AJ$7),0,Q26))))</f>
        <v>14</v>
      </c>
      <c r="Z26" s="106">
        <f t="shared" si="9"/>
        <v>0</v>
      </c>
      <c r="AA26" s="107">
        <f t="shared" si="10"/>
        <v>14</v>
      </c>
      <c r="AB26" s="108">
        <f>IF(X26=0,0,VLOOKUP(X26,FREQUENCIAS!$1:$1048576,(IF(($A26=FREQUENCIAS!$S$1),19,"ERRO")),FREQUENCIAS!$1:$1048576))</f>
        <v>6.8212999999999996E-2</v>
      </c>
      <c r="AC26" s="108">
        <f>IF(Y26=0,0,VLOOKUP(Y26,FREQUENCIAS!$1:$1048576,(IF(($A26=FREQUENCIAS!$S$1),19,"ERRO")),FREQUENCIAS!$1:$1048576))</f>
        <v>0.25086999999999998</v>
      </c>
      <c r="AD26" s="108"/>
      <c r="AE26" s="108"/>
      <c r="AF26" s="108"/>
      <c r="AG26" s="109">
        <f>(IF((A26="ERRO-FT"),"6",((IF((AND(($Z26=0),($AA26=0),($AX$32="N"))),0,(IF((AND(($Z26=0),($AA26=0),(AX$32="S"))),1,(IF((AB26+AC26+AD26+AE26+AF26)&lt;=$AI$7,$AI$7,(AB26+AC26+AD26+AE26+AF26))))))))))</f>
        <v>0.31908300000000001</v>
      </c>
      <c r="AH26" s="110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1.5669904068847291</v>
      </c>
      <c r="AI26" s="111">
        <f t="shared" si="11"/>
        <v>0.61043874674483545</v>
      </c>
      <c r="AJ26" s="112" t="s">
        <v>140</v>
      </c>
      <c r="AK26" s="113">
        <f t="shared" si="12"/>
        <v>0.46364796088900001</v>
      </c>
      <c r="AL26" s="112"/>
      <c r="AM26" s="114" t="str">
        <f t="shared" si="13"/>
        <v>1 / 2F</v>
      </c>
      <c r="AN26" s="105" t="str">
        <f t="shared" si="14"/>
        <v>OK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0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1.5669904068847291</v>
      </c>
      <c r="BD26" s="2">
        <f t="shared" si="35"/>
        <v>0</v>
      </c>
      <c r="BF26" s="52">
        <v>6</v>
      </c>
      <c r="BG26" s="52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CORRETO</v>
      </c>
      <c r="BI26" s="56" t="str">
        <f t="shared" si="17"/>
        <v/>
      </c>
      <c r="BJ26" s="56" t="str">
        <f t="shared" si="18"/>
        <v>NÃO DEF</v>
      </c>
      <c r="BK26" s="56" t="str">
        <f t="shared" si="19"/>
        <v>NÃO DEF</v>
      </c>
      <c r="BL26" s="59" t="str">
        <f t="shared" si="20"/>
        <v/>
      </c>
      <c r="BM26" s="59">
        <f t="shared" si="21"/>
        <v>0</v>
      </c>
      <c r="BN26" s="59">
        <f t="shared" si="22"/>
        <v>0</v>
      </c>
      <c r="BO26" s="37" t="str">
        <f t="shared" si="28"/>
        <v/>
      </c>
      <c r="BP26" s="37">
        <f t="shared" si="23"/>
        <v>14</v>
      </c>
      <c r="BQ26" s="37">
        <f t="shared" si="24"/>
        <v>14</v>
      </c>
      <c r="BT26" s="23">
        <v>9</v>
      </c>
      <c r="BU26" s="24">
        <v>12</v>
      </c>
    </row>
    <row r="27" spans="1:80" s="1" customFormat="1" ht="16.5" thickTop="1" thickBot="1" x14ac:dyDescent="0.3">
      <c r="A27" s="261" t="s">
        <v>224</v>
      </c>
      <c r="B27" s="262">
        <f>'DADOS FINAIS'!D27</f>
        <v>18.3</v>
      </c>
      <c r="C27" s="262">
        <f>'DADOS FINAIS'!E27</f>
        <v>19</v>
      </c>
      <c r="D27" s="262">
        <f>'DADOS FINAIS'!B27</f>
        <v>17</v>
      </c>
      <c r="E27" s="262">
        <f>'DADOS FINAIS'!C27</f>
        <v>19</v>
      </c>
      <c r="F27" s="262">
        <f>'IMPORTAÇÃO GENOTIPER'!AU24</f>
        <v>18.3</v>
      </c>
      <c r="G27" s="262">
        <f>'IMPORTAÇÃO GENOTIPER'!BC24</f>
        <v>22</v>
      </c>
      <c r="H27" s="101">
        <f t="shared" si="33"/>
        <v>18.3</v>
      </c>
      <c r="I27" s="101">
        <f t="shared" si="33"/>
        <v>19</v>
      </c>
      <c r="J27" s="101">
        <f t="shared" si="33"/>
        <v>17</v>
      </c>
      <c r="K27" s="101">
        <f t="shared" si="33"/>
        <v>19</v>
      </c>
      <c r="L27" s="101">
        <f t="shared" si="33"/>
        <v>18.3</v>
      </c>
      <c r="M27" s="101">
        <f t="shared" si="33"/>
        <v>22</v>
      </c>
      <c r="N27" s="102">
        <f t="shared" si="1"/>
        <v>18.3</v>
      </c>
      <c r="O27" s="102">
        <f t="shared" si="2"/>
        <v>19</v>
      </c>
      <c r="P27" s="102">
        <f t="shared" si="3"/>
        <v>17</v>
      </c>
      <c r="Q27" s="102">
        <f t="shared" si="4"/>
        <v>19</v>
      </c>
      <c r="R27" s="102">
        <f t="shared" si="5"/>
        <v>18.3</v>
      </c>
      <c r="S27" s="102">
        <f t="shared" si="6"/>
        <v>22</v>
      </c>
      <c r="T27" s="103">
        <f t="shared" si="7"/>
        <v>0</v>
      </c>
      <c r="U27" s="103">
        <f t="shared" si="8"/>
        <v>19</v>
      </c>
      <c r="V27" s="104">
        <f>(IF((OR((P27="&gt;21"),(Q27="&gt;21"))),2,(IF(((T27+U27)=(P27+Q27)),0,1))))</f>
        <v>1</v>
      </c>
      <c r="W27" s="105">
        <f t="shared" si="34"/>
        <v>19</v>
      </c>
      <c r="X27" s="128">
        <f t="shared" si="30"/>
        <v>17</v>
      </c>
      <c r="Y27" s="103">
        <f>(IF((AND((T27=0),(U27=0))),E27,(IF((W27&lt;&gt;$AJ$7),0,Q27))))</f>
        <v>0</v>
      </c>
      <c r="Z27" s="106">
        <f t="shared" si="9"/>
        <v>0</v>
      </c>
      <c r="AA27" s="107">
        <f t="shared" si="10"/>
        <v>0</v>
      </c>
      <c r="AB27" s="108">
        <f>IF(X27=0,0,VLOOKUP(X27,FREQUENCIAS!$1:$1048576,(IF(($A27=FREQUENCIAS!$T$1),20,"ERRO")),FREQUENCIAS!$1:$1048576))</f>
        <v>9.6000000000000002E-2</v>
      </c>
      <c r="AC27" s="108">
        <f>IF(Y27=0,0,VLOOKUP(Y27,FREQUENCIAS!$1:$1048576,(IF(($A27=FREQUENCIAS!$T$1),20,"ERRO")),FREQUENCIAS!$1:$1048576))</f>
        <v>0</v>
      </c>
      <c r="AD27" s="108"/>
      <c r="AE27" s="108"/>
      <c r="AF27" s="108"/>
      <c r="AG27" s="109">
        <f>(IF((A27="ERRO-FT"),"11",((IF((AND(($Z27=0),($AA27=0),($AX$32="N"))),0,(IF((AND(($Z27=0),($AA27=0),(AX$32="S"))),1,(IF((AB27+AC27+AD27+AE27+AF27)&lt;=$AI$7,$AI$7,(AB27+AC27+AD27+AE27+AF27))))))))))</f>
        <v>0</v>
      </c>
      <c r="AH27" s="110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1">
        <f t="shared" si="11"/>
        <v>0</v>
      </c>
      <c r="AJ27" s="112" t="s">
        <v>163</v>
      </c>
      <c r="AK27" s="265">
        <f t="shared" si="12"/>
        <v>1</v>
      </c>
      <c r="AL27" s="112"/>
      <c r="AM27" s="114" t="str">
        <f t="shared" si="13"/>
        <v>EXCLUI</v>
      </c>
      <c r="AN27" s="105" t="str">
        <f t="shared" si="14"/>
        <v>OK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0</v>
      </c>
      <c r="BF27" s="52">
        <v>12</v>
      </c>
      <c r="BG27" s="52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6" t="str">
        <f t="shared" si="17"/>
        <v/>
      </c>
      <c r="BJ27" s="56">
        <f t="shared" si="18"/>
        <v>19</v>
      </c>
      <c r="BK27" s="56">
        <f t="shared" si="19"/>
        <v>19</v>
      </c>
      <c r="BL27" s="59" t="str">
        <f t="shared" si="20"/>
        <v/>
      </c>
      <c r="BM27" s="59">
        <f t="shared" si="21"/>
        <v>0</v>
      </c>
      <c r="BN27" s="59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s="1" customFormat="1" ht="16.5" thickTop="1" thickBot="1" x14ac:dyDescent="0.3">
      <c r="A28" s="261" t="s">
        <v>52</v>
      </c>
      <c r="B28" s="262">
        <f>'DADOS FINAIS'!D28</f>
        <v>14</v>
      </c>
      <c r="C28" s="262">
        <f>'DADOS FINAIS'!E28</f>
        <v>14</v>
      </c>
      <c r="D28" s="262">
        <f>'DADOS FINAIS'!B28</f>
        <v>12</v>
      </c>
      <c r="E28" s="262">
        <f>'DADOS FINAIS'!C28</f>
        <v>14</v>
      </c>
      <c r="F28" s="262">
        <f>'IMPORTAÇÃO GENOTIPER'!AU25</f>
        <v>14</v>
      </c>
      <c r="G28" s="262">
        <f>'IMPORTAÇÃO GENOTIPER'!BC25</f>
        <v>14</v>
      </c>
      <c r="H28" s="101">
        <f t="shared" si="33"/>
        <v>14</v>
      </c>
      <c r="I28" s="101">
        <f t="shared" si="33"/>
        <v>14</v>
      </c>
      <c r="J28" s="101">
        <f t="shared" si="33"/>
        <v>12</v>
      </c>
      <c r="K28" s="101">
        <f t="shared" si="33"/>
        <v>14</v>
      </c>
      <c r="L28" s="101">
        <f t="shared" si="33"/>
        <v>14</v>
      </c>
      <c r="M28" s="101">
        <f t="shared" si="33"/>
        <v>14</v>
      </c>
      <c r="N28" s="102">
        <f t="shared" si="1"/>
        <v>14</v>
      </c>
      <c r="O28" s="102">
        <f t="shared" si="2"/>
        <v>14</v>
      </c>
      <c r="P28" s="102">
        <f t="shared" si="3"/>
        <v>12</v>
      </c>
      <c r="Q28" s="102">
        <f t="shared" si="4"/>
        <v>14</v>
      </c>
      <c r="R28" s="102">
        <f t="shared" si="5"/>
        <v>14</v>
      </c>
      <c r="S28" s="102">
        <f t="shared" si="6"/>
        <v>14</v>
      </c>
      <c r="T28" s="103">
        <f t="shared" si="7"/>
        <v>0</v>
      </c>
      <c r="U28" s="103">
        <f t="shared" si="8"/>
        <v>14</v>
      </c>
      <c r="V28" s="104">
        <f>(IF((OR((P28="&gt;20"),(Q28="&gt;20"))),2,(IF(((T28+U28)=(P28+Q28)),0,1))))</f>
        <v>1</v>
      </c>
      <c r="W28" s="105">
        <f t="shared" si="34"/>
        <v>14</v>
      </c>
      <c r="X28" s="128">
        <f t="shared" si="30"/>
        <v>12</v>
      </c>
      <c r="Y28" s="103">
        <f>(IF((AND((T28=0),(U28=0))),E28,(IF((W28&lt;&gt;$AJ$7),0,Q28))))</f>
        <v>0</v>
      </c>
      <c r="Z28" s="106">
        <f t="shared" si="9"/>
        <v>0</v>
      </c>
      <c r="AA28" s="107">
        <f t="shared" si="10"/>
        <v>0</v>
      </c>
      <c r="AB28" s="108">
        <f>IF(X28=0,0,VLOOKUP(X28,FREQUENCIAS!$1:$1048576,(IF(($A28=FREQUENCIAS!$U$1),21,"ERRO")),FREQUENCIAS!$1:$1048576))</f>
        <v>0.10100000000000001</v>
      </c>
      <c r="AC28" s="108">
        <f>IF(Y28=0,0,VLOOKUP(Y28,FREQUENCIAS!$1:$1048576,(IF(($A28=FREQUENCIAS!$U$1),21,"ERRO")),FREQUENCIAS!$1:$1048576))</f>
        <v>0</v>
      </c>
      <c r="AD28" s="108"/>
      <c r="AE28" s="108"/>
      <c r="AF28" s="108"/>
      <c r="AG28" s="109">
        <f>(IF((A28="ERRO-FT"),"4",((IF((AND(($Z28=0),($AA28=0),($AX$32="N"))),0,(IF((AND(($Z28=0),($AA28=0),(AX$32="S"))),1,(IF((AB28+AC28+AD28+AE28+AF28)&lt;=$AI$7,$AI$7,(AB28+AC28+AD28+AE28+AF28))))))))))</f>
        <v>0</v>
      </c>
      <c r="AH28" s="110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1">
        <f t="shared" si="11"/>
        <v>0</v>
      </c>
      <c r="AJ28" s="112"/>
      <c r="AK28" s="113">
        <f t="shared" si="12"/>
        <v>1</v>
      </c>
      <c r="AL28" s="112"/>
      <c r="AM28" s="114" t="str">
        <f t="shared" si="13"/>
        <v>EXCLUI</v>
      </c>
      <c r="AN28" s="105" t="str">
        <f t="shared" si="14"/>
        <v>OK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0</v>
      </c>
      <c r="BF28" s="52">
        <v>4</v>
      </c>
      <c r="BG28" s="52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6" t="str">
        <f t="shared" si="17"/>
        <v/>
      </c>
      <c r="BJ28" s="56">
        <f t="shared" si="18"/>
        <v>14</v>
      </c>
      <c r="BK28" s="56">
        <f t="shared" si="19"/>
        <v>14</v>
      </c>
      <c r="BL28" s="59" t="str">
        <f t="shared" si="20"/>
        <v/>
      </c>
      <c r="BM28" s="59">
        <f t="shared" si="21"/>
        <v>0</v>
      </c>
      <c r="BN28" s="59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s="1" customFormat="1" ht="16.5" thickTop="1" thickBot="1" x14ac:dyDescent="0.3">
      <c r="A29" s="261" t="s">
        <v>152</v>
      </c>
      <c r="B29" s="262">
        <f>'DADOS FINAIS'!D29</f>
        <v>19</v>
      </c>
      <c r="C29" s="262">
        <f>'DADOS FINAIS'!E29</f>
        <v>21</v>
      </c>
      <c r="D29" s="262">
        <f>'DADOS FINAIS'!B29</f>
        <v>21</v>
      </c>
      <c r="E29" s="262">
        <f>'DADOS FINAIS'!C29</f>
        <v>23</v>
      </c>
      <c r="F29" s="262">
        <f>'IMPORTAÇÃO GENOTIPER'!AU26</f>
        <v>19</v>
      </c>
      <c r="G29" s="262">
        <f>'IMPORTAÇÃO GENOTIPER'!BC26</f>
        <v>26</v>
      </c>
      <c r="H29" s="101">
        <f t="shared" si="33"/>
        <v>19</v>
      </c>
      <c r="I29" s="101">
        <f t="shared" si="33"/>
        <v>21</v>
      </c>
      <c r="J29" s="101">
        <f t="shared" si="33"/>
        <v>21</v>
      </c>
      <c r="K29" s="101">
        <f t="shared" si="33"/>
        <v>23</v>
      </c>
      <c r="L29" s="101">
        <f t="shared" si="33"/>
        <v>19</v>
      </c>
      <c r="M29" s="101">
        <f t="shared" si="33"/>
        <v>26</v>
      </c>
      <c r="N29" s="102">
        <f t="shared" si="1"/>
        <v>19</v>
      </c>
      <c r="O29" s="102">
        <f t="shared" si="2"/>
        <v>21</v>
      </c>
      <c r="P29" s="102">
        <f t="shared" si="3"/>
        <v>21</v>
      </c>
      <c r="Q29" s="102">
        <f t="shared" si="4"/>
        <v>23</v>
      </c>
      <c r="R29" s="102">
        <f t="shared" si="5"/>
        <v>19</v>
      </c>
      <c r="S29" s="102">
        <f t="shared" si="6"/>
        <v>26</v>
      </c>
      <c r="T29" s="103">
        <f t="shared" si="7"/>
        <v>21</v>
      </c>
      <c r="U29" s="103">
        <f t="shared" si="8"/>
        <v>0</v>
      </c>
      <c r="V29" s="104">
        <f>(IF((OR((P29="&gt;23"),(Q29="&gt;23"))),2,(IF(((T29+U29)=(P29+Q29)),0,1))))</f>
        <v>1</v>
      </c>
      <c r="W29" s="105">
        <f t="shared" si="34"/>
        <v>21</v>
      </c>
      <c r="X29" s="128">
        <f t="shared" si="30"/>
        <v>23</v>
      </c>
      <c r="Y29" s="103">
        <f>(IF((AND((T29=0),(U29=0))),E29,(IF((W29&lt;&gt;$AJ$7),0,Q29))))</f>
        <v>0</v>
      </c>
      <c r="Z29" s="106">
        <f t="shared" si="9"/>
        <v>0</v>
      </c>
      <c r="AA29" s="107">
        <f t="shared" si="10"/>
        <v>0</v>
      </c>
      <c r="AB29" s="108">
        <f>IF(X29=0,0,VLOOKUP(X29,FREQUENCIAS!$1:$1048576,(IF(($A29=FREQUENCIAS!$V$1),22,"ERRO")),FREQUENCIAS!$1:$1048576))</f>
        <v>0.149283</v>
      </c>
      <c r="AC29" s="108">
        <f>IF(Y29=0,0,VLOOKUP(Y29,FREQUENCIAS!$1:$1048576,(IF(($A29=FREQUENCIAS!$V$1),22,"ERRO")),FREQUENCIAS!$1:$1048576))</f>
        <v>0</v>
      </c>
      <c r="AD29" s="108"/>
      <c r="AE29" s="108"/>
      <c r="AF29" s="108"/>
      <c r="AG29" s="109">
        <f>(IF((A29="ERRO-FT"),"8",((IF((AND(($Z29=0),($AA29=0),($AX$32="N"))),0,(IF((AND(($Z29=0),($AA29=0),(AX$32="S"))),1,(IF((AB29+AC29+AD29+AE29+AF29)&lt;=$AI$7,$AI$7,(AB29+AC29+AD29+AE29+AF29))))))))))</f>
        <v>0</v>
      </c>
      <c r="AH29" s="110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1">
        <f t="shared" si="11"/>
        <v>0</v>
      </c>
      <c r="AJ29" s="112"/>
      <c r="AK29" s="113">
        <f t="shared" si="12"/>
        <v>1</v>
      </c>
      <c r="AL29" s="112"/>
      <c r="AM29" s="114" t="str">
        <f t="shared" si="13"/>
        <v>EXCLUI</v>
      </c>
      <c r="AN29" s="105" t="str">
        <f t="shared" si="14"/>
        <v>OK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0</v>
      </c>
      <c r="BF29" s="52">
        <v>8</v>
      </c>
      <c r="BG29" s="52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6" t="str">
        <f t="shared" si="17"/>
        <v/>
      </c>
      <c r="BJ29" s="56">
        <f t="shared" si="18"/>
        <v>21</v>
      </c>
      <c r="BK29" s="56">
        <f t="shared" si="19"/>
        <v>21</v>
      </c>
      <c r="BL29" s="59" t="str">
        <f t="shared" si="20"/>
        <v/>
      </c>
      <c r="BM29" s="59">
        <f t="shared" si="21"/>
        <v>0</v>
      </c>
      <c r="BN29" s="59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s="1" customFormat="1" ht="16.5" thickTop="1" thickBot="1" x14ac:dyDescent="0.3">
      <c r="A30" s="261" t="s">
        <v>225</v>
      </c>
      <c r="B30" s="262">
        <f>'DADOS FINAIS'!D30</f>
        <v>16</v>
      </c>
      <c r="C30" s="262">
        <f>'DADOS FINAIS'!E30</f>
        <v>16</v>
      </c>
      <c r="D30" s="262">
        <f>'DADOS FINAIS'!B30</f>
        <v>11</v>
      </c>
      <c r="E30" s="262">
        <f>'DADOS FINAIS'!C30</f>
        <v>16</v>
      </c>
      <c r="F30" s="262">
        <f>'IMPORTAÇÃO GENOTIPER'!AU27</f>
        <v>16</v>
      </c>
      <c r="G30" s="262">
        <f>'IMPORTAÇÃO GENOTIPER'!BC27</f>
        <v>17</v>
      </c>
      <c r="H30" s="101">
        <f t="shared" si="33"/>
        <v>16</v>
      </c>
      <c r="I30" s="101">
        <f t="shared" si="33"/>
        <v>16</v>
      </c>
      <c r="J30" s="101">
        <f t="shared" si="33"/>
        <v>11</v>
      </c>
      <c r="K30" s="101">
        <f t="shared" si="33"/>
        <v>16</v>
      </c>
      <c r="L30" s="101">
        <f t="shared" si="33"/>
        <v>16</v>
      </c>
      <c r="M30" s="101">
        <f t="shared" si="33"/>
        <v>17</v>
      </c>
      <c r="N30" s="102">
        <f t="shared" si="1"/>
        <v>16</v>
      </c>
      <c r="O30" s="102">
        <f t="shared" si="2"/>
        <v>16</v>
      </c>
      <c r="P30" s="102">
        <f t="shared" si="3"/>
        <v>11</v>
      </c>
      <c r="Q30" s="102">
        <f t="shared" si="4"/>
        <v>16</v>
      </c>
      <c r="R30" s="102">
        <f t="shared" si="5"/>
        <v>16</v>
      </c>
      <c r="S30" s="102">
        <f t="shared" si="6"/>
        <v>17</v>
      </c>
      <c r="T30" s="103">
        <f t="shared" si="7"/>
        <v>0</v>
      </c>
      <c r="U30" s="103">
        <f t="shared" si="8"/>
        <v>16</v>
      </c>
      <c r="V30" s="104">
        <f>(IF((OR((P30="&gt;22"),(Q30="&gt;22"))),2,(IF(((T30+U30)=(P30+Q30)),0,1))))</f>
        <v>1</v>
      </c>
      <c r="W30" s="105">
        <f t="shared" si="34"/>
        <v>16</v>
      </c>
      <c r="X30" s="128">
        <f t="shared" si="30"/>
        <v>11</v>
      </c>
      <c r="Y30" s="103">
        <f>(IF((AND((T30=0),(U30=0))),E30,(IF((W30&lt;&gt;$AJ$7),0,Q30))))</f>
        <v>0</v>
      </c>
      <c r="Z30" s="106">
        <f t="shared" si="9"/>
        <v>0</v>
      </c>
      <c r="AA30" s="107">
        <f t="shared" si="10"/>
        <v>0</v>
      </c>
      <c r="AB30" s="108">
        <f>IF(X30=0,0,VLOOKUP(X30,FREQUENCIAS!$1:$1048576,(IF(($A30=FREQUENCIAS!$W$1),23,"ERRO")),FREQUENCIAS!$1:$1048576))</f>
        <v>0.1012</v>
      </c>
      <c r="AC30" s="108">
        <f>IF(Y30=0,0,VLOOKUP(Y30,FREQUENCIAS!$1:$1048576,(IF(($A30=FREQUENCIAS!$W$1),23,"ERRO")),FREQUENCIAS!$1:$1048576))</f>
        <v>0</v>
      </c>
      <c r="AD30" s="108"/>
      <c r="AE30" s="108"/>
      <c r="AF30" s="108"/>
      <c r="AG30" s="109">
        <f>(IF((A30="ERRO-FT"),"5",((IF((AND(($Z30=0),($AA30=0),($AX$32="N"))),0,(IF((AND(($Z30=0),($AA30=0),(AX$32="S"))),1,(IF((AB30+AC30+AD30+AE30+AF30)&lt;=$AI$7,$AI$7,(AB30+AC30+AD30+AE30+AF30))))))))))</f>
        <v>0</v>
      </c>
      <c r="AH30" s="110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1">
        <f t="shared" si="11"/>
        <v>0</v>
      </c>
      <c r="AJ30" s="112"/>
      <c r="AK30" s="113">
        <f t="shared" si="12"/>
        <v>1</v>
      </c>
      <c r="AL30" s="112"/>
      <c r="AM30" s="114" t="str">
        <f t="shared" si="13"/>
        <v>EXCLUI</v>
      </c>
      <c r="AN30" s="105" t="str">
        <f t="shared" si="14"/>
        <v>OK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0</v>
      </c>
      <c r="BF30" s="52">
        <v>5</v>
      </c>
      <c r="BG30" s="52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6" t="str">
        <f t="shared" si="17"/>
        <v>&gt;</v>
      </c>
      <c r="BJ30" s="56">
        <f t="shared" si="18"/>
        <v>16</v>
      </c>
      <c r="BK30" s="56" t="str">
        <f t="shared" si="19"/>
        <v>&gt;16</v>
      </c>
      <c r="BL30" s="59" t="str">
        <f t="shared" si="20"/>
        <v/>
      </c>
      <c r="BM30" s="59">
        <f t="shared" si="21"/>
        <v>0</v>
      </c>
      <c r="BN30" s="59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s="1" customFormat="1" ht="16.5" thickTop="1" x14ac:dyDescent="0.25">
      <c r="A31" s="36"/>
      <c r="B31" s="16"/>
      <c r="C31" s="16"/>
      <c r="D31" s="16"/>
      <c r="E31" s="26"/>
      <c r="F31" s="26"/>
      <c r="G31" s="266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6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69"/>
      <c r="AI31" s="369"/>
      <c r="AK31" s="365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65"/>
      <c r="AM31" s="267"/>
      <c r="AN31" s="17"/>
      <c r="AX31" s="54">
        <f>SUM(AX9:AX23)</f>
        <v>12</v>
      </c>
      <c r="BC31" s="41">
        <f>(IF((AND(($AX$32="N"),($AX$34="O"))),(BC9*BC10*BC11*BC12*BC13*BC14*BC15*BC16*BC17*BC18*BC19*BC20*BC21*BC22*BC23),0))</f>
        <v>0</v>
      </c>
      <c r="BD31" s="35">
        <f>SUM(BD9:BD23)</f>
        <v>0</v>
      </c>
      <c r="BF31" s="2"/>
      <c r="BG31" s="2"/>
    </row>
    <row r="32" spans="1:80" s="1" customFormat="1" ht="15" x14ac:dyDescent="0.25">
      <c r="A32" s="18"/>
      <c r="B32" s="6"/>
      <c r="C32" s="6"/>
      <c r="D32" s="6"/>
      <c r="E32" s="27"/>
      <c r="F32" s="27"/>
      <c r="G32" s="72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6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66"/>
      <c r="AI32" s="366"/>
      <c r="AJ32" s="366"/>
      <c r="AK32" s="366"/>
      <c r="AL32" s="366"/>
      <c r="AM32" s="366"/>
      <c r="AN32" s="75"/>
      <c r="AR32" s="1" t="s">
        <v>102</v>
      </c>
      <c r="AS32" s="22" t="s">
        <v>139</v>
      </c>
      <c r="AX32" s="28" t="str">
        <f>IF(AH41="SIM","S",IF(AH41="NÃO","N",""))</f>
        <v>N</v>
      </c>
      <c r="AY32" s="49" t="s">
        <v>124</v>
      </c>
      <c r="BF32" s="2"/>
      <c r="BG32" s="2"/>
    </row>
    <row r="33" spans="1:74" s="1" customFormat="1" ht="15" x14ac:dyDescent="0.25">
      <c r="A33" s="18"/>
      <c r="B33" s="6"/>
      <c r="C33" s="6"/>
      <c r="D33" s="6"/>
      <c r="E33" s="27"/>
      <c r="F33" s="27"/>
      <c r="G33" s="72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67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67"/>
      <c r="AI33" s="367"/>
      <c r="AJ33" s="367"/>
      <c r="AK33" s="367"/>
      <c r="AL33" s="367"/>
      <c r="AM33" s="367"/>
      <c r="AN33" s="74"/>
      <c r="AR33" s="1" t="s">
        <v>104</v>
      </c>
      <c r="AS33" s="22" t="s">
        <v>140</v>
      </c>
      <c r="AX33" s="29" t="s">
        <v>104</v>
      </c>
      <c r="AY33" s="49" t="s">
        <v>125</v>
      </c>
      <c r="BF33" s="2"/>
      <c r="BG33" s="2"/>
    </row>
    <row r="34" spans="1:74" s="1" customFormat="1" ht="19.5" customHeight="1" thickBot="1" x14ac:dyDescent="0.3">
      <c r="A34" s="18"/>
      <c r="B34" s="6"/>
      <c r="C34" s="6"/>
      <c r="D34" s="6"/>
      <c r="E34" s="27"/>
      <c r="F34" s="27"/>
      <c r="G34" s="72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6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68"/>
      <c r="AI34" s="269"/>
      <c r="AM34" s="42"/>
      <c r="AN34" s="12"/>
      <c r="AX34" s="29"/>
      <c r="AY34" s="49" t="s">
        <v>96</v>
      </c>
      <c r="BF34" s="2"/>
      <c r="BG34" s="2"/>
    </row>
    <row r="35" spans="1:74" s="1" customFormat="1" ht="13.5" thickTop="1" x14ac:dyDescent="0.2">
      <c r="A35" s="270" t="s">
        <v>241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71"/>
      <c r="AK35" s="271"/>
      <c r="AL35" s="271"/>
      <c r="AM35" s="16"/>
      <c r="AN35" s="17"/>
      <c r="BF35" s="2"/>
      <c r="BG35" s="2"/>
    </row>
    <row r="36" spans="1:74" s="1" customFormat="1" x14ac:dyDescent="0.2">
      <c r="A36" s="18" t="s">
        <v>234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272" t="s">
        <v>235</v>
      </c>
      <c r="AS36" s="273"/>
      <c r="AT36" s="273"/>
      <c r="AU36" s="273"/>
      <c r="AV36" s="273"/>
      <c r="AW36" s="273"/>
      <c r="AX36" s="273"/>
      <c r="AY36" s="273"/>
      <c r="BF36" s="2"/>
      <c r="BG36" s="2"/>
    </row>
    <row r="37" spans="1:74" s="1" customFormat="1" ht="12.75" customHeight="1" x14ac:dyDescent="0.2">
      <c r="A37" s="274" t="s">
        <v>242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68" t="s">
        <v>243</v>
      </c>
      <c r="AS37" s="368"/>
      <c r="AT37" s="368"/>
      <c r="AU37" s="368"/>
      <c r="AV37" s="368"/>
      <c r="AW37" s="368"/>
      <c r="AX37" s="368"/>
      <c r="AY37" s="368"/>
      <c r="BF37" s="2"/>
      <c r="BG37" s="2"/>
    </row>
    <row r="38" spans="1:74" s="1" customFormat="1" ht="12.75" customHeight="1" x14ac:dyDescent="0.2">
      <c r="A38" s="18" t="s">
        <v>244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68"/>
      <c r="AS38" s="368"/>
      <c r="AT38" s="368"/>
      <c r="AU38" s="368"/>
      <c r="AV38" s="368"/>
      <c r="AW38" s="368"/>
      <c r="AX38" s="368"/>
      <c r="AY38" s="368"/>
      <c r="BF38" s="2"/>
      <c r="BG38" s="2"/>
    </row>
    <row r="39" spans="1:74" s="1" customFormat="1" ht="13.5" thickBot="1" x14ac:dyDescent="0.25">
      <c r="A39" s="275" t="s">
        <v>245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68"/>
      <c r="AS39" s="368"/>
      <c r="AT39" s="368"/>
      <c r="AU39" s="368"/>
      <c r="AV39" s="368"/>
      <c r="AW39" s="368"/>
      <c r="AX39" s="368"/>
      <c r="AY39" s="368"/>
      <c r="BF39" s="2"/>
      <c r="BG39" s="2"/>
    </row>
    <row r="40" spans="1:74" s="1" customFormat="1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276" t="s">
        <v>139</v>
      </c>
      <c r="AI40" s="71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>= SUPERVISÃO OK</v>
      </c>
      <c r="AJ40" s="68"/>
      <c r="AK40" s="68"/>
      <c r="AL40" s="68"/>
      <c r="AM40" s="68"/>
      <c r="AN40" s="70"/>
      <c r="AO40" s="68"/>
      <c r="AP40" s="68"/>
      <c r="AQ40" s="68"/>
      <c r="AR40" s="368" t="s">
        <v>240</v>
      </c>
      <c r="AS40" s="368"/>
      <c r="AT40" s="368"/>
      <c r="AU40" s="368"/>
      <c r="AV40" s="368"/>
      <c r="AW40" s="368"/>
      <c r="AX40" s="368"/>
      <c r="AY40" s="3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9"/>
    </row>
    <row r="41" spans="1:74" s="1" customFormat="1" ht="12.75" customHeight="1" x14ac:dyDescent="0.25">
      <c r="A41" s="8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277" t="s">
        <v>140</v>
      </c>
      <c r="AI41" s="278"/>
      <c r="AJ41" s="279"/>
      <c r="AK41" s="279"/>
      <c r="AL41" s="279"/>
      <c r="AM41" s="278"/>
      <c r="AN41" s="280"/>
      <c r="AR41" s="368"/>
      <c r="AS41" s="368"/>
      <c r="AT41" s="368"/>
      <c r="AU41" s="368"/>
      <c r="AV41" s="368"/>
      <c r="AW41" s="368"/>
      <c r="AX41" s="368"/>
      <c r="AY41" s="368"/>
      <c r="BF41" s="2"/>
      <c r="BG41" s="2"/>
    </row>
    <row r="42" spans="1:74" s="1" customFormat="1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8"/>
      <c r="AH42" s="48"/>
      <c r="AI42" s="6"/>
      <c r="AJ42" s="43"/>
      <c r="AK42" s="43"/>
      <c r="AL42" s="43"/>
      <c r="AM42" s="6"/>
      <c r="AN42" s="7"/>
      <c r="AR42" s="368"/>
      <c r="AS42" s="368"/>
      <c r="AT42" s="368"/>
      <c r="AU42" s="368"/>
      <c r="AV42" s="368"/>
      <c r="AW42" s="368"/>
      <c r="AX42" s="368"/>
      <c r="AY42" s="368"/>
      <c r="BF42" s="2"/>
      <c r="BG42" s="2"/>
    </row>
    <row r="43" spans="1:74" s="1" customFormat="1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277"/>
      <c r="AI43" s="278"/>
      <c r="AJ43" s="279"/>
      <c r="AK43" s="279"/>
      <c r="AL43" s="279"/>
      <c r="AM43" s="278"/>
      <c r="AN43" s="280"/>
      <c r="AY43" s="47"/>
      <c r="BF43" s="2"/>
      <c r="BG43" s="2"/>
    </row>
    <row r="44" spans="1:74" s="1" customFormat="1" ht="12.75" customHeight="1" x14ac:dyDescent="0.2">
      <c r="A44" s="90"/>
      <c r="B44" s="93"/>
      <c r="C44" s="93"/>
      <c r="D44" s="281"/>
      <c r="E44" s="92"/>
      <c r="F44" s="92" t="s">
        <v>202</v>
      </c>
      <c r="G44" s="377">
        <f ca="1">TODAY()</f>
        <v>41863</v>
      </c>
      <c r="H44" s="377"/>
      <c r="I44" s="377"/>
      <c r="J44" s="377"/>
      <c r="K44" s="377"/>
      <c r="L44" s="377"/>
      <c r="M44" s="377"/>
      <c r="N44" s="377"/>
      <c r="O44" s="377"/>
      <c r="P44" s="377"/>
      <c r="Q44" s="377"/>
      <c r="R44" s="377"/>
      <c r="S44" s="377"/>
      <c r="T44" s="377"/>
      <c r="U44" s="377"/>
      <c r="V44" s="377"/>
      <c r="W44" s="377"/>
      <c r="X44" s="377"/>
      <c r="Y44" s="377"/>
      <c r="Z44" s="377"/>
      <c r="AA44" s="377"/>
      <c r="AB44" s="377"/>
      <c r="AC44" s="377"/>
      <c r="AD44" s="377"/>
      <c r="AE44" s="377"/>
      <c r="AF44" s="377"/>
      <c r="AG44" s="377"/>
      <c r="AH44" s="377"/>
      <c r="AI44" s="377"/>
      <c r="AJ44" s="377"/>
      <c r="AK44" s="377"/>
      <c r="AL44" s="377"/>
      <c r="AM44" s="377"/>
      <c r="AN44" s="378"/>
      <c r="BF44" s="2"/>
      <c r="BG44" s="2"/>
    </row>
    <row r="45" spans="1:74" s="1" customFormat="1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  <c r="BF45" s="2"/>
      <c r="BG45" s="2"/>
    </row>
    <row r="46" spans="1:74" s="1" customFormat="1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  <c r="BF46" s="2"/>
      <c r="BG46" s="2"/>
    </row>
    <row r="47" spans="1:74" s="1" customFormat="1" ht="15" x14ac:dyDescent="0.2">
      <c r="A47" s="98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/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100"/>
      <c r="BF47" s="2"/>
      <c r="BG47" s="2"/>
    </row>
    <row r="48" spans="1:74" s="1" customFormat="1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  <c r="BF48" s="2"/>
      <c r="BG48" s="2"/>
    </row>
    <row r="49" spans="1:59" s="1" customFormat="1" x14ac:dyDescent="0.2">
      <c r="A49" s="379" t="s">
        <v>208</v>
      </c>
      <c r="B49" s="380"/>
      <c r="C49" s="380"/>
      <c r="D49" s="380"/>
      <c r="E49" s="380"/>
      <c r="F49" s="380"/>
      <c r="G49" s="120" t="s">
        <v>204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381" t="s">
        <v>205</v>
      </c>
      <c r="AH49" s="381"/>
      <c r="AI49" s="381"/>
      <c r="AJ49" s="381"/>
      <c r="AK49" s="381"/>
      <c r="AL49" s="381"/>
      <c r="AM49" s="381"/>
      <c r="AN49" s="382"/>
      <c r="BF49" s="2"/>
      <c r="BG49" s="2"/>
    </row>
    <row r="50" spans="1:59" s="1" customFormat="1" x14ac:dyDescent="0.2">
      <c r="A50" s="370" t="s">
        <v>209</v>
      </c>
      <c r="B50" s="371"/>
      <c r="C50" s="371"/>
      <c r="D50" s="371"/>
      <c r="E50" s="371"/>
      <c r="F50" s="371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372" t="s">
        <v>206</v>
      </c>
      <c r="AH50" s="372"/>
      <c r="AI50" s="372"/>
      <c r="AJ50" s="372"/>
      <c r="AK50" s="372"/>
      <c r="AL50" s="372"/>
      <c r="AM50" s="372"/>
      <c r="AN50" s="373"/>
      <c r="BF50" s="2"/>
      <c r="BG50" s="2"/>
    </row>
    <row r="51" spans="1:59" s="1" customFormat="1" x14ac:dyDescent="0.2">
      <c r="A51" s="370" t="s">
        <v>210</v>
      </c>
      <c r="B51" s="371"/>
      <c r="C51" s="371"/>
      <c r="D51" s="371"/>
      <c r="E51" s="371"/>
      <c r="F51" s="371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372" t="s">
        <v>207</v>
      </c>
      <c r="AH51" s="372"/>
      <c r="AI51" s="372"/>
      <c r="AJ51" s="372"/>
      <c r="AK51" s="372"/>
      <c r="AL51" s="372"/>
      <c r="AM51" s="372"/>
      <c r="AN51" s="373"/>
      <c r="BF51" s="2"/>
      <c r="BG51" s="2"/>
    </row>
    <row r="52" spans="1:59" s="1" customFormat="1" ht="13.5" thickBot="1" x14ac:dyDescent="0.25">
      <c r="A52" s="374" t="s">
        <v>211</v>
      </c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  <c r="AG52" s="375"/>
      <c r="AH52" s="375"/>
      <c r="AI52" s="375"/>
      <c r="AJ52" s="375"/>
      <c r="AK52" s="375"/>
      <c r="AL52" s="375"/>
      <c r="AM52" s="375"/>
      <c r="AN52" s="376"/>
      <c r="BF52" s="2"/>
      <c r="BG52" s="2"/>
    </row>
    <row r="53" spans="1:59" s="115" customFormat="1" ht="26.25" thickTop="1" x14ac:dyDescent="0.5">
      <c r="A53" s="118" t="s">
        <v>195</v>
      </c>
      <c r="B53" s="118" t="s">
        <v>197</v>
      </c>
      <c r="C53" s="118" t="s">
        <v>198</v>
      </c>
      <c r="D53" s="118" t="s">
        <v>199</v>
      </c>
      <c r="E53" s="118" t="s">
        <v>200</v>
      </c>
      <c r="F53" s="118" t="s">
        <v>201</v>
      </c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M53" s="117"/>
      <c r="AN53" s="282" t="s">
        <v>195</v>
      </c>
      <c r="BF53" s="116"/>
      <c r="BG53" s="116"/>
    </row>
    <row r="54" spans="1:59" s="283" customFormat="1" x14ac:dyDescent="0.2">
      <c r="A54" s="283" t="str">
        <f>'IMPORTAÇÃO GENOTIPER'!$O$1</f>
        <v>Helder - MS</v>
      </c>
      <c r="B54" s="283" t="s">
        <v>194</v>
      </c>
      <c r="AN54" s="284" t="s">
        <v>196</v>
      </c>
      <c r="BF54" s="285"/>
      <c r="BG54" s="285"/>
    </row>
    <row r="55" spans="1:59" s="283" customFormat="1" x14ac:dyDescent="0.2">
      <c r="B55" s="283" t="s">
        <v>186</v>
      </c>
      <c r="BF55" s="285"/>
      <c r="BG55" s="285"/>
    </row>
    <row r="56" spans="1:59" s="283" customFormat="1" x14ac:dyDescent="0.2">
      <c r="B56" s="283" t="s">
        <v>188</v>
      </c>
      <c r="BF56" s="285"/>
      <c r="BG56" s="285"/>
    </row>
    <row r="57" spans="1:59" s="283" customFormat="1" x14ac:dyDescent="0.2">
      <c r="B57" s="283" t="s">
        <v>189</v>
      </c>
      <c r="BF57" s="285"/>
      <c r="BG57" s="285"/>
    </row>
    <row r="58" spans="1:59" s="283" customFormat="1" x14ac:dyDescent="0.2">
      <c r="B58" s="283" t="s">
        <v>190</v>
      </c>
      <c r="BF58" s="285"/>
      <c r="BG58" s="285"/>
    </row>
    <row r="59" spans="1:59" s="283" customFormat="1" x14ac:dyDescent="0.2">
      <c r="B59" s="283" t="s">
        <v>191</v>
      </c>
      <c r="BF59" s="285"/>
      <c r="BG59" s="285"/>
    </row>
    <row r="60" spans="1:59" s="283" customFormat="1" x14ac:dyDescent="0.2">
      <c r="B60" s="283" t="s">
        <v>192</v>
      </c>
      <c r="BF60" s="285"/>
      <c r="BG60" s="285"/>
    </row>
    <row r="61" spans="1:59" s="283" customFormat="1" x14ac:dyDescent="0.2">
      <c r="B61" s="283" t="s">
        <v>193</v>
      </c>
      <c r="BF61" s="285"/>
      <c r="BG61" s="285"/>
    </row>
    <row r="63" spans="1:59" s="1" customFormat="1" x14ac:dyDescent="0.2">
      <c r="AM63" s="20"/>
      <c r="BF63" s="2"/>
      <c r="BG63" s="2"/>
    </row>
  </sheetData>
  <mergeCells count="33">
    <mergeCell ref="A51:F51"/>
    <mergeCell ref="AG51:AN51"/>
    <mergeCell ref="A52:AN52"/>
    <mergeCell ref="G44:AN44"/>
    <mergeCell ref="A49:F49"/>
    <mergeCell ref="AG49:AN49"/>
    <mergeCell ref="A50:F50"/>
    <mergeCell ref="AG50:AN50"/>
    <mergeCell ref="AK31:AL31"/>
    <mergeCell ref="AG32:AM32"/>
    <mergeCell ref="AG33:AM33"/>
    <mergeCell ref="AR37:AY39"/>
    <mergeCell ref="AR40:AY42"/>
    <mergeCell ref="AG31:AI31"/>
    <mergeCell ref="BO7:BQ7"/>
    <mergeCell ref="N8:O8"/>
    <mergeCell ref="P8:Q8"/>
    <mergeCell ref="X8:Y8"/>
    <mergeCell ref="Z8:AA8"/>
    <mergeCell ref="AZ6:BA6"/>
    <mergeCell ref="AQ7:AV8"/>
    <mergeCell ref="AZ7:BB7"/>
    <mergeCell ref="BI7:BK7"/>
    <mergeCell ref="BL7:BN7"/>
    <mergeCell ref="L8:M8"/>
    <mergeCell ref="R8:S8"/>
    <mergeCell ref="A1:AN1"/>
    <mergeCell ref="B3:G3"/>
    <mergeCell ref="B8:C8"/>
    <mergeCell ref="D8:E8"/>
    <mergeCell ref="F8:G8"/>
    <mergeCell ref="H8:I8"/>
    <mergeCell ref="J8:K8"/>
  </mergeCells>
  <conditionalFormatting sqref="AH9:AH23">
    <cfRule type="cellIs" dxfId="77" priority="30" stopIfTrue="1" operator="equal">
      <formula>"FT"</formula>
    </cfRule>
  </conditionalFormatting>
  <conditionalFormatting sqref="AA9">
    <cfRule type="cellIs" dxfId="76" priority="31" stopIfTrue="1" operator="equal">
      <formula>1</formula>
    </cfRule>
  </conditionalFormatting>
  <conditionalFormatting sqref="AG9">
    <cfRule type="cellIs" dxfId="75" priority="32" stopIfTrue="1" operator="equal">
      <formula>"EXCLUI"</formula>
    </cfRule>
    <cfRule type="cellIs" dxfId="74" priority="33" stopIfTrue="1" operator="equal">
      <formula>"MUTAÇÃO"</formula>
    </cfRule>
  </conditionalFormatting>
  <conditionalFormatting sqref="D9:E23">
    <cfRule type="cellIs" dxfId="73" priority="34" stopIfTrue="1" operator="equal">
      <formula>$T$9</formula>
    </cfRule>
    <cfRule type="cellIs" dxfId="72" priority="35" stopIfTrue="1" operator="equal">
      <formula>$U$9</formula>
    </cfRule>
  </conditionalFormatting>
  <conditionalFormatting sqref="F9:G23">
    <cfRule type="cellIs" dxfId="71" priority="36" stopIfTrue="1" operator="equal">
      <formula>$T9</formula>
    </cfRule>
    <cfRule type="cellIs" dxfId="70" priority="37" stopIfTrue="1" operator="equal">
      <formula>$U9</formula>
    </cfRule>
  </conditionalFormatting>
  <conditionalFormatting sqref="AB9">
    <cfRule type="cellIs" dxfId="69" priority="38" stopIfTrue="1" operator="equal">
      <formula>0</formula>
    </cfRule>
    <cfRule type="cellIs" dxfId="68" priority="39" stopIfTrue="1" operator="equal">
      <formula>$AS$13</formula>
    </cfRule>
  </conditionalFormatting>
  <conditionalFormatting sqref="AH24:AH30">
    <cfRule type="cellIs" dxfId="67" priority="25" stopIfTrue="1" operator="equal">
      <formula>"FT"</formula>
    </cfRule>
  </conditionalFormatting>
  <conditionalFormatting sqref="D24:E30">
    <cfRule type="cellIs" dxfId="66" priority="26" stopIfTrue="1" operator="equal">
      <formula>$T$9</formula>
    </cfRule>
    <cfRule type="cellIs" dxfId="65" priority="27" stopIfTrue="1" operator="equal">
      <formula>$U$9</formula>
    </cfRule>
  </conditionalFormatting>
  <conditionalFormatting sqref="F24:G30">
    <cfRule type="cellIs" dxfId="64" priority="28" stopIfTrue="1" operator="equal">
      <formula>$T24</formula>
    </cfRule>
    <cfRule type="cellIs" dxfId="63" priority="29" stopIfTrue="1" operator="equal">
      <formula>$U24</formula>
    </cfRule>
  </conditionalFormatting>
  <conditionalFormatting sqref="H9:M30">
    <cfRule type="cellIs" dxfId="62" priority="23" stopIfTrue="1" operator="equal">
      <formula>$Z9</formula>
    </cfRule>
    <cfRule type="cellIs" dxfId="61" priority="24" stopIfTrue="1" operator="equal">
      <formula>$AA9</formula>
    </cfRule>
  </conditionalFormatting>
  <conditionalFormatting sqref="AG43">
    <cfRule type="cellIs" dxfId="60" priority="21" stopIfTrue="1" operator="greaterThanOrEqual">
      <formula>1</formula>
    </cfRule>
    <cfRule type="cellIs" dxfId="59" priority="22" stopIfTrue="1" operator="lessThanOrEqual">
      <formula>2</formula>
    </cfRule>
  </conditionalFormatting>
  <conditionalFormatting sqref="AM9:AM30">
    <cfRule type="cellIs" dxfId="58" priority="19" stopIfTrue="1" operator="equal">
      <formula>"EXCLUI"</formula>
    </cfRule>
    <cfRule type="cellIs" dxfId="57" priority="20" stopIfTrue="1" operator="equal">
      <formula>"MUTAÇÃO"</formula>
    </cfRule>
  </conditionalFormatting>
  <conditionalFormatting sqref="BI9:BQ30">
    <cfRule type="cellIs" dxfId="56" priority="18" stopIfTrue="1" operator="equal">
      <formula>$BF9-1</formula>
    </cfRule>
  </conditionalFormatting>
  <conditionalFormatting sqref="BT9:BU30">
    <cfRule type="cellIs" dxfId="55" priority="16" stopIfTrue="1" operator="equal">
      <formula>$BN9</formula>
    </cfRule>
    <cfRule type="cellIs" dxfId="54" priority="17" stopIfTrue="1" operator="equal">
      <formula>$BQ9</formula>
    </cfRule>
  </conditionalFormatting>
  <conditionalFormatting sqref="A9:A30">
    <cfRule type="cellIs" dxfId="53" priority="15" stopIfTrue="1" operator="equal">
      <formula>"ERRO-FT"</formula>
    </cfRule>
  </conditionalFormatting>
  <conditionalFormatting sqref="AH8">
    <cfRule type="cellIs" dxfId="52" priority="14" stopIfTrue="1" operator="equal">
      <formula>"AL.SUP."</formula>
    </cfRule>
  </conditionalFormatting>
  <conditionalFormatting sqref="AG8">
    <cfRule type="cellIs" dxfId="51" priority="13" stopIfTrue="1" operator="equal">
      <formula>"AL.INF."</formula>
    </cfRule>
  </conditionalFormatting>
  <conditionalFormatting sqref="AG9:AG30">
    <cfRule type="expression" dxfId="50" priority="12" stopIfTrue="1">
      <formula>(A9="ERRO-FT")</formula>
    </cfRule>
  </conditionalFormatting>
  <conditionalFormatting sqref="AH9:AH30">
    <cfRule type="cellIs" dxfId="49" priority="9" stopIfTrue="1" operator="equal">
      <formula>0</formula>
    </cfRule>
    <cfRule type="cellIs" dxfId="48" priority="10" stopIfTrue="1" operator="equal">
      <formula>$AY9</formula>
    </cfRule>
    <cfRule type="expression" dxfId="47" priority="11" stopIfTrue="1">
      <formula>(A9="ERRO-FT")</formula>
    </cfRule>
  </conditionalFormatting>
  <conditionalFormatting sqref="AG31:AI31">
    <cfRule type="cellIs" dxfId="46" priority="8" stopIfTrue="1" operator="equal">
      <formula>"VERIFICAR ALELOS"</formula>
    </cfRule>
  </conditionalFormatting>
  <conditionalFormatting sqref="AG32:AM32">
    <cfRule type="cellIs" dxfId="45" priority="7" stopIfTrue="1" operator="equal">
      <formula>"OCORRÊNCIA DE 'OUT LADDER'"</formula>
    </cfRule>
  </conditionalFormatting>
  <conditionalFormatting sqref="AG33:AN33">
    <cfRule type="cellIs" dxfId="44" priority="5" stopIfTrue="1" operator="equal">
      <formula>"CÁLCULO COM OMISSÃO DE LOCUS"</formula>
    </cfRule>
    <cfRule type="cellIs" dxfId="43" priority="6" stopIfTrue="1" operator="equal">
      <formula>"ANALISAR DIGITAÇÃO"</formula>
    </cfRule>
  </conditionalFormatting>
  <conditionalFormatting sqref="AG46:AH46">
    <cfRule type="expression" dxfId="42" priority="3" stopIfTrue="1">
      <formula>($AH$46="SIM")</formula>
    </cfRule>
    <cfRule type="expression" dxfId="41" priority="4" stopIfTrue="1">
      <formula>($AH$46&lt;&gt;"SIM")</formula>
    </cfRule>
  </conditionalFormatting>
  <conditionalFormatting sqref="AN9:AN30">
    <cfRule type="cellIs" dxfId="40" priority="1" stopIfTrue="1" operator="equal">
      <formula>"EM"</formula>
    </cfRule>
    <cfRule type="cellIs" dxfId="39" priority="2" stopIfTrue="1" operator="equal">
      <formula>"MT"</formula>
    </cfRule>
  </conditionalFormatting>
  <dataValidations count="3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H41">
      <formula1>$AS$32:$AS$33</formula1>
    </dataValidation>
  </dataValidation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L333"/>
  <sheetViews>
    <sheetView zoomScale="110" zoomScaleNormal="110" workbookViewId="0">
      <selection activeCell="E16" sqref="E16:E17"/>
    </sheetView>
  </sheetViews>
  <sheetFormatPr defaultColWidth="8.85546875" defaultRowHeight="12.75" x14ac:dyDescent="0.2"/>
  <cols>
    <col min="1" max="1" width="9.140625" style="22" customWidth="1"/>
    <col min="2" max="7" width="5.7109375" style="1" customWidth="1"/>
    <col min="8" max="12" width="6.7109375" style="1" hidden="1" customWidth="1"/>
    <col min="13" max="14" width="5.42578125" style="1" hidden="1" customWidth="1"/>
    <col min="15" max="15" width="5.7109375" style="1" customWidth="1"/>
    <col min="16" max="22" width="5.7109375" style="1" hidden="1" customWidth="1"/>
    <col min="23" max="23" width="5.7109375" style="1" customWidth="1"/>
    <col min="24" max="29" width="5.7109375" style="82" hidden="1" customWidth="1"/>
    <col min="30" max="30" width="5.7109375" style="1" hidden="1" customWidth="1"/>
    <col min="31" max="31" width="5.7109375" style="82" customWidth="1"/>
    <col min="32" max="38" width="5.7109375" style="1" hidden="1" customWidth="1"/>
    <col min="39" max="39" width="5.7109375" style="1" customWidth="1"/>
    <col min="40" max="46" width="5.7109375" style="1" hidden="1" customWidth="1"/>
    <col min="47" max="47" width="5.7109375" style="1" customWidth="1"/>
    <col min="48" max="54" width="5.7109375" style="1" hidden="1" customWidth="1"/>
    <col min="55" max="55" width="5.7109375" style="1" customWidth="1"/>
    <col min="56" max="16384" width="8.85546875" style="1"/>
  </cols>
  <sheetData>
    <row r="1" spans="1:64" ht="15.75" thickBot="1" x14ac:dyDescent="0.3">
      <c r="A1" s="86" t="s">
        <v>63</v>
      </c>
      <c r="B1" s="85">
        <v>39974</v>
      </c>
      <c r="C1" s="317" t="s">
        <v>187</v>
      </c>
      <c r="D1" s="318"/>
      <c r="E1" s="318"/>
      <c r="F1" s="318"/>
      <c r="G1" s="319"/>
      <c r="H1" s="76"/>
      <c r="I1" s="76"/>
      <c r="J1" s="76"/>
      <c r="K1" s="76"/>
      <c r="L1" s="76"/>
      <c r="M1" s="76"/>
      <c r="N1" s="76"/>
      <c r="O1" s="91" t="str">
        <f>(IF((A2=1),"Helder - MS",(IF((A2=2),"Carlos - PR",(IF((A2=3),"Rui - PR",(IF((A2=4),"Helder - PR",(IF((A2=5),"Carlos - MS","Opção Incorreta"))))))))))</f>
        <v>Helder - MS</v>
      </c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</row>
    <row r="2" spans="1:64" ht="19.5" thickTop="1" thickBot="1" x14ac:dyDescent="0.3">
      <c r="A2" s="96">
        <v>1</v>
      </c>
      <c r="B2" s="383" t="str">
        <f>IF(OR(($O$17="ERRO"),($W$17="ERRO"),($AU$17="ERRO"),($BC$17="ERRO")),"VERIFICAR ERRO NA AMELOGENINA","DADOS IMPORTADOS")</f>
        <v>DADOS IMPORTADOS</v>
      </c>
      <c r="C2" s="384"/>
      <c r="D2" s="384"/>
      <c r="E2" s="384"/>
      <c r="F2" s="384"/>
      <c r="G2" s="385"/>
      <c r="H2" s="77"/>
      <c r="I2" s="77"/>
      <c r="J2" s="77"/>
      <c r="K2" s="77"/>
      <c r="L2" s="77"/>
      <c r="M2" s="77"/>
      <c r="N2" s="77"/>
      <c r="O2" s="386" t="s">
        <v>42</v>
      </c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7"/>
      <c r="AI2" s="387"/>
      <c r="AJ2" s="387"/>
      <c r="AK2" s="387"/>
      <c r="AL2" s="387"/>
      <c r="AM2" s="387"/>
      <c r="AN2" s="387"/>
      <c r="AO2" s="387"/>
      <c r="AP2" s="387"/>
      <c r="AQ2" s="387"/>
      <c r="AR2" s="387"/>
      <c r="AS2" s="387"/>
      <c r="AT2" s="387"/>
      <c r="AU2" s="387"/>
      <c r="AV2" s="387"/>
      <c r="AW2" s="387"/>
      <c r="AX2" s="387"/>
      <c r="AY2" s="387"/>
      <c r="AZ2" s="387"/>
      <c r="BA2" s="387"/>
      <c r="BB2" s="387"/>
      <c r="BC2" s="388"/>
      <c r="BF2" s="223"/>
      <c r="BG2" s="223"/>
      <c r="BH2" s="223"/>
      <c r="BI2" s="223"/>
      <c r="BJ2" s="223"/>
      <c r="BK2" s="223"/>
      <c r="BL2" s="223"/>
    </row>
    <row r="3" spans="1:64" ht="9.9499999999999993" customHeight="1" thickTop="1" thickBot="1" x14ac:dyDescent="0.25">
      <c r="A3" s="286" t="s">
        <v>64</v>
      </c>
      <c r="B3" s="320" t="s">
        <v>65</v>
      </c>
      <c r="C3" s="320" t="s">
        <v>66</v>
      </c>
      <c r="D3" s="320" t="s">
        <v>67</v>
      </c>
      <c r="E3" s="320" t="s">
        <v>68</v>
      </c>
      <c r="F3" s="320" t="s">
        <v>69</v>
      </c>
      <c r="G3" s="320" t="s">
        <v>70</v>
      </c>
      <c r="H3" s="287" t="s">
        <v>95</v>
      </c>
      <c r="I3" s="287" t="s">
        <v>2</v>
      </c>
      <c r="J3" s="287" t="s">
        <v>3</v>
      </c>
      <c r="K3" s="287" t="s">
        <v>4</v>
      </c>
      <c r="L3" s="287" t="s">
        <v>5</v>
      </c>
      <c r="M3" s="287" t="s">
        <v>6</v>
      </c>
      <c r="N3" s="287" t="s">
        <v>180</v>
      </c>
      <c r="O3" s="287" t="s">
        <v>1</v>
      </c>
      <c r="P3" s="288" t="s">
        <v>13</v>
      </c>
      <c r="Q3" s="288" t="s">
        <v>7</v>
      </c>
      <c r="R3" s="288" t="s">
        <v>8</v>
      </c>
      <c r="S3" s="288" t="s">
        <v>9</v>
      </c>
      <c r="T3" s="288" t="s">
        <v>10</v>
      </c>
      <c r="U3" s="288" t="s">
        <v>11</v>
      </c>
      <c r="V3" s="288" t="s">
        <v>181</v>
      </c>
      <c r="W3" s="288" t="s">
        <v>12</v>
      </c>
      <c r="X3" s="289" t="s">
        <v>20</v>
      </c>
      <c r="Y3" s="289" t="s">
        <v>14</v>
      </c>
      <c r="Z3" s="289" t="s">
        <v>15</v>
      </c>
      <c r="AA3" s="289" t="s">
        <v>16</v>
      </c>
      <c r="AB3" s="289" t="s">
        <v>17</v>
      </c>
      <c r="AC3" s="289" t="s">
        <v>18</v>
      </c>
      <c r="AD3" s="289" t="s">
        <v>182</v>
      </c>
      <c r="AE3" s="289" t="s">
        <v>19</v>
      </c>
      <c r="AF3" s="290" t="s">
        <v>27</v>
      </c>
      <c r="AG3" s="290" t="s">
        <v>21</v>
      </c>
      <c r="AH3" s="290" t="s">
        <v>22</v>
      </c>
      <c r="AI3" s="290" t="s">
        <v>23</v>
      </c>
      <c r="AJ3" s="290" t="s">
        <v>24</v>
      </c>
      <c r="AK3" s="290" t="s">
        <v>25</v>
      </c>
      <c r="AL3" s="290" t="s">
        <v>183</v>
      </c>
      <c r="AM3" s="290" t="s">
        <v>26</v>
      </c>
      <c r="AN3" s="291" t="s">
        <v>34</v>
      </c>
      <c r="AO3" s="291" t="s">
        <v>28</v>
      </c>
      <c r="AP3" s="291" t="s">
        <v>29</v>
      </c>
      <c r="AQ3" s="291" t="s">
        <v>30</v>
      </c>
      <c r="AR3" s="291" t="s">
        <v>31</v>
      </c>
      <c r="AS3" s="291" t="s">
        <v>32</v>
      </c>
      <c r="AT3" s="291" t="s">
        <v>184</v>
      </c>
      <c r="AU3" s="291" t="s">
        <v>33</v>
      </c>
      <c r="AV3" s="292" t="s">
        <v>41</v>
      </c>
      <c r="AW3" s="292" t="s">
        <v>35</v>
      </c>
      <c r="AX3" s="292" t="s">
        <v>36</v>
      </c>
      <c r="AY3" s="292" t="s">
        <v>37</v>
      </c>
      <c r="AZ3" s="292" t="s">
        <v>38</v>
      </c>
      <c r="BA3" s="292" t="s">
        <v>39</v>
      </c>
      <c r="BB3" s="292" t="s">
        <v>185</v>
      </c>
      <c r="BC3" s="292" t="s">
        <v>40</v>
      </c>
      <c r="BF3" s="224"/>
      <c r="BG3" s="224"/>
      <c r="BH3" s="224"/>
      <c r="BI3" s="224"/>
      <c r="BJ3" s="224"/>
      <c r="BK3" s="224"/>
      <c r="BL3" s="223"/>
    </row>
    <row r="4" spans="1:64" ht="9.9499999999999993" customHeight="1" thickTop="1" thickBot="1" x14ac:dyDescent="0.25">
      <c r="A4" s="307" t="s">
        <v>71</v>
      </c>
      <c r="B4" s="310" t="s">
        <v>248</v>
      </c>
      <c r="C4" s="310" t="s">
        <v>248</v>
      </c>
      <c r="D4" s="310" t="s">
        <v>248</v>
      </c>
      <c r="E4" s="310" t="s">
        <v>249</v>
      </c>
      <c r="F4" s="310" t="s">
        <v>248</v>
      </c>
      <c r="G4" s="311" t="s">
        <v>249</v>
      </c>
      <c r="H4" s="293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293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293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293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293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293">
        <f>((IF(($B4="34.1"),34.1,((IF(($B4="35.1"),35.1,((IF(($B4=38733),16.1,((IF(($B4=38768),20.2,((IF(($B4=38774),26.2,0)))))))))))))))</f>
        <v>0</v>
      </c>
      <c r="N4" s="293"/>
      <c r="O4" s="294" t="str">
        <f>(IF(AND(($B$4=0),($C$4=0)),0,(IF(OR(($B$4&lt;&gt;"X"),($C$4&lt;&gt;"X")),"ERRO",(IF((SUM($P4:$V4)&lt;&gt;0),(SUM($P4:$V4)),$B4))))))</f>
        <v>X</v>
      </c>
      <c r="P4" s="295">
        <f>((IF(($C4=38785),9.3,((IF(($C4=38761),13.2,((IF(($C4="31.2"),31.2,((IF(($C4=38787),11.3,((IF(($C4=38759),11.2,((IF(($C4=38763),15.2,((IF(($C4=38765),4.2,((IF(($C4=38772),24.2,0))))))))))))))))))))))))</f>
        <v>0</v>
      </c>
      <c r="Q4" s="295">
        <f>((IF(($C4=38800),24.3,((IF(($C4=38773),25.2,((IF(($C4=38046),29.2,((IF(($C4=38075),29.3,((IF(($C4="32.2"),32.2,((IF(($C4="33.2"),33.2,((IF(($C4="34.2"),34.2,((IF(($C4="35.2"),35.2,0))))))))))))))))))))))))</f>
        <v>0</v>
      </c>
      <c r="R4" s="295">
        <f>((IF(($C4=38767),19.2,((IF(($C4="21.2"),21.2,((IF(($C4="22.2"),22.2,((IF(($C4="22.3"),22.3,((IF(($C4="26.2"),26.2,((IF(($C4="42.2"),42.2,((IF(($C4="44.2"),44.2,((IF(($C4="46.2"),46.2,0))))))))))))))))))))))))</f>
        <v>0</v>
      </c>
      <c r="S4" s="295">
        <f>((IF(($C4="47.2"),47.2,((IF(($C4="50.2"),50.2,((IF(($C4="8.3"),8.3,((IF(($C4="23.2"),23.2,((IF(($C4="43.2"),43.2,((IF(($C4="45.2"),45.2,((IF(($C4="48.2"),48.2,((IF(($C4="51.2"),51.2,0))))))))))))))))))))))))</f>
        <v>0</v>
      </c>
      <c r="T4" s="295">
        <f>((IF(($C4="13.3"),13.3,((IF(($C4=38758),10.2,((IF(($C4=38762),14.2,((IF(($C4=38760),12.2,((IF(($C4=38764),16.2,((IF(($C4=38766),18.2,((IF(($C4=38776),28.2,((IF(($C4="30.2"),30.2,0))))))))))))))))))))))))</f>
        <v>0</v>
      </c>
      <c r="U4" s="295">
        <f>((IF(($C4="34.1"),34.1,((IF(($C4="35.1"),35.1,((IF(($C4=38733),16.1,((IF(($C4=38768),20.2,((IF(($C4=38774),26.2,((IF(($C4=38771),23.2,0))))))))))))))))))</f>
        <v>0</v>
      </c>
      <c r="V4" s="295"/>
      <c r="W4" s="296" t="str">
        <f>(IF(AND(($B$4=0),($C$4=0)),0,(IF(OR(($B$4&lt;&gt;"X"),($C$4&lt;&gt;"X")),"ERRO",(IF((SUM($P4:$V4)&lt;&gt;0),(SUM($P4:$V4)),$C4))))))</f>
        <v>X</v>
      </c>
      <c r="X4" s="297">
        <f>((IF(($D4=38785),9.3,((IF(($D4=38761),13.2,((IF(($D4="31.2"),31.2,((IF(($D4=38787),11.3,((IF(($D4=38759),11.2,((IF(($D4=38763),15.2,((IF(($D4=38765),4.2,((IF(($D4=38772),24.2,0))))))))))))))))))))))))</f>
        <v>0</v>
      </c>
      <c r="Y4" s="297">
        <f>((IF(($D4=38800),24.3,((IF(($D4=38773),25.2,((IF(($D4=38046),29.2,((IF(($D4=38075),29.3,((IF(($D4="32.2"),32.2,((IF(($D4="33.2"),33.2,((IF(($D4="34.2"),34.2,((IF(($D4="35.2"),35.2,0))))))))))))))))))))))))</f>
        <v>0</v>
      </c>
      <c r="Z4" s="297">
        <f>((IF(($D4=38767),19.2,((IF(($D4="21.2"),21.2,((IF(($D4="22.2"),22.2,((IF(($D4="22.3"),22.3,((IF(($D4="26.2"),26.2,((IF(($D4="42.2"),42.2,((IF(($D4="44.2"),44.2,((IF(($D4="46.2"),46.2,0))))))))))))))))))))))))</f>
        <v>0</v>
      </c>
      <c r="AA4" s="297">
        <f>((IF(($D4="47.2"),47.2,((IF(($D4="50.2"),50.2,((IF(($D4="8.3"),8.3,((IF(($D4="23.2"),23.2,((IF(($D4="43.2"),43.2,((IF(($D4="45.2"),45.2,((IF(($D4="48.2"),48.2,((IF(($D4="51.2"),51.2,0))))))))))))))))))))))))</f>
        <v>0</v>
      </c>
      <c r="AB4" s="297">
        <f>((IF(($D4="13.3"),13.3,((IF(($D4=38758),10.2,((IF(($D4=38762),14.2,((IF(($D4=38760),12.2,((IF(($D4=38764),16.2,((IF(($D4=38766),18.2,((IF(($D4=38776),28.2,((IF(($D4="30.2"),30.2,0))))))))))))))))))))))))</f>
        <v>0</v>
      </c>
      <c r="AC4" s="297">
        <f>((IF(($D4="34.1"),34.1,((IF(($D4="35.1"),35.1,((IF(($D4=38733),16.1,((IF(($D4=38768),20.2,((IF(($D4=38774),26.2,0)))))))))))))))</f>
        <v>0</v>
      </c>
      <c r="AD4" s="297"/>
      <c r="AE4" s="298" t="str">
        <f>(IF((SUM(X4:AD4)&lt;&gt;0),(SUM(X4:AD4)),$D4))</f>
        <v>X</v>
      </c>
      <c r="AF4" s="299">
        <f>((IF(($E4=38785),9.3,((IF(($E4=38761),13.2,((IF(($E4="31.2"),31.2,((IF(($E4=38787),11.3,((IF(($E4=38759),11.2,((IF(($E4=38763),15.2,((IF(($E4=38765),4.2,((IF(($E4=38772),24.2,0))))))))))))))))))))))))</f>
        <v>0</v>
      </c>
      <c r="AG4" s="299">
        <f>((IF(($E4=38800),24.3,((IF(($E4=38773),25.2,((IF(($E4=38046),29.2,((IF(($E4=38075),29.3,((IF(($E4="32.2"),32.2,((IF(($E4="33.2"),33.2,((IF(($E4="34.2"),34.2,((IF(($E4="35.2"),35.2,0))))))))))))))))))))))))</f>
        <v>0</v>
      </c>
      <c r="AH4" s="299">
        <f>((IF(($E4=38767),19.2,((IF(($E4="21.2"),21.2,((IF(($E4="22.2"),22.2,((IF(($E4="22.3"),22.3,((IF(($E4="26.2"),26.2,((IF(($E4="42.2"),42.2,((IF(($E4="44.2"),44.2,((IF(($E4="46.2"),46.2,0))))))))))))))))))))))))</f>
        <v>0</v>
      </c>
      <c r="AI4" s="299">
        <f>((IF(($E4="47.2"),47.2,((IF(($E4="50.2"),50.2,((IF(($E4="8.3"),8.3,((IF(($E4="23.2"),23.2,((IF(($E4="43.2"),43.2,((IF(($E4="45.2"),45.2,((IF(($E4="48.2"),48.2,((IF(($E4="51.2"),51.2,0))))))))))))))))))))))))</f>
        <v>0</v>
      </c>
      <c r="AJ4" s="299">
        <f>((IF(($E4="13.3"),13.3,((IF(($E4=38758),10.2,((IF(($E4=38762),14.2,((IF(($E4=38760),12.2,((IF(($E4=38764),16.2,((IF(($E4=38766),18.2,((IF(($E4=38776),28.2,((IF(($E4="30.2"),30.2,0))))))))))))))))))))))))</f>
        <v>0</v>
      </c>
      <c r="AK4" s="299">
        <f>((IF(($E4="34.1"),34.1,((IF(($E4="35.1"),35.1,((IF(($E4=38733),16.1,((IF(($E4=38768),20.2,((IF(($E4=38774),26.2,((IF(($E4=38771),23.2,0))))))))))))))))))</f>
        <v>0</v>
      </c>
      <c r="AL4" s="299"/>
      <c r="AM4" s="300" t="str">
        <f>(IF((SUM(AF4:AL4)&lt;&gt;0),(SUM(AF4:AL4)),$E4))</f>
        <v>Y</v>
      </c>
      <c r="AN4" s="301">
        <f>((IF(($F4=38785),9.3,((IF(($F4=38761),13.2,((IF(($F4="31.2"),31.2,((IF(($F4=38787),11.3,((IF(($F4=38759),11.2,((IF(($F4=38763),15.2,((IF(($F4=38765),4.2,((IF(($F4=38772),24.2,0))))))))))))))))))))))))</f>
        <v>0</v>
      </c>
      <c r="AO4" s="301">
        <f>((IF(($F4=38800),24.3,((IF(($F4=38773),25.2,((IF(($F4=38046),29.2,((IF(($F4=38075),29.3,((IF(($F4="32.2"),32.2,((IF(($F4="33.2"),33.2,((IF(($F4="34.2"),34.2,((IF(($F4="35.2"),35.2,0))))))))))))))))))))))))</f>
        <v>0</v>
      </c>
      <c r="AP4" s="301">
        <f>((IF(($F4=38767),19.2,((IF(($F4="21.2"),21.2,((IF(($F4="22.2"),22.2,((IF(($F4="22.3"),22.3,((IF(($F4="26.2"),26.2,((IF(($F4="42.2"),42.2,((IF(($F4="44.2"),44.2,((IF(($F4="46.2"),46.2,0))))))))))))))))))))))))</f>
        <v>0</v>
      </c>
      <c r="AQ4" s="301">
        <f>((IF(($F4="47.2"),47.2,((IF(($F4="50.2"),50.2,((IF(($F4="8.3"),8.3,((IF(($F4="23.2"),23.2,((IF(($F4="43.2"),43.2,((IF(($F4="45.2"),45.2,((IF(($F4="48.2"),48.2,((IF(($F4="51.2"),51.2,0))))))))))))))))))))))))</f>
        <v>0</v>
      </c>
      <c r="AR4" s="301">
        <f>((IF(($F4="13.3"),13.3,((IF(($F4=38758),10.2,((IF(($F4=38762),14.2,((IF(($F4=38760),12.2,((IF(($F4=38764),16.2,((IF(($F4=38766),18.2,((IF(($F4=38776),28.2,((IF(($F4="30.2"),30.2,0))))))))))))))))))))))))</f>
        <v>0</v>
      </c>
      <c r="AS4" s="301">
        <f>((IF(($F4="34.1"),34.1,((IF(($F4="35.1"),35.1,((IF(($F4=38733),16.1,((IF(($F4=38768),20.2,((IF(($F4=38774),26.2,0)))))))))))))))</f>
        <v>0</v>
      </c>
      <c r="AT4" s="301"/>
      <c r="AU4" s="302" t="str">
        <f>(IF(AND(($F$4=0),($G$4=0)),0,(IF(OR(($F$4&lt;&gt;"X"),($G$4&lt;&gt;"Y")),"ERRO",(IF((SUM($AN4:$AT4)&lt;&gt;0),(SUM($AN4:$AT4)),$F4))))))</f>
        <v>X</v>
      </c>
      <c r="AV4" s="303">
        <f>((IF(($G4=38785),9.3,((IF(($G4=38761),13.2,((IF(($G4="31.2"),31.2,((IF(($G4=38787),11.3,((IF(($G4=38759),11.2,((IF(($G4=38763),15.2,((IF(($G4=38765),4.2,((IF(($G4=38772),24.2,0))))))))))))))))))))))))</f>
        <v>0</v>
      </c>
      <c r="AW4" s="303">
        <f>((IF(($G4=38800),24.3,((IF(($G4=38773),25.2,((IF(($G4=38046),29.2,((IF(($G4=38075),29.3,((IF(($G4="32.2"),32.2,((IF(($G4="33.2"),33.2,((IF(($G4="34.2"),34.2,((IF(($G4="35.2"),35.2,0))))))))))))))))))))))))</f>
        <v>0</v>
      </c>
      <c r="AX4" s="303">
        <f>((IF(($G4=38767),19.2,((IF(($G4="21.2"),21.2,((IF(($G4="22.2"),22.2,((IF(($G4="22.3"),22.3,((IF(($G4="26.2"),26.2,((IF(($G4="42.2"),42.2,((IF(($G4="44.2"),44.2,((IF(($G4="46.2"),46.2,0))))))))))))))))))))))))</f>
        <v>0</v>
      </c>
      <c r="AY4" s="303">
        <f>((IF(($G4="47.2"),47.2,((IF(($G4="50.2"),50.2,((IF(($G4="8.3"),8.3,((IF(($G4="23.2"),23.2,((IF(($G4="43.2"),43.2,((IF(($G4="45.2"),45.2,((IF(($G4="48.2"),48.2,((IF(($G4="51.2"),51.2,0))))))))))))))))))))))))</f>
        <v>0</v>
      </c>
      <c r="AZ4" s="303">
        <f>((IF(($G4="13.3"),13.3,((IF(($G4=38758),10.2,((IF(($G4=38762),14.2,((IF(($G4=38760),12.2,((IF(($G4=38764),16.2,((IF(($G4=38766),18.2,((IF(($G4=38776),28.2,((IF(($G4="30.2"),30.2,0))))))))))))))))))))))))</f>
        <v>0</v>
      </c>
      <c r="BA4" s="303">
        <f>((IF(($G4="34.1"),34.1,((IF(($G4="35.1"),35.1,((IF(($G4=38733),16.1,((IF(($G4=38768),20.2,((IF(($G4=38774),26.2,((IF(($G4=38771),23.2,0))))))))))))))))))</f>
        <v>0</v>
      </c>
      <c r="BB4" s="303"/>
      <c r="BC4" s="304" t="str">
        <f>(IF(AND(($F$4=0),($G$4=0)),0,(IF(OR(($F$4&lt;&gt;"X"),($G$4&lt;&gt;"Y")),"ERRO",(IF((SUM($AN4:$AT4)&lt;&gt;0),(SUM($AN4:$AT4)),$G4))))))</f>
        <v>Y</v>
      </c>
      <c r="BF4" s="225"/>
      <c r="BG4" s="225"/>
      <c r="BH4" s="225"/>
      <c r="BI4" s="225"/>
      <c r="BJ4" s="225"/>
      <c r="BK4" s="225"/>
      <c r="BL4" s="223"/>
    </row>
    <row r="5" spans="1:64" ht="9.9499999999999993" customHeight="1" thickTop="1" thickBot="1" x14ac:dyDescent="0.25">
      <c r="A5" s="308" t="s">
        <v>151</v>
      </c>
      <c r="B5" s="310">
        <v>16</v>
      </c>
      <c r="C5" s="310">
        <v>18</v>
      </c>
      <c r="D5" s="310">
        <v>15</v>
      </c>
      <c r="E5" s="310">
        <v>18</v>
      </c>
      <c r="F5" s="310">
        <v>14</v>
      </c>
      <c r="G5" s="311">
        <v>15</v>
      </c>
      <c r="H5" s="293">
        <f t="shared" si="0"/>
        <v>0</v>
      </c>
      <c r="I5" s="293">
        <f t="shared" si="1"/>
        <v>0</v>
      </c>
      <c r="J5" s="293">
        <f t="shared" si="2"/>
        <v>0</v>
      </c>
      <c r="K5" s="293">
        <f t="shared" si="3"/>
        <v>0</v>
      </c>
      <c r="L5" s="293">
        <f t="shared" si="4"/>
        <v>0</v>
      </c>
      <c r="M5" s="293">
        <f>((IF(($B5="34.1"),34.1,((IF(($B5="35.1"),35.1,((IF(($B5=38733),16.1,((IF(($B5=38768),20.2,((IF(($B5=38774),26.2,((IF(($B5=38771),23.2,((IF(($B5="29.2"),29.2,0)))))))))))))))))))))</f>
        <v>0</v>
      </c>
      <c r="N5" s="293"/>
      <c r="O5" s="294">
        <f t="shared" ref="O5:O18" si="5">(IF((SUM(H5:N5)&lt;&gt;0),(SUM(H5:N5)),$B5))</f>
        <v>16</v>
      </c>
      <c r="P5" s="295">
        <f t="shared" ref="P5:P27" si="6">((IF(($C5=38785),9.3,((IF(($C5=38761),13.2,((IF(($C5="31.2"),31.2,((IF(($C5=38787),11.3,((IF(($C5=38759),11.2,((IF(($C5=38763),15.2,((IF(($C5=38765),17.2,((IF(($C5=38772),24.2,0))))))))))))))))))))))))</f>
        <v>0</v>
      </c>
      <c r="Q5" s="295">
        <f t="shared" ref="Q5:Q27" si="7">((IF(($C5=38800),24.3,((IF(($C5=38773),25.2,((IF(($C5=38046),29.2,((IF(($C5=38075),29.3,((IF(($C5="32.2"),32.2,((IF(($C5="33.2"),33.2,((IF(($C5="34.2"),34.2,((IF(($C5="35.2"),35.2,0))))))))))))))))))))))))</f>
        <v>0</v>
      </c>
      <c r="R5" s="295">
        <f t="shared" ref="R5:R27" si="8">((IF(($C5=38767),19.2,((IF(($C5="21.2"),21.2,((IF(($C5="22.2"),22.2,((IF(($C5="22.3"),22.3,((IF(($C5="26.2"),26.2,((IF(($C5="42.2"),42.2,((IF(($C5="44.2"),44.2,((IF(($C5="46.2"),46.2,0))))))))))))))))))))))))</f>
        <v>0</v>
      </c>
      <c r="S5" s="295">
        <f t="shared" ref="S5:S27" si="9">((IF(($C5="47.2"),47.2,((IF(($C5="50.2"),50.2,((IF(($C5="8.3"),8.3,((IF(($C5="23.2"),23.2,((IF(($C5="43.2"),43.2,((IF(($C5="45.2"),45.2,((IF(($C5="48.2"),48.2,((IF(($C5="51.2"),51.2,0))))))))))))))))))))))))</f>
        <v>0</v>
      </c>
      <c r="T5" s="295">
        <f t="shared" ref="T5:T27" si="10">((IF(($C5="13.3"),13.3,((IF(($C5=38758),10.2,((IF(($C5=38762),14.2,((IF(($C5=38760),12.2,((IF(($C5=38764),16.2,((IF(($C5=38766),18.2,((IF(($C5=38776),28.2,((IF(($C5="30.2"),30.2,0))))))))))))))))))))))))</f>
        <v>0</v>
      </c>
      <c r="U5" s="295">
        <f>((IF(($C5="34.1"),34.1,((IF(($C5="35.1"),35.1,((IF(($C5=38733),16.1,((IF(($C5=38768),20.2,((IF(($C5=38774),26.2,((IF(($C5=38771),23.2,((IF(($C5="29.2"),29.2,0)))))))))))))))))))))</f>
        <v>0</v>
      </c>
      <c r="V5" s="295"/>
      <c r="W5" s="296">
        <f t="shared" ref="W5:W18" si="11">(IF((SUM(P5:V5)&lt;&gt;0),(SUM(P5:V5)),$C5))</f>
        <v>18</v>
      </c>
      <c r="X5" s="297">
        <f t="shared" ref="X5:X27" si="12">((IF(($D5=38785),9.3,((IF(($D5=38761),13.2,((IF(($D5="31.2"),31.2,((IF(($D5=38787),11.3,((IF(($D5=38759),11.2,((IF(($D5=38763),15.2,((IF(($D5=38765),17.2,((IF(($D5=38772),24.2,0))))))))))))))))))))))))</f>
        <v>0</v>
      </c>
      <c r="Y5" s="297">
        <f t="shared" ref="Y5:Y27" si="13">((IF(($D5=38800),24.3,((IF(($D5=38773),25.2,((IF(($D5=38046),29.2,((IF(($D5=38075),29.3,((IF(($D5="32.2"),32.2,((IF(($D5="33.2"),33.2,((IF(($D5="34.2"),34.2,((IF(($D5="35.2"),35.2,0))))))))))))))))))))))))</f>
        <v>0</v>
      </c>
      <c r="Z5" s="297">
        <f t="shared" ref="Z5:Z27" si="14">((IF(($D5=38767),19.2,((IF(($D5="21.2"),21.2,((IF(($D5="22.2"),22.2,((IF(($D5="22.3"),22.3,((IF(($D5="26.2"),26.2,((IF(($D5="42.2"),42.2,((IF(($D5="44.2"),44.2,((IF(($D5="46.2"),46.2,0))))))))))))))))))))))))</f>
        <v>0</v>
      </c>
      <c r="AA5" s="297">
        <f t="shared" ref="AA5:AA27" si="15">((IF(($D5="47.2"),47.2,((IF(($D5="50.2"),50.2,((IF(($D5="8.3"),8.3,((IF(($D5="23.2"),23.2,((IF(($D5="43.2"),43.2,((IF(($D5="45.2"),45.2,((IF(($D5="48.2"),48.2,((IF(($D5="51.2"),51.2,0))))))))))))))))))))))))</f>
        <v>0</v>
      </c>
      <c r="AB5" s="297">
        <f t="shared" ref="AB5:AB27" si="16">((IF(($D5="13.3"),13.3,((IF(($D5=38758),10.2,((IF(($D5=38762),14.2,((IF(($D5=38760),12.2,((IF(($D5=38764),16.2,((IF(($D5=38766),18.2,((IF(($D5=38776),28.2,((IF(($D5="30.2"),30.2,0))))))))))))))))))))))))</f>
        <v>0</v>
      </c>
      <c r="AC5" s="297">
        <f>((IF(($D5="34.1"),34.1,((IF(($D5="35.1"),35.1,((IF(($D5=38733),16.1,((IF(($D5=38768),20.2,((IF(($D5=38774),26.2,((IF(($D5=38771),23.2,((IF(($D5="29.2"),29.2,0)))))))))))))))))))))</f>
        <v>0</v>
      </c>
      <c r="AD5" s="297"/>
      <c r="AE5" s="298">
        <f t="shared" ref="AE5:AE18" si="17">(IF((SUM(X5:AD5)&lt;&gt;0),(SUM(X5:AD5)),$D5))</f>
        <v>15</v>
      </c>
      <c r="AF5" s="299">
        <f t="shared" ref="AF5:AF27" si="18">((IF(($E5=38785),9.3,((IF(($E5=38761),13.2,((IF(($E5="31.2"),31.2,((IF(($E5=38787),11.3,((IF(($E5=38759),11.2,((IF(($E5=38763),15.2,((IF(($E5=38765),17.2,((IF(($E5=38772),24.2,0))))))))))))))))))))))))</f>
        <v>0</v>
      </c>
      <c r="AG5" s="299">
        <f t="shared" ref="AG5:AG27" si="19">((IF(($E5=38800),24.3,((IF(($E5=38773),25.2,((IF(($E5=38046),29.2,((IF(($E5=38075),29.3,((IF(($E5="32.2"),32.2,((IF(($E5="33.2"),33.2,((IF(($E5="34.2"),34.2,((IF(($E5="35.2"),35.2,0))))))))))))))))))))))))</f>
        <v>0</v>
      </c>
      <c r="AH5" s="299">
        <f t="shared" ref="AH5:AH27" si="20">((IF(($E5=38767),19.2,((IF(($E5="21.2"),21.2,((IF(($E5="22.2"),22.2,((IF(($E5="22.3"),22.3,((IF(($E5="26.2"),26.2,((IF(($E5="42.2"),42.2,((IF(($E5="44.2"),44.2,((IF(($E5="46.2"),46.2,0))))))))))))))))))))))))</f>
        <v>0</v>
      </c>
      <c r="AI5" s="299">
        <f t="shared" ref="AI5:AI27" si="21">((IF(($E5="47.2"),47.2,((IF(($E5="50.2"),50.2,((IF(($E5="8.3"),8.3,((IF(($E5="23.2"),23.2,((IF(($E5="43.2"),43.2,((IF(($E5="45.2"),45.2,((IF(($E5="48.2"),48.2,((IF(($E5="51.2"),51.2,0))))))))))))))))))))))))</f>
        <v>0</v>
      </c>
      <c r="AJ5" s="299">
        <f t="shared" ref="AJ5:AJ27" si="22">((IF(($E5="13.3"),13.3,((IF(($E5=38758),10.2,((IF(($E5=38762),14.2,((IF(($E5=38760),12.2,((IF(($E5=38764),16.2,((IF(($E5=38766),18.2,((IF(($E5=38776),28.2,((IF(($E5="30.2"),30.2,0))))))))))))))))))))))))</f>
        <v>0</v>
      </c>
      <c r="AK5" s="299">
        <f>((IF(($E5="34.1"),34.1,((IF(($E5="35.1"),35.1,((IF(($E5=38733),16.1,((IF(($E5=38768),20.2,((IF(($E5=38774),26.2,((IF(($E5=38771),23.2,((IF(($E5="29.2"),29.2,0)))))))))))))))))))))</f>
        <v>0</v>
      </c>
      <c r="AL5" s="299"/>
      <c r="AM5" s="300">
        <f t="shared" ref="AM5:AM18" si="23">(IF((SUM(AF5:AL5)&lt;&gt;0),(SUM(AF5:AL5)),$E5))</f>
        <v>18</v>
      </c>
      <c r="AN5" s="301">
        <f t="shared" ref="AN5:AN27" si="24">((IF(($F5=38785),9.3,((IF(($F5=38761),13.2,((IF(($F5="31.2"),31.2,((IF(($F5=38787),11.3,((IF(($F5=38759),11.2,((IF(($F5=38763),15.2,((IF(($F5=38765),17.2,((IF(($F5=38772),24.2,0))))))))))))))))))))))))</f>
        <v>0</v>
      </c>
      <c r="AO5" s="301">
        <f t="shared" ref="AO5:AO27" si="25">((IF(($F5=38800),24.3,((IF(($F5=38773),25.2,((IF(($F5=38046),29.2,((IF(($F5=38075),29.3,((IF(($F5="32.2"),32.2,((IF(($F5="33.2"),33.2,((IF(($F5="34.2"),34.2,((IF(($F5="35.2"),35.2,0))))))))))))))))))))))))</f>
        <v>0</v>
      </c>
      <c r="AP5" s="301">
        <f t="shared" ref="AP5:AP27" si="26">((IF(($F5=38767),19.2,((IF(($F5="21.2"),21.2,((IF(($F5="22.2"),22.2,((IF(($F5="22.3"),22.3,((IF(($F5="26.2"),26.2,((IF(($F5="42.2"),42.2,((IF(($F5="44.2"),44.2,((IF(($F5="46.2"),46.2,0))))))))))))))))))))))))</f>
        <v>0</v>
      </c>
      <c r="AQ5" s="301">
        <f t="shared" ref="AQ5:AQ27" si="27">((IF(($F5="47.2"),47.2,((IF(($F5="50.2"),50.2,((IF(($F5="8.3"),8.3,((IF(($F5="23.2"),23.2,((IF(($F5="43.2"),43.2,((IF(($F5="45.2"),45.2,((IF(($F5="48.2"),48.2,((IF(($F5="51.2"),51.2,0))))))))))))))))))))))))</f>
        <v>0</v>
      </c>
      <c r="AR5" s="301">
        <f t="shared" ref="AR5:AR27" si="28">((IF(($F5="13.3"),13.3,((IF(($F5=38758),10.2,((IF(($F5=38762),14.2,((IF(($F5=38760),12.2,((IF(($F5=38764),16.2,((IF(($F5=38766),18.2,((IF(($F5=38776),28.2,((IF(($F5="30.2"),30.2,0))))))))))))))))))))))))</f>
        <v>0</v>
      </c>
      <c r="AS5" s="301">
        <f>((IF(($F5="34.1"),34.1,((IF(($F5="35.1"),35.1,((IF(($F5=38733),16.1,((IF(($F5=38768),20.2,((IF(($F5=38774),26.2,((IF(($F5=38771),23.2,((IF(($F5="29.2"),29.2,0)))))))))))))))))))))</f>
        <v>0</v>
      </c>
      <c r="AT5" s="301"/>
      <c r="AU5" s="302">
        <f t="shared" ref="AU5:AU18" si="29">(IF((SUM(AN5:AT5)&lt;&gt;0),(SUM(AN5:AT5)),$F5))</f>
        <v>14</v>
      </c>
      <c r="AV5" s="303">
        <f t="shared" ref="AV5:AV27" si="30">((IF(($G5=38785),9.3,((IF(($G5=38761),13.2,((IF(($G5="31.2"),31.2,((IF(($G5=38787),11.3,((IF(($G5=38759),11.2,((IF(($G5=38763),15.2,((IF(($G5=38765),17.2,((IF(($G5=38772),24.2,0))))))))))))))))))))))))</f>
        <v>0</v>
      </c>
      <c r="AW5" s="303">
        <f t="shared" ref="AW5:AW27" si="31">((IF(($G5=38800),24.3,((IF(($G5=38773),25.2,((IF(($G5=38046),29.2,((IF(($G5=38075),29.3,((IF(($G5="32.2"),32.2,((IF(($G5="33.2"),33.2,((IF(($G5="34.2"),34.2,((IF(($G5="35.2"),35.2,0))))))))))))))))))))))))</f>
        <v>0</v>
      </c>
      <c r="AX5" s="303">
        <f t="shared" ref="AX5:AX27" si="32">((IF(($G5=38767),19.2,((IF(($G5="21.2"),21.2,((IF(($G5="22.2"),22.2,((IF(($G5="22.3"),22.3,((IF(($G5="26.2"),26.2,((IF(($G5="42.2"),42.2,((IF(($G5="44.2"),44.2,((IF(($G5="46.2"),46.2,0))))))))))))))))))))))))</f>
        <v>0</v>
      </c>
      <c r="AY5" s="303">
        <f t="shared" ref="AY5:AY27" si="33">((IF(($G5="47.2"),47.2,((IF(($G5="50.2"),50.2,((IF(($G5="8.3"),8.3,((IF(($G5="23.2"),23.2,((IF(($G5="43.2"),43.2,((IF(($G5="45.2"),45.2,((IF(($G5="48.2"),48.2,((IF(($G5="51.2"),51.2,0))))))))))))))))))))))))</f>
        <v>0</v>
      </c>
      <c r="AZ5" s="303">
        <f t="shared" ref="AZ5:AZ27" si="34">((IF(($G5="13.3"),13.3,((IF(($G5=38758),10.2,((IF(($G5=38762),14.2,((IF(($G5=38760),12.2,((IF(($G5=38764),16.2,((IF(($G5=38766),18.2,((IF(($G5=38776),28.2,((IF(($G5="30.2"),30.2,0))))))))))))))))))))))))</f>
        <v>0</v>
      </c>
      <c r="BA5" s="303">
        <f>((IF(($G5="34.1"),34.1,((IF(($G5="35.1"),35.1,((IF(($G5=38733),16.1,((IF(($G5=38768),20.2,((IF(($G5=38774),26.2,((IF(($G5=38771),23.2,((IF(($G5="29.2"),29.2,0)))))))))))))))))))))</f>
        <v>0</v>
      </c>
      <c r="BB5" s="303"/>
      <c r="BC5" s="304">
        <f t="shared" ref="BC5:BC18" si="35">(IF((SUM(AV5:BB5)&lt;&gt;0),(SUM(AV5:BB5)),$G5))</f>
        <v>15</v>
      </c>
      <c r="BF5" s="225"/>
      <c r="BG5" s="225"/>
      <c r="BH5" s="225"/>
      <c r="BI5" s="225"/>
      <c r="BJ5" s="225"/>
      <c r="BK5" s="225"/>
      <c r="BL5" s="223"/>
    </row>
    <row r="6" spans="1:64" ht="9.9499999999999993" customHeight="1" thickTop="1" thickBot="1" x14ac:dyDescent="0.25">
      <c r="A6" s="308" t="s">
        <v>218</v>
      </c>
      <c r="B6" s="310">
        <v>15</v>
      </c>
      <c r="C6" s="310">
        <v>16.3</v>
      </c>
      <c r="D6" s="310">
        <v>16.3</v>
      </c>
      <c r="E6" s="310">
        <v>19.3</v>
      </c>
      <c r="F6" s="310">
        <v>13</v>
      </c>
      <c r="G6" s="311">
        <v>19.3</v>
      </c>
      <c r="H6" s="293">
        <f t="shared" si="0"/>
        <v>0</v>
      </c>
      <c r="I6" s="293">
        <f t="shared" si="1"/>
        <v>0</v>
      </c>
      <c r="J6" s="293">
        <f t="shared" si="2"/>
        <v>0</v>
      </c>
      <c r="K6" s="293">
        <f t="shared" si="3"/>
        <v>0</v>
      </c>
      <c r="L6" s="293">
        <f t="shared" si="4"/>
        <v>0</v>
      </c>
      <c r="M6" s="293">
        <f>((IF(($B6="34.1"),34.1,((IF(($B6="35.1"),35.1,((IF(($B6=38733),16.1,((IF(($B6=38768),20.2,((IF(($B6=38774),26.2,0)))))))))))))))</f>
        <v>0</v>
      </c>
      <c r="N6" s="293"/>
      <c r="O6" s="294">
        <f t="shared" si="5"/>
        <v>15</v>
      </c>
      <c r="P6" s="295">
        <f t="shared" si="6"/>
        <v>0</v>
      </c>
      <c r="Q6" s="295">
        <f t="shared" si="7"/>
        <v>0</v>
      </c>
      <c r="R6" s="295">
        <f t="shared" si="8"/>
        <v>0</v>
      </c>
      <c r="S6" s="295">
        <f t="shared" si="9"/>
        <v>0</v>
      </c>
      <c r="T6" s="295">
        <f t="shared" si="10"/>
        <v>0</v>
      </c>
      <c r="U6" s="295">
        <f>((IF(($C6="34.1"),34.1,((IF(($C6="35.1"),35.1,((IF(($C6=38733),16.1,((IF(($C6=38768),20.2,((IF(($C6=38774),26.2,((IF(($C6=38771),23.2,0))))))))))))))))))</f>
        <v>0</v>
      </c>
      <c r="V6" s="295"/>
      <c r="W6" s="296">
        <f t="shared" si="11"/>
        <v>16.3</v>
      </c>
      <c r="X6" s="297">
        <f t="shared" si="12"/>
        <v>0</v>
      </c>
      <c r="Y6" s="297">
        <f t="shared" si="13"/>
        <v>0</v>
      </c>
      <c r="Z6" s="297">
        <f t="shared" si="14"/>
        <v>0</v>
      </c>
      <c r="AA6" s="297">
        <f t="shared" si="15"/>
        <v>0</v>
      </c>
      <c r="AB6" s="297">
        <f t="shared" si="16"/>
        <v>0</v>
      </c>
      <c r="AC6" s="297">
        <f>((IF(($D6="34.1"),34.1,((IF(($D6="35.1"),35.1,((IF(($D6=38733),16.1,((IF(($D6=38768),20.2,((IF(($D6=38774),26.2,0)))))))))))))))</f>
        <v>0</v>
      </c>
      <c r="AD6" s="297"/>
      <c r="AE6" s="298">
        <f t="shared" si="17"/>
        <v>16.3</v>
      </c>
      <c r="AF6" s="299">
        <f t="shared" si="18"/>
        <v>0</v>
      </c>
      <c r="AG6" s="299">
        <f t="shared" si="19"/>
        <v>0</v>
      </c>
      <c r="AH6" s="299">
        <f t="shared" si="20"/>
        <v>0</v>
      </c>
      <c r="AI6" s="299">
        <f t="shared" si="21"/>
        <v>0</v>
      </c>
      <c r="AJ6" s="299">
        <f t="shared" si="22"/>
        <v>0</v>
      </c>
      <c r="AK6" s="299">
        <f>((IF(($E6="34.1"),34.1,((IF(($E6="35.1"),35.1,((IF(($E6=38733),16.1,((IF(($E6=38768),20.2,((IF(($E6=38774),26.2,((IF(($E6=38771),23.2,0))))))))))))))))))</f>
        <v>0</v>
      </c>
      <c r="AL6" s="299"/>
      <c r="AM6" s="300">
        <f t="shared" si="23"/>
        <v>19.3</v>
      </c>
      <c r="AN6" s="301">
        <f t="shared" si="24"/>
        <v>0</v>
      </c>
      <c r="AO6" s="301">
        <f t="shared" si="25"/>
        <v>0</v>
      </c>
      <c r="AP6" s="301">
        <f t="shared" si="26"/>
        <v>0</v>
      </c>
      <c r="AQ6" s="301">
        <f t="shared" si="27"/>
        <v>0</v>
      </c>
      <c r="AR6" s="301">
        <f t="shared" si="28"/>
        <v>0</v>
      </c>
      <c r="AS6" s="301">
        <f>((IF(($F6="34.1"),34.1,((IF(($F6="35.1"),35.1,((IF(($F6=38733),16.1,((IF(($F6=38768),20.2,((IF(($F6=38774),26.2,0)))))))))))))))</f>
        <v>0</v>
      </c>
      <c r="AT6" s="301"/>
      <c r="AU6" s="302">
        <f t="shared" si="29"/>
        <v>13</v>
      </c>
      <c r="AV6" s="303">
        <f t="shared" si="30"/>
        <v>0</v>
      </c>
      <c r="AW6" s="303">
        <f t="shared" si="31"/>
        <v>0</v>
      </c>
      <c r="AX6" s="303">
        <f t="shared" si="32"/>
        <v>0</v>
      </c>
      <c r="AY6" s="303">
        <f t="shared" si="33"/>
        <v>0</v>
      </c>
      <c r="AZ6" s="303">
        <f t="shared" si="34"/>
        <v>0</v>
      </c>
      <c r="BA6" s="303">
        <f>((IF(($G6="34.1"),34.1,((IF(($G6="35.1"),35.1,((IF(($G6=38733),16.1,((IF(($G6=38768),20.2,((IF(($G6=38774),26.2,((IF(($G6=38771),23.2,0))))))))))))))))))</f>
        <v>0</v>
      </c>
      <c r="BB6" s="303"/>
      <c r="BC6" s="304">
        <f t="shared" si="35"/>
        <v>19.3</v>
      </c>
      <c r="BF6" s="225"/>
      <c r="BG6" s="225"/>
      <c r="BH6" s="225"/>
      <c r="BI6" s="225"/>
      <c r="BJ6" s="225"/>
      <c r="BK6" s="225"/>
      <c r="BL6" s="223"/>
    </row>
    <row r="7" spans="1:64" ht="9.9499999999999993" customHeight="1" thickTop="1" thickBot="1" x14ac:dyDescent="0.25">
      <c r="A7" s="308" t="s">
        <v>219</v>
      </c>
      <c r="B7" s="310">
        <v>10</v>
      </c>
      <c r="C7" s="310">
        <v>12</v>
      </c>
      <c r="D7" s="310">
        <v>10</v>
      </c>
      <c r="E7" s="310">
        <v>12</v>
      </c>
      <c r="F7" s="310">
        <v>10</v>
      </c>
      <c r="G7" s="311">
        <v>11</v>
      </c>
      <c r="H7" s="293">
        <f t="shared" si="0"/>
        <v>0</v>
      </c>
      <c r="I7" s="293">
        <f t="shared" si="1"/>
        <v>0</v>
      </c>
      <c r="J7" s="293">
        <f t="shared" si="2"/>
        <v>0</v>
      </c>
      <c r="K7" s="293">
        <f t="shared" si="3"/>
        <v>0</v>
      </c>
      <c r="L7" s="293">
        <f t="shared" si="4"/>
        <v>0</v>
      </c>
      <c r="M7" s="293">
        <f>((IF(($B7="34.1"),34.1,((IF(($B7="35.1"),35.1,((IF(($B7=38733),16.1,((IF(($B7=38768),20.2,((IF(($B7=38774),26.2,0)))))))))))))))</f>
        <v>0</v>
      </c>
      <c r="N7" s="293"/>
      <c r="O7" s="294">
        <f t="shared" si="5"/>
        <v>10</v>
      </c>
      <c r="P7" s="295">
        <f t="shared" si="6"/>
        <v>0</v>
      </c>
      <c r="Q7" s="295">
        <f t="shared" si="7"/>
        <v>0</v>
      </c>
      <c r="R7" s="295">
        <f t="shared" si="8"/>
        <v>0</v>
      </c>
      <c r="S7" s="295">
        <f t="shared" si="9"/>
        <v>0</v>
      </c>
      <c r="T7" s="295">
        <f t="shared" si="10"/>
        <v>0</v>
      </c>
      <c r="U7" s="295">
        <f>((IF(($C7="34.1"),34.1,((IF(($C7="35.1"),35.1,((IF(($C7=38733),16.1,((IF(($C7=38768),20.2,((IF(($C7=38774),26.2,((IF(($C7=38771),23.2,0))))))))))))))))))</f>
        <v>0</v>
      </c>
      <c r="V7" s="295"/>
      <c r="W7" s="296">
        <f t="shared" si="11"/>
        <v>12</v>
      </c>
      <c r="X7" s="297">
        <f t="shared" si="12"/>
        <v>0</v>
      </c>
      <c r="Y7" s="297">
        <f t="shared" si="13"/>
        <v>0</v>
      </c>
      <c r="Z7" s="297">
        <f t="shared" si="14"/>
        <v>0</v>
      </c>
      <c r="AA7" s="297">
        <f t="shared" si="15"/>
        <v>0</v>
      </c>
      <c r="AB7" s="297">
        <f t="shared" si="16"/>
        <v>0</v>
      </c>
      <c r="AC7" s="297">
        <f>((IF(($D7="34.1"),34.1,((IF(($D7="35.1"),35.1,((IF(($D7=38733),16.1,((IF(($D7=38768),20.2,((IF(($D7=38774),26.2,0)))))))))))))))</f>
        <v>0</v>
      </c>
      <c r="AD7" s="297"/>
      <c r="AE7" s="298">
        <f t="shared" si="17"/>
        <v>10</v>
      </c>
      <c r="AF7" s="299">
        <f t="shared" si="18"/>
        <v>0</v>
      </c>
      <c r="AG7" s="299">
        <f t="shared" si="19"/>
        <v>0</v>
      </c>
      <c r="AH7" s="299">
        <f t="shared" si="20"/>
        <v>0</v>
      </c>
      <c r="AI7" s="299">
        <f t="shared" si="21"/>
        <v>0</v>
      </c>
      <c r="AJ7" s="299">
        <f t="shared" si="22"/>
        <v>0</v>
      </c>
      <c r="AK7" s="299">
        <f>((IF(($E7="34.1"),34.1,((IF(($E7="35.1"),35.1,((IF(($E7=38733),16.1,((IF(($E7=38768),20.2,((IF(($E7=38774),26.2,((IF(($E7=38771),23.2,0))))))))))))))))))</f>
        <v>0</v>
      </c>
      <c r="AL7" s="299"/>
      <c r="AM7" s="300">
        <f t="shared" si="23"/>
        <v>12</v>
      </c>
      <c r="AN7" s="301">
        <f t="shared" si="24"/>
        <v>0</v>
      </c>
      <c r="AO7" s="301">
        <f t="shared" si="25"/>
        <v>0</v>
      </c>
      <c r="AP7" s="301">
        <f t="shared" si="26"/>
        <v>0</v>
      </c>
      <c r="AQ7" s="301">
        <f t="shared" si="27"/>
        <v>0</v>
      </c>
      <c r="AR7" s="301">
        <f t="shared" si="28"/>
        <v>0</v>
      </c>
      <c r="AS7" s="301">
        <f>((IF(($F7="34.1"),34.1,((IF(($F7="35.1"),35.1,((IF(($F7=38733),16.1,((IF(($F7=38768),20.2,((IF(($F7=38774),26.2,0)))))))))))))))</f>
        <v>0</v>
      </c>
      <c r="AT7" s="301"/>
      <c r="AU7" s="302">
        <f t="shared" si="29"/>
        <v>10</v>
      </c>
      <c r="AV7" s="303">
        <f t="shared" si="30"/>
        <v>0</v>
      </c>
      <c r="AW7" s="303">
        <f t="shared" si="31"/>
        <v>0</v>
      </c>
      <c r="AX7" s="303">
        <f t="shared" si="32"/>
        <v>0</v>
      </c>
      <c r="AY7" s="303">
        <f t="shared" si="33"/>
        <v>0</v>
      </c>
      <c r="AZ7" s="303">
        <f t="shared" si="34"/>
        <v>0</v>
      </c>
      <c r="BA7" s="303">
        <f>((IF(($G7="34.1"),34.1,((IF(($G7="35.1"),35.1,((IF(($G7=38733),16.1,((IF(($G7=38768),20.2,((IF(($G7=38774),26.2,((IF(($G7=38771),23.2,0))))))))))))))))))</f>
        <v>0</v>
      </c>
      <c r="BB7" s="303"/>
      <c r="BC7" s="304">
        <f t="shared" si="35"/>
        <v>11</v>
      </c>
      <c r="BF7" s="225"/>
      <c r="BG7" s="225"/>
      <c r="BH7" s="225"/>
      <c r="BI7" s="225"/>
      <c r="BJ7" s="225"/>
      <c r="BK7" s="225"/>
      <c r="BL7" s="223"/>
    </row>
    <row r="8" spans="1:64" ht="9.9499999999999993" customHeight="1" thickTop="1" thickBot="1" x14ac:dyDescent="0.25">
      <c r="A8" s="308" t="s">
        <v>220</v>
      </c>
      <c r="B8" s="310" t="s">
        <v>103</v>
      </c>
      <c r="C8" s="310">
        <v>13</v>
      </c>
      <c r="D8" s="310" t="s">
        <v>103</v>
      </c>
      <c r="E8" s="310">
        <v>14</v>
      </c>
      <c r="F8" s="310">
        <v>13</v>
      </c>
      <c r="G8" s="311">
        <v>14</v>
      </c>
      <c r="H8" s="293">
        <f t="shared" si="0"/>
        <v>0</v>
      </c>
      <c r="I8" s="293">
        <f t="shared" si="1"/>
        <v>0</v>
      </c>
      <c r="J8" s="293">
        <f t="shared" si="2"/>
        <v>0</v>
      </c>
      <c r="K8" s="293">
        <f t="shared" si="3"/>
        <v>0</v>
      </c>
      <c r="L8" s="293">
        <f t="shared" si="4"/>
        <v>0</v>
      </c>
      <c r="M8" s="293">
        <f>((IF(($B8="34.1"),34.1,((IF(($B8="35.1"),35.1,((IF(($B8=38733),16.1,((IF(($B8=38768),20.2,((IF(($B8=38774),26.2,0)))))))))))))))</f>
        <v>0</v>
      </c>
      <c r="N8" s="293"/>
      <c r="O8" s="294" t="str">
        <f t="shared" si="5"/>
        <v>&lt;8</v>
      </c>
      <c r="P8" s="295">
        <f t="shared" si="6"/>
        <v>0</v>
      </c>
      <c r="Q8" s="295">
        <f t="shared" si="7"/>
        <v>0</v>
      </c>
      <c r="R8" s="295">
        <f t="shared" si="8"/>
        <v>0</v>
      </c>
      <c r="S8" s="295">
        <f t="shared" si="9"/>
        <v>0</v>
      </c>
      <c r="T8" s="295">
        <f t="shared" si="10"/>
        <v>0</v>
      </c>
      <c r="U8" s="295">
        <f>((IF(($C8="34.1"),34.1,((IF(($C8="35.1"),35.1,((IF(($C8=38733),16.1,((IF(($C8=38768),20.2,((IF(($C8=38774),26.2,((IF(($C8=38771),23.2,0))))))))))))))))))</f>
        <v>0</v>
      </c>
      <c r="V8" s="295"/>
      <c r="W8" s="296">
        <f t="shared" si="11"/>
        <v>13</v>
      </c>
      <c r="X8" s="297">
        <f t="shared" si="12"/>
        <v>0</v>
      </c>
      <c r="Y8" s="297">
        <f t="shared" si="13"/>
        <v>0</v>
      </c>
      <c r="Z8" s="297">
        <f t="shared" si="14"/>
        <v>0</v>
      </c>
      <c r="AA8" s="297">
        <f t="shared" si="15"/>
        <v>0</v>
      </c>
      <c r="AB8" s="297">
        <f t="shared" si="16"/>
        <v>0</v>
      </c>
      <c r="AC8" s="297">
        <f>((IF(($D8="34.1"),34.1,((IF(($D8="35.1"),35.1,((IF(($D8=38733),16.1,((IF(($D8=38768),20.2,((IF(($D8=38774),26.2,0)))))))))))))))</f>
        <v>0</v>
      </c>
      <c r="AD8" s="297"/>
      <c r="AE8" s="298" t="str">
        <f t="shared" si="17"/>
        <v>&lt;8</v>
      </c>
      <c r="AF8" s="299">
        <f t="shared" si="18"/>
        <v>0</v>
      </c>
      <c r="AG8" s="299">
        <f t="shared" si="19"/>
        <v>0</v>
      </c>
      <c r="AH8" s="299">
        <f t="shared" si="20"/>
        <v>0</v>
      </c>
      <c r="AI8" s="299">
        <f t="shared" si="21"/>
        <v>0</v>
      </c>
      <c r="AJ8" s="299">
        <f t="shared" si="22"/>
        <v>0</v>
      </c>
      <c r="AK8" s="299">
        <f>((IF(($E8="34.1"),34.1,((IF(($E8="35.1"),35.1,((IF(($E8=38733),16.1,((IF(($E8=38768),20.2,((IF(($E8=38774),26.2,((IF(($E8=38771),23.2,0))))))))))))))))))</f>
        <v>0</v>
      </c>
      <c r="AL8" s="299"/>
      <c r="AM8" s="300">
        <f t="shared" si="23"/>
        <v>14</v>
      </c>
      <c r="AN8" s="301">
        <f t="shared" si="24"/>
        <v>0</v>
      </c>
      <c r="AO8" s="301">
        <f t="shared" si="25"/>
        <v>0</v>
      </c>
      <c r="AP8" s="301">
        <f t="shared" si="26"/>
        <v>0</v>
      </c>
      <c r="AQ8" s="301">
        <f t="shared" si="27"/>
        <v>0</v>
      </c>
      <c r="AR8" s="301">
        <f t="shared" si="28"/>
        <v>0</v>
      </c>
      <c r="AS8" s="301">
        <f>((IF(($F8="34.1"),34.1,((IF(($F8="35.1"),35.1,((IF(($F8=38733),16.1,((IF(($F8=38768),20.2,((IF(($F8=38774),26.2,0)))))))))))))))</f>
        <v>0</v>
      </c>
      <c r="AT8" s="301"/>
      <c r="AU8" s="302">
        <f t="shared" si="29"/>
        <v>13</v>
      </c>
      <c r="AV8" s="303">
        <f t="shared" si="30"/>
        <v>0</v>
      </c>
      <c r="AW8" s="303">
        <f t="shared" si="31"/>
        <v>0</v>
      </c>
      <c r="AX8" s="303">
        <f t="shared" si="32"/>
        <v>0</v>
      </c>
      <c r="AY8" s="303">
        <f t="shared" si="33"/>
        <v>0</v>
      </c>
      <c r="AZ8" s="303">
        <f t="shared" si="34"/>
        <v>0</v>
      </c>
      <c r="BA8" s="303">
        <f>((IF(($G8="34.1"),34.1,((IF(($G8="35.1"),35.1,((IF(($G8=38733),16.1,((IF(($G8=38768),20.2,((IF(($G8=38774),26.2,((IF(($G8=38771),23.2,0))))))))))))))))))</f>
        <v>0</v>
      </c>
      <c r="BB8" s="303"/>
      <c r="BC8" s="304">
        <f t="shared" si="35"/>
        <v>14</v>
      </c>
      <c r="BD8" s="66"/>
      <c r="BF8" s="225"/>
      <c r="BG8" s="225"/>
      <c r="BH8" s="225"/>
      <c r="BI8" s="225"/>
      <c r="BJ8" s="225"/>
      <c r="BK8" s="225"/>
      <c r="BL8" s="223"/>
    </row>
    <row r="9" spans="1:64" ht="9.9499999999999993" customHeight="1" thickTop="1" thickBot="1" x14ac:dyDescent="0.25">
      <c r="A9" s="308" t="s">
        <v>157</v>
      </c>
      <c r="B9" s="310">
        <v>8</v>
      </c>
      <c r="C9" s="310">
        <v>10</v>
      </c>
      <c r="D9" s="310">
        <v>10</v>
      </c>
      <c r="E9" s="310">
        <v>12</v>
      </c>
      <c r="F9" s="310">
        <v>12</v>
      </c>
      <c r="G9" s="311">
        <v>12</v>
      </c>
      <c r="H9" s="305">
        <f t="shared" si="0"/>
        <v>0</v>
      </c>
      <c r="I9" s="293">
        <f t="shared" si="1"/>
        <v>0</v>
      </c>
      <c r="J9" s="293">
        <f t="shared" si="2"/>
        <v>0</v>
      </c>
      <c r="K9" s="293">
        <f t="shared" si="3"/>
        <v>0</v>
      </c>
      <c r="L9" s="293">
        <f t="shared" si="4"/>
        <v>0</v>
      </c>
      <c r="M9" s="293">
        <f>((IF(($B9="34.1"),34.1,((IF(($B9="35.1"),35.1,((IF(($B9=38733),16.1,((IF(($B9=38768),20.2,((IF(($B9=38774),26.2,((IF(($B9=38784),8.3,((IF(($B9=38789),13.3,0)))))))))))))))))))))</f>
        <v>0</v>
      </c>
      <c r="N9" s="293"/>
      <c r="O9" s="294">
        <f t="shared" si="5"/>
        <v>8</v>
      </c>
      <c r="P9" s="295">
        <f t="shared" si="6"/>
        <v>0</v>
      </c>
      <c r="Q9" s="295">
        <f t="shared" si="7"/>
        <v>0</v>
      </c>
      <c r="R9" s="295">
        <f t="shared" si="8"/>
        <v>0</v>
      </c>
      <c r="S9" s="295">
        <f t="shared" si="9"/>
        <v>0</v>
      </c>
      <c r="T9" s="295">
        <f t="shared" si="10"/>
        <v>0</v>
      </c>
      <c r="U9" s="295">
        <f>((IF(($C9="34.1"),34.1,((IF(($C9="35.1"),35.1,((IF(($C9=38733),16.1,((IF(($C9=38768),20.2,((IF(($C9=38774),26.2,((IF(($C9=38771),23.2,((IF(($C9=38784),8.3,((IF(($C9=38789),13.3,0))))))))))))))))))))))))</f>
        <v>0</v>
      </c>
      <c r="V9" s="295"/>
      <c r="W9" s="296">
        <f t="shared" si="11"/>
        <v>10</v>
      </c>
      <c r="X9" s="297">
        <f t="shared" si="12"/>
        <v>0</v>
      </c>
      <c r="Y9" s="297">
        <f t="shared" si="13"/>
        <v>0</v>
      </c>
      <c r="Z9" s="297">
        <f t="shared" si="14"/>
        <v>0</v>
      </c>
      <c r="AA9" s="297">
        <f t="shared" si="15"/>
        <v>0</v>
      </c>
      <c r="AB9" s="297">
        <f t="shared" si="16"/>
        <v>0</v>
      </c>
      <c r="AC9" s="297">
        <f>((IF(($D9="34.1"),34.1,((IF(($D9="35.1"),35.1,((IF(($D9=38733),16.1,((IF(($D9=38768),20.2,((IF(($D9=38774),26.2,((IF(($D9=38784),8.3,((IF(($D9=38789),13.3,0)))))))))))))))))))))</f>
        <v>0</v>
      </c>
      <c r="AD9" s="297"/>
      <c r="AE9" s="298">
        <f t="shared" si="17"/>
        <v>10</v>
      </c>
      <c r="AF9" s="299">
        <f t="shared" si="18"/>
        <v>0</v>
      </c>
      <c r="AG9" s="299">
        <f t="shared" si="19"/>
        <v>0</v>
      </c>
      <c r="AH9" s="299">
        <f t="shared" si="20"/>
        <v>0</v>
      </c>
      <c r="AI9" s="299">
        <f t="shared" si="21"/>
        <v>0</v>
      </c>
      <c r="AJ9" s="299">
        <f t="shared" si="22"/>
        <v>0</v>
      </c>
      <c r="AK9" s="299">
        <f>((IF(($E9="34.1"),34.1,((IF(($E9="35.1"),35.1,((IF(($E9=38733),16.1,((IF(($E9=38768),20.2,((IF(($E9=38774),26.2,((IF(($E9=38771),23.2,((IF(($E9=38784),8.3,((IF(($E9=38789),13.3,0))))))))))))))))))))))))</f>
        <v>0</v>
      </c>
      <c r="AL9" s="299"/>
      <c r="AM9" s="300">
        <f t="shared" si="23"/>
        <v>12</v>
      </c>
      <c r="AN9" s="301">
        <f t="shared" si="24"/>
        <v>0</v>
      </c>
      <c r="AO9" s="301">
        <f t="shared" si="25"/>
        <v>0</v>
      </c>
      <c r="AP9" s="301">
        <f t="shared" si="26"/>
        <v>0</v>
      </c>
      <c r="AQ9" s="301">
        <f t="shared" si="27"/>
        <v>0</v>
      </c>
      <c r="AR9" s="301">
        <f t="shared" si="28"/>
        <v>0</v>
      </c>
      <c r="AS9" s="301">
        <f>((IF(($F9="34.1"),34.1,((IF(($F9="35.1"),35.1,((IF(($F9=38733),16.1,((IF(($F9=38768),20.2,((IF(($F9=38774),26.2,((IF(($F9=38784),8.3,((IF(($F9=38789),13.3,0)))))))))))))))))))))</f>
        <v>0</v>
      </c>
      <c r="AT9" s="301"/>
      <c r="AU9" s="302">
        <f t="shared" si="29"/>
        <v>12</v>
      </c>
      <c r="AV9" s="303">
        <f t="shared" si="30"/>
        <v>0</v>
      </c>
      <c r="AW9" s="303">
        <f t="shared" si="31"/>
        <v>0</v>
      </c>
      <c r="AX9" s="303">
        <f t="shared" si="32"/>
        <v>0</v>
      </c>
      <c r="AY9" s="303">
        <f t="shared" si="33"/>
        <v>0</v>
      </c>
      <c r="AZ9" s="303">
        <f t="shared" si="34"/>
        <v>0</v>
      </c>
      <c r="BA9" s="303">
        <f>((IF(($G9="34.1"),34.1,((IF(($G9="35.1"),35.1,((IF(($G9=38733),16.1,((IF(($G9=38768),20.2,((IF(($G9=38774),26.2,((IF(($G9=38771),23.2,((IF(($G9=38784),8.3,((IF(($G9=38789),13.3,0))))))))))))))))))))))))</f>
        <v>0</v>
      </c>
      <c r="BB9" s="303"/>
      <c r="BC9" s="304">
        <f t="shared" si="35"/>
        <v>12</v>
      </c>
      <c r="BF9" s="225"/>
      <c r="BG9" s="225"/>
      <c r="BH9" s="225"/>
      <c r="BI9" s="225"/>
      <c r="BJ9" s="225"/>
      <c r="BK9" s="225"/>
      <c r="BL9" s="223"/>
    </row>
    <row r="10" spans="1:64" ht="9.9499999999999993" customHeight="1" thickTop="1" thickBot="1" x14ac:dyDescent="0.25">
      <c r="A10" s="308" t="s">
        <v>221</v>
      </c>
      <c r="B10" s="310">
        <v>11</v>
      </c>
      <c r="C10" s="310">
        <v>11</v>
      </c>
      <c r="D10" s="310">
        <v>7</v>
      </c>
      <c r="E10" s="310">
        <v>11</v>
      </c>
      <c r="F10" s="310">
        <v>7</v>
      </c>
      <c r="G10" s="311">
        <v>12</v>
      </c>
      <c r="H10" s="293">
        <f t="shared" si="0"/>
        <v>0</v>
      </c>
      <c r="I10" s="293">
        <f t="shared" si="1"/>
        <v>0</v>
      </c>
      <c r="J10" s="293">
        <f t="shared" si="2"/>
        <v>0</v>
      </c>
      <c r="K10" s="293">
        <f t="shared" si="3"/>
        <v>0</v>
      </c>
      <c r="L10" s="293">
        <f t="shared" si="4"/>
        <v>0</v>
      </c>
      <c r="M10" s="293">
        <f t="shared" ref="M10:M18" si="36">((IF(($B10="34.1"),34.1,((IF(($B10="35.1"),35.1,((IF(($B10=38733),16.1,((IF(($B10=38768),20.2,((IF(($B10=38774),26.2,0)))))))))))))))</f>
        <v>0</v>
      </c>
      <c r="N10" s="293"/>
      <c r="O10" s="294">
        <f t="shared" si="5"/>
        <v>11</v>
      </c>
      <c r="P10" s="295">
        <f t="shared" si="6"/>
        <v>0</v>
      </c>
      <c r="Q10" s="295">
        <f t="shared" si="7"/>
        <v>0</v>
      </c>
      <c r="R10" s="295">
        <f t="shared" si="8"/>
        <v>0</v>
      </c>
      <c r="S10" s="295">
        <f t="shared" si="9"/>
        <v>0</v>
      </c>
      <c r="T10" s="295">
        <f t="shared" si="10"/>
        <v>0</v>
      </c>
      <c r="U10" s="295">
        <f t="shared" ref="U10:U18" si="37">((IF(($C10="34.1"),34.1,((IF(($C10="35.1"),35.1,((IF(($C10=38733),16.1,((IF(($C10=38768),20.2,((IF(($C10=38774),26.2,((IF(($C10=38771),23.2,0))))))))))))))))))</f>
        <v>0</v>
      </c>
      <c r="V10" s="295"/>
      <c r="W10" s="296">
        <f t="shared" si="11"/>
        <v>11</v>
      </c>
      <c r="X10" s="297">
        <f t="shared" si="12"/>
        <v>0</v>
      </c>
      <c r="Y10" s="297">
        <f t="shared" si="13"/>
        <v>0</v>
      </c>
      <c r="Z10" s="297">
        <f t="shared" si="14"/>
        <v>0</v>
      </c>
      <c r="AA10" s="297">
        <f t="shared" si="15"/>
        <v>0</v>
      </c>
      <c r="AB10" s="297">
        <f t="shared" si="16"/>
        <v>0</v>
      </c>
      <c r="AC10" s="297">
        <f t="shared" ref="AC10:AC18" si="38">((IF(($D10="34.1"),34.1,((IF(($D10="35.1"),35.1,((IF(($D10=38733),16.1,((IF(($D10=38768),20.2,((IF(($D10=38774),26.2,0)))))))))))))))</f>
        <v>0</v>
      </c>
      <c r="AD10" s="297"/>
      <c r="AE10" s="298">
        <f t="shared" si="17"/>
        <v>7</v>
      </c>
      <c r="AF10" s="299">
        <f t="shared" si="18"/>
        <v>0</v>
      </c>
      <c r="AG10" s="299">
        <f t="shared" si="19"/>
        <v>0</v>
      </c>
      <c r="AH10" s="299">
        <f t="shared" si="20"/>
        <v>0</v>
      </c>
      <c r="AI10" s="299">
        <f t="shared" si="21"/>
        <v>0</v>
      </c>
      <c r="AJ10" s="299">
        <f t="shared" si="22"/>
        <v>0</v>
      </c>
      <c r="AK10" s="299">
        <f t="shared" ref="AK10:AK18" si="39">((IF(($E10="34.1"),34.1,((IF(($E10="35.1"),35.1,((IF(($E10=38733),16.1,((IF(($E10=38768),20.2,((IF(($E10=38774),26.2,((IF(($E10=38771),23.2,0))))))))))))))))))</f>
        <v>0</v>
      </c>
      <c r="AL10" s="299"/>
      <c r="AM10" s="300">
        <f t="shared" si="23"/>
        <v>11</v>
      </c>
      <c r="AN10" s="301">
        <f t="shared" si="24"/>
        <v>0</v>
      </c>
      <c r="AO10" s="301">
        <f t="shared" si="25"/>
        <v>0</v>
      </c>
      <c r="AP10" s="301">
        <f t="shared" si="26"/>
        <v>0</v>
      </c>
      <c r="AQ10" s="301">
        <f t="shared" si="27"/>
        <v>0</v>
      </c>
      <c r="AR10" s="301">
        <f t="shared" si="28"/>
        <v>0</v>
      </c>
      <c r="AS10" s="301">
        <f t="shared" ref="AS10:AS18" si="40">((IF(($F10="34.1"),34.1,((IF(($F10="35.1"),35.1,((IF(($F10=38733),16.1,((IF(($F10=38768),20.2,((IF(($F10=38774),26.2,0)))))))))))))))</f>
        <v>0</v>
      </c>
      <c r="AT10" s="301"/>
      <c r="AU10" s="302">
        <f t="shared" si="29"/>
        <v>7</v>
      </c>
      <c r="AV10" s="303">
        <f t="shared" si="30"/>
        <v>0</v>
      </c>
      <c r="AW10" s="303">
        <f t="shared" si="31"/>
        <v>0</v>
      </c>
      <c r="AX10" s="303">
        <f t="shared" si="32"/>
        <v>0</v>
      </c>
      <c r="AY10" s="303">
        <f t="shared" si="33"/>
        <v>0</v>
      </c>
      <c r="AZ10" s="303">
        <f t="shared" si="34"/>
        <v>0</v>
      </c>
      <c r="BA10" s="303">
        <f t="shared" ref="BA10:BA18" si="41">((IF(($G10="34.1"),34.1,((IF(($G10="35.1"),35.1,((IF(($G10=38733),16.1,((IF(($G10=38768),20.2,((IF(($G10=38774),26.2,((IF(($G10=38771),23.2,0))))))))))))))))))</f>
        <v>0</v>
      </c>
      <c r="BB10" s="303"/>
      <c r="BC10" s="304">
        <f t="shared" si="35"/>
        <v>12</v>
      </c>
      <c r="BF10" s="225"/>
      <c r="BG10" s="225"/>
      <c r="BH10" s="225"/>
      <c r="BI10" s="225"/>
      <c r="BJ10" s="225"/>
      <c r="BK10" s="225"/>
      <c r="BL10" s="223"/>
    </row>
    <row r="11" spans="1:64" ht="9.9499999999999993" customHeight="1" thickTop="1" thickBot="1" x14ac:dyDescent="0.25">
      <c r="A11" s="308" t="s">
        <v>159</v>
      </c>
      <c r="B11" s="310">
        <v>8</v>
      </c>
      <c r="C11" s="310">
        <v>12</v>
      </c>
      <c r="D11" s="310">
        <v>11</v>
      </c>
      <c r="E11" s="310">
        <v>12</v>
      </c>
      <c r="F11" s="310">
        <v>11</v>
      </c>
      <c r="G11" s="311">
        <v>12</v>
      </c>
      <c r="H11" s="293">
        <f t="shared" si="0"/>
        <v>0</v>
      </c>
      <c r="I11" s="293">
        <f t="shared" si="1"/>
        <v>0</v>
      </c>
      <c r="J11" s="293">
        <f t="shared" si="2"/>
        <v>0</v>
      </c>
      <c r="K11" s="293">
        <f t="shared" si="3"/>
        <v>0</v>
      </c>
      <c r="L11" s="293">
        <f t="shared" si="4"/>
        <v>0</v>
      </c>
      <c r="M11" s="293">
        <f t="shared" si="36"/>
        <v>0</v>
      </c>
      <c r="N11" s="293"/>
      <c r="O11" s="294">
        <f t="shared" si="5"/>
        <v>8</v>
      </c>
      <c r="P11" s="295">
        <f t="shared" si="6"/>
        <v>0</v>
      </c>
      <c r="Q11" s="295">
        <f t="shared" si="7"/>
        <v>0</v>
      </c>
      <c r="R11" s="295">
        <f t="shared" si="8"/>
        <v>0</v>
      </c>
      <c r="S11" s="295">
        <f t="shared" si="9"/>
        <v>0</v>
      </c>
      <c r="T11" s="295">
        <f t="shared" si="10"/>
        <v>0</v>
      </c>
      <c r="U11" s="295">
        <f t="shared" si="37"/>
        <v>0</v>
      </c>
      <c r="V11" s="295"/>
      <c r="W11" s="296">
        <f t="shared" si="11"/>
        <v>12</v>
      </c>
      <c r="X11" s="297">
        <f t="shared" si="12"/>
        <v>0</v>
      </c>
      <c r="Y11" s="297">
        <f t="shared" si="13"/>
        <v>0</v>
      </c>
      <c r="Z11" s="297">
        <f t="shared" si="14"/>
        <v>0</v>
      </c>
      <c r="AA11" s="297">
        <f t="shared" si="15"/>
        <v>0</v>
      </c>
      <c r="AB11" s="297">
        <f t="shared" si="16"/>
        <v>0</v>
      </c>
      <c r="AC11" s="297">
        <f t="shared" si="38"/>
        <v>0</v>
      </c>
      <c r="AD11" s="297"/>
      <c r="AE11" s="298">
        <f t="shared" si="17"/>
        <v>11</v>
      </c>
      <c r="AF11" s="299">
        <f t="shared" si="18"/>
        <v>0</v>
      </c>
      <c r="AG11" s="299">
        <f t="shared" si="19"/>
        <v>0</v>
      </c>
      <c r="AH11" s="299">
        <f t="shared" si="20"/>
        <v>0</v>
      </c>
      <c r="AI11" s="299">
        <f t="shared" si="21"/>
        <v>0</v>
      </c>
      <c r="AJ11" s="299">
        <f t="shared" si="22"/>
        <v>0</v>
      </c>
      <c r="AK11" s="299">
        <f t="shared" si="39"/>
        <v>0</v>
      </c>
      <c r="AL11" s="299"/>
      <c r="AM11" s="300">
        <f t="shared" si="23"/>
        <v>12</v>
      </c>
      <c r="AN11" s="301">
        <f t="shared" si="24"/>
        <v>0</v>
      </c>
      <c r="AO11" s="301">
        <f t="shared" si="25"/>
        <v>0</v>
      </c>
      <c r="AP11" s="301">
        <f t="shared" si="26"/>
        <v>0</v>
      </c>
      <c r="AQ11" s="301">
        <f t="shared" si="27"/>
        <v>0</v>
      </c>
      <c r="AR11" s="301">
        <f t="shared" si="28"/>
        <v>0</v>
      </c>
      <c r="AS11" s="301">
        <f t="shared" si="40"/>
        <v>0</v>
      </c>
      <c r="AT11" s="301"/>
      <c r="AU11" s="302">
        <f t="shared" si="29"/>
        <v>11</v>
      </c>
      <c r="AV11" s="303">
        <f t="shared" si="30"/>
        <v>0</v>
      </c>
      <c r="AW11" s="303">
        <f t="shared" si="31"/>
        <v>0</v>
      </c>
      <c r="AX11" s="303">
        <f t="shared" si="32"/>
        <v>0</v>
      </c>
      <c r="AY11" s="303">
        <f t="shared" si="33"/>
        <v>0</v>
      </c>
      <c r="AZ11" s="303">
        <f t="shared" si="34"/>
        <v>0</v>
      </c>
      <c r="BA11" s="303">
        <f t="shared" si="41"/>
        <v>0</v>
      </c>
      <c r="BB11" s="303"/>
      <c r="BC11" s="304">
        <f t="shared" si="35"/>
        <v>12</v>
      </c>
      <c r="BF11" s="225"/>
      <c r="BG11" s="225"/>
      <c r="BH11" s="225"/>
      <c r="BI11" s="225"/>
      <c r="BJ11" s="225"/>
      <c r="BK11" s="225"/>
      <c r="BL11" s="223"/>
    </row>
    <row r="12" spans="1:64" ht="9.9499999999999993" customHeight="1" thickTop="1" thickBot="1" x14ac:dyDescent="0.25">
      <c r="A12" s="308" t="s">
        <v>155</v>
      </c>
      <c r="B12" s="310">
        <v>15</v>
      </c>
      <c r="C12" s="310">
        <v>20</v>
      </c>
      <c r="D12" s="310">
        <v>15</v>
      </c>
      <c r="E12" s="310">
        <v>18</v>
      </c>
      <c r="F12" s="310">
        <v>14</v>
      </c>
      <c r="G12" s="311">
        <v>18</v>
      </c>
      <c r="H12" s="293">
        <f t="shared" si="0"/>
        <v>0</v>
      </c>
      <c r="I12" s="293">
        <f t="shared" si="1"/>
        <v>0</v>
      </c>
      <c r="J12" s="293">
        <f t="shared" si="2"/>
        <v>0</v>
      </c>
      <c r="K12" s="293">
        <f t="shared" si="3"/>
        <v>0</v>
      </c>
      <c r="L12" s="293">
        <f t="shared" si="4"/>
        <v>0</v>
      </c>
      <c r="M12" s="293">
        <f t="shared" si="36"/>
        <v>0</v>
      </c>
      <c r="N12" s="293"/>
      <c r="O12" s="294">
        <f t="shared" si="5"/>
        <v>15</v>
      </c>
      <c r="P12" s="295">
        <f t="shared" si="6"/>
        <v>0</v>
      </c>
      <c r="Q12" s="295">
        <f t="shared" si="7"/>
        <v>0</v>
      </c>
      <c r="R12" s="295">
        <f t="shared" si="8"/>
        <v>0</v>
      </c>
      <c r="S12" s="295">
        <f t="shared" si="9"/>
        <v>0</v>
      </c>
      <c r="T12" s="295">
        <f t="shared" si="10"/>
        <v>0</v>
      </c>
      <c r="U12" s="295">
        <f t="shared" si="37"/>
        <v>0</v>
      </c>
      <c r="V12" s="295"/>
      <c r="W12" s="296">
        <f t="shared" si="11"/>
        <v>20</v>
      </c>
      <c r="X12" s="297">
        <f t="shared" si="12"/>
        <v>0</v>
      </c>
      <c r="Y12" s="297">
        <f t="shared" si="13"/>
        <v>0</v>
      </c>
      <c r="Z12" s="297">
        <f t="shared" si="14"/>
        <v>0</v>
      </c>
      <c r="AA12" s="297">
        <f t="shared" si="15"/>
        <v>0</v>
      </c>
      <c r="AB12" s="297">
        <f t="shared" si="16"/>
        <v>0</v>
      </c>
      <c r="AC12" s="297">
        <f t="shared" si="38"/>
        <v>0</v>
      </c>
      <c r="AD12" s="297"/>
      <c r="AE12" s="298">
        <f t="shared" si="17"/>
        <v>15</v>
      </c>
      <c r="AF12" s="299">
        <f t="shared" si="18"/>
        <v>0</v>
      </c>
      <c r="AG12" s="299">
        <f t="shared" si="19"/>
        <v>0</v>
      </c>
      <c r="AH12" s="299">
        <f t="shared" si="20"/>
        <v>0</v>
      </c>
      <c r="AI12" s="299">
        <f t="shared" si="21"/>
        <v>0</v>
      </c>
      <c r="AJ12" s="299">
        <f t="shared" si="22"/>
        <v>0</v>
      </c>
      <c r="AK12" s="299">
        <f t="shared" si="39"/>
        <v>0</v>
      </c>
      <c r="AL12" s="299"/>
      <c r="AM12" s="300">
        <f t="shared" si="23"/>
        <v>18</v>
      </c>
      <c r="AN12" s="301">
        <f t="shared" si="24"/>
        <v>0</v>
      </c>
      <c r="AO12" s="301">
        <f t="shared" si="25"/>
        <v>0</v>
      </c>
      <c r="AP12" s="301">
        <f t="shared" si="26"/>
        <v>0</v>
      </c>
      <c r="AQ12" s="301">
        <f t="shared" si="27"/>
        <v>0</v>
      </c>
      <c r="AR12" s="301">
        <f t="shared" si="28"/>
        <v>0</v>
      </c>
      <c r="AS12" s="301">
        <f t="shared" si="40"/>
        <v>0</v>
      </c>
      <c r="AT12" s="301"/>
      <c r="AU12" s="302">
        <f t="shared" si="29"/>
        <v>14</v>
      </c>
      <c r="AV12" s="303">
        <f t="shared" si="30"/>
        <v>0</v>
      </c>
      <c r="AW12" s="303">
        <f t="shared" si="31"/>
        <v>0</v>
      </c>
      <c r="AX12" s="303">
        <f t="shared" si="32"/>
        <v>0</v>
      </c>
      <c r="AY12" s="303">
        <f t="shared" si="33"/>
        <v>0</v>
      </c>
      <c r="AZ12" s="303">
        <f t="shared" si="34"/>
        <v>0</v>
      </c>
      <c r="BA12" s="303">
        <f t="shared" si="41"/>
        <v>0</v>
      </c>
      <c r="BB12" s="303"/>
      <c r="BC12" s="304">
        <f t="shared" si="35"/>
        <v>18</v>
      </c>
      <c r="BF12" s="225"/>
      <c r="BG12" s="225"/>
      <c r="BH12" s="225"/>
      <c r="BI12" s="225"/>
      <c r="BJ12" s="225"/>
      <c r="BK12" s="225"/>
      <c r="BL12" s="223"/>
    </row>
    <row r="13" spans="1:64" ht="9.9499999999999993" customHeight="1" thickTop="1" thickBot="1" x14ac:dyDescent="0.25">
      <c r="A13" s="308" t="s">
        <v>51</v>
      </c>
      <c r="B13" s="310">
        <v>20</v>
      </c>
      <c r="C13" s="310">
        <v>22</v>
      </c>
      <c r="D13" s="310">
        <v>17</v>
      </c>
      <c r="E13" s="310">
        <v>20</v>
      </c>
      <c r="F13" s="310">
        <v>17</v>
      </c>
      <c r="G13" s="311">
        <v>17</v>
      </c>
      <c r="H13" s="293">
        <f t="shared" si="0"/>
        <v>0</v>
      </c>
      <c r="I13" s="293">
        <f t="shared" si="1"/>
        <v>0</v>
      </c>
      <c r="J13" s="293">
        <f t="shared" si="2"/>
        <v>0</v>
      </c>
      <c r="K13" s="293">
        <f t="shared" si="3"/>
        <v>0</v>
      </c>
      <c r="L13" s="293">
        <f t="shared" si="4"/>
        <v>0</v>
      </c>
      <c r="M13" s="293">
        <f t="shared" si="36"/>
        <v>0</v>
      </c>
      <c r="N13" s="293"/>
      <c r="O13" s="294">
        <f t="shared" si="5"/>
        <v>20</v>
      </c>
      <c r="P13" s="295">
        <f t="shared" si="6"/>
        <v>0</v>
      </c>
      <c r="Q13" s="295">
        <f t="shared" si="7"/>
        <v>0</v>
      </c>
      <c r="R13" s="295">
        <f t="shared" si="8"/>
        <v>0</v>
      </c>
      <c r="S13" s="295">
        <f t="shared" si="9"/>
        <v>0</v>
      </c>
      <c r="T13" s="295">
        <f t="shared" si="10"/>
        <v>0</v>
      </c>
      <c r="U13" s="295">
        <f t="shared" si="37"/>
        <v>0</v>
      </c>
      <c r="V13" s="295"/>
      <c r="W13" s="296">
        <f t="shared" si="11"/>
        <v>22</v>
      </c>
      <c r="X13" s="297">
        <f t="shared" si="12"/>
        <v>0</v>
      </c>
      <c r="Y13" s="297">
        <f t="shared" si="13"/>
        <v>0</v>
      </c>
      <c r="Z13" s="297">
        <f t="shared" si="14"/>
        <v>0</v>
      </c>
      <c r="AA13" s="297">
        <f t="shared" si="15"/>
        <v>0</v>
      </c>
      <c r="AB13" s="297">
        <f t="shared" si="16"/>
        <v>0</v>
      </c>
      <c r="AC13" s="297">
        <f t="shared" si="38"/>
        <v>0</v>
      </c>
      <c r="AD13" s="297"/>
      <c r="AE13" s="298">
        <f t="shared" si="17"/>
        <v>17</v>
      </c>
      <c r="AF13" s="299">
        <f t="shared" si="18"/>
        <v>0</v>
      </c>
      <c r="AG13" s="299">
        <f t="shared" si="19"/>
        <v>0</v>
      </c>
      <c r="AH13" s="299">
        <f t="shared" si="20"/>
        <v>0</v>
      </c>
      <c r="AI13" s="299">
        <f t="shared" si="21"/>
        <v>0</v>
      </c>
      <c r="AJ13" s="299">
        <f t="shared" si="22"/>
        <v>0</v>
      </c>
      <c r="AK13" s="299">
        <f t="shared" si="39"/>
        <v>0</v>
      </c>
      <c r="AL13" s="299"/>
      <c r="AM13" s="300">
        <f t="shared" si="23"/>
        <v>20</v>
      </c>
      <c r="AN13" s="301">
        <f t="shared" si="24"/>
        <v>0</v>
      </c>
      <c r="AO13" s="301">
        <f t="shared" si="25"/>
        <v>0</v>
      </c>
      <c r="AP13" s="301">
        <f t="shared" si="26"/>
        <v>0</v>
      </c>
      <c r="AQ13" s="301">
        <f t="shared" si="27"/>
        <v>0</v>
      </c>
      <c r="AR13" s="301">
        <f t="shared" si="28"/>
        <v>0</v>
      </c>
      <c r="AS13" s="301">
        <f t="shared" si="40"/>
        <v>0</v>
      </c>
      <c r="AT13" s="301"/>
      <c r="AU13" s="302">
        <f t="shared" si="29"/>
        <v>17</v>
      </c>
      <c r="AV13" s="303">
        <f t="shared" si="30"/>
        <v>0</v>
      </c>
      <c r="AW13" s="303">
        <f t="shared" si="31"/>
        <v>0</v>
      </c>
      <c r="AX13" s="303">
        <f t="shared" si="32"/>
        <v>0</v>
      </c>
      <c r="AY13" s="303">
        <f t="shared" si="33"/>
        <v>0</v>
      </c>
      <c r="AZ13" s="303">
        <f t="shared" si="34"/>
        <v>0</v>
      </c>
      <c r="BA13" s="303">
        <f t="shared" si="41"/>
        <v>0</v>
      </c>
      <c r="BB13" s="303"/>
      <c r="BC13" s="304">
        <f t="shared" si="35"/>
        <v>17</v>
      </c>
      <c r="BF13" s="225"/>
      <c r="BG13" s="225"/>
      <c r="BH13" s="225"/>
      <c r="BI13" s="225"/>
      <c r="BJ13" s="225"/>
      <c r="BK13" s="225"/>
      <c r="BL13" s="223"/>
    </row>
    <row r="14" spans="1:64" ht="9.9499999999999993" customHeight="1" thickTop="1" thickBot="1" x14ac:dyDescent="0.25">
      <c r="A14" s="308" t="s">
        <v>132</v>
      </c>
      <c r="B14" s="310">
        <v>10</v>
      </c>
      <c r="C14" s="310">
        <v>11</v>
      </c>
      <c r="D14" s="310">
        <v>10</v>
      </c>
      <c r="E14" s="310">
        <v>10</v>
      </c>
      <c r="F14" s="310">
        <v>10</v>
      </c>
      <c r="G14" s="311">
        <v>10</v>
      </c>
      <c r="H14" s="293">
        <f t="shared" si="0"/>
        <v>0</v>
      </c>
      <c r="I14" s="293">
        <f t="shared" si="1"/>
        <v>0</v>
      </c>
      <c r="J14" s="293">
        <f t="shared" si="2"/>
        <v>0</v>
      </c>
      <c r="K14" s="293">
        <f t="shared" si="3"/>
        <v>0</v>
      </c>
      <c r="L14" s="293">
        <f t="shared" si="4"/>
        <v>0</v>
      </c>
      <c r="M14" s="293">
        <f t="shared" si="36"/>
        <v>0</v>
      </c>
      <c r="N14" s="293"/>
      <c r="O14" s="294">
        <f t="shared" si="5"/>
        <v>10</v>
      </c>
      <c r="P14" s="295">
        <f t="shared" si="6"/>
        <v>0</v>
      </c>
      <c r="Q14" s="295">
        <f t="shared" si="7"/>
        <v>0</v>
      </c>
      <c r="R14" s="295">
        <f t="shared" si="8"/>
        <v>0</v>
      </c>
      <c r="S14" s="295">
        <f t="shared" si="9"/>
        <v>0</v>
      </c>
      <c r="T14" s="295">
        <f t="shared" si="10"/>
        <v>0</v>
      </c>
      <c r="U14" s="295">
        <f t="shared" si="37"/>
        <v>0</v>
      </c>
      <c r="V14" s="295"/>
      <c r="W14" s="296">
        <f t="shared" si="11"/>
        <v>11</v>
      </c>
      <c r="X14" s="297">
        <f t="shared" si="12"/>
        <v>0</v>
      </c>
      <c r="Y14" s="297">
        <f t="shared" si="13"/>
        <v>0</v>
      </c>
      <c r="Z14" s="297">
        <f t="shared" si="14"/>
        <v>0</v>
      </c>
      <c r="AA14" s="297">
        <f t="shared" si="15"/>
        <v>0</v>
      </c>
      <c r="AB14" s="297">
        <f t="shared" si="16"/>
        <v>0</v>
      </c>
      <c r="AC14" s="297">
        <f t="shared" si="38"/>
        <v>0</v>
      </c>
      <c r="AD14" s="297"/>
      <c r="AE14" s="298">
        <f t="shared" si="17"/>
        <v>10</v>
      </c>
      <c r="AF14" s="299">
        <f t="shared" si="18"/>
        <v>0</v>
      </c>
      <c r="AG14" s="299">
        <f t="shared" si="19"/>
        <v>0</v>
      </c>
      <c r="AH14" s="299">
        <f t="shared" si="20"/>
        <v>0</v>
      </c>
      <c r="AI14" s="299">
        <f t="shared" si="21"/>
        <v>0</v>
      </c>
      <c r="AJ14" s="299">
        <f t="shared" si="22"/>
        <v>0</v>
      </c>
      <c r="AK14" s="299">
        <f t="shared" si="39"/>
        <v>0</v>
      </c>
      <c r="AL14" s="299"/>
      <c r="AM14" s="300">
        <f t="shared" si="23"/>
        <v>10</v>
      </c>
      <c r="AN14" s="301">
        <f t="shared" si="24"/>
        <v>0</v>
      </c>
      <c r="AO14" s="301">
        <f t="shared" si="25"/>
        <v>0</v>
      </c>
      <c r="AP14" s="301">
        <f t="shared" si="26"/>
        <v>0</v>
      </c>
      <c r="AQ14" s="301">
        <f t="shared" si="27"/>
        <v>0</v>
      </c>
      <c r="AR14" s="301">
        <f t="shared" si="28"/>
        <v>0</v>
      </c>
      <c r="AS14" s="301">
        <f t="shared" si="40"/>
        <v>0</v>
      </c>
      <c r="AT14" s="301"/>
      <c r="AU14" s="302">
        <f t="shared" si="29"/>
        <v>10</v>
      </c>
      <c r="AV14" s="303">
        <f t="shared" si="30"/>
        <v>0</v>
      </c>
      <c r="AW14" s="303">
        <f t="shared" si="31"/>
        <v>0</v>
      </c>
      <c r="AX14" s="303">
        <f t="shared" si="32"/>
        <v>0</v>
      </c>
      <c r="AY14" s="303">
        <f t="shared" si="33"/>
        <v>0</v>
      </c>
      <c r="AZ14" s="303">
        <f t="shared" si="34"/>
        <v>0</v>
      </c>
      <c r="BA14" s="303">
        <f t="shared" si="41"/>
        <v>0</v>
      </c>
      <c r="BB14" s="303"/>
      <c r="BC14" s="304">
        <f t="shared" si="35"/>
        <v>10</v>
      </c>
      <c r="BF14" s="225"/>
      <c r="BG14" s="225"/>
      <c r="BH14" s="225"/>
      <c r="BI14" s="225"/>
      <c r="BJ14" s="225"/>
      <c r="BK14" s="225"/>
      <c r="BL14" s="223"/>
    </row>
    <row r="15" spans="1:64" ht="9.9499999999999993" customHeight="1" thickTop="1" thickBot="1" x14ac:dyDescent="0.25">
      <c r="A15" s="308" t="s">
        <v>222</v>
      </c>
      <c r="B15" s="310">
        <v>8</v>
      </c>
      <c r="C15" s="310">
        <v>11</v>
      </c>
      <c r="D15" s="310">
        <v>11</v>
      </c>
      <c r="E15" s="310">
        <v>11</v>
      </c>
      <c r="F15" s="310">
        <v>11</v>
      </c>
      <c r="G15" s="310">
        <v>12</v>
      </c>
      <c r="H15" s="293">
        <f t="shared" si="0"/>
        <v>0</v>
      </c>
      <c r="I15" s="293">
        <f t="shared" si="1"/>
        <v>0</v>
      </c>
      <c r="J15" s="293">
        <f t="shared" si="2"/>
        <v>0</v>
      </c>
      <c r="K15" s="293">
        <f t="shared" si="3"/>
        <v>0</v>
      </c>
      <c r="L15" s="293">
        <f t="shared" si="4"/>
        <v>0</v>
      </c>
      <c r="M15" s="293">
        <f t="shared" si="36"/>
        <v>0</v>
      </c>
      <c r="N15" s="293"/>
      <c r="O15" s="294">
        <f t="shared" si="5"/>
        <v>8</v>
      </c>
      <c r="P15" s="295">
        <f t="shared" si="6"/>
        <v>0</v>
      </c>
      <c r="Q15" s="295">
        <f t="shared" si="7"/>
        <v>0</v>
      </c>
      <c r="R15" s="295">
        <f t="shared" si="8"/>
        <v>0</v>
      </c>
      <c r="S15" s="295">
        <f t="shared" si="9"/>
        <v>0</v>
      </c>
      <c r="T15" s="295">
        <f t="shared" si="10"/>
        <v>0</v>
      </c>
      <c r="U15" s="295">
        <f t="shared" si="37"/>
        <v>0</v>
      </c>
      <c r="V15" s="295"/>
      <c r="W15" s="296">
        <f t="shared" si="11"/>
        <v>11</v>
      </c>
      <c r="X15" s="297">
        <f t="shared" si="12"/>
        <v>0</v>
      </c>
      <c r="Y15" s="297">
        <f t="shared" si="13"/>
        <v>0</v>
      </c>
      <c r="Z15" s="297">
        <f t="shared" si="14"/>
        <v>0</v>
      </c>
      <c r="AA15" s="297">
        <f t="shared" si="15"/>
        <v>0</v>
      </c>
      <c r="AB15" s="297">
        <f t="shared" si="16"/>
        <v>0</v>
      </c>
      <c r="AC15" s="297">
        <f t="shared" si="38"/>
        <v>0</v>
      </c>
      <c r="AD15" s="297"/>
      <c r="AE15" s="298">
        <f t="shared" si="17"/>
        <v>11</v>
      </c>
      <c r="AF15" s="299">
        <f t="shared" si="18"/>
        <v>0</v>
      </c>
      <c r="AG15" s="299">
        <f t="shared" si="19"/>
        <v>0</v>
      </c>
      <c r="AH15" s="299">
        <f t="shared" si="20"/>
        <v>0</v>
      </c>
      <c r="AI15" s="299">
        <f t="shared" si="21"/>
        <v>0</v>
      </c>
      <c r="AJ15" s="299">
        <f t="shared" si="22"/>
        <v>0</v>
      </c>
      <c r="AK15" s="299">
        <f t="shared" si="39"/>
        <v>0</v>
      </c>
      <c r="AL15" s="299"/>
      <c r="AM15" s="300">
        <f t="shared" si="23"/>
        <v>11</v>
      </c>
      <c r="AN15" s="301">
        <f t="shared" si="24"/>
        <v>0</v>
      </c>
      <c r="AO15" s="301">
        <f t="shared" si="25"/>
        <v>0</v>
      </c>
      <c r="AP15" s="301">
        <f t="shared" si="26"/>
        <v>0</v>
      </c>
      <c r="AQ15" s="301">
        <f t="shared" si="27"/>
        <v>0</v>
      </c>
      <c r="AR15" s="301">
        <f t="shared" si="28"/>
        <v>0</v>
      </c>
      <c r="AS15" s="301">
        <f t="shared" si="40"/>
        <v>0</v>
      </c>
      <c r="AT15" s="301"/>
      <c r="AU15" s="302">
        <f t="shared" si="29"/>
        <v>11</v>
      </c>
      <c r="AV15" s="303">
        <f t="shared" si="30"/>
        <v>0</v>
      </c>
      <c r="AW15" s="303">
        <f t="shared" si="31"/>
        <v>0</v>
      </c>
      <c r="AX15" s="303">
        <f t="shared" si="32"/>
        <v>0</v>
      </c>
      <c r="AY15" s="303">
        <f t="shared" si="33"/>
        <v>0</v>
      </c>
      <c r="AZ15" s="303">
        <f t="shared" si="34"/>
        <v>0</v>
      </c>
      <c r="BA15" s="303">
        <f t="shared" si="41"/>
        <v>0</v>
      </c>
      <c r="BB15" s="303"/>
      <c r="BC15" s="304">
        <f t="shared" si="35"/>
        <v>12</v>
      </c>
      <c r="BF15" s="225"/>
      <c r="BG15" s="225"/>
      <c r="BH15" s="225"/>
      <c r="BI15" s="225"/>
      <c r="BJ15" s="225"/>
      <c r="BK15" s="225"/>
      <c r="BL15" s="223"/>
    </row>
    <row r="16" spans="1:64" ht="9.9499999999999993" customHeight="1" thickTop="1" thickBot="1" x14ac:dyDescent="0.25">
      <c r="A16" s="308" t="s">
        <v>144</v>
      </c>
      <c r="B16" s="310">
        <v>6</v>
      </c>
      <c r="C16" s="310">
        <v>7</v>
      </c>
      <c r="D16" s="310">
        <v>6</v>
      </c>
      <c r="E16" s="310">
        <v>6</v>
      </c>
      <c r="F16" s="310">
        <v>6</v>
      </c>
      <c r="G16" s="310">
        <v>6</v>
      </c>
      <c r="H16" s="293">
        <f t="shared" si="0"/>
        <v>0</v>
      </c>
      <c r="I16" s="293">
        <f t="shared" si="1"/>
        <v>0</v>
      </c>
      <c r="J16" s="293">
        <f t="shared" si="2"/>
        <v>0</v>
      </c>
      <c r="K16" s="293">
        <f t="shared" si="3"/>
        <v>0</v>
      </c>
      <c r="L16" s="293">
        <f t="shared" si="4"/>
        <v>0</v>
      </c>
      <c r="M16" s="293">
        <f t="shared" si="36"/>
        <v>0</v>
      </c>
      <c r="N16" s="293"/>
      <c r="O16" s="294">
        <f t="shared" si="5"/>
        <v>6</v>
      </c>
      <c r="P16" s="295">
        <f t="shared" si="6"/>
        <v>0</v>
      </c>
      <c r="Q16" s="295">
        <f t="shared" si="7"/>
        <v>0</v>
      </c>
      <c r="R16" s="295">
        <f t="shared" si="8"/>
        <v>0</v>
      </c>
      <c r="S16" s="295">
        <f t="shared" si="9"/>
        <v>0</v>
      </c>
      <c r="T16" s="295">
        <f t="shared" si="10"/>
        <v>0</v>
      </c>
      <c r="U16" s="295">
        <f t="shared" si="37"/>
        <v>0</v>
      </c>
      <c r="V16" s="295"/>
      <c r="W16" s="296">
        <f t="shared" si="11"/>
        <v>7</v>
      </c>
      <c r="X16" s="297">
        <f t="shared" si="12"/>
        <v>0</v>
      </c>
      <c r="Y16" s="297">
        <f t="shared" si="13"/>
        <v>0</v>
      </c>
      <c r="Z16" s="297">
        <f t="shared" si="14"/>
        <v>0</v>
      </c>
      <c r="AA16" s="297">
        <f t="shared" si="15"/>
        <v>0</v>
      </c>
      <c r="AB16" s="297">
        <f t="shared" si="16"/>
        <v>0</v>
      </c>
      <c r="AC16" s="297">
        <f t="shared" si="38"/>
        <v>0</v>
      </c>
      <c r="AD16" s="297"/>
      <c r="AE16" s="298">
        <f t="shared" si="17"/>
        <v>6</v>
      </c>
      <c r="AF16" s="299">
        <f t="shared" si="18"/>
        <v>0</v>
      </c>
      <c r="AG16" s="299">
        <f t="shared" si="19"/>
        <v>0</v>
      </c>
      <c r="AH16" s="299">
        <f t="shared" si="20"/>
        <v>0</v>
      </c>
      <c r="AI16" s="299">
        <f t="shared" si="21"/>
        <v>0</v>
      </c>
      <c r="AJ16" s="299">
        <f t="shared" si="22"/>
        <v>0</v>
      </c>
      <c r="AK16" s="299">
        <f t="shared" si="39"/>
        <v>0</v>
      </c>
      <c r="AL16" s="299"/>
      <c r="AM16" s="300">
        <f t="shared" si="23"/>
        <v>6</v>
      </c>
      <c r="AN16" s="301">
        <f t="shared" si="24"/>
        <v>0</v>
      </c>
      <c r="AO16" s="301">
        <f t="shared" si="25"/>
        <v>0</v>
      </c>
      <c r="AP16" s="301">
        <f t="shared" si="26"/>
        <v>0</v>
      </c>
      <c r="AQ16" s="301">
        <f t="shared" si="27"/>
        <v>0</v>
      </c>
      <c r="AR16" s="301">
        <f t="shared" si="28"/>
        <v>0</v>
      </c>
      <c r="AS16" s="301">
        <f t="shared" si="40"/>
        <v>0</v>
      </c>
      <c r="AT16" s="301"/>
      <c r="AU16" s="302">
        <f t="shared" si="29"/>
        <v>6</v>
      </c>
      <c r="AV16" s="303">
        <f t="shared" si="30"/>
        <v>0</v>
      </c>
      <c r="AW16" s="303">
        <f t="shared" si="31"/>
        <v>0</v>
      </c>
      <c r="AX16" s="303">
        <f t="shared" si="32"/>
        <v>0</v>
      </c>
      <c r="AY16" s="303">
        <f t="shared" si="33"/>
        <v>0</v>
      </c>
      <c r="AZ16" s="303">
        <f t="shared" si="34"/>
        <v>0</v>
      </c>
      <c r="BA16" s="303">
        <f t="shared" si="41"/>
        <v>0</v>
      </c>
      <c r="BB16" s="303"/>
      <c r="BC16" s="304">
        <f t="shared" si="35"/>
        <v>6</v>
      </c>
      <c r="BF16" s="225"/>
      <c r="BG16" s="225"/>
      <c r="BH16" s="225"/>
      <c r="BI16" s="225"/>
      <c r="BJ16" s="225"/>
      <c r="BK16" s="225"/>
      <c r="BL16" s="223"/>
    </row>
    <row r="17" spans="1:64" ht="9.9499999999999993" customHeight="1" thickTop="1" thickBot="1" x14ac:dyDescent="0.25">
      <c r="A17" s="308" t="s">
        <v>179</v>
      </c>
      <c r="B17" s="310">
        <v>15</v>
      </c>
      <c r="C17" s="310">
        <v>17</v>
      </c>
      <c r="D17" s="310">
        <v>15</v>
      </c>
      <c r="E17" s="310">
        <v>17</v>
      </c>
      <c r="F17" s="310">
        <v>17</v>
      </c>
      <c r="G17" s="312">
        <v>17</v>
      </c>
      <c r="H17" s="306">
        <f t="shared" si="0"/>
        <v>0</v>
      </c>
      <c r="I17" s="306">
        <f t="shared" si="1"/>
        <v>0</v>
      </c>
      <c r="J17" s="306">
        <f t="shared" si="2"/>
        <v>0</v>
      </c>
      <c r="K17" s="306">
        <f t="shared" si="3"/>
        <v>0</v>
      </c>
      <c r="L17" s="306">
        <f t="shared" si="4"/>
        <v>0</v>
      </c>
      <c r="M17" s="306">
        <f t="shared" si="36"/>
        <v>0</v>
      </c>
      <c r="N17" s="306"/>
      <c r="O17" s="294">
        <f>(IF((SUM(H17:N17)&lt;&gt;0),(SUM(H17:N17)),$B17))</f>
        <v>15</v>
      </c>
      <c r="P17" s="295">
        <f t="shared" si="6"/>
        <v>0</v>
      </c>
      <c r="Q17" s="295">
        <f t="shared" si="7"/>
        <v>0</v>
      </c>
      <c r="R17" s="295">
        <f t="shared" si="8"/>
        <v>0</v>
      </c>
      <c r="S17" s="295">
        <f t="shared" si="9"/>
        <v>0</v>
      </c>
      <c r="T17" s="295">
        <f t="shared" si="10"/>
        <v>0</v>
      </c>
      <c r="U17" s="295">
        <f t="shared" si="37"/>
        <v>0</v>
      </c>
      <c r="V17" s="295"/>
      <c r="W17" s="296">
        <f>(IF((SUM(P17:V17)&lt;&gt;0),(SUM(P17:V17)),$C17))</f>
        <v>17</v>
      </c>
      <c r="X17" s="297">
        <f t="shared" si="12"/>
        <v>0</v>
      </c>
      <c r="Y17" s="297">
        <f t="shared" si="13"/>
        <v>0</v>
      </c>
      <c r="Z17" s="297">
        <f t="shared" si="14"/>
        <v>0</v>
      </c>
      <c r="AA17" s="297">
        <f t="shared" si="15"/>
        <v>0</v>
      </c>
      <c r="AB17" s="297">
        <f t="shared" si="16"/>
        <v>0</v>
      </c>
      <c r="AC17" s="297">
        <f t="shared" si="38"/>
        <v>0</v>
      </c>
      <c r="AD17" s="297"/>
      <c r="AE17" s="298">
        <f>(IF((SUM(X17:AD17)&lt;&gt;0),(SUM(X17:AD17)),$D17))</f>
        <v>15</v>
      </c>
      <c r="AF17" s="299">
        <f t="shared" si="18"/>
        <v>0</v>
      </c>
      <c r="AG17" s="299">
        <f t="shared" si="19"/>
        <v>0</v>
      </c>
      <c r="AH17" s="299">
        <f t="shared" si="20"/>
        <v>0</v>
      </c>
      <c r="AI17" s="299">
        <f t="shared" si="21"/>
        <v>0</v>
      </c>
      <c r="AJ17" s="299">
        <f t="shared" si="22"/>
        <v>0</v>
      </c>
      <c r="AK17" s="299">
        <f t="shared" si="39"/>
        <v>0</v>
      </c>
      <c r="AL17" s="299"/>
      <c r="AM17" s="300">
        <f>(IF((SUM(AF17:AL17)&lt;&gt;0),(SUM(AF17:AL17)),$E17))</f>
        <v>17</v>
      </c>
      <c r="AN17" s="301">
        <f t="shared" si="24"/>
        <v>0</v>
      </c>
      <c r="AO17" s="301">
        <f t="shared" si="25"/>
        <v>0</v>
      </c>
      <c r="AP17" s="301">
        <f t="shared" si="26"/>
        <v>0</v>
      </c>
      <c r="AQ17" s="301">
        <f t="shared" si="27"/>
        <v>0</v>
      </c>
      <c r="AR17" s="301">
        <f t="shared" si="28"/>
        <v>0</v>
      </c>
      <c r="AS17" s="301">
        <f t="shared" si="40"/>
        <v>0</v>
      </c>
      <c r="AT17" s="301"/>
      <c r="AU17" s="302">
        <f>(IF((SUM(AN17:AT17)&lt;&gt;0),(SUM(AN17:AT17)),$F17))</f>
        <v>17</v>
      </c>
      <c r="AV17" s="303">
        <f t="shared" si="30"/>
        <v>0</v>
      </c>
      <c r="AW17" s="303">
        <f t="shared" si="31"/>
        <v>0</v>
      </c>
      <c r="AX17" s="303">
        <f t="shared" si="32"/>
        <v>0</v>
      </c>
      <c r="AY17" s="303">
        <f t="shared" si="33"/>
        <v>0</v>
      </c>
      <c r="AZ17" s="303">
        <f t="shared" si="34"/>
        <v>0</v>
      </c>
      <c r="BA17" s="303">
        <f t="shared" si="41"/>
        <v>0</v>
      </c>
      <c r="BB17" s="303"/>
      <c r="BC17" s="304">
        <f>(IF((SUM(AV17:BB17)&lt;&gt;0),(SUM(AV17:BB17)),$G17))</f>
        <v>17</v>
      </c>
      <c r="BF17" s="225"/>
      <c r="BG17" s="225"/>
      <c r="BH17" s="225"/>
      <c r="BI17" s="225"/>
      <c r="BJ17" s="225"/>
      <c r="BK17" s="225"/>
      <c r="BL17" s="223"/>
    </row>
    <row r="18" spans="1:64" ht="9.9499999999999993" customHeight="1" thickTop="1" thickBot="1" x14ac:dyDescent="0.25">
      <c r="A18" s="308" t="s">
        <v>154</v>
      </c>
      <c r="B18" s="310">
        <v>31.2</v>
      </c>
      <c r="C18" s="310">
        <v>33.200000000000003</v>
      </c>
      <c r="D18" s="310">
        <v>28</v>
      </c>
      <c r="E18" s="310">
        <v>31.2</v>
      </c>
      <c r="F18" s="310">
        <v>28</v>
      </c>
      <c r="G18" s="311">
        <v>30</v>
      </c>
      <c r="H18" s="293">
        <f t="shared" si="0"/>
        <v>0</v>
      </c>
      <c r="I18" s="293">
        <f t="shared" si="1"/>
        <v>0</v>
      </c>
      <c r="J18" s="293">
        <f t="shared" si="2"/>
        <v>0</v>
      </c>
      <c r="K18" s="293">
        <f t="shared" si="3"/>
        <v>0</v>
      </c>
      <c r="L18" s="293">
        <f t="shared" si="4"/>
        <v>0</v>
      </c>
      <c r="M18" s="293">
        <f t="shared" si="36"/>
        <v>0</v>
      </c>
      <c r="N18" s="293"/>
      <c r="O18" s="294">
        <f t="shared" si="5"/>
        <v>31.2</v>
      </c>
      <c r="P18" s="295">
        <f t="shared" si="6"/>
        <v>0</v>
      </c>
      <c r="Q18" s="295">
        <f t="shared" si="7"/>
        <v>0</v>
      </c>
      <c r="R18" s="295">
        <f t="shared" si="8"/>
        <v>0</v>
      </c>
      <c r="S18" s="295">
        <f t="shared" si="9"/>
        <v>0</v>
      </c>
      <c r="T18" s="295">
        <f t="shared" si="10"/>
        <v>0</v>
      </c>
      <c r="U18" s="295">
        <f t="shared" si="37"/>
        <v>0</v>
      </c>
      <c r="V18" s="295"/>
      <c r="W18" s="296">
        <f t="shared" si="11"/>
        <v>33.200000000000003</v>
      </c>
      <c r="X18" s="297">
        <f t="shared" si="12"/>
        <v>0</v>
      </c>
      <c r="Y18" s="297">
        <f t="shared" si="13"/>
        <v>0</v>
      </c>
      <c r="Z18" s="297">
        <f t="shared" si="14"/>
        <v>0</v>
      </c>
      <c r="AA18" s="297">
        <f t="shared" si="15"/>
        <v>0</v>
      </c>
      <c r="AB18" s="297">
        <f t="shared" si="16"/>
        <v>0</v>
      </c>
      <c r="AC18" s="297">
        <f t="shared" si="38"/>
        <v>0</v>
      </c>
      <c r="AD18" s="297"/>
      <c r="AE18" s="298">
        <f t="shared" si="17"/>
        <v>28</v>
      </c>
      <c r="AF18" s="299">
        <f t="shared" si="18"/>
        <v>0</v>
      </c>
      <c r="AG18" s="299">
        <f t="shared" si="19"/>
        <v>0</v>
      </c>
      <c r="AH18" s="299">
        <f t="shared" si="20"/>
        <v>0</v>
      </c>
      <c r="AI18" s="299">
        <f t="shared" si="21"/>
        <v>0</v>
      </c>
      <c r="AJ18" s="299">
        <f t="shared" si="22"/>
        <v>0</v>
      </c>
      <c r="AK18" s="299">
        <f t="shared" si="39"/>
        <v>0</v>
      </c>
      <c r="AL18" s="299"/>
      <c r="AM18" s="300">
        <f t="shared" si="23"/>
        <v>31.2</v>
      </c>
      <c r="AN18" s="301">
        <f t="shared" si="24"/>
        <v>0</v>
      </c>
      <c r="AO18" s="301">
        <f t="shared" si="25"/>
        <v>0</v>
      </c>
      <c r="AP18" s="301">
        <f t="shared" si="26"/>
        <v>0</v>
      </c>
      <c r="AQ18" s="301">
        <f t="shared" si="27"/>
        <v>0</v>
      </c>
      <c r="AR18" s="301">
        <f t="shared" si="28"/>
        <v>0</v>
      </c>
      <c r="AS18" s="301">
        <f t="shared" si="40"/>
        <v>0</v>
      </c>
      <c r="AT18" s="301"/>
      <c r="AU18" s="302">
        <f t="shared" si="29"/>
        <v>28</v>
      </c>
      <c r="AV18" s="303">
        <f t="shared" si="30"/>
        <v>0</v>
      </c>
      <c r="AW18" s="303">
        <f t="shared" si="31"/>
        <v>0</v>
      </c>
      <c r="AX18" s="303">
        <f t="shared" si="32"/>
        <v>0</v>
      </c>
      <c r="AY18" s="303">
        <f t="shared" si="33"/>
        <v>0</v>
      </c>
      <c r="AZ18" s="303">
        <f t="shared" si="34"/>
        <v>0</v>
      </c>
      <c r="BA18" s="303">
        <f t="shared" si="41"/>
        <v>0</v>
      </c>
      <c r="BB18" s="303"/>
      <c r="BC18" s="304">
        <f t="shared" si="35"/>
        <v>30</v>
      </c>
      <c r="BF18" s="225"/>
      <c r="BG18" s="225"/>
      <c r="BH18" s="225"/>
      <c r="BI18" s="225"/>
      <c r="BJ18" s="225"/>
      <c r="BK18" s="225"/>
      <c r="BL18" s="223"/>
    </row>
    <row r="19" spans="1:64" ht="9.9499999999999993" customHeight="1" thickTop="1" thickBot="1" x14ac:dyDescent="0.25">
      <c r="A19" s="309" t="s">
        <v>158</v>
      </c>
      <c r="B19" s="310">
        <v>8</v>
      </c>
      <c r="C19" s="310">
        <v>10</v>
      </c>
      <c r="D19" s="310">
        <v>10</v>
      </c>
      <c r="E19" s="310">
        <v>10</v>
      </c>
      <c r="F19" s="310">
        <v>10</v>
      </c>
      <c r="G19" s="311">
        <v>10</v>
      </c>
      <c r="H19" s="305">
        <f t="shared" si="0"/>
        <v>0</v>
      </c>
      <c r="I19" s="293">
        <f t="shared" si="1"/>
        <v>0</v>
      </c>
      <c r="J19" s="293">
        <f t="shared" si="2"/>
        <v>0</v>
      </c>
      <c r="K19" s="293">
        <f t="shared" si="3"/>
        <v>0</v>
      </c>
      <c r="L19" s="293">
        <f t="shared" si="4"/>
        <v>0</v>
      </c>
      <c r="M19" s="293">
        <f>((IF(($B19="34.1"),34.1,((IF(($B19="35.1"),35.1,((IF(($B19=38733),16.1,((IF(($B19=38768),20.2,((IF(($B19=38774),26.2,((IF(($B19=38769),21.2,((IF(($B19=38770),22.2,0)))))))))))))))))))))</f>
        <v>0</v>
      </c>
      <c r="N19" s="293">
        <f>((IF(($B19=38771),23.2,((IF(($B19=38800),24.3,((IF(($B19=38798),22.3,0)))))))))</f>
        <v>0</v>
      </c>
      <c r="O19" s="294">
        <f>(IF((SUM(H19:N19)&lt;&gt;0),(SUM(H19:N19)),$B19))</f>
        <v>8</v>
      </c>
      <c r="P19" s="295">
        <f t="shared" si="6"/>
        <v>0</v>
      </c>
      <c r="Q19" s="295">
        <f t="shared" si="7"/>
        <v>0</v>
      </c>
      <c r="R19" s="295">
        <f t="shared" si="8"/>
        <v>0</v>
      </c>
      <c r="S19" s="295">
        <f t="shared" si="9"/>
        <v>0</v>
      </c>
      <c r="T19" s="295">
        <f t="shared" si="10"/>
        <v>0</v>
      </c>
      <c r="U19" s="295">
        <f>((IF(($C19="34.1"),34.1,((IF(($C19="35.1"),35.1,((IF(($C19=38733),16.1,((IF(($C19=38768),20.2,((IF(($C19=38774),26.2,((IF(($C19=38769),21.2,((IF(($C19=38770),22.2,0)))))))))))))))))))))</f>
        <v>0</v>
      </c>
      <c r="V19" s="295">
        <f>((IF(($C19=38771),23.2,((IF(($C19=38800),24.3,((IF(($C19=38798),22.3,0)))))))))</f>
        <v>0</v>
      </c>
      <c r="W19" s="296">
        <f>(IF((SUM(P19:V19)&lt;&gt;0),(SUM(P19:V19)),$C19))</f>
        <v>10</v>
      </c>
      <c r="X19" s="297">
        <f t="shared" si="12"/>
        <v>0</v>
      </c>
      <c r="Y19" s="297">
        <f t="shared" si="13"/>
        <v>0</v>
      </c>
      <c r="Z19" s="297">
        <f t="shared" si="14"/>
        <v>0</v>
      </c>
      <c r="AA19" s="297">
        <f t="shared" si="15"/>
        <v>0</v>
      </c>
      <c r="AB19" s="297">
        <f t="shared" si="16"/>
        <v>0</v>
      </c>
      <c r="AC19" s="297">
        <f>((IF(($D19="34.1"),34.1,((IF(($D19="35.1"),35.1,((IF(($D19=38733),16.1,((IF(($D19=38768),20.2,((IF(($D19=38774),26.2,((IF(($D19=38769),21.2,((IF(($D19=38770),22.2,0)))))))))))))))))))))</f>
        <v>0</v>
      </c>
      <c r="AD19" s="297">
        <f>((IF(($D19=38771),23.2,((IF(($D19=38800),24.3,((IF(($D19=38798),22.3,0)))))))))</f>
        <v>0</v>
      </c>
      <c r="AE19" s="298">
        <f>(IF((SUM(X19:AD19)&lt;&gt;0),(SUM(X19:AD19)),$D19))</f>
        <v>10</v>
      </c>
      <c r="AF19" s="299">
        <f t="shared" si="18"/>
        <v>0</v>
      </c>
      <c r="AG19" s="299">
        <f t="shared" si="19"/>
        <v>0</v>
      </c>
      <c r="AH19" s="299">
        <f t="shared" si="20"/>
        <v>0</v>
      </c>
      <c r="AI19" s="299">
        <f t="shared" si="21"/>
        <v>0</v>
      </c>
      <c r="AJ19" s="299">
        <f t="shared" si="22"/>
        <v>0</v>
      </c>
      <c r="AK19" s="299">
        <f>((IF(($E19="34.1"),34.1,((IF(($E19="35.1"),35.1,((IF(($E19=38733),16.1,((IF(($E19=38768),20.2,((IF(($E19=38774),26.2,((IF(($E19=38769),21.2,((IF(($E19=38770),22.2,0)))))))))))))))))))))</f>
        <v>0</v>
      </c>
      <c r="AL19" s="299">
        <f>((IF(($E19=38771),23.2,((IF(($E19=38800),24.3,((IF(($E19=38798),22.3,0)))))))))</f>
        <v>0</v>
      </c>
      <c r="AM19" s="300">
        <f>(IF((SUM(AF19:AL19)&lt;&gt;0),(SUM(AF19:AL19)),$E19))</f>
        <v>10</v>
      </c>
      <c r="AN19" s="301">
        <f t="shared" si="24"/>
        <v>0</v>
      </c>
      <c r="AO19" s="301">
        <f t="shared" si="25"/>
        <v>0</v>
      </c>
      <c r="AP19" s="301">
        <f t="shared" si="26"/>
        <v>0</v>
      </c>
      <c r="AQ19" s="301">
        <f t="shared" si="27"/>
        <v>0</v>
      </c>
      <c r="AR19" s="301">
        <f t="shared" si="28"/>
        <v>0</v>
      </c>
      <c r="AS19" s="301">
        <f>((IF(($F19="34.1"),34.1,((IF(($F19="35.1"),35.1,((IF(($F19=38733),16.1,((IF(($F19=38768),20.2,((IF(($F19=38774),26.2,((IF(($F19=38769),21.2,((IF(($F19=38770),22.2,0)))))))))))))))))))))</f>
        <v>0</v>
      </c>
      <c r="AT19" s="301">
        <f>((IF(($F19=38771),23.2,((IF(($F19=38800),24.3,((IF(($F19=38798),22.3,0)))))))))</f>
        <v>0</v>
      </c>
      <c r="AU19" s="302">
        <f>(IF((SUM(AN19:AT19)&lt;&gt;0),(SUM(AN19:AT19)),$F19))</f>
        <v>10</v>
      </c>
      <c r="AV19" s="303">
        <f t="shared" si="30"/>
        <v>0</v>
      </c>
      <c r="AW19" s="303">
        <f t="shared" si="31"/>
        <v>0</v>
      </c>
      <c r="AX19" s="303">
        <f t="shared" si="32"/>
        <v>0</v>
      </c>
      <c r="AY19" s="303">
        <f t="shared" si="33"/>
        <v>0</v>
      </c>
      <c r="AZ19" s="303">
        <f t="shared" si="34"/>
        <v>0</v>
      </c>
      <c r="BA19" s="303">
        <f>((IF(($G19="34.1"),34.1,((IF(($G19="35.1"),35.1,((IF(($G19=38733),16.1,((IF(($G19=38768),20.2,((IF(($G19=38774),26.2,((IF(($G19=38769),21.2,((IF(($G19=38770),22.2,0)))))))))))))))))))))</f>
        <v>0</v>
      </c>
      <c r="BB19" s="303">
        <f>((IF(($G19=38771),23.2,((IF(($G19=38800),24.3,((IF(($G19=38798),22.3,0)))))))))</f>
        <v>0</v>
      </c>
      <c r="BC19" s="304">
        <f>(IF((SUM(AV19:BB19)&lt;&gt;0),(SUM(AV19:BB19)),$G19))</f>
        <v>10</v>
      </c>
      <c r="BF19" s="225"/>
      <c r="BG19" s="225"/>
      <c r="BH19" s="225"/>
      <c r="BI19" s="225"/>
      <c r="BJ19" s="225"/>
      <c r="BK19" s="225"/>
      <c r="BL19" s="223"/>
    </row>
    <row r="20" spans="1:64" ht="9.9499999999999993" customHeight="1" thickTop="1" thickBot="1" x14ac:dyDescent="0.25">
      <c r="A20" s="307" t="s">
        <v>156</v>
      </c>
      <c r="B20" s="310">
        <v>9</v>
      </c>
      <c r="C20" s="310">
        <v>13</v>
      </c>
      <c r="D20" s="310">
        <v>9</v>
      </c>
      <c r="E20" s="310">
        <v>11</v>
      </c>
      <c r="F20" s="310">
        <v>11</v>
      </c>
      <c r="G20" s="311">
        <v>11</v>
      </c>
      <c r="H20" s="293">
        <f t="shared" si="0"/>
        <v>0</v>
      </c>
      <c r="I20" s="293">
        <f t="shared" si="1"/>
        <v>0</v>
      </c>
      <c r="J20" s="293">
        <f t="shared" si="2"/>
        <v>0</v>
      </c>
      <c r="K20" s="293">
        <f t="shared" si="3"/>
        <v>0</v>
      </c>
      <c r="L20" s="293">
        <f t="shared" si="4"/>
        <v>0</v>
      </c>
      <c r="M20" s="293">
        <f>((IF(($B20="34.1"),34.1,((IF(($B20="35.1"),35.1,((IF(($B20=38733),16.1,((IF(($B20=38768),20.2,((IF(($B20=38774),26.2,0)))))))))))))))</f>
        <v>0</v>
      </c>
      <c r="N20" s="293"/>
      <c r="O20" s="294">
        <f t="shared" ref="O20:O27" si="42">(IF((SUM(H20:N20)&lt;&gt;0),(SUM(H20:N20)),$B20))</f>
        <v>9</v>
      </c>
      <c r="P20" s="295">
        <f t="shared" si="6"/>
        <v>0</v>
      </c>
      <c r="Q20" s="295">
        <f t="shared" si="7"/>
        <v>0</v>
      </c>
      <c r="R20" s="295">
        <f t="shared" si="8"/>
        <v>0</v>
      </c>
      <c r="S20" s="295">
        <f t="shared" si="9"/>
        <v>0</v>
      </c>
      <c r="T20" s="295">
        <f t="shared" si="10"/>
        <v>0</v>
      </c>
      <c r="U20" s="295">
        <f>((IF(($C20="34.1"),34.1,((IF(($C20="35.1"),35.1,((IF(($C20=38733),16.1,((IF(($C20=38768),20.2,((IF(($C20=38774),26.2,((IF(($C20=38771),23.2,0))))))))))))))))))</f>
        <v>0</v>
      </c>
      <c r="V20" s="295"/>
      <c r="W20" s="296">
        <f t="shared" ref="W20:W27" si="43">(IF((SUM(P20:V20)&lt;&gt;0),(SUM(P20:V20)),$C20))</f>
        <v>13</v>
      </c>
      <c r="X20" s="297">
        <f t="shared" si="12"/>
        <v>0</v>
      </c>
      <c r="Y20" s="297">
        <f t="shared" si="13"/>
        <v>0</v>
      </c>
      <c r="Z20" s="297">
        <f t="shared" si="14"/>
        <v>0</v>
      </c>
      <c r="AA20" s="297">
        <f t="shared" si="15"/>
        <v>0</v>
      </c>
      <c r="AB20" s="297">
        <f t="shared" si="16"/>
        <v>0</v>
      </c>
      <c r="AC20" s="297">
        <f>((IF(($D20="34.1"),34.1,((IF(($D20="35.1"),35.1,((IF(($D20=38733),16.1,((IF(($D20=38768),20.2,((IF(($D20=38774),26.2,0)))))))))))))))</f>
        <v>0</v>
      </c>
      <c r="AD20" s="297"/>
      <c r="AE20" s="298">
        <f t="shared" ref="AE20:AE27" si="44">(IF((SUM(X20:AD20)&lt;&gt;0),(SUM(X20:AD20)),$D20))</f>
        <v>9</v>
      </c>
      <c r="AF20" s="299">
        <f t="shared" si="18"/>
        <v>0</v>
      </c>
      <c r="AG20" s="299">
        <f t="shared" si="19"/>
        <v>0</v>
      </c>
      <c r="AH20" s="299">
        <f t="shared" si="20"/>
        <v>0</v>
      </c>
      <c r="AI20" s="299">
        <f t="shared" si="21"/>
        <v>0</v>
      </c>
      <c r="AJ20" s="299">
        <f t="shared" si="22"/>
        <v>0</v>
      </c>
      <c r="AK20" s="299">
        <f>((IF(($E20="34.1"),34.1,((IF(($E20="35.1"),35.1,((IF(($E20=38733),16.1,((IF(($E20=38768),20.2,((IF(($E20=38774),26.2,((IF(($E20=38771),23.2,0))))))))))))))))))</f>
        <v>0</v>
      </c>
      <c r="AL20" s="299"/>
      <c r="AM20" s="300">
        <f t="shared" ref="AM20:AM27" si="45">(IF((SUM(AF20:AL20)&lt;&gt;0),(SUM(AF20:AL20)),$E20))</f>
        <v>11</v>
      </c>
      <c r="AN20" s="301">
        <f t="shared" si="24"/>
        <v>0</v>
      </c>
      <c r="AO20" s="301">
        <f t="shared" si="25"/>
        <v>0</v>
      </c>
      <c r="AP20" s="301">
        <f t="shared" si="26"/>
        <v>0</v>
      </c>
      <c r="AQ20" s="301">
        <f t="shared" si="27"/>
        <v>0</v>
      </c>
      <c r="AR20" s="301">
        <f t="shared" si="28"/>
        <v>0</v>
      </c>
      <c r="AS20" s="301">
        <f>((IF(($F20="34.1"),34.1,((IF(($F20="35.1"),35.1,((IF(($F20=38733),16.1,((IF(($F20=38768),20.2,((IF(($F20=38774),26.2,0)))))))))))))))</f>
        <v>0</v>
      </c>
      <c r="AT20" s="301"/>
      <c r="AU20" s="302">
        <f t="shared" ref="AU20:AU27" si="46">(IF((SUM(AN20:AT20)&lt;&gt;0),(SUM(AN20:AT20)),$F20))</f>
        <v>11</v>
      </c>
      <c r="AV20" s="303">
        <f t="shared" si="30"/>
        <v>0</v>
      </c>
      <c r="AW20" s="303">
        <f t="shared" si="31"/>
        <v>0</v>
      </c>
      <c r="AX20" s="303">
        <f t="shared" si="32"/>
        <v>0</v>
      </c>
      <c r="AY20" s="303">
        <f t="shared" si="33"/>
        <v>0</v>
      </c>
      <c r="AZ20" s="303">
        <f t="shared" si="34"/>
        <v>0</v>
      </c>
      <c r="BA20" s="303">
        <f>((IF(($G20="34.1"),34.1,((IF(($G20="35.1"),35.1,((IF(($G20=38733),16.1,((IF(($G20=38768),20.2,((IF(($G20=38774),26.2,((IF(($G20=38771),23.2,0))))))))))))))))))</f>
        <v>0</v>
      </c>
      <c r="BB20" s="303"/>
      <c r="BC20" s="304">
        <f t="shared" ref="BC20:BC27" si="47">(IF((SUM(AV20:BB20)&lt;&gt;0),(SUM(AV20:BB20)),$G20))</f>
        <v>11</v>
      </c>
      <c r="BF20" s="225"/>
      <c r="BG20" s="225"/>
      <c r="BH20" s="225"/>
      <c r="BI20" s="225"/>
      <c r="BJ20" s="225"/>
      <c r="BK20" s="225"/>
      <c r="BL20" s="223"/>
    </row>
    <row r="21" spans="1:64" ht="9.9499999999999993" customHeight="1" thickTop="1" thickBot="1" x14ac:dyDescent="0.25">
      <c r="A21" s="308" t="s">
        <v>142</v>
      </c>
      <c r="B21" s="310">
        <v>11</v>
      </c>
      <c r="C21" s="310">
        <v>11</v>
      </c>
      <c r="D21" s="310">
        <v>8</v>
      </c>
      <c r="E21" s="310">
        <v>11</v>
      </c>
      <c r="F21" s="310">
        <v>7</v>
      </c>
      <c r="G21" s="311">
        <v>8</v>
      </c>
      <c r="H21" s="293">
        <f t="shared" si="0"/>
        <v>0</v>
      </c>
      <c r="I21" s="293">
        <f t="shared" si="1"/>
        <v>0</v>
      </c>
      <c r="J21" s="293">
        <f t="shared" si="2"/>
        <v>0</v>
      </c>
      <c r="K21" s="293">
        <f t="shared" si="3"/>
        <v>0</v>
      </c>
      <c r="L21" s="293">
        <f t="shared" si="4"/>
        <v>0</v>
      </c>
      <c r="M21" s="293">
        <f>((IF(($B21="34.1"),34.1,((IF(($B21="35.1"),35.1,((IF(($B21=38733),16.1,((IF(($B21=38768),20.2,((IF(($B21=38774),26.2,((IF(($B21=38771),23.2,((IF(($B21="29.2"),29.2,0)))))))))))))))))))))</f>
        <v>0</v>
      </c>
      <c r="N21" s="293"/>
      <c r="O21" s="294">
        <f t="shared" si="42"/>
        <v>11</v>
      </c>
      <c r="P21" s="295">
        <f t="shared" si="6"/>
        <v>0</v>
      </c>
      <c r="Q21" s="295">
        <f t="shared" si="7"/>
        <v>0</v>
      </c>
      <c r="R21" s="295">
        <f t="shared" si="8"/>
        <v>0</v>
      </c>
      <c r="S21" s="295">
        <f t="shared" si="9"/>
        <v>0</v>
      </c>
      <c r="T21" s="295">
        <f t="shared" si="10"/>
        <v>0</v>
      </c>
      <c r="U21" s="295">
        <f>((IF(($C21="34.1"),34.1,((IF(($C21="35.1"),35.1,((IF(($C21=38733),16.1,((IF(($C21=38768),20.2,((IF(($C21=38774),26.2,((IF(($C21=38771),23.2,((IF(($C21="29.2"),29.2,0)))))))))))))))))))))</f>
        <v>0</v>
      </c>
      <c r="V21" s="295"/>
      <c r="W21" s="296">
        <f t="shared" si="43"/>
        <v>11</v>
      </c>
      <c r="X21" s="297">
        <f t="shared" si="12"/>
        <v>0</v>
      </c>
      <c r="Y21" s="297">
        <f t="shared" si="13"/>
        <v>0</v>
      </c>
      <c r="Z21" s="297">
        <f t="shared" si="14"/>
        <v>0</v>
      </c>
      <c r="AA21" s="297">
        <f t="shared" si="15"/>
        <v>0</v>
      </c>
      <c r="AB21" s="297">
        <f t="shared" si="16"/>
        <v>0</v>
      </c>
      <c r="AC21" s="297">
        <f>((IF(($D21="34.1"),34.1,((IF(($D21="35.1"),35.1,((IF(($D21=38733),16.1,((IF(($D21=38768),20.2,((IF(($D21=38774),26.2,((IF(($D21=38771),23.2,((IF(($D21="29.2"),29.2,0)))))))))))))))))))))</f>
        <v>0</v>
      </c>
      <c r="AD21" s="297"/>
      <c r="AE21" s="298">
        <f t="shared" si="44"/>
        <v>8</v>
      </c>
      <c r="AF21" s="299">
        <f t="shared" si="18"/>
        <v>0</v>
      </c>
      <c r="AG21" s="299">
        <f t="shared" si="19"/>
        <v>0</v>
      </c>
      <c r="AH21" s="299">
        <f t="shared" si="20"/>
        <v>0</v>
      </c>
      <c r="AI21" s="299">
        <f t="shared" si="21"/>
        <v>0</v>
      </c>
      <c r="AJ21" s="299">
        <f t="shared" si="22"/>
        <v>0</v>
      </c>
      <c r="AK21" s="299">
        <f>((IF(($E21="34.1"),34.1,((IF(($E21="35.1"),35.1,((IF(($E21=38733),16.1,((IF(($E21=38768),20.2,((IF(($E21=38774),26.2,((IF(($E21=38771),23.2,((IF(($E21="29.2"),29.2,0)))))))))))))))))))))</f>
        <v>0</v>
      </c>
      <c r="AL21" s="299"/>
      <c r="AM21" s="300">
        <f t="shared" si="45"/>
        <v>11</v>
      </c>
      <c r="AN21" s="301">
        <f t="shared" si="24"/>
        <v>0</v>
      </c>
      <c r="AO21" s="301">
        <f t="shared" si="25"/>
        <v>0</v>
      </c>
      <c r="AP21" s="301">
        <f t="shared" si="26"/>
        <v>0</v>
      </c>
      <c r="AQ21" s="301">
        <f t="shared" si="27"/>
        <v>0</v>
      </c>
      <c r="AR21" s="301">
        <f t="shared" si="28"/>
        <v>0</v>
      </c>
      <c r="AS21" s="301">
        <f>((IF(($F21="34.1"),34.1,((IF(($F21="35.1"),35.1,((IF(($F21=38733),16.1,((IF(($F21=38768),20.2,((IF(($F21=38774),26.2,((IF(($F21=38771),23.2,((IF(($F21="29.2"),29.2,0)))))))))))))))))))))</f>
        <v>0</v>
      </c>
      <c r="AT21" s="301"/>
      <c r="AU21" s="302">
        <f t="shared" si="46"/>
        <v>7</v>
      </c>
      <c r="AV21" s="303">
        <f t="shared" si="30"/>
        <v>0</v>
      </c>
      <c r="AW21" s="303">
        <f t="shared" si="31"/>
        <v>0</v>
      </c>
      <c r="AX21" s="303">
        <f t="shared" si="32"/>
        <v>0</v>
      </c>
      <c r="AY21" s="303">
        <f t="shared" si="33"/>
        <v>0</v>
      </c>
      <c r="AZ21" s="303">
        <f t="shared" si="34"/>
        <v>0</v>
      </c>
      <c r="BA21" s="303">
        <f>((IF(($G21="34.1"),34.1,((IF(($G21="35.1"),35.1,((IF(($G21=38733),16.1,((IF(($G21=38768),20.2,((IF(($G21=38774),26.2,((IF(($G21=38771),23.2,((IF(($G21="29.2"),29.2,0)))))))))))))))))))))</f>
        <v>0</v>
      </c>
      <c r="BB21" s="303"/>
      <c r="BC21" s="304">
        <f t="shared" si="47"/>
        <v>8</v>
      </c>
      <c r="BF21" s="225"/>
      <c r="BG21" s="225"/>
      <c r="BH21" s="225"/>
      <c r="BI21" s="225"/>
      <c r="BJ21" s="225"/>
      <c r="BK21" s="225"/>
      <c r="BL21" s="223"/>
    </row>
    <row r="22" spans="1:64" ht="9.9499999999999993" customHeight="1" thickTop="1" thickBot="1" x14ac:dyDescent="0.25">
      <c r="A22" s="308" t="s">
        <v>223</v>
      </c>
      <c r="B22" s="310"/>
      <c r="C22" s="310"/>
      <c r="D22" s="310">
        <v>11</v>
      </c>
      <c r="E22" s="310">
        <v>11</v>
      </c>
      <c r="F22" s="310">
        <v>11</v>
      </c>
      <c r="G22" s="311">
        <v>11</v>
      </c>
      <c r="H22" s="293">
        <f t="shared" si="0"/>
        <v>0</v>
      </c>
      <c r="I22" s="293">
        <f t="shared" si="1"/>
        <v>0</v>
      </c>
      <c r="J22" s="293">
        <f t="shared" si="2"/>
        <v>0</v>
      </c>
      <c r="K22" s="293">
        <f t="shared" si="3"/>
        <v>0</v>
      </c>
      <c r="L22" s="293">
        <f t="shared" si="4"/>
        <v>0</v>
      </c>
      <c r="M22" s="293">
        <f>((IF(($B22="34.1"),34.1,((IF(($B22="35.1"),35.1,((IF(($B22=38733),16.1,((IF(($B22=38768),20.2,((IF(($B22=38774),26.2,0)))))))))))))))</f>
        <v>0</v>
      </c>
      <c r="N22" s="293"/>
      <c r="O22" s="294">
        <f t="shared" si="42"/>
        <v>0</v>
      </c>
      <c r="P22" s="295">
        <f t="shared" si="6"/>
        <v>0</v>
      </c>
      <c r="Q22" s="295">
        <f t="shared" si="7"/>
        <v>0</v>
      </c>
      <c r="R22" s="295">
        <f t="shared" si="8"/>
        <v>0</v>
      </c>
      <c r="S22" s="295">
        <f t="shared" si="9"/>
        <v>0</v>
      </c>
      <c r="T22" s="295">
        <f t="shared" si="10"/>
        <v>0</v>
      </c>
      <c r="U22" s="295">
        <f>((IF(($C22="34.1"),34.1,((IF(($C22="35.1"),35.1,((IF(($C22=38733),16.1,((IF(($C22=38768),20.2,((IF(($C22=38774),26.2,((IF(($C22=38771),23.2,0))))))))))))))))))</f>
        <v>0</v>
      </c>
      <c r="V22" s="295"/>
      <c r="W22" s="296">
        <f t="shared" si="43"/>
        <v>0</v>
      </c>
      <c r="X22" s="297">
        <f t="shared" si="12"/>
        <v>0</v>
      </c>
      <c r="Y22" s="297">
        <f t="shared" si="13"/>
        <v>0</v>
      </c>
      <c r="Z22" s="297">
        <f t="shared" si="14"/>
        <v>0</v>
      </c>
      <c r="AA22" s="297">
        <f t="shared" si="15"/>
        <v>0</v>
      </c>
      <c r="AB22" s="297">
        <f t="shared" si="16"/>
        <v>0</v>
      </c>
      <c r="AC22" s="297">
        <f>((IF(($D22="34.1"),34.1,((IF(($D22="35.1"),35.1,((IF(($D22=38733),16.1,((IF(($D22=38768),20.2,((IF(($D22=38774),26.2,0)))))))))))))))</f>
        <v>0</v>
      </c>
      <c r="AD22" s="297"/>
      <c r="AE22" s="298">
        <f t="shared" si="44"/>
        <v>11</v>
      </c>
      <c r="AF22" s="299">
        <f t="shared" si="18"/>
        <v>0</v>
      </c>
      <c r="AG22" s="299">
        <f t="shared" si="19"/>
        <v>0</v>
      </c>
      <c r="AH22" s="299">
        <f t="shared" si="20"/>
        <v>0</v>
      </c>
      <c r="AI22" s="299">
        <f t="shared" si="21"/>
        <v>0</v>
      </c>
      <c r="AJ22" s="299">
        <f t="shared" si="22"/>
        <v>0</v>
      </c>
      <c r="AK22" s="299">
        <f>((IF(($E22="34.1"),34.1,((IF(($E22="35.1"),35.1,((IF(($E22=38733),16.1,((IF(($E22=38768),20.2,((IF(($E22=38774),26.2,((IF(($E22=38771),23.2,0))))))))))))))))))</f>
        <v>0</v>
      </c>
      <c r="AL22" s="299"/>
      <c r="AM22" s="300">
        <f t="shared" si="45"/>
        <v>11</v>
      </c>
      <c r="AN22" s="301">
        <f t="shared" si="24"/>
        <v>0</v>
      </c>
      <c r="AO22" s="301">
        <f t="shared" si="25"/>
        <v>0</v>
      </c>
      <c r="AP22" s="301">
        <f t="shared" si="26"/>
        <v>0</v>
      </c>
      <c r="AQ22" s="301">
        <f t="shared" si="27"/>
        <v>0</v>
      </c>
      <c r="AR22" s="301">
        <f t="shared" si="28"/>
        <v>0</v>
      </c>
      <c r="AS22" s="301">
        <f>((IF(($F22="34.1"),34.1,((IF(($F22="35.1"),35.1,((IF(($F22=38733),16.1,((IF(($F22=38768),20.2,((IF(($F22=38774),26.2,0)))))))))))))))</f>
        <v>0</v>
      </c>
      <c r="AT22" s="301"/>
      <c r="AU22" s="302">
        <f t="shared" si="46"/>
        <v>11</v>
      </c>
      <c r="AV22" s="303">
        <f t="shared" si="30"/>
        <v>0</v>
      </c>
      <c r="AW22" s="303">
        <f t="shared" si="31"/>
        <v>0</v>
      </c>
      <c r="AX22" s="303">
        <f t="shared" si="32"/>
        <v>0</v>
      </c>
      <c r="AY22" s="303">
        <f t="shared" si="33"/>
        <v>0</v>
      </c>
      <c r="AZ22" s="303">
        <f t="shared" si="34"/>
        <v>0</v>
      </c>
      <c r="BA22" s="303">
        <f>((IF(($G22="34.1"),34.1,((IF(($G22="35.1"),35.1,((IF(($G22=38733),16.1,((IF(($G22=38768),20.2,((IF(($G22=38774),26.2,((IF(($G22=38771),23.2,0))))))))))))))))))</f>
        <v>0</v>
      </c>
      <c r="BB22" s="303"/>
      <c r="BC22" s="304">
        <f t="shared" si="47"/>
        <v>11</v>
      </c>
      <c r="BF22" s="225"/>
      <c r="BG22" s="225"/>
      <c r="BH22" s="225"/>
      <c r="BI22" s="225"/>
      <c r="BJ22" s="225"/>
      <c r="BK22" s="225"/>
      <c r="BL22" s="223"/>
    </row>
    <row r="23" spans="1:64" ht="9.9499999999999993" customHeight="1" thickTop="1" thickBot="1" x14ac:dyDescent="0.25">
      <c r="A23" s="308" t="s">
        <v>153</v>
      </c>
      <c r="B23" s="310">
        <v>10</v>
      </c>
      <c r="C23" s="310">
        <v>14</v>
      </c>
      <c r="D23" s="310">
        <v>10</v>
      </c>
      <c r="E23" s="310">
        <v>14</v>
      </c>
      <c r="F23" s="310">
        <v>14</v>
      </c>
      <c r="G23" s="311">
        <v>15</v>
      </c>
      <c r="H23" s="293">
        <f t="shared" si="0"/>
        <v>0</v>
      </c>
      <c r="I23" s="293">
        <f t="shared" si="1"/>
        <v>0</v>
      </c>
      <c r="J23" s="293">
        <f t="shared" si="2"/>
        <v>0</v>
      </c>
      <c r="K23" s="293">
        <f t="shared" si="3"/>
        <v>0</v>
      </c>
      <c r="L23" s="293">
        <f t="shared" si="4"/>
        <v>0</v>
      </c>
      <c r="M23" s="293">
        <f>((IF(($B23="34.1"),34.1,((IF(($B23="35.1"),35.1,((IF(($B23=38733),16.1,((IF(($B23=38768),20.2,((IF(($B23=38774),26.2,0)))))))))))))))</f>
        <v>0</v>
      </c>
      <c r="N23" s="293"/>
      <c r="O23" s="294">
        <f t="shared" si="42"/>
        <v>10</v>
      </c>
      <c r="P23" s="295">
        <f t="shared" si="6"/>
        <v>0</v>
      </c>
      <c r="Q23" s="295">
        <f t="shared" si="7"/>
        <v>0</v>
      </c>
      <c r="R23" s="295">
        <f t="shared" si="8"/>
        <v>0</v>
      </c>
      <c r="S23" s="295">
        <f t="shared" si="9"/>
        <v>0</v>
      </c>
      <c r="T23" s="295">
        <f t="shared" si="10"/>
        <v>0</v>
      </c>
      <c r="U23" s="295">
        <f>((IF(($C23="34.1"),34.1,((IF(($C23="35.1"),35.1,((IF(($C23=38733),16.1,((IF(($C23=38768),20.2,((IF(($C23=38774),26.2,((IF(($C23=38771),23.2,0))))))))))))))))))</f>
        <v>0</v>
      </c>
      <c r="V23" s="295"/>
      <c r="W23" s="296">
        <f t="shared" si="43"/>
        <v>14</v>
      </c>
      <c r="X23" s="297">
        <f t="shared" si="12"/>
        <v>0</v>
      </c>
      <c r="Y23" s="297">
        <f t="shared" si="13"/>
        <v>0</v>
      </c>
      <c r="Z23" s="297">
        <f t="shared" si="14"/>
        <v>0</v>
      </c>
      <c r="AA23" s="297">
        <f t="shared" si="15"/>
        <v>0</v>
      </c>
      <c r="AB23" s="297">
        <f t="shared" si="16"/>
        <v>0</v>
      </c>
      <c r="AC23" s="297">
        <f>((IF(($D23="34.1"),34.1,((IF(($D23="35.1"),35.1,((IF(($D23=38733),16.1,((IF(($D23=38768),20.2,((IF(($D23=38774),26.2,0)))))))))))))))</f>
        <v>0</v>
      </c>
      <c r="AD23" s="297"/>
      <c r="AE23" s="298">
        <f t="shared" si="44"/>
        <v>10</v>
      </c>
      <c r="AF23" s="299">
        <f t="shared" si="18"/>
        <v>0</v>
      </c>
      <c r="AG23" s="299">
        <f t="shared" si="19"/>
        <v>0</v>
      </c>
      <c r="AH23" s="299">
        <f t="shared" si="20"/>
        <v>0</v>
      </c>
      <c r="AI23" s="299">
        <f t="shared" si="21"/>
        <v>0</v>
      </c>
      <c r="AJ23" s="299">
        <f t="shared" si="22"/>
        <v>0</v>
      </c>
      <c r="AK23" s="299">
        <f>((IF(($E23="34.1"),34.1,((IF(($E23="35.1"),35.1,((IF(($E23=38733),16.1,((IF(($E23=38768),20.2,((IF(($E23=38774),26.2,((IF(($E23=38771),23.2,0))))))))))))))))))</f>
        <v>0</v>
      </c>
      <c r="AL23" s="299"/>
      <c r="AM23" s="300">
        <f t="shared" si="45"/>
        <v>14</v>
      </c>
      <c r="AN23" s="301">
        <f t="shared" si="24"/>
        <v>0</v>
      </c>
      <c r="AO23" s="301">
        <f t="shared" si="25"/>
        <v>0</v>
      </c>
      <c r="AP23" s="301">
        <f t="shared" si="26"/>
        <v>0</v>
      </c>
      <c r="AQ23" s="301">
        <f t="shared" si="27"/>
        <v>0</v>
      </c>
      <c r="AR23" s="301">
        <f t="shared" si="28"/>
        <v>0</v>
      </c>
      <c r="AS23" s="301">
        <f>((IF(($F23="34.1"),34.1,((IF(($F23="35.1"),35.1,((IF(($F23=38733),16.1,((IF(($F23=38768),20.2,((IF(($F23=38774),26.2,0)))))))))))))))</f>
        <v>0</v>
      </c>
      <c r="AT23" s="301"/>
      <c r="AU23" s="302">
        <f t="shared" si="46"/>
        <v>14</v>
      </c>
      <c r="AV23" s="303">
        <f t="shared" si="30"/>
        <v>0</v>
      </c>
      <c r="AW23" s="303">
        <f t="shared" si="31"/>
        <v>0</v>
      </c>
      <c r="AX23" s="303">
        <f t="shared" si="32"/>
        <v>0</v>
      </c>
      <c r="AY23" s="303">
        <f t="shared" si="33"/>
        <v>0</v>
      </c>
      <c r="AZ23" s="303">
        <f t="shared" si="34"/>
        <v>0</v>
      </c>
      <c r="BA23" s="303">
        <f>((IF(($G23="34.1"),34.1,((IF(($G23="35.1"),35.1,((IF(($G23=38733),16.1,((IF(($G23=38768),20.2,((IF(($G23=38774),26.2,((IF(($G23=38771),23.2,0))))))))))))))))))</f>
        <v>0</v>
      </c>
      <c r="BB23" s="303"/>
      <c r="BC23" s="304">
        <f t="shared" si="47"/>
        <v>15</v>
      </c>
      <c r="BF23" s="225"/>
      <c r="BG23" s="225"/>
      <c r="BH23" s="225"/>
      <c r="BI23" s="225"/>
      <c r="BJ23" s="225"/>
      <c r="BK23" s="225"/>
      <c r="BL23" s="223"/>
    </row>
    <row r="24" spans="1:64" ht="9.9499999999999993" customHeight="1" thickTop="1" thickBot="1" x14ac:dyDescent="0.25">
      <c r="A24" s="308" t="s">
        <v>224</v>
      </c>
      <c r="B24" s="310">
        <v>17</v>
      </c>
      <c r="C24" s="310">
        <v>19</v>
      </c>
      <c r="D24" s="310">
        <v>18.3</v>
      </c>
      <c r="E24" s="310">
        <v>19</v>
      </c>
      <c r="F24" s="310">
        <v>18.3</v>
      </c>
      <c r="G24" s="311">
        <v>22</v>
      </c>
      <c r="H24" s="293">
        <f t="shared" si="0"/>
        <v>0</v>
      </c>
      <c r="I24" s="293">
        <f t="shared" si="1"/>
        <v>0</v>
      </c>
      <c r="J24" s="293">
        <f t="shared" si="2"/>
        <v>0</v>
      </c>
      <c r="K24" s="293">
        <f t="shared" si="3"/>
        <v>0</v>
      </c>
      <c r="L24" s="293">
        <f t="shared" si="4"/>
        <v>0</v>
      </c>
      <c r="M24" s="293">
        <f>((IF(($B24="34.1"),34.1,((IF(($B24="35.1"),35.1,((IF(($B24=38733),16.1,((IF(($B24=38768),20.2,((IF(($B24=38774),26.2,0)))))))))))))))</f>
        <v>0</v>
      </c>
      <c r="N24" s="293"/>
      <c r="O24" s="294">
        <f t="shared" si="42"/>
        <v>17</v>
      </c>
      <c r="P24" s="295">
        <f t="shared" si="6"/>
        <v>0</v>
      </c>
      <c r="Q24" s="295">
        <f t="shared" si="7"/>
        <v>0</v>
      </c>
      <c r="R24" s="295">
        <f t="shared" si="8"/>
        <v>0</v>
      </c>
      <c r="S24" s="295">
        <f t="shared" si="9"/>
        <v>0</v>
      </c>
      <c r="T24" s="295">
        <f t="shared" si="10"/>
        <v>0</v>
      </c>
      <c r="U24" s="295">
        <f>((IF(($C24="34.1"),34.1,((IF(($C24="35.1"),35.1,((IF(($C24=38733),16.1,((IF(($C24=38768),20.2,((IF(($C24=38774),26.2,((IF(($C24=38771),23.2,0))))))))))))))))))</f>
        <v>0</v>
      </c>
      <c r="V24" s="295"/>
      <c r="W24" s="296">
        <f t="shared" si="43"/>
        <v>19</v>
      </c>
      <c r="X24" s="297">
        <f t="shared" si="12"/>
        <v>0</v>
      </c>
      <c r="Y24" s="297">
        <f t="shared" si="13"/>
        <v>0</v>
      </c>
      <c r="Z24" s="297">
        <f t="shared" si="14"/>
        <v>0</v>
      </c>
      <c r="AA24" s="297">
        <f t="shared" si="15"/>
        <v>0</v>
      </c>
      <c r="AB24" s="297">
        <f t="shared" si="16"/>
        <v>0</v>
      </c>
      <c r="AC24" s="297">
        <f>((IF(($D24="34.1"),34.1,((IF(($D24="35.1"),35.1,((IF(($D24=38733),16.1,((IF(($D24=38768),20.2,((IF(($D24=38774),26.2,0)))))))))))))))</f>
        <v>0</v>
      </c>
      <c r="AD24" s="297"/>
      <c r="AE24" s="298">
        <f t="shared" si="44"/>
        <v>18.3</v>
      </c>
      <c r="AF24" s="299">
        <f t="shared" si="18"/>
        <v>0</v>
      </c>
      <c r="AG24" s="299">
        <f t="shared" si="19"/>
        <v>0</v>
      </c>
      <c r="AH24" s="299">
        <f t="shared" si="20"/>
        <v>0</v>
      </c>
      <c r="AI24" s="299">
        <f t="shared" si="21"/>
        <v>0</v>
      </c>
      <c r="AJ24" s="299">
        <f t="shared" si="22"/>
        <v>0</v>
      </c>
      <c r="AK24" s="299">
        <f>((IF(($E24="34.1"),34.1,((IF(($E24="35.1"),35.1,((IF(($E24=38733),16.1,((IF(($E24=38768),20.2,((IF(($E24=38774),26.2,((IF(($E24=38771),23.2,0))))))))))))))))))</f>
        <v>0</v>
      </c>
      <c r="AL24" s="299"/>
      <c r="AM24" s="300">
        <f t="shared" si="45"/>
        <v>19</v>
      </c>
      <c r="AN24" s="301">
        <f t="shared" si="24"/>
        <v>0</v>
      </c>
      <c r="AO24" s="301">
        <f t="shared" si="25"/>
        <v>0</v>
      </c>
      <c r="AP24" s="301">
        <f t="shared" si="26"/>
        <v>0</v>
      </c>
      <c r="AQ24" s="301">
        <f t="shared" si="27"/>
        <v>0</v>
      </c>
      <c r="AR24" s="301">
        <f t="shared" si="28"/>
        <v>0</v>
      </c>
      <c r="AS24" s="301">
        <f>((IF(($F24="34.1"),34.1,((IF(($F24="35.1"),35.1,((IF(($F24=38733),16.1,((IF(($F24=38768),20.2,((IF(($F24=38774),26.2,0)))))))))))))))</f>
        <v>0</v>
      </c>
      <c r="AT24" s="301"/>
      <c r="AU24" s="302">
        <f t="shared" si="46"/>
        <v>18.3</v>
      </c>
      <c r="AV24" s="303">
        <f t="shared" si="30"/>
        <v>0</v>
      </c>
      <c r="AW24" s="303">
        <f t="shared" si="31"/>
        <v>0</v>
      </c>
      <c r="AX24" s="303">
        <f t="shared" si="32"/>
        <v>0</v>
      </c>
      <c r="AY24" s="303">
        <f t="shared" si="33"/>
        <v>0</v>
      </c>
      <c r="AZ24" s="303">
        <f t="shared" si="34"/>
        <v>0</v>
      </c>
      <c r="BA24" s="303">
        <f>((IF(($G24="34.1"),34.1,((IF(($G24="35.1"),35.1,((IF(($G24=38733),16.1,((IF(($G24=38768),20.2,((IF(($G24=38774),26.2,((IF(($G24=38771),23.2,0))))))))))))))))))</f>
        <v>0</v>
      </c>
      <c r="BB24" s="303"/>
      <c r="BC24" s="304">
        <f t="shared" si="47"/>
        <v>22</v>
      </c>
      <c r="BF24" s="225"/>
      <c r="BG24" s="225"/>
      <c r="BH24" s="225"/>
      <c r="BI24" s="225"/>
      <c r="BJ24" s="225"/>
      <c r="BK24" s="225"/>
      <c r="BL24" s="223"/>
    </row>
    <row r="25" spans="1:64" ht="9.9499999999999993" customHeight="1" thickTop="1" thickBot="1" x14ac:dyDescent="0.25">
      <c r="A25" s="308" t="s">
        <v>52</v>
      </c>
      <c r="B25" s="310">
        <v>12</v>
      </c>
      <c r="C25" s="310">
        <v>14</v>
      </c>
      <c r="D25" s="310">
        <v>14</v>
      </c>
      <c r="E25" s="310">
        <v>14</v>
      </c>
      <c r="F25" s="310">
        <v>14</v>
      </c>
      <c r="G25" s="311">
        <v>14</v>
      </c>
      <c r="H25" s="305">
        <f t="shared" si="0"/>
        <v>0</v>
      </c>
      <c r="I25" s="293">
        <f t="shared" si="1"/>
        <v>0</v>
      </c>
      <c r="J25" s="293">
        <f t="shared" si="2"/>
        <v>0</v>
      </c>
      <c r="K25" s="293">
        <f t="shared" si="3"/>
        <v>0</v>
      </c>
      <c r="L25" s="293">
        <f t="shared" si="4"/>
        <v>0</v>
      </c>
      <c r="M25" s="293">
        <f>((IF(($B25="34.1"),34.1,((IF(($B25="35.1"),35.1,((IF(($B25=38733),16.1,((IF(($B25=38768),20.2,((IF(($B25=38774),26.2,((IF(($B25=38784),8.3,((IF(($B25=38789),13.3,0)))))))))))))))))))))</f>
        <v>0</v>
      </c>
      <c r="N25" s="293"/>
      <c r="O25" s="294">
        <f t="shared" si="42"/>
        <v>12</v>
      </c>
      <c r="P25" s="295">
        <f t="shared" si="6"/>
        <v>0</v>
      </c>
      <c r="Q25" s="295">
        <f t="shared" si="7"/>
        <v>0</v>
      </c>
      <c r="R25" s="295">
        <f t="shared" si="8"/>
        <v>0</v>
      </c>
      <c r="S25" s="295">
        <f t="shared" si="9"/>
        <v>0</v>
      </c>
      <c r="T25" s="295">
        <f t="shared" si="10"/>
        <v>0</v>
      </c>
      <c r="U25" s="295">
        <f>((IF(($C25="34.1"),34.1,((IF(($C25="35.1"),35.1,((IF(($C25=38733),16.1,((IF(($C25=38768),20.2,((IF(($C25=38774),26.2,((IF(($C25=38771),23.2,((IF(($C25=38784),8.3,((IF(($C25=38789),13.3,0))))))))))))))))))))))))</f>
        <v>0</v>
      </c>
      <c r="V25" s="295"/>
      <c r="W25" s="296">
        <f t="shared" si="43"/>
        <v>14</v>
      </c>
      <c r="X25" s="297">
        <f t="shared" si="12"/>
        <v>0</v>
      </c>
      <c r="Y25" s="297">
        <f t="shared" si="13"/>
        <v>0</v>
      </c>
      <c r="Z25" s="297">
        <f t="shared" si="14"/>
        <v>0</v>
      </c>
      <c r="AA25" s="297">
        <f t="shared" si="15"/>
        <v>0</v>
      </c>
      <c r="AB25" s="297">
        <f t="shared" si="16"/>
        <v>0</v>
      </c>
      <c r="AC25" s="297">
        <f>((IF(($D25="34.1"),34.1,((IF(($D25="35.1"),35.1,((IF(($D25=38733),16.1,((IF(($D25=38768),20.2,((IF(($D25=38774),26.2,((IF(($D25=38784),8.3,((IF(($D25=38789),13.3,0)))))))))))))))))))))</f>
        <v>0</v>
      </c>
      <c r="AD25" s="297"/>
      <c r="AE25" s="298">
        <f t="shared" si="44"/>
        <v>14</v>
      </c>
      <c r="AF25" s="299">
        <f t="shared" si="18"/>
        <v>0</v>
      </c>
      <c r="AG25" s="299">
        <f t="shared" si="19"/>
        <v>0</v>
      </c>
      <c r="AH25" s="299">
        <f t="shared" si="20"/>
        <v>0</v>
      </c>
      <c r="AI25" s="299">
        <f t="shared" si="21"/>
        <v>0</v>
      </c>
      <c r="AJ25" s="299">
        <f t="shared" si="22"/>
        <v>0</v>
      </c>
      <c r="AK25" s="299">
        <f>((IF(($E25="34.1"),34.1,((IF(($E25="35.1"),35.1,((IF(($E25=38733),16.1,((IF(($E25=38768),20.2,((IF(($E25=38774),26.2,((IF(($E25=38771),23.2,((IF(($E25=38784),8.3,((IF(($E25=38789),13.3,0))))))))))))))))))))))))</f>
        <v>0</v>
      </c>
      <c r="AL25" s="299"/>
      <c r="AM25" s="300">
        <f t="shared" si="45"/>
        <v>14</v>
      </c>
      <c r="AN25" s="301">
        <f t="shared" si="24"/>
        <v>0</v>
      </c>
      <c r="AO25" s="301">
        <f t="shared" si="25"/>
        <v>0</v>
      </c>
      <c r="AP25" s="301">
        <f t="shared" si="26"/>
        <v>0</v>
      </c>
      <c r="AQ25" s="301">
        <f t="shared" si="27"/>
        <v>0</v>
      </c>
      <c r="AR25" s="301">
        <f t="shared" si="28"/>
        <v>0</v>
      </c>
      <c r="AS25" s="301">
        <f>((IF(($F25="34.1"),34.1,((IF(($F25="35.1"),35.1,((IF(($F25=38733),16.1,((IF(($F25=38768),20.2,((IF(($F25=38774),26.2,((IF(($F25=38784),8.3,((IF(($F25=38789),13.3,0)))))))))))))))))))))</f>
        <v>0</v>
      </c>
      <c r="AT25" s="301"/>
      <c r="AU25" s="302">
        <f t="shared" si="46"/>
        <v>14</v>
      </c>
      <c r="AV25" s="303">
        <f t="shared" si="30"/>
        <v>0</v>
      </c>
      <c r="AW25" s="303">
        <f t="shared" si="31"/>
        <v>0</v>
      </c>
      <c r="AX25" s="303">
        <f t="shared" si="32"/>
        <v>0</v>
      </c>
      <c r="AY25" s="303">
        <f t="shared" si="33"/>
        <v>0</v>
      </c>
      <c r="AZ25" s="303">
        <f t="shared" si="34"/>
        <v>0</v>
      </c>
      <c r="BA25" s="303">
        <f>((IF(($G25="34.1"),34.1,((IF(($G25="35.1"),35.1,((IF(($G25=38733),16.1,((IF(($G25=38768),20.2,((IF(($G25=38774),26.2,((IF(($G25=38771),23.2,((IF(($G25=38784),8.3,((IF(($G25=38789),13.3,0))))))))))))))))))))))))</f>
        <v>0</v>
      </c>
      <c r="BB25" s="303"/>
      <c r="BC25" s="304">
        <f t="shared" si="47"/>
        <v>14</v>
      </c>
      <c r="BF25" s="225"/>
      <c r="BG25" s="225"/>
      <c r="BH25" s="225"/>
      <c r="BI25" s="225"/>
      <c r="BJ25" s="225"/>
      <c r="BK25" s="225"/>
      <c r="BL25" s="223"/>
    </row>
    <row r="26" spans="1:64" ht="9.9499999999999993" customHeight="1" thickTop="1" thickBot="1" x14ac:dyDescent="0.25">
      <c r="A26" s="308" t="s">
        <v>152</v>
      </c>
      <c r="B26" s="310">
        <v>21</v>
      </c>
      <c r="C26" s="310">
        <v>23</v>
      </c>
      <c r="D26" s="310">
        <v>19</v>
      </c>
      <c r="E26" s="310">
        <v>21</v>
      </c>
      <c r="F26" s="310">
        <v>19</v>
      </c>
      <c r="G26" s="311">
        <v>26</v>
      </c>
      <c r="H26" s="293">
        <f t="shared" si="0"/>
        <v>0</v>
      </c>
      <c r="I26" s="293">
        <f t="shared" si="1"/>
        <v>0</v>
      </c>
      <c r="J26" s="293">
        <f t="shared" si="2"/>
        <v>0</v>
      </c>
      <c r="K26" s="293">
        <f t="shared" si="3"/>
        <v>0</v>
      </c>
      <c r="L26" s="293">
        <f t="shared" si="4"/>
        <v>0</v>
      </c>
      <c r="M26" s="293">
        <f>((IF(($B26="34.1"),34.1,((IF(($B26="35.1"),35.1,((IF(($B26=38733),16.1,((IF(($B26=38768),20.2,((IF(($B26=38774),26.2,0)))))))))))))))</f>
        <v>0</v>
      </c>
      <c r="N26" s="293"/>
      <c r="O26" s="294">
        <f t="shared" si="42"/>
        <v>21</v>
      </c>
      <c r="P26" s="295">
        <f t="shared" si="6"/>
        <v>0</v>
      </c>
      <c r="Q26" s="295">
        <f t="shared" si="7"/>
        <v>0</v>
      </c>
      <c r="R26" s="295">
        <f t="shared" si="8"/>
        <v>0</v>
      </c>
      <c r="S26" s="295">
        <f t="shared" si="9"/>
        <v>0</v>
      </c>
      <c r="T26" s="295">
        <f t="shared" si="10"/>
        <v>0</v>
      </c>
      <c r="U26" s="295">
        <f>((IF(($C26="34.1"),34.1,((IF(($C26="35.1"),35.1,((IF(($C26=38733),16.1,((IF(($C26=38768),20.2,((IF(($C26=38774),26.2,((IF(($C26=38771),23.2,0))))))))))))))))))</f>
        <v>0</v>
      </c>
      <c r="V26" s="295"/>
      <c r="W26" s="296">
        <f t="shared" si="43"/>
        <v>23</v>
      </c>
      <c r="X26" s="297">
        <f t="shared" si="12"/>
        <v>0</v>
      </c>
      <c r="Y26" s="297">
        <f t="shared" si="13"/>
        <v>0</v>
      </c>
      <c r="Z26" s="297">
        <f t="shared" si="14"/>
        <v>0</v>
      </c>
      <c r="AA26" s="297">
        <f t="shared" si="15"/>
        <v>0</v>
      </c>
      <c r="AB26" s="297">
        <f t="shared" si="16"/>
        <v>0</v>
      </c>
      <c r="AC26" s="297">
        <f>((IF(($D26="34.1"),34.1,((IF(($D26="35.1"),35.1,((IF(($D26=38733),16.1,((IF(($D26=38768),20.2,((IF(($D26=38774),26.2,0)))))))))))))))</f>
        <v>0</v>
      </c>
      <c r="AD26" s="297"/>
      <c r="AE26" s="298">
        <f t="shared" si="44"/>
        <v>19</v>
      </c>
      <c r="AF26" s="299">
        <f t="shared" si="18"/>
        <v>0</v>
      </c>
      <c r="AG26" s="299">
        <f t="shared" si="19"/>
        <v>0</v>
      </c>
      <c r="AH26" s="299">
        <f t="shared" si="20"/>
        <v>0</v>
      </c>
      <c r="AI26" s="299">
        <f t="shared" si="21"/>
        <v>0</v>
      </c>
      <c r="AJ26" s="299">
        <f t="shared" si="22"/>
        <v>0</v>
      </c>
      <c r="AK26" s="299">
        <f>((IF(($E26="34.1"),34.1,((IF(($E26="35.1"),35.1,((IF(($E26=38733),16.1,((IF(($E26=38768),20.2,((IF(($E26=38774),26.2,((IF(($E26=38771),23.2,0))))))))))))))))))</f>
        <v>0</v>
      </c>
      <c r="AL26" s="299"/>
      <c r="AM26" s="300">
        <f t="shared" si="45"/>
        <v>21</v>
      </c>
      <c r="AN26" s="301">
        <f t="shared" si="24"/>
        <v>0</v>
      </c>
      <c r="AO26" s="301">
        <f t="shared" si="25"/>
        <v>0</v>
      </c>
      <c r="AP26" s="301">
        <f t="shared" si="26"/>
        <v>0</v>
      </c>
      <c r="AQ26" s="301">
        <f t="shared" si="27"/>
        <v>0</v>
      </c>
      <c r="AR26" s="301">
        <f t="shared" si="28"/>
        <v>0</v>
      </c>
      <c r="AS26" s="301">
        <f>((IF(($F26="34.1"),34.1,((IF(($F26="35.1"),35.1,((IF(($F26=38733),16.1,((IF(($F26=38768),20.2,((IF(($F26=38774),26.2,0)))))))))))))))</f>
        <v>0</v>
      </c>
      <c r="AT26" s="301"/>
      <c r="AU26" s="302">
        <f t="shared" si="46"/>
        <v>19</v>
      </c>
      <c r="AV26" s="303">
        <f t="shared" si="30"/>
        <v>0</v>
      </c>
      <c r="AW26" s="303">
        <f t="shared" si="31"/>
        <v>0</v>
      </c>
      <c r="AX26" s="303">
        <f t="shared" si="32"/>
        <v>0</v>
      </c>
      <c r="AY26" s="303">
        <f t="shared" si="33"/>
        <v>0</v>
      </c>
      <c r="AZ26" s="303">
        <f t="shared" si="34"/>
        <v>0</v>
      </c>
      <c r="BA26" s="303">
        <f>((IF(($G26="34.1"),34.1,((IF(($G26="35.1"),35.1,((IF(($G26=38733),16.1,((IF(($G26=38768),20.2,((IF(($G26=38774),26.2,((IF(($G26=38771),23.2,0))))))))))))))))))</f>
        <v>0</v>
      </c>
      <c r="BB26" s="303"/>
      <c r="BC26" s="304">
        <f t="shared" si="47"/>
        <v>26</v>
      </c>
      <c r="BF26" s="225"/>
      <c r="BG26" s="225"/>
      <c r="BH26" s="225"/>
      <c r="BI26" s="225"/>
      <c r="BJ26" s="225"/>
      <c r="BK26" s="225"/>
      <c r="BL26" s="223"/>
    </row>
    <row r="27" spans="1:64" ht="9.9499999999999993" customHeight="1" thickTop="1" thickBot="1" x14ac:dyDescent="0.25">
      <c r="A27" s="308" t="s">
        <v>225</v>
      </c>
      <c r="B27" s="310">
        <v>11</v>
      </c>
      <c r="C27" s="310">
        <v>16</v>
      </c>
      <c r="D27" s="310">
        <v>16</v>
      </c>
      <c r="E27" s="310">
        <v>16</v>
      </c>
      <c r="F27" s="310">
        <v>16</v>
      </c>
      <c r="G27" s="311">
        <v>17</v>
      </c>
      <c r="H27" s="293">
        <f t="shared" si="0"/>
        <v>0</v>
      </c>
      <c r="I27" s="293">
        <f t="shared" si="1"/>
        <v>0</v>
      </c>
      <c r="J27" s="293">
        <f t="shared" si="2"/>
        <v>0</v>
      </c>
      <c r="K27" s="293">
        <f t="shared" si="3"/>
        <v>0</v>
      </c>
      <c r="L27" s="293">
        <f t="shared" si="4"/>
        <v>0</v>
      </c>
      <c r="M27" s="293">
        <f>((IF(($B27="34.1"),34.1,((IF(($B27="35.1"),35.1,((IF(($B27=38733),16.1,((IF(($B27=38768),20.2,((IF(($B27=38774),26.2,0)))))))))))))))</f>
        <v>0</v>
      </c>
      <c r="N27" s="293"/>
      <c r="O27" s="294">
        <f t="shared" si="42"/>
        <v>11</v>
      </c>
      <c r="P27" s="295">
        <f t="shared" si="6"/>
        <v>0</v>
      </c>
      <c r="Q27" s="295">
        <f t="shared" si="7"/>
        <v>0</v>
      </c>
      <c r="R27" s="295">
        <f t="shared" si="8"/>
        <v>0</v>
      </c>
      <c r="S27" s="295">
        <f t="shared" si="9"/>
        <v>0</v>
      </c>
      <c r="T27" s="295">
        <f t="shared" si="10"/>
        <v>0</v>
      </c>
      <c r="U27" s="295">
        <f>((IF(($C27="34.1"),34.1,((IF(($C27="35.1"),35.1,((IF(($C27=38733),16.1,((IF(($C27=38768),20.2,((IF(($C27=38774),26.2,((IF(($C27=38771),23.2,0))))))))))))))))))</f>
        <v>0</v>
      </c>
      <c r="V27" s="295"/>
      <c r="W27" s="296">
        <f t="shared" si="43"/>
        <v>16</v>
      </c>
      <c r="X27" s="297">
        <f t="shared" si="12"/>
        <v>0</v>
      </c>
      <c r="Y27" s="297">
        <f t="shared" si="13"/>
        <v>0</v>
      </c>
      <c r="Z27" s="297">
        <f t="shared" si="14"/>
        <v>0</v>
      </c>
      <c r="AA27" s="297">
        <f t="shared" si="15"/>
        <v>0</v>
      </c>
      <c r="AB27" s="297">
        <f t="shared" si="16"/>
        <v>0</v>
      </c>
      <c r="AC27" s="297">
        <f>((IF(($D27="34.1"),34.1,((IF(($D27="35.1"),35.1,((IF(($D27=38733),16.1,((IF(($D27=38768),20.2,((IF(($D27=38774),26.2,0)))))))))))))))</f>
        <v>0</v>
      </c>
      <c r="AD27" s="297"/>
      <c r="AE27" s="298">
        <f t="shared" si="44"/>
        <v>16</v>
      </c>
      <c r="AF27" s="299">
        <f t="shared" si="18"/>
        <v>0</v>
      </c>
      <c r="AG27" s="299">
        <f t="shared" si="19"/>
        <v>0</v>
      </c>
      <c r="AH27" s="299">
        <f t="shared" si="20"/>
        <v>0</v>
      </c>
      <c r="AI27" s="299">
        <f t="shared" si="21"/>
        <v>0</v>
      </c>
      <c r="AJ27" s="299">
        <f t="shared" si="22"/>
        <v>0</v>
      </c>
      <c r="AK27" s="299">
        <f>((IF(($E27="34.1"),34.1,((IF(($E27="35.1"),35.1,((IF(($E27=38733),16.1,((IF(($E27=38768),20.2,((IF(($E27=38774),26.2,((IF(($E27=38771),23.2,0))))))))))))))))))</f>
        <v>0</v>
      </c>
      <c r="AL27" s="299"/>
      <c r="AM27" s="300">
        <f t="shared" si="45"/>
        <v>16</v>
      </c>
      <c r="AN27" s="301">
        <f t="shared" si="24"/>
        <v>0</v>
      </c>
      <c r="AO27" s="301">
        <f t="shared" si="25"/>
        <v>0</v>
      </c>
      <c r="AP27" s="301">
        <f t="shared" si="26"/>
        <v>0</v>
      </c>
      <c r="AQ27" s="301">
        <f t="shared" si="27"/>
        <v>0</v>
      </c>
      <c r="AR27" s="301">
        <f t="shared" si="28"/>
        <v>0</v>
      </c>
      <c r="AS27" s="301">
        <f>((IF(($F27="34.1"),34.1,((IF(($F27="35.1"),35.1,((IF(($F27=38733),16.1,((IF(($F27=38768),20.2,((IF(($F27=38774),26.2,0)))))))))))))))</f>
        <v>0</v>
      </c>
      <c r="AT27" s="301"/>
      <c r="AU27" s="302">
        <f t="shared" si="46"/>
        <v>16</v>
      </c>
      <c r="AV27" s="303">
        <f t="shared" si="30"/>
        <v>0</v>
      </c>
      <c r="AW27" s="303">
        <f t="shared" si="31"/>
        <v>0</v>
      </c>
      <c r="AX27" s="303">
        <f t="shared" si="32"/>
        <v>0</v>
      </c>
      <c r="AY27" s="303">
        <f t="shared" si="33"/>
        <v>0</v>
      </c>
      <c r="AZ27" s="303">
        <f t="shared" si="34"/>
        <v>0</v>
      </c>
      <c r="BA27" s="303">
        <f>((IF(($G27="34.1"),34.1,((IF(($G27="35.1"),35.1,((IF(($G27=38733),16.1,((IF(($G27=38768),20.2,((IF(($G27=38774),26.2,((IF(($G27=38771),23.2,0))))))))))))))))))</f>
        <v>0</v>
      </c>
      <c r="BB27" s="303"/>
      <c r="BC27" s="304">
        <f t="shared" si="47"/>
        <v>17</v>
      </c>
      <c r="BF27" s="225"/>
      <c r="BG27" s="225"/>
      <c r="BH27" s="225"/>
      <c r="BI27" s="225"/>
      <c r="BJ27" s="225"/>
      <c r="BK27" s="225"/>
      <c r="BL27" s="223"/>
    </row>
    <row r="28" spans="1:64" ht="9.9499999999999993" customHeight="1" thickTop="1" x14ac:dyDescent="0.2">
      <c r="I28" s="78"/>
      <c r="Q28" s="78"/>
      <c r="X28" s="79"/>
      <c r="Y28" s="80"/>
      <c r="Z28" s="79"/>
      <c r="AA28" s="79"/>
      <c r="AB28" s="79"/>
      <c r="AC28" s="79"/>
      <c r="AE28" s="79"/>
    </row>
    <row r="29" spans="1:64" ht="15.75" x14ac:dyDescent="0.25">
      <c r="A29" s="87"/>
      <c r="B29" s="83"/>
      <c r="C29" s="88" t="s">
        <v>49</v>
      </c>
      <c r="D29" s="314" t="str">
        <f>(IF(('DADOS FINAIS'!$A$47=""),"SUPERVISÃO SEM PROBLEMAS",('DADOS FINAIS'!$A$47)))</f>
        <v>SUPERVISÃO SEM PROBLEMAS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313" t="str">
        <f>IF(AND('DADOS FINAIS'!$AX$31&lt;=2,'DADOS FINAIS'!$AX$31&lt;&gt;0),"INCLUSÃO COM MUTAÇÃO","")</f>
        <v/>
      </c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313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</row>
    <row r="30" spans="1:64" s="79" customFormat="1" ht="15.75" x14ac:dyDescent="0.25">
      <c r="A30" s="88"/>
      <c r="B30" s="83"/>
      <c r="C30" s="88" t="s">
        <v>47</v>
      </c>
      <c r="D30" s="315" t="str">
        <f>'DADOS FINAIS'!$A$7</f>
        <v xml:space="preserve"> MATERNIDADE CONFIRMADA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389">
        <f>'DADOS FINAIS'!AG31</f>
        <v>0</v>
      </c>
      <c r="AF30" s="389"/>
      <c r="AG30" s="389"/>
      <c r="AH30" s="389"/>
      <c r="AI30" s="389"/>
      <c r="AJ30" s="389"/>
      <c r="AK30" s="389"/>
      <c r="AL30" s="389"/>
      <c r="AM30" s="389"/>
      <c r="AN30" s="389"/>
      <c r="AO30" s="389"/>
      <c r="AP30" s="389"/>
      <c r="AQ30" s="389"/>
      <c r="AR30" s="389"/>
      <c r="AS30" s="389"/>
      <c r="AT30" s="389"/>
      <c r="AU30" s="389"/>
      <c r="AV30" s="389"/>
      <c r="AW30" s="389"/>
      <c r="AX30" s="389"/>
      <c r="AY30" s="389"/>
      <c r="AZ30" s="389"/>
      <c r="BA30" s="389"/>
      <c r="BB30" s="389"/>
      <c r="BC30" s="389"/>
    </row>
    <row r="31" spans="1:64" s="79" customFormat="1" ht="15.75" x14ac:dyDescent="0.25">
      <c r="A31" s="88"/>
      <c r="B31" s="83"/>
      <c r="C31" s="88" t="s">
        <v>48</v>
      </c>
      <c r="D31" s="316">
        <f>'DADOS FINAIS'!$AG$34</f>
        <v>0</v>
      </c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3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</row>
    <row r="32" spans="1:64" s="79" customFormat="1" x14ac:dyDescent="0.2">
      <c r="A32" s="89"/>
    </row>
    <row r="33" spans="1:1" s="79" customFormat="1" x14ac:dyDescent="0.2">
      <c r="A33" s="89"/>
    </row>
    <row r="34" spans="1:1" s="79" customFormat="1" x14ac:dyDescent="0.2">
      <c r="A34" s="89"/>
    </row>
    <row r="35" spans="1:1" s="79" customFormat="1" x14ac:dyDescent="0.2">
      <c r="A35" s="89"/>
    </row>
    <row r="36" spans="1:1" s="79" customFormat="1" x14ac:dyDescent="0.2">
      <c r="A36" s="89"/>
    </row>
    <row r="37" spans="1:1" s="79" customFormat="1" x14ac:dyDescent="0.2">
      <c r="A37" s="89"/>
    </row>
    <row r="38" spans="1:1" s="79" customFormat="1" x14ac:dyDescent="0.2">
      <c r="A38" s="89"/>
    </row>
    <row r="39" spans="1:1" s="79" customFormat="1" x14ac:dyDescent="0.2">
      <c r="A39" s="89"/>
    </row>
    <row r="40" spans="1:1" s="79" customFormat="1" x14ac:dyDescent="0.2">
      <c r="A40" s="89"/>
    </row>
    <row r="41" spans="1:1" s="79" customFormat="1" x14ac:dyDescent="0.2">
      <c r="A41" s="89"/>
    </row>
    <row r="42" spans="1:1" s="79" customFormat="1" x14ac:dyDescent="0.2">
      <c r="A42" s="89"/>
    </row>
    <row r="43" spans="1:1" s="79" customFormat="1" x14ac:dyDescent="0.2">
      <c r="A43" s="89"/>
    </row>
    <row r="44" spans="1:1" s="79" customFormat="1" x14ac:dyDescent="0.2">
      <c r="A44" s="89"/>
    </row>
    <row r="45" spans="1:1" s="79" customFormat="1" x14ac:dyDescent="0.2">
      <c r="A45" s="89"/>
    </row>
    <row r="46" spans="1:1" s="79" customFormat="1" x14ac:dyDescent="0.2">
      <c r="A46" s="89"/>
    </row>
    <row r="47" spans="1:1" s="79" customFormat="1" x14ac:dyDescent="0.2">
      <c r="A47" s="89"/>
    </row>
    <row r="48" spans="1:1" s="79" customFormat="1" x14ac:dyDescent="0.2">
      <c r="A48" s="89"/>
    </row>
    <row r="49" spans="1:1" s="79" customFormat="1" x14ac:dyDescent="0.2">
      <c r="A49" s="89"/>
    </row>
    <row r="50" spans="1:1" s="79" customFormat="1" x14ac:dyDescent="0.2">
      <c r="A50" s="89"/>
    </row>
    <row r="51" spans="1:1" s="79" customFormat="1" x14ac:dyDescent="0.2">
      <c r="A51" s="89"/>
    </row>
    <row r="52" spans="1:1" s="79" customFormat="1" x14ac:dyDescent="0.2">
      <c r="A52" s="89"/>
    </row>
    <row r="53" spans="1:1" s="79" customFormat="1" x14ac:dyDescent="0.2">
      <c r="A53" s="89"/>
    </row>
    <row r="54" spans="1:1" s="79" customFormat="1" x14ac:dyDescent="0.2">
      <c r="A54" s="89"/>
    </row>
    <row r="55" spans="1:1" s="79" customFormat="1" x14ac:dyDescent="0.2">
      <c r="A55" s="89"/>
    </row>
    <row r="56" spans="1:1" s="79" customFormat="1" x14ac:dyDescent="0.2">
      <c r="A56" s="89"/>
    </row>
    <row r="57" spans="1:1" s="79" customFormat="1" x14ac:dyDescent="0.2">
      <c r="A57" s="89"/>
    </row>
    <row r="58" spans="1:1" s="79" customFormat="1" x14ac:dyDescent="0.2">
      <c r="A58" s="89"/>
    </row>
    <row r="59" spans="1:1" s="79" customFormat="1" x14ac:dyDescent="0.2">
      <c r="A59" s="89"/>
    </row>
    <row r="60" spans="1:1" s="79" customFormat="1" x14ac:dyDescent="0.2">
      <c r="A60" s="89"/>
    </row>
    <row r="61" spans="1:1" s="79" customFormat="1" x14ac:dyDescent="0.2">
      <c r="A61" s="89"/>
    </row>
    <row r="62" spans="1:1" s="79" customFormat="1" x14ac:dyDescent="0.2">
      <c r="A62" s="89"/>
    </row>
    <row r="63" spans="1:1" s="79" customFormat="1" x14ac:dyDescent="0.2">
      <c r="A63" s="89"/>
    </row>
    <row r="64" spans="1:1" s="79" customFormat="1" x14ac:dyDescent="0.2">
      <c r="A64" s="89"/>
    </row>
    <row r="65" spans="1:1" s="79" customFormat="1" x14ac:dyDescent="0.2">
      <c r="A65" s="89"/>
    </row>
    <row r="66" spans="1:1" s="79" customFormat="1" x14ac:dyDescent="0.2">
      <c r="A66" s="89"/>
    </row>
    <row r="67" spans="1:1" s="79" customFormat="1" x14ac:dyDescent="0.2">
      <c r="A67" s="89"/>
    </row>
    <row r="68" spans="1:1" s="79" customFormat="1" x14ac:dyDescent="0.2">
      <c r="A68" s="89"/>
    </row>
    <row r="69" spans="1:1" s="79" customFormat="1" x14ac:dyDescent="0.2">
      <c r="A69" s="89"/>
    </row>
    <row r="70" spans="1:1" s="79" customFormat="1" x14ac:dyDescent="0.2">
      <c r="A70" s="89"/>
    </row>
    <row r="71" spans="1:1" s="79" customFormat="1" x14ac:dyDescent="0.2">
      <c r="A71" s="89"/>
    </row>
    <row r="72" spans="1:1" s="79" customFormat="1" x14ac:dyDescent="0.2">
      <c r="A72" s="89"/>
    </row>
    <row r="73" spans="1:1" s="79" customFormat="1" x14ac:dyDescent="0.2">
      <c r="A73" s="89"/>
    </row>
    <row r="74" spans="1:1" s="79" customFormat="1" x14ac:dyDescent="0.2">
      <c r="A74" s="89"/>
    </row>
    <row r="75" spans="1:1" s="79" customFormat="1" x14ac:dyDescent="0.2">
      <c r="A75" s="89"/>
    </row>
    <row r="76" spans="1:1" s="79" customFormat="1" x14ac:dyDescent="0.2">
      <c r="A76" s="89"/>
    </row>
    <row r="77" spans="1:1" s="79" customFormat="1" x14ac:dyDescent="0.2">
      <c r="A77" s="89"/>
    </row>
    <row r="78" spans="1:1" s="79" customFormat="1" x14ac:dyDescent="0.2">
      <c r="A78" s="89"/>
    </row>
    <row r="79" spans="1:1" s="79" customFormat="1" x14ac:dyDescent="0.2">
      <c r="A79" s="89"/>
    </row>
    <row r="80" spans="1:1" s="79" customFormat="1" x14ac:dyDescent="0.2">
      <c r="A80" s="89"/>
    </row>
    <row r="81" spans="1:1" s="79" customFormat="1" x14ac:dyDescent="0.2">
      <c r="A81" s="89"/>
    </row>
    <row r="82" spans="1:1" s="79" customFormat="1" x14ac:dyDescent="0.2">
      <c r="A82" s="89"/>
    </row>
    <row r="83" spans="1:1" s="79" customFormat="1" x14ac:dyDescent="0.2">
      <c r="A83" s="89"/>
    </row>
    <row r="84" spans="1:1" s="79" customFormat="1" x14ac:dyDescent="0.2">
      <c r="A84" s="89"/>
    </row>
    <row r="85" spans="1:1" s="79" customFormat="1" x14ac:dyDescent="0.2">
      <c r="A85" s="89"/>
    </row>
    <row r="86" spans="1:1" s="79" customFormat="1" x14ac:dyDescent="0.2">
      <c r="A86" s="89"/>
    </row>
    <row r="87" spans="1:1" s="79" customFormat="1" x14ac:dyDescent="0.2">
      <c r="A87" s="89"/>
    </row>
    <row r="88" spans="1:1" s="79" customFormat="1" x14ac:dyDescent="0.2">
      <c r="A88" s="89"/>
    </row>
    <row r="89" spans="1:1" s="79" customFormat="1" x14ac:dyDescent="0.2">
      <c r="A89" s="89"/>
    </row>
    <row r="90" spans="1:1" s="79" customFormat="1" x14ac:dyDescent="0.2">
      <c r="A90" s="89"/>
    </row>
    <row r="91" spans="1:1" s="79" customFormat="1" x14ac:dyDescent="0.2">
      <c r="A91" s="89"/>
    </row>
    <row r="92" spans="1:1" s="79" customFormat="1" x14ac:dyDescent="0.2">
      <c r="A92" s="89"/>
    </row>
    <row r="93" spans="1:1" s="79" customFormat="1" x14ac:dyDescent="0.2">
      <c r="A93" s="89"/>
    </row>
    <row r="94" spans="1:1" s="79" customFormat="1" x14ac:dyDescent="0.2">
      <c r="A94" s="89"/>
    </row>
    <row r="95" spans="1:1" s="79" customFormat="1" x14ac:dyDescent="0.2">
      <c r="A95" s="89"/>
    </row>
    <row r="96" spans="1:1" s="79" customFormat="1" x14ac:dyDescent="0.2">
      <c r="A96" s="89"/>
    </row>
    <row r="97" spans="1:1" s="79" customFormat="1" x14ac:dyDescent="0.2">
      <c r="A97" s="89"/>
    </row>
    <row r="98" spans="1:1" s="79" customFormat="1" x14ac:dyDescent="0.2">
      <c r="A98" s="89"/>
    </row>
    <row r="99" spans="1:1" s="79" customFormat="1" x14ac:dyDescent="0.2">
      <c r="A99" s="89"/>
    </row>
    <row r="100" spans="1:1" s="79" customFormat="1" x14ac:dyDescent="0.2">
      <c r="A100" s="89"/>
    </row>
    <row r="101" spans="1:1" s="79" customFormat="1" x14ac:dyDescent="0.2">
      <c r="A101" s="89"/>
    </row>
    <row r="102" spans="1:1" s="79" customFormat="1" x14ac:dyDescent="0.2">
      <c r="A102" s="89"/>
    </row>
    <row r="103" spans="1:1" s="79" customFormat="1" x14ac:dyDescent="0.2">
      <c r="A103" s="89"/>
    </row>
    <row r="104" spans="1:1" s="79" customFormat="1" x14ac:dyDescent="0.2">
      <c r="A104" s="89"/>
    </row>
    <row r="105" spans="1:1" s="79" customFormat="1" x14ac:dyDescent="0.2">
      <c r="A105" s="89"/>
    </row>
    <row r="106" spans="1:1" s="79" customFormat="1" x14ac:dyDescent="0.2">
      <c r="A106" s="89"/>
    </row>
    <row r="107" spans="1:1" s="79" customFormat="1" x14ac:dyDescent="0.2">
      <c r="A107" s="89"/>
    </row>
    <row r="108" spans="1:1" s="79" customFormat="1" x14ac:dyDescent="0.2">
      <c r="A108" s="89"/>
    </row>
    <row r="109" spans="1:1" s="79" customFormat="1" x14ac:dyDescent="0.2">
      <c r="A109" s="89"/>
    </row>
    <row r="110" spans="1:1" s="79" customFormat="1" x14ac:dyDescent="0.2">
      <c r="A110" s="89"/>
    </row>
    <row r="111" spans="1:1" s="79" customFormat="1" x14ac:dyDescent="0.2">
      <c r="A111" s="89"/>
    </row>
    <row r="112" spans="1:1" s="79" customFormat="1" x14ac:dyDescent="0.2">
      <c r="A112" s="89"/>
    </row>
    <row r="113" spans="1:1" s="79" customFormat="1" x14ac:dyDescent="0.2">
      <c r="A113" s="89"/>
    </row>
    <row r="114" spans="1:1" s="79" customFormat="1" x14ac:dyDescent="0.2">
      <c r="A114" s="89"/>
    </row>
    <row r="115" spans="1:1" s="79" customFormat="1" x14ac:dyDescent="0.2">
      <c r="A115" s="89"/>
    </row>
    <row r="116" spans="1:1" s="79" customFormat="1" x14ac:dyDescent="0.2">
      <c r="A116" s="89"/>
    </row>
    <row r="117" spans="1:1" s="79" customFormat="1" x14ac:dyDescent="0.2">
      <c r="A117" s="89"/>
    </row>
    <row r="118" spans="1:1" s="79" customFormat="1" x14ac:dyDescent="0.2">
      <c r="A118" s="89"/>
    </row>
    <row r="119" spans="1:1" s="79" customFormat="1" x14ac:dyDescent="0.2">
      <c r="A119" s="89"/>
    </row>
    <row r="120" spans="1:1" s="79" customFormat="1" x14ac:dyDescent="0.2">
      <c r="A120" s="89"/>
    </row>
    <row r="121" spans="1:1" s="79" customFormat="1" x14ac:dyDescent="0.2">
      <c r="A121" s="89"/>
    </row>
    <row r="122" spans="1:1" s="79" customFormat="1" x14ac:dyDescent="0.2">
      <c r="A122" s="89"/>
    </row>
    <row r="123" spans="1:1" s="79" customFormat="1" x14ac:dyDescent="0.2">
      <c r="A123" s="89"/>
    </row>
    <row r="124" spans="1:1" s="79" customFormat="1" x14ac:dyDescent="0.2">
      <c r="A124" s="89"/>
    </row>
    <row r="125" spans="1:1" s="79" customFormat="1" x14ac:dyDescent="0.2">
      <c r="A125" s="89"/>
    </row>
    <row r="126" spans="1:1" s="79" customFormat="1" x14ac:dyDescent="0.2">
      <c r="A126" s="89"/>
    </row>
    <row r="127" spans="1:1" s="79" customFormat="1" x14ac:dyDescent="0.2">
      <c r="A127" s="89"/>
    </row>
    <row r="128" spans="1:1" s="79" customFormat="1" x14ac:dyDescent="0.2">
      <c r="A128" s="89"/>
    </row>
    <row r="129" spans="1:1" s="79" customFormat="1" x14ac:dyDescent="0.2">
      <c r="A129" s="89"/>
    </row>
    <row r="130" spans="1:1" s="79" customFormat="1" x14ac:dyDescent="0.2">
      <c r="A130" s="89"/>
    </row>
    <row r="131" spans="1:1" s="79" customFormat="1" x14ac:dyDescent="0.2">
      <c r="A131" s="89"/>
    </row>
    <row r="132" spans="1:1" s="79" customFormat="1" x14ac:dyDescent="0.2">
      <c r="A132" s="89"/>
    </row>
    <row r="133" spans="1:1" s="79" customFormat="1" x14ac:dyDescent="0.2">
      <c r="A133" s="89"/>
    </row>
    <row r="134" spans="1:1" s="79" customFormat="1" x14ac:dyDescent="0.2">
      <c r="A134" s="89"/>
    </row>
    <row r="135" spans="1:1" s="79" customFormat="1" x14ac:dyDescent="0.2">
      <c r="A135" s="89"/>
    </row>
    <row r="136" spans="1:1" s="79" customFormat="1" x14ac:dyDescent="0.2">
      <c r="A136" s="89"/>
    </row>
    <row r="137" spans="1:1" s="79" customFormat="1" x14ac:dyDescent="0.2">
      <c r="A137" s="89"/>
    </row>
    <row r="138" spans="1:1" s="79" customFormat="1" x14ac:dyDescent="0.2">
      <c r="A138" s="89"/>
    </row>
    <row r="139" spans="1:1" s="79" customFormat="1" x14ac:dyDescent="0.2">
      <c r="A139" s="89"/>
    </row>
    <row r="140" spans="1:1" s="79" customFormat="1" x14ac:dyDescent="0.2">
      <c r="A140" s="89"/>
    </row>
    <row r="141" spans="1:1" s="79" customFormat="1" x14ac:dyDescent="0.2">
      <c r="A141" s="89"/>
    </row>
    <row r="142" spans="1:1" s="79" customFormat="1" x14ac:dyDescent="0.2">
      <c r="A142" s="89"/>
    </row>
    <row r="143" spans="1:1" s="79" customFormat="1" x14ac:dyDescent="0.2">
      <c r="A143" s="89"/>
    </row>
    <row r="144" spans="1:1" s="79" customFormat="1" x14ac:dyDescent="0.2">
      <c r="A144" s="89"/>
    </row>
    <row r="145" spans="1:1" s="79" customFormat="1" x14ac:dyDescent="0.2">
      <c r="A145" s="89"/>
    </row>
    <row r="146" spans="1:1" s="79" customFormat="1" x14ac:dyDescent="0.2">
      <c r="A146" s="89"/>
    </row>
    <row r="147" spans="1:1" s="79" customFormat="1" x14ac:dyDescent="0.2">
      <c r="A147" s="89"/>
    </row>
    <row r="148" spans="1:1" s="79" customFormat="1" x14ac:dyDescent="0.2">
      <c r="A148" s="89"/>
    </row>
    <row r="149" spans="1:1" s="79" customFormat="1" x14ac:dyDescent="0.2">
      <c r="A149" s="89"/>
    </row>
    <row r="150" spans="1:1" s="79" customFormat="1" x14ac:dyDescent="0.2">
      <c r="A150" s="89"/>
    </row>
    <row r="151" spans="1:1" s="79" customFormat="1" x14ac:dyDescent="0.2">
      <c r="A151" s="89"/>
    </row>
    <row r="152" spans="1:1" s="79" customFormat="1" x14ac:dyDescent="0.2">
      <c r="A152" s="89"/>
    </row>
    <row r="153" spans="1:1" s="79" customFormat="1" x14ac:dyDescent="0.2">
      <c r="A153" s="89"/>
    </row>
    <row r="154" spans="1:1" s="79" customFormat="1" x14ac:dyDescent="0.2">
      <c r="A154" s="89"/>
    </row>
    <row r="155" spans="1:1" s="79" customFormat="1" x14ac:dyDescent="0.2">
      <c r="A155" s="89"/>
    </row>
    <row r="156" spans="1:1" s="79" customFormat="1" x14ac:dyDescent="0.2">
      <c r="A156" s="89"/>
    </row>
    <row r="157" spans="1:1" s="79" customFormat="1" x14ac:dyDescent="0.2">
      <c r="A157" s="89"/>
    </row>
    <row r="158" spans="1:1" s="79" customFormat="1" x14ac:dyDescent="0.2">
      <c r="A158" s="89"/>
    </row>
    <row r="159" spans="1:1" s="79" customFormat="1" x14ac:dyDescent="0.2">
      <c r="A159" s="89"/>
    </row>
    <row r="160" spans="1:1" s="79" customFormat="1" x14ac:dyDescent="0.2">
      <c r="A160" s="89"/>
    </row>
    <row r="161" spans="1:1" s="79" customFormat="1" x14ac:dyDescent="0.2">
      <c r="A161" s="89"/>
    </row>
    <row r="162" spans="1:1" s="79" customFormat="1" x14ac:dyDescent="0.2">
      <c r="A162" s="89"/>
    </row>
    <row r="163" spans="1:1" s="79" customFormat="1" x14ac:dyDescent="0.2">
      <c r="A163" s="89"/>
    </row>
    <row r="164" spans="1:1" s="79" customFormat="1" x14ac:dyDescent="0.2">
      <c r="A164" s="89"/>
    </row>
    <row r="165" spans="1:1" s="79" customFormat="1" x14ac:dyDescent="0.2">
      <c r="A165" s="89"/>
    </row>
    <row r="166" spans="1:1" s="79" customFormat="1" x14ac:dyDescent="0.2">
      <c r="A166" s="89"/>
    </row>
    <row r="167" spans="1:1" s="79" customFormat="1" x14ac:dyDescent="0.2">
      <c r="A167" s="89"/>
    </row>
    <row r="168" spans="1:1" s="79" customFormat="1" x14ac:dyDescent="0.2">
      <c r="A168" s="89"/>
    </row>
    <row r="169" spans="1:1" s="79" customFormat="1" x14ac:dyDescent="0.2">
      <c r="A169" s="89"/>
    </row>
    <row r="170" spans="1:1" s="79" customFormat="1" x14ac:dyDescent="0.2">
      <c r="A170" s="89"/>
    </row>
    <row r="171" spans="1:1" s="79" customFormat="1" x14ac:dyDescent="0.2">
      <c r="A171" s="89"/>
    </row>
    <row r="172" spans="1:1" s="79" customFormat="1" x14ac:dyDescent="0.2">
      <c r="A172" s="89"/>
    </row>
    <row r="173" spans="1:1" s="79" customFormat="1" x14ac:dyDescent="0.2">
      <c r="A173" s="89"/>
    </row>
    <row r="174" spans="1:1" s="79" customFormat="1" x14ac:dyDescent="0.2">
      <c r="A174" s="89"/>
    </row>
    <row r="175" spans="1:1" s="79" customFormat="1" x14ac:dyDescent="0.2">
      <c r="A175" s="89"/>
    </row>
    <row r="176" spans="1:1" s="79" customFormat="1" x14ac:dyDescent="0.2">
      <c r="A176" s="89"/>
    </row>
    <row r="177" spans="1:1" s="79" customFormat="1" x14ac:dyDescent="0.2">
      <c r="A177" s="89"/>
    </row>
    <row r="178" spans="1:1" s="79" customFormat="1" x14ac:dyDescent="0.2">
      <c r="A178" s="89"/>
    </row>
    <row r="179" spans="1:1" s="79" customFormat="1" x14ac:dyDescent="0.2">
      <c r="A179" s="89"/>
    </row>
    <row r="180" spans="1:1" s="79" customFormat="1" x14ac:dyDescent="0.2">
      <c r="A180" s="89"/>
    </row>
    <row r="181" spans="1:1" s="79" customFormat="1" x14ac:dyDescent="0.2">
      <c r="A181" s="89"/>
    </row>
    <row r="182" spans="1:1" s="79" customFormat="1" x14ac:dyDescent="0.2">
      <c r="A182" s="89"/>
    </row>
    <row r="183" spans="1:1" s="79" customFormat="1" x14ac:dyDescent="0.2">
      <c r="A183" s="89"/>
    </row>
    <row r="184" spans="1:1" s="79" customFormat="1" x14ac:dyDescent="0.2">
      <c r="A184" s="89"/>
    </row>
    <row r="185" spans="1:1" s="79" customFormat="1" x14ac:dyDescent="0.2">
      <c r="A185" s="89"/>
    </row>
    <row r="186" spans="1:1" s="79" customFormat="1" x14ac:dyDescent="0.2">
      <c r="A186" s="89"/>
    </row>
    <row r="187" spans="1:1" s="79" customFormat="1" x14ac:dyDescent="0.2">
      <c r="A187" s="89"/>
    </row>
    <row r="188" spans="1:1" s="79" customFormat="1" x14ac:dyDescent="0.2">
      <c r="A188" s="89"/>
    </row>
    <row r="189" spans="1:1" s="79" customFormat="1" x14ac:dyDescent="0.2">
      <c r="A189" s="89"/>
    </row>
    <row r="190" spans="1:1" s="79" customFormat="1" x14ac:dyDescent="0.2">
      <c r="A190" s="89"/>
    </row>
    <row r="191" spans="1:1" s="79" customFormat="1" x14ac:dyDescent="0.2">
      <c r="A191" s="89"/>
    </row>
    <row r="192" spans="1:1" s="79" customFormat="1" x14ac:dyDescent="0.2">
      <c r="A192" s="89"/>
    </row>
    <row r="193" spans="1:1" s="79" customFormat="1" x14ac:dyDescent="0.2">
      <c r="A193" s="89"/>
    </row>
    <row r="194" spans="1:1" s="79" customFormat="1" x14ac:dyDescent="0.2">
      <c r="A194" s="89"/>
    </row>
    <row r="195" spans="1:1" s="79" customFormat="1" x14ac:dyDescent="0.2">
      <c r="A195" s="89"/>
    </row>
    <row r="196" spans="1:1" s="79" customFormat="1" x14ac:dyDescent="0.2">
      <c r="A196" s="89"/>
    </row>
    <row r="197" spans="1:1" s="79" customFormat="1" x14ac:dyDescent="0.2">
      <c r="A197" s="89"/>
    </row>
    <row r="198" spans="1:1" s="79" customFormat="1" x14ac:dyDescent="0.2">
      <c r="A198" s="89"/>
    </row>
    <row r="199" spans="1:1" s="79" customFormat="1" x14ac:dyDescent="0.2">
      <c r="A199" s="89"/>
    </row>
    <row r="200" spans="1:1" s="79" customFormat="1" x14ac:dyDescent="0.2">
      <c r="A200" s="89"/>
    </row>
    <row r="201" spans="1:1" s="79" customFormat="1" x14ac:dyDescent="0.2">
      <c r="A201" s="89"/>
    </row>
    <row r="202" spans="1:1" s="79" customFormat="1" x14ac:dyDescent="0.2">
      <c r="A202" s="89"/>
    </row>
    <row r="203" spans="1:1" s="79" customFormat="1" x14ac:dyDescent="0.2">
      <c r="A203" s="89"/>
    </row>
    <row r="204" spans="1:1" s="79" customFormat="1" x14ac:dyDescent="0.2">
      <c r="A204" s="89"/>
    </row>
    <row r="205" spans="1:1" s="79" customFormat="1" x14ac:dyDescent="0.2">
      <c r="A205" s="89"/>
    </row>
    <row r="206" spans="1:1" s="79" customFormat="1" x14ac:dyDescent="0.2">
      <c r="A206" s="89"/>
    </row>
    <row r="207" spans="1:1" s="79" customFormat="1" x14ac:dyDescent="0.2">
      <c r="A207" s="89"/>
    </row>
    <row r="208" spans="1:1" s="79" customFormat="1" x14ac:dyDescent="0.2">
      <c r="A208" s="89"/>
    </row>
    <row r="209" spans="1:1" s="79" customFormat="1" x14ac:dyDescent="0.2">
      <c r="A209" s="89"/>
    </row>
    <row r="210" spans="1:1" s="79" customFormat="1" x14ac:dyDescent="0.2">
      <c r="A210" s="89"/>
    </row>
    <row r="211" spans="1:1" s="79" customFormat="1" x14ac:dyDescent="0.2">
      <c r="A211" s="89"/>
    </row>
    <row r="212" spans="1:1" s="79" customFormat="1" x14ac:dyDescent="0.2">
      <c r="A212" s="89"/>
    </row>
    <row r="213" spans="1:1" s="79" customFormat="1" x14ac:dyDescent="0.2">
      <c r="A213" s="89"/>
    </row>
    <row r="214" spans="1:1" s="79" customFormat="1" x14ac:dyDescent="0.2">
      <c r="A214" s="89"/>
    </row>
    <row r="215" spans="1:1" s="79" customFormat="1" x14ac:dyDescent="0.2">
      <c r="A215" s="89"/>
    </row>
    <row r="216" spans="1:1" s="79" customFormat="1" x14ac:dyDescent="0.2">
      <c r="A216" s="89"/>
    </row>
    <row r="217" spans="1:1" s="79" customFormat="1" x14ac:dyDescent="0.2">
      <c r="A217" s="89"/>
    </row>
    <row r="218" spans="1:1" s="79" customFormat="1" x14ac:dyDescent="0.2">
      <c r="A218" s="89"/>
    </row>
    <row r="219" spans="1:1" s="79" customFormat="1" x14ac:dyDescent="0.2">
      <c r="A219" s="89"/>
    </row>
    <row r="220" spans="1:1" s="79" customFormat="1" x14ac:dyDescent="0.2">
      <c r="A220" s="89"/>
    </row>
    <row r="221" spans="1:1" s="79" customFormat="1" x14ac:dyDescent="0.2">
      <c r="A221" s="89"/>
    </row>
    <row r="222" spans="1:1" s="79" customFormat="1" x14ac:dyDescent="0.2">
      <c r="A222" s="89"/>
    </row>
    <row r="223" spans="1:1" s="79" customFormat="1" x14ac:dyDescent="0.2">
      <c r="A223" s="89"/>
    </row>
    <row r="224" spans="1:1" s="79" customFormat="1" x14ac:dyDescent="0.2">
      <c r="A224" s="89"/>
    </row>
    <row r="225" spans="1:1" s="79" customFormat="1" x14ac:dyDescent="0.2">
      <c r="A225" s="89"/>
    </row>
    <row r="226" spans="1:1" s="79" customFormat="1" x14ac:dyDescent="0.2">
      <c r="A226" s="89"/>
    </row>
    <row r="227" spans="1:1" s="79" customFormat="1" x14ac:dyDescent="0.2">
      <c r="A227" s="89"/>
    </row>
    <row r="228" spans="1:1" s="79" customFormat="1" x14ac:dyDescent="0.2">
      <c r="A228" s="89"/>
    </row>
    <row r="229" spans="1:1" s="79" customFormat="1" x14ac:dyDescent="0.2">
      <c r="A229" s="89"/>
    </row>
    <row r="230" spans="1:1" s="79" customFormat="1" x14ac:dyDescent="0.2">
      <c r="A230" s="89"/>
    </row>
    <row r="231" spans="1:1" s="79" customFormat="1" x14ac:dyDescent="0.2">
      <c r="A231" s="89"/>
    </row>
    <row r="232" spans="1:1" s="79" customFormat="1" x14ac:dyDescent="0.2">
      <c r="A232" s="89"/>
    </row>
    <row r="233" spans="1:1" s="79" customFormat="1" x14ac:dyDescent="0.2">
      <c r="A233" s="89"/>
    </row>
    <row r="234" spans="1:1" s="79" customFormat="1" x14ac:dyDescent="0.2">
      <c r="A234" s="89"/>
    </row>
    <row r="235" spans="1:1" s="79" customFormat="1" x14ac:dyDescent="0.2">
      <c r="A235" s="89"/>
    </row>
    <row r="236" spans="1:1" s="79" customFormat="1" x14ac:dyDescent="0.2">
      <c r="A236" s="89"/>
    </row>
    <row r="237" spans="1:1" s="79" customFormat="1" x14ac:dyDescent="0.2">
      <c r="A237" s="89"/>
    </row>
    <row r="238" spans="1:1" s="79" customFormat="1" x14ac:dyDescent="0.2">
      <c r="A238" s="89"/>
    </row>
    <row r="239" spans="1:1" s="79" customFormat="1" x14ac:dyDescent="0.2">
      <c r="A239" s="89"/>
    </row>
    <row r="240" spans="1:1" s="79" customFormat="1" x14ac:dyDescent="0.2">
      <c r="A240" s="89"/>
    </row>
    <row r="241" spans="1:1" s="79" customFormat="1" x14ac:dyDescent="0.2">
      <c r="A241" s="89"/>
    </row>
    <row r="242" spans="1:1" s="79" customFormat="1" x14ac:dyDescent="0.2">
      <c r="A242" s="89"/>
    </row>
    <row r="243" spans="1:1" s="79" customFormat="1" x14ac:dyDescent="0.2">
      <c r="A243" s="89"/>
    </row>
    <row r="244" spans="1:1" s="79" customFormat="1" x14ac:dyDescent="0.2">
      <c r="A244" s="89"/>
    </row>
    <row r="245" spans="1:1" s="79" customFormat="1" x14ac:dyDescent="0.2">
      <c r="A245" s="89"/>
    </row>
    <row r="246" spans="1:1" s="79" customFormat="1" x14ac:dyDescent="0.2">
      <c r="A246" s="89"/>
    </row>
    <row r="247" spans="1:1" s="79" customFormat="1" x14ac:dyDescent="0.2">
      <c r="A247" s="89"/>
    </row>
    <row r="248" spans="1:1" s="79" customFormat="1" x14ac:dyDescent="0.2">
      <c r="A248" s="89"/>
    </row>
    <row r="249" spans="1:1" s="79" customFormat="1" x14ac:dyDescent="0.2">
      <c r="A249" s="89"/>
    </row>
    <row r="250" spans="1:1" s="79" customFormat="1" x14ac:dyDescent="0.2">
      <c r="A250" s="89"/>
    </row>
    <row r="251" spans="1:1" s="79" customFormat="1" x14ac:dyDescent="0.2">
      <c r="A251" s="89"/>
    </row>
    <row r="252" spans="1:1" s="79" customFormat="1" x14ac:dyDescent="0.2">
      <c r="A252" s="89"/>
    </row>
    <row r="253" spans="1:1" s="79" customFormat="1" x14ac:dyDescent="0.2">
      <c r="A253" s="89"/>
    </row>
    <row r="254" spans="1:1" s="79" customFormat="1" x14ac:dyDescent="0.2">
      <c r="A254" s="89"/>
    </row>
    <row r="255" spans="1:1" s="79" customFormat="1" x14ac:dyDescent="0.2">
      <c r="A255" s="89"/>
    </row>
    <row r="256" spans="1:1" s="79" customFormat="1" x14ac:dyDescent="0.2">
      <c r="A256" s="89"/>
    </row>
    <row r="257" spans="1:1" s="79" customFormat="1" x14ac:dyDescent="0.2">
      <c r="A257" s="89"/>
    </row>
    <row r="258" spans="1:1" s="79" customFormat="1" x14ac:dyDescent="0.2">
      <c r="A258" s="89"/>
    </row>
    <row r="259" spans="1:1" s="79" customFormat="1" x14ac:dyDescent="0.2">
      <c r="A259" s="89"/>
    </row>
    <row r="260" spans="1:1" s="79" customFormat="1" x14ac:dyDescent="0.2">
      <c r="A260" s="89"/>
    </row>
    <row r="261" spans="1:1" s="79" customFormat="1" x14ac:dyDescent="0.2">
      <c r="A261" s="89"/>
    </row>
    <row r="262" spans="1:1" s="79" customFormat="1" x14ac:dyDescent="0.2">
      <c r="A262" s="89"/>
    </row>
    <row r="263" spans="1:1" s="79" customFormat="1" x14ac:dyDescent="0.2">
      <c r="A263" s="89"/>
    </row>
    <row r="264" spans="1:1" s="79" customFormat="1" x14ac:dyDescent="0.2">
      <c r="A264" s="89"/>
    </row>
    <row r="265" spans="1:1" s="79" customFormat="1" x14ac:dyDescent="0.2">
      <c r="A265" s="89"/>
    </row>
    <row r="266" spans="1:1" s="79" customFormat="1" x14ac:dyDescent="0.2">
      <c r="A266" s="89"/>
    </row>
    <row r="267" spans="1:1" s="79" customFormat="1" x14ac:dyDescent="0.2">
      <c r="A267" s="89"/>
    </row>
    <row r="268" spans="1:1" s="79" customFormat="1" x14ac:dyDescent="0.2">
      <c r="A268" s="89"/>
    </row>
    <row r="269" spans="1:1" s="79" customFormat="1" x14ac:dyDescent="0.2">
      <c r="A269" s="89"/>
    </row>
    <row r="270" spans="1:1" s="79" customFormat="1" x14ac:dyDescent="0.2">
      <c r="A270" s="89"/>
    </row>
    <row r="271" spans="1:1" s="79" customFormat="1" x14ac:dyDescent="0.2">
      <c r="A271" s="89"/>
    </row>
    <row r="272" spans="1:1" s="79" customFormat="1" x14ac:dyDescent="0.2">
      <c r="A272" s="89"/>
    </row>
    <row r="273" spans="1:1" s="79" customFormat="1" x14ac:dyDescent="0.2">
      <c r="A273" s="89"/>
    </row>
    <row r="274" spans="1:1" s="79" customFormat="1" x14ac:dyDescent="0.2">
      <c r="A274" s="89"/>
    </row>
    <row r="275" spans="1:1" s="79" customFormat="1" x14ac:dyDescent="0.2">
      <c r="A275" s="89"/>
    </row>
    <row r="276" spans="1:1" s="79" customFormat="1" x14ac:dyDescent="0.2">
      <c r="A276" s="89"/>
    </row>
    <row r="277" spans="1:1" s="79" customFormat="1" x14ac:dyDescent="0.2">
      <c r="A277" s="89"/>
    </row>
    <row r="278" spans="1:1" s="79" customFormat="1" x14ac:dyDescent="0.2">
      <c r="A278" s="89"/>
    </row>
    <row r="279" spans="1:1" s="79" customFormat="1" x14ac:dyDescent="0.2">
      <c r="A279" s="89"/>
    </row>
    <row r="280" spans="1:1" s="79" customFormat="1" x14ac:dyDescent="0.2">
      <c r="A280" s="89"/>
    </row>
    <row r="281" spans="1:1" s="79" customFormat="1" x14ac:dyDescent="0.2">
      <c r="A281" s="89"/>
    </row>
    <row r="282" spans="1:1" s="79" customFormat="1" x14ac:dyDescent="0.2">
      <c r="A282" s="89"/>
    </row>
    <row r="283" spans="1:1" s="79" customFormat="1" x14ac:dyDescent="0.2">
      <c r="A283" s="89"/>
    </row>
    <row r="284" spans="1:1" s="79" customFormat="1" x14ac:dyDescent="0.2">
      <c r="A284" s="89"/>
    </row>
    <row r="285" spans="1:1" s="79" customFormat="1" x14ac:dyDescent="0.2">
      <c r="A285" s="89"/>
    </row>
    <row r="286" spans="1:1" s="79" customFormat="1" x14ac:dyDescent="0.2">
      <c r="A286" s="89"/>
    </row>
    <row r="287" spans="1:1" s="79" customFormat="1" x14ac:dyDescent="0.2">
      <c r="A287" s="89"/>
    </row>
    <row r="288" spans="1:1" s="79" customFormat="1" x14ac:dyDescent="0.2">
      <c r="A288" s="89"/>
    </row>
    <row r="289" spans="1:1" s="79" customFormat="1" x14ac:dyDescent="0.2">
      <c r="A289" s="89"/>
    </row>
    <row r="290" spans="1:1" s="79" customFormat="1" x14ac:dyDescent="0.2">
      <c r="A290" s="89"/>
    </row>
    <row r="291" spans="1:1" s="79" customFormat="1" x14ac:dyDescent="0.2">
      <c r="A291" s="89"/>
    </row>
    <row r="292" spans="1:1" s="79" customFormat="1" x14ac:dyDescent="0.2">
      <c r="A292" s="89"/>
    </row>
    <row r="293" spans="1:1" s="79" customFormat="1" x14ac:dyDescent="0.2">
      <c r="A293" s="89"/>
    </row>
    <row r="294" spans="1:1" s="79" customFormat="1" x14ac:dyDescent="0.2">
      <c r="A294" s="89"/>
    </row>
    <row r="295" spans="1:1" s="79" customFormat="1" x14ac:dyDescent="0.2">
      <c r="A295" s="89"/>
    </row>
    <row r="296" spans="1:1" s="79" customFormat="1" x14ac:dyDescent="0.2">
      <c r="A296" s="89"/>
    </row>
    <row r="297" spans="1:1" s="79" customFormat="1" x14ac:dyDescent="0.2">
      <c r="A297" s="89"/>
    </row>
    <row r="298" spans="1:1" s="79" customFormat="1" x14ac:dyDescent="0.2">
      <c r="A298" s="89"/>
    </row>
    <row r="299" spans="1:1" s="79" customFormat="1" x14ac:dyDescent="0.2">
      <c r="A299" s="89"/>
    </row>
    <row r="300" spans="1:1" s="79" customFormat="1" x14ac:dyDescent="0.2">
      <c r="A300" s="89"/>
    </row>
    <row r="301" spans="1:1" s="79" customFormat="1" x14ac:dyDescent="0.2">
      <c r="A301" s="89"/>
    </row>
    <row r="302" spans="1:1" s="79" customFormat="1" x14ac:dyDescent="0.2">
      <c r="A302" s="89"/>
    </row>
    <row r="303" spans="1:1" s="79" customFormat="1" x14ac:dyDescent="0.2">
      <c r="A303" s="89"/>
    </row>
    <row r="304" spans="1:1" s="79" customFormat="1" x14ac:dyDescent="0.2">
      <c r="A304" s="89"/>
    </row>
    <row r="305" spans="1:1" s="79" customFormat="1" x14ac:dyDescent="0.2">
      <c r="A305" s="89"/>
    </row>
    <row r="306" spans="1:1" s="79" customFormat="1" x14ac:dyDescent="0.2">
      <c r="A306" s="89"/>
    </row>
    <row r="307" spans="1:1" s="79" customFormat="1" x14ac:dyDescent="0.2">
      <c r="A307" s="89"/>
    </row>
    <row r="308" spans="1:1" s="79" customFormat="1" x14ac:dyDescent="0.2">
      <c r="A308" s="89"/>
    </row>
    <row r="309" spans="1:1" s="79" customFormat="1" x14ac:dyDescent="0.2">
      <c r="A309" s="89"/>
    </row>
    <row r="310" spans="1:1" s="79" customFormat="1" x14ac:dyDescent="0.2">
      <c r="A310" s="89"/>
    </row>
    <row r="311" spans="1:1" s="79" customFormat="1" x14ac:dyDescent="0.2">
      <c r="A311" s="89"/>
    </row>
    <row r="312" spans="1:1" s="79" customFormat="1" x14ac:dyDescent="0.2">
      <c r="A312" s="89"/>
    </row>
    <row r="313" spans="1:1" s="79" customFormat="1" x14ac:dyDescent="0.2">
      <c r="A313" s="89"/>
    </row>
    <row r="314" spans="1:1" s="79" customFormat="1" x14ac:dyDescent="0.2">
      <c r="A314" s="89"/>
    </row>
    <row r="315" spans="1:1" s="79" customFormat="1" x14ac:dyDescent="0.2">
      <c r="A315" s="89"/>
    </row>
    <row r="316" spans="1:1" s="79" customFormat="1" x14ac:dyDescent="0.2">
      <c r="A316" s="89"/>
    </row>
    <row r="317" spans="1:1" s="79" customFormat="1" x14ac:dyDescent="0.2">
      <c r="A317" s="89"/>
    </row>
    <row r="318" spans="1:1" s="79" customFormat="1" x14ac:dyDescent="0.2">
      <c r="A318" s="89"/>
    </row>
    <row r="319" spans="1:1" s="79" customFormat="1" x14ac:dyDescent="0.2">
      <c r="A319" s="89"/>
    </row>
    <row r="320" spans="1:1" s="79" customFormat="1" x14ac:dyDescent="0.2">
      <c r="A320" s="89"/>
    </row>
    <row r="321" spans="1:1" s="79" customFormat="1" x14ac:dyDescent="0.2">
      <c r="A321" s="89"/>
    </row>
    <row r="322" spans="1:1" s="79" customFormat="1" x14ac:dyDescent="0.2">
      <c r="A322" s="89"/>
    </row>
    <row r="323" spans="1:1" s="79" customFormat="1" x14ac:dyDescent="0.2">
      <c r="A323" s="89"/>
    </row>
    <row r="324" spans="1:1" s="79" customFormat="1" x14ac:dyDescent="0.2">
      <c r="A324" s="89"/>
    </row>
    <row r="325" spans="1:1" s="79" customFormat="1" x14ac:dyDescent="0.2">
      <c r="A325" s="89"/>
    </row>
    <row r="326" spans="1:1" s="79" customFormat="1" x14ac:dyDescent="0.2">
      <c r="A326" s="89"/>
    </row>
    <row r="327" spans="1:1" s="79" customFormat="1" x14ac:dyDescent="0.2">
      <c r="A327" s="89"/>
    </row>
    <row r="328" spans="1:1" s="79" customFormat="1" x14ac:dyDescent="0.2">
      <c r="A328" s="89"/>
    </row>
    <row r="329" spans="1:1" s="79" customFormat="1" x14ac:dyDescent="0.2">
      <c r="A329" s="89"/>
    </row>
    <row r="330" spans="1:1" s="79" customFormat="1" x14ac:dyDescent="0.2">
      <c r="A330" s="89"/>
    </row>
    <row r="331" spans="1:1" s="79" customFormat="1" x14ac:dyDescent="0.2">
      <c r="A331" s="89"/>
    </row>
    <row r="332" spans="1:1" s="79" customFormat="1" x14ac:dyDescent="0.2">
      <c r="A332" s="89"/>
    </row>
    <row r="333" spans="1:1" s="79" customFormat="1" x14ac:dyDescent="0.2">
      <c r="A333" s="89"/>
    </row>
  </sheetData>
  <sheetProtection algorithmName="SHA-512" hashValue="zoRkIgHYTvj6xmo2fXM2AWxZbGFt0ImayEqtLk91PKCs1qffnxgGSjQpdbdNuF1CA8nsgtKTn3uEOZbCibpX4w==" saltValue="5UUyct7aF/ZHB5WkIbCPkA==" spinCount="100000" sheet="1" objects="1" scenarios="1"/>
  <mergeCells count="3">
    <mergeCell ref="B2:G2"/>
    <mergeCell ref="O2:BC2"/>
    <mergeCell ref="AE30:BC30"/>
  </mergeCells>
  <phoneticPr fontId="0" type="noConversion"/>
  <conditionalFormatting sqref="A4:A19">
    <cfRule type="cellIs" dxfId="38" priority="6" stopIfTrue="1" operator="equal">
      <formula>"ERRO-FT"</formula>
    </cfRule>
  </conditionalFormatting>
  <conditionalFormatting sqref="A20:A27">
    <cfRule type="cellIs" dxfId="37" priority="3" stopIfTrue="1" operator="equal">
      <formula>"ERRO-FT"</formula>
    </cfRule>
  </conditionalFormatting>
  <conditionalFormatting sqref="AE30:BC30">
    <cfRule type="cellIs" dxfId="36" priority="1" stopIfTrue="1" operator="lessThan">
      <formula>10000</formula>
    </cfRule>
    <cfRule type="cellIs" dxfId="35" priority="2" stopIfTrue="1" operator="lessThan">
      <formula>10000</formula>
    </cfRule>
  </conditionalFormatting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9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RowHeight="15" x14ac:dyDescent="0.2"/>
  <cols>
    <col min="1" max="1" width="6.5703125" style="122" customWidth="1"/>
    <col min="2" max="3" width="9.7109375" style="323" bestFit="1" customWidth="1"/>
    <col min="4" max="4" width="9.5703125" style="323" bestFit="1" customWidth="1"/>
    <col min="5" max="5" width="10.85546875" style="321" bestFit="1" customWidth="1"/>
    <col min="6" max="6" width="9.7109375" style="321" bestFit="1" customWidth="1"/>
    <col min="7" max="7" width="9.5703125" style="322" bestFit="1" customWidth="1"/>
    <col min="8" max="8" width="9.7109375" style="321" bestFit="1" customWidth="1"/>
    <col min="9" max="9" width="9.5703125" style="321" bestFit="1" customWidth="1"/>
    <col min="10" max="10" width="9.7109375" style="323" bestFit="1" customWidth="1"/>
    <col min="11" max="11" width="9.5703125" style="321" bestFit="1" customWidth="1"/>
    <col min="12" max="12" width="9.5703125" style="323" bestFit="1" customWidth="1"/>
    <col min="13" max="15" width="9.5703125" style="321" bestFit="1" customWidth="1"/>
    <col min="16" max="17" width="9.5703125" style="323" bestFit="1" customWidth="1"/>
    <col min="18" max="18" width="9.5703125" style="321" bestFit="1" customWidth="1"/>
    <col min="19" max="21" width="9.7109375" style="323" bestFit="1" customWidth="1"/>
    <col min="22" max="22" width="9.5703125" style="321" bestFit="1" customWidth="1"/>
    <col min="23" max="23" width="10.85546875" style="323" bestFit="1" customWidth="1"/>
    <col min="24" max="28" width="9.5703125" style="323" bestFit="1" customWidth="1"/>
    <col min="29" max="16384" width="9.140625" style="121"/>
  </cols>
  <sheetData>
    <row r="1" spans="1:28" s="227" customFormat="1" x14ac:dyDescent="0.2">
      <c r="A1" s="226" t="s">
        <v>212</v>
      </c>
      <c r="B1" s="321" t="s">
        <v>151</v>
      </c>
      <c r="C1" s="321" t="s">
        <v>218</v>
      </c>
      <c r="D1" s="321" t="s">
        <v>219</v>
      </c>
      <c r="E1" s="321" t="s">
        <v>220</v>
      </c>
      <c r="F1" s="321" t="s">
        <v>157</v>
      </c>
      <c r="G1" s="322" t="s">
        <v>226</v>
      </c>
      <c r="H1" s="321" t="s">
        <v>159</v>
      </c>
      <c r="I1" s="321" t="s">
        <v>155</v>
      </c>
      <c r="J1" s="321" t="s">
        <v>51</v>
      </c>
      <c r="K1" s="321" t="s">
        <v>132</v>
      </c>
      <c r="L1" s="321" t="s">
        <v>227</v>
      </c>
      <c r="M1" s="321" t="s">
        <v>144</v>
      </c>
      <c r="N1" s="321" t="s">
        <v>179</v>
      </c>
      <c r="O1" s="321" t="s">
        <v>154</v>
      </c>
      <c r="P1" s="321" t="s">
        <v>158</v>
      </c>
      <c r="Q1" s="321" t="s">
        <v>156</v>
      </c>
      <c r="R1" s="321" t="s">
        <v>142</v>
      </c>
      <c r="S1" s="321" t="s">
        <v>153</v>
      </c>
      <c r="T1" s="321" t="s">
        <v>224</v>
      </c>
      <c r="U1" s="321" t="s">
        <v>52</v>
      </c>
      <c r="V1" s="321" t="s">
        <v>152</v>
      </c>
      <c r="W1" s="321" t="s">
        <v>225</v>
      </c>
      <c r="X1" s="321" t="s">
        <v>213</v>
      </c>
      <c r="Y1" s="321" t="s">
        <v>214</v>
      </c>
      <c r="Z1" s="321" t="s">
        <v>215</v>
      </c>
      <c r="AA1" s="321" t="s">
        <v>216</v>
      </c>
      <c r="AB1" s="321" t="s">
        <v>217</v>
      </c>
    </row>
    <row r="2" spans="1:28" x14ac:dyDescent="0.2">
      <c r="A2" s="122" t="s">
        <v>86</v>
      </c>
      <c r="B2" s="323">
        <v>0.54900000000000004</v>
      </c>
      <c r="C2" s="323">
        <v>0.75900000000000001</v>
      </c>
      <c r="D2" s="323">
        <v>0.51300000000000001</v>
      </c>
      <c r="E2" s="321">
        <v>0.54300000000000004</v>
      </c>
      <c r="F2" s="321">
        <v>0.56899999999999995</v>
      </c>
      <c r="G2" s="322">
        <v>0.79</v>
      </c>
      <c r="H2" s="321">
        <v>0.754</v>
      </c>
      <c r="I2" s="321">
        <v>0.754</v>
      </c>
      <c r="J2" s="323">
        <v>0.71479999999999999</v>
      </c>
      <c r="K2" s="321">
        <v>0.46500000000000002</v>
      </c>
      <c r="L2" s="323">
        <v>0.70199999999999996</v>
      </c>
      <c r="M2" s="321">
        <v>0.58299999999999996</v>
      </c>
      <c r="N2" s="321">
        <v>0.61899999999999999</v>
      </c>
      <c r="O2" s="321">
        <v>0.68100000000000005</v>
      </c>
      <c r="P2" s="323">
        <v>0.59599999999999997</v>
      </c>
      <c r="Q2" s="323">
        <v>0.48</v>
      </c>
      <c r="R2" s="321">
        <v>0.40300000000000002</v>
      </c>
      <c r="S2" s="323">
        <v>0.61299999999999999</v>
      </c>
      <c r="T2" s="323">
        <v>0.74</v>
      </c>
      <c r="U2" s="323">
        <v>0.55600000000000005</v>
      </c>
      <c r="V2" s="321">
        <v>0.73599999999999999</v>
      </c>
      <c r="W2" s="323">
        <v>0.45400000000000001</v>
      </c>
      <c r="X2" s="323">
        <v>0.54400000000000004</v>
      </c>
      <c r="Y2" s="323">
        <v>0.51200000000000001</v>
      </c>
      <c r="Z2" s="323">
        <v>0.42799999999999999</v>
      </c>
      <c r="AA2" s="323">
        <v>0.53300000000000003</v>
      </c>
    </row>
    <row r="3" spans="1:28" x14ac:dyDescent="0.2">
      <c r="A3" s="122" t="s">
        <v>229</v>
      </c>
      <c r="B3" s="323">
        <v>1.1999999999999999E-3</v>
      </c>
      <c r="F3" s="321">
        <v>1.4E-3</v>
      </c>
      <c r="G3" s="322">
        <v>1.6000000000000001E-3</v>
      </c>
      <c r="H3" s="321">
        <v>1.1000000000000001E-3</v>
      </c>
      <c r="I3" s="321">
        <v>2.2000000000000001E-3</v>
      </c>
      <c r="J3" s="323">
        <v>1.1999999999999999E-3</v>
      </c>
      <c r="K3" s="321">
        <v>1.6000000000000001E-3</v>
      </c>
      <c r="L3" s="323">
        <v>1.4E-3</v>
      </c>
      <c r="M3" s="321">
        <v>1E-4</v>
      </c>
      <c r="N3" s="321">
        <v>1.6999999999999999E-3</v>
      </c>
      <c r="O3" s="321">
        <v>1.9E-3</v>
      </c>
      <c r="P3" s="323">
        <v>1E-3</v>
      </c>
      <c r="Q3" s="323">
        <v>1.1000000000000001E-3</v>
      </c>
      <c r="R3" s="321">
        <v>1E-4</v>
      </c>
      <c r="S3" s="323">
        <v>1.4E-3</v>
      </c>
      <c r="U3" s="323">
        <v>1.1000000000000001E-3</v>
      </c>
      <c r="V3" s="321">
        <v>2.8E-3</v>
      </c>
      <c r="AB3" s="323">
        <v>6.4000000000000003E-3</v>
      </c>
    </row>
    <row r="4" spans="1:28" x14ac:dyDescent="0.2">
      <c r="A4" s="122">
        <v>1</v>
      </c>
      <c r="L4" s="323">
        <v>5.0000000000000004E-6</v>
      </c>
    </row>
    <row r="5" spans="1:28" x14ac:dyDescent="0.2">
      <c r="A5" s="122">
        <v>1.1000000000000001</v>
      </c>
    </row>
    <row r="6" spans="1:28" x14ac:dyDescent="0.2">
      <c r="A6" s="122">
        <v>1.2</v>
      </c>
    </row>
    <row r="7" spans="1:28" x14ac:dyDescent="0.2">
      <c r="A7" s="122">
        <v>1.3</v>
      </c>
    </row>
    <row r="8" spans="1:28" x14ac:dyDescent="0.2">
      <c r="A8" s="122">
        <v>2</v>
      </c>
      <c r="G8" s="322">
        <v>3.9999999999999998E-6</v>
      </c>
      <c r="H8" s="321">
        <v>3.9999999999999998E-6</v>
      </c>
    </row>
    <row r="9" spans="1:28" x14ac:dyDescent="0.2">
      <c r="A9" s="122">
        <v>2.1</v>
      </c>
    </row>
    <row r="10" spans="1:28" x14ac:dyDescent="0.2">
      <c r="A10" s="122">
        <v>2.2000000000000002</v>
      </c>
      <c r="L10" s="323">
        <v>3.3499000000000001E-2</v>
      </c>
    </row>
    <row r="11" spans="1:28" x14ac:dyDescent="0.2">
      <c r="A11" s="122">
        <v>2.2999999999999998</v>
      </c>
      <c r="L11" s="323">
        <v>5.0000000000000004E-6</v>
      </c>
    </row>
    <row r="12" spans="1:28" x14ac:dyDescent="0.2">
      <c r="A12" s="122">
        <v>3</v>
      </c>
      <c r="G12" s="322">
        <v>7.9999999999999996E-6</v>
      </c>
      <c r="L12" s="323">
        <v>1.8E-5</v>
      </c>
      <c r="S12" s="323">
        <v>3.9999999999999998E-6</v>
      </c>
    </row>
    <row r="13" spans="1:28" x14ac:dyDescent="0.2">
      <c r="A13" s="122">
        <v>3.1</v>
      </c>
    </row>
    <row r="14" spans="1:28" x14ac:dyDescent="0.2">
      <c r="A14" s="122">
        <v>3.2</v>
      </c>
      <c r="L14" s="323">
        <v>2.529E-3</v>
      </c>
      <c r="AA14" s="323">
        <v>8.5000000000000006E-2</v>
      </c>
    </row>
    <row r="15" spans="1:28" x14ac:dyDescent="0.2">
      <c r="A15" s="122">
        <v>3.3</v>
      </c>
    </row>
    <row r="16" spans="1:28" x14ac:dyDescent="0.2">
      <c r="A16" s="122">
        <v>4</v>
      </c>
      <c r="F16" s="321">
        <v>3.9999999999999998E-6</v>
      </c>
      <c r="G16" s="322">
        <v>3.1000000000000001E-5</v>
      </c>
      <c r="I16" s="321">
        <v>6.9999999999999999E-6</v>
      </c>
      <c r="M16" s="321">
        <v>5.8E-5</v>
      </c>
      <c r="R16" s="321">
        <v>3.9999999999999998E-6</v>
      </c>
      <c r="S16" s="323">
        <v>6.9999999999999999E-6</v>
      </c>
      <c r="AA16" s="323">
        <v>4.1000000000000002E-2</v>
      </c>
    </row>
    <row r="17" spans="1:27" s="323" customFormat="1" ht="14.25" x14ac:dyDescent="0.2">
      <c r="A17" s="122">
        <v>4.0999999999999996</v>
      </c>
      <c r="E17" s="321"/>
      <c r="F17" s="321"/>
      <c r="G17" s="322"/>
      <c r="H17" s="321"/>
      <c r="I17" s="321"/>
      <c r="K17" s="321"/>
      <c r="M17" s="321"/>
      <c r="N17" s="321"/>
      <c r="O17" s="321"/>
      <c r="R17" s="321"/>
      <c r="V17" s="321"/>
    </row>
    <row r="18" spans="1:27" s="323" customFormat="1" ht="14.25" x14ac:dyDescent="0.2">
      <c r="A18" s="122">
        <v>4.2</v>
      </c>
      <c r="E18" s="321"/>
      <c r="F18" s="321"/>
      <c r="G18" s="322"/>
      <c r="H18" s="321"/>
      <c r="I18" s="321"/>
      <c r="K18" s="321"/>
      <c r="M18" s="321"/>
      <c r="N18" s="321"/>
      <c r="O18" s="321"/>
      <c r="R18" s="321"/>
      <c r="V18" s="321"/>
    </row>
    <row r="19" spans="1:27" s="323" customFormat="1" ht="14.25" x14ac:dyDescent="0.2">
      <c r="A19" s="122">
        <v>4.3</v>
      </c>
      <c r="E19" s="321"/>
      <c r="F19" s="321"/>
      <c r="G19" s="322"/>
      <c r="H19" s="321"/>
      <c r="I19" s="321"/>
      <c r="K19" s="321"/>
      <c r="M19" s="321"/>
      <c r="N19" s="321"/>
      <c r="O19" s="321"/>
      <c r="R19" s="321"/>
      <c r="V19" s="321"/>
    </row>
    <row r="20" spans="1:27" s="323" customFormat="1" ht="14.25" x14ac:dyDescent="0.2">
      <c r="A20" s="122">
        <v>5</v>
      </c>
      <c r="E20" s="321"/>
      <c r="F20" s="321">
        <v>1.1E-5</v>
      </c>
      <c r="G20" s="322">
        <v>6.0622000000000002E-2</v>
      </c>
      <c r="H20" s="321">
        <v>5.1099999999999995E-4</v>
      </c>
      <c r="I20" s="321">
        <v>6.9999999999999999E-6</v>
      </c>
      <c r="K20" s="321">
        <v>2.1999999999999999E-5</v>
      </c>
      <c r="L20" s="323">
        <v>1.2716E-2</v>
      </c>
      <c r="M20" s="321">
        <v>1.562E-3</v>
      </c>
      <c r="N20" s="321"/>
      <c r="O20" s="321"/>
      <c r="P20" s="323">
        <v>2.5999999999999998E-5</v>
      </c>
      <c r="Q20" s="323">
        <v>3.9999999999999998E-6</v>
      </c>
      <c r="R20" s="321">
        <v>5.5199999999999997E-4</v>
      </c>
      <c r="S20" s="323">
        <v>1.1E-5</v>
      </c>
      <c r="V20" s="321"/>
      <c r="AA20" s="323">
        <v>0.20799999999999999</v>
      </c>
    </row>
    <row r="21" spans="1:27" s="323" customFormat="1" ht="14.25" x14ac:dyDescent="0.2">
      <c r="A21" s="122">
        <v>5.0999999999999996</v>
      </c>
      <c r="E21" s="321"/>
      <c r="F21" s="321"/>
      <c r="G21" s="322"/>
      <c r="H21" s="321"/>
      <c r="I21" s="321"/>
      <c r="K21" s="321"/>
      <c r="M21" s="321"/>
      <c r="N21" s="321"/>
      <c r="O21" s="321"/>
      <c r="R21" s="321"/>
      <c r="V21" s="321"/>
    </row>
    <row r="22" spans="1:27" s="323" customFormat="1" ht="14.25" x14ac:dyDescent="0.2">
      <c r="A22" s="122">
        <v>5.2</v>
      </c>
      <c r="E22" s="321"/>
      <c r="F22" s="321"/>
      <c r="G22" s="322"/>
      <c r="H22" s="321"/>
      <c r="I22" s="321"/>
      <c r="K22" s="321"/>
      <c r="L22" s="323">
        <v>5.0000000000000004E-6</v>
      </c>
      <c r="M22" s="321"/>
      <c r="N22" s="321"/>
      <c r="O22" s="321"/>
      <c r="R22" s="321"/>
      <c r="V22" s="321"/>
    </row>
    <row r="23" spans="1:27" s="323" customFormat="1" ht="14.25" x14ac:dyDescent="0.2">
      <c r="A23" s="122">
        <v>5.3</v>
      </c>
      <c r="E23" s="321"/>
      <c r="F23" s="321"/>
      <c r="G23" s="322"/>
      <c r="H23" s="321"/>
      <c r="I23" s="321"/>
      <c r="K23" s="321"/>
      <c r="M23" s="321"/>
      <c r="N23" s="321"/>
      <c r="O23" s="321"/>
      <c r="R23" s="321"/>
      <c r="V23" s="321"/>
    </row>
    <row r="24" spans="1:27" s="323" customFormat="1" ht="14.25" x14ac:dyDescent="0.2">
      <c r="A24" s="122">
        <v>6</v>
      </c>
      <c r="B24" s="323">
        <v>1.9000000000000001E-5</v>
      </c>
      <c r="E24" s="321"/>
      <c r="F24" s="321">
        <v>5.8E-5</v>
      </c>
      <c r="G24" s="322">
        <v>7.6689999999999996E-3</v>
      </c>
      <c r="H24" s="321">
        <v>2.9599999999999998E-4</v>
      </c>
      <c r="I24" s="321">
        <v>1.1E-5</v>
      </c>
      <c r="K24" s="321">
        <v>8.1899999999999996E-4</v>
      </c>
      <c r="L24" s="323">
        <v>1.1559999999999999E-3</v>
      </c>
      <c r="M24" s="321">
        <v>0.21123800000000001</v>
      </c>
      <c r="N24" s="321"/>
      <c r="O24" s="321"/>
      <c r="P24" s="323">
        <v>2.7E-4</v>
      </c>
      <c r="Q24" s="323">
        <v>5.5000000000000002E-5</v>
      </c>
      <c r="R24" s="321">
        <v>1.7713E-2</v>
      </c>
      <c r="S24" s="323">
        <v>1.15E-4</v>
      </c>
      <c r="V24" s="321"/>
      <c r="Y24" s="323">
        <v>0.1</v>
      </c>
      <c r="AA24" s="323">
        <v>0.28699999999999998</v>
      </c>
    </row>
    <row r="25" spans="1:27" s="323" customFormat="1" ht="14.25" x14ac:dyDescent="0.2">
      <c r="A25" s="122">
        <v>6.1</v>
      </c>
      <c r="E25" s="321"/>
      <c r="F25" s="321"/>
      <c r="G25" s="322"/>
      <c r="H25" s="321"/>
      <c r="I25" s="321"/>
      <c r="K25" s="321"/>
      <c r="M25" s="321"/>
      <c r="N25" s="321"/>
      <c r="O25" s="321"/>
      <c r="R25" s="321"/>
      <c r="V25" s="321"/>
    </row>
    <row r="26" spans="1:27" s="323" customFormat="1" ht="14.25" x14ac:dyDescent="0.2">
      <c r="A26" s="122">
        <v>6.2</v>
      </c>
      <c r="E26" s="321"/>
      <c r="F26" s="321"/>
      <c r="G26" s="322"/>
      <c r="H26" s="321"/>
      <c r="I26" s="321"/>
      <c r="K26" s="321"/>
      <c r="M26" s="321"/>
      <c r="N26" s="321"/>
      <c r="O26" s="321"/>
      <c r="P26" s="323">
        <v>3.9999999999999998E-6</v>
      </c>
      <c r="R26" s="321"/>
      <c r="V26" s="321"/>
    </row>
    <row r="27" spans="1:27" s="323" customFormat="1" ht="14.25" x14ac:dyDescent="0.2">
      <c r="A27" s="122">
        <v>6.3</v>
      </c>
      <c r="E27" s="321"/>
      <c r="F27" s="321"/>
      <c r="G27" s="322"/>
      <c r="H27" s="321"/>
      <c r="I27" s="321"/>
      <c r="K27" s="321"/>
      <c r="M27" s="321"/>
      <c r="N27" s="321"/>
      <c r="O27" s="321"/>
      <c r="R27" s="321"/>
      <c r="V27" s="321"/>
    </row>
    <row r="28" spans="1:27" s="323" customFormat="1" ht="14.25" x14ac:dyDescent="0.2">
      <c r="A28" s="122">
        <v>7</v>
      </c>
      <c r="B28" s="323">
        <v>3.3000000000000003E-5</v>
      </c>
      <c r="E28" s="321"/>
      <c r="F28" s="321">
        <v>1.0859999999999999E-3</v>
      </c>
      <c r="G28" s="322">
        <v>0.10938299999999999</v>
      </c>
      <c r="H28" s="321">
        <v>3.8000000000000002E-4</v>
      </c>
      <c r="I28" s="321">
        <v>1.5E-5</v>
      </c>
      <c r="K28" s="321">
        <v>1.3376000000000001E-2</v>
      </c>
      <c r="L28" s="323">
        <v>1.3686E-2</v>
      </c>
      <c r="M28" s="321">
        <v>0.24045900000000001</v>
      </c>
      <c r="N28" s="321"/>
      <c r="O28" s="321"/>
      <c r="P28" s="323">
        <v>1.5032999999999999E-2</v>
      </c>
      <c r="Q28" s="323">
        <v>1.7458000000000001E-2</v>
      </c>
      <c r="R28" s="321">
        <v>8.404E-3</v>
      </c>
      <c r="S28" s="323">
        <v>3.4600000000000001E-4</v>
      </c>
      <c r="V28" s="321">
        <v>3.9999999999999998E-6</v>
      </c>
      <c r="X28" s="323">
        <v>0</v>
      </c>
      <c r="Y28" s="323">
        <v>0.02</v>
      </c>
      <c r="Z28" s="323">
        <v>0</v>
      </c>
      <c r="AA28" s="323">
        <v>0.32900000000000001</v>
      </c>
    </row>
    <row r="29" spans="1:27" s="323" customFormat="1" ht="14.25" x14ac:dyDescent="0.2">
      <c r="A29" s="122">
        <v>7.1</v>
      </c>
      <c r="E29" s="321"/>
      <c r="F29" s="321"/>
      <c r="G29" s="322"/>
      <c r="H29" s="321"/>
      <c r="I29" s="321"/>
      <c r="K29" s="321"/>
      <c r="M29" s="321"/>
      <c r="N29" s="321"/>
      <c r="O29" s="321"/>
      <c r="R29" s="321"/>
      <c r="V29" s="321"/>
    </row>
    <row r="30" spans="1:27" s="323" customFormat="1" ht="14.25" x14ac:dyDescent="0.2">
      <c r="A30" s="122">
        <v>7.2</v>
      </c>
      <c r="E30" s="321"/>
      <c r="F30" s="321"/>
      <c r="G30" s="322"/>
      <c r="H30" s="321"/>
      <c r="I30" s="321"/>
      <c r="K30" s="321"/>
      <c r="M30" s="321"/>
      <c r="N30" s="321"/>
      <c r="O30" s="321"/>
      <c r="R30" s="321"/>
      <c r="V30" s="321"/>
    </row>
    <row r="31" spans="1:27" s="323" customFormat="1" ht="14.25" x14ac:dyDescent="0.2">
      <c r="A31" s="122">
        <v>7.3</v>
      </c>
      <c r="E31" s="321"/>
      <c r="F31" s="321"/>
      <c r="G31" s="322"/>
      <c r="H31" s="321"/>
      <c r="I31" s="321"/>
      <c r="K31" s="321"/>
      <c r="M31" s="321"/>
      <c r="N31" s="321"/>
      <c r="O31" s="321"/>
      <c r="R31" s="321"/>
      <c r="V31" s="321"/>
    </row>
    <row r="32" spans="1:27" s="323" customFormat="1" ht="14.25" x14ac:dyDescent="0.2">
      <c r="A32" s="122">
        <v>8</v>
      </c>
      <c r="B32" s="323">
        <v>2.1999999999999999E-5</v>
      </c>
      <c r="E32" s="321"/>
      <c r="F32" s="321">
        <v>9.9838999999999997E-2</v>
      </c>
      <c r="G32" s="322">
        <v>5.7986999999999997E-2</v>
      </c>
      <c r="H32" s="321">
        <v>2.4126999999999999E-2</v>
      </c>
      <c r="I32" s="321">
        <v>9.1000000000000003E-5</v>
      </c>
      <c r="K32" s="321">
        <v>2.0035000000000001E-2</v>
      </c>
      <c r="L32" s="323">
        <v>5.0805000000000003E-2</v>
      </c>
      <c r="M32" s="321">
        <v>0.14935399999999999</v>
      </c>
      <c r="N32" s="321">
        <v>7.9999999999999996E-6</v>
      </c>
      <c r="O32" s="321"/>
      <c r="P32" s="323">
        <v>0.157085</v>
      </c>
      <c r="Q32" s="323">
        <v>1.7610000000000001E-2</v>
      </c>
      <c r="R32" s="321">
        <v>0.45586199999999999</v>
      </c>
      <c r="S32" s="323">
        <v>8.2439999999999996E-3</v>
      </c>
      <c r="V32" s="321">
        <v>6.9999999999999999E-6</v>
      </c>
      <c r="X32" s="323">
        <v>2E-3</v>
      </c>
      <c r="Y32" s="323">
        <v>0.25900000000000001</v>
      </c>
      <c r="Z32" s="323">
        <v>1.4E-2</v>
      </c>
      <c r="AA32" s="323">
        <v>1.7000000000000001E-2</v>
      </c>
    </row>
    <row r="33" spans="1:28" x14ac:dyDescent="0.2">
      <c r="A33" s="122">
        <v>8.1</v>
      </c>
    </row>
    <row r="34" spans="1:28" x14ac:dyDescent="0.2">
      <c r="A34" s="122">
        <v>8.1999999999999993</v>
      </c>
      <c r="M34" s="321">
        <v>9.0000000000000002E-6</v>
      </c>
    </row>
    <row r="35" spans="1:28" x14ac:dyDescent="0.2">
      <c r="A35" s="122">
        <v>8.3000000000000007</v>
      </c>
    </row>
    <row r="36" spans="1:28" x14ac:dyDescent="0.2">
      <c r="A36" s="122">
        <v>9</v>
      </c>
      <c r="B36" s="323">
        <v>1E-4</v>
      </c>
      <c r="C36" s="323">
        <v>5.9999999999999995E-4</v>
      </c>
      <c r="D36" s="323">
        <v>1.1999999999999999E-3</v>
      </c>
      <c r="F36" s="321">
        <v>8.1736000000000003E-2</v>
      </c>
      <c r="G36" s="322">
        <v>2.3213000000000001E-2</v>
      </c>
      <c r="H36" s="321">
        <v>0.160298</v>
      </c>
      <c r="I36" s="321">
        <v>1.199E-3</v>
      </c>
      <c r="K36" s="321">
        <v>3.286E-2</v>
      </c>
      <c r="L36" s="323">
        <v>0.18413299999999999</v>
      </c>
      <c r="M36" s="321">
        <v>0.16256300000000001</v>
      </c>
      <c r="P36" s="323">
        <v>0.12053</v>
      </c>
      <c r="Q36" s="323">
        <v>3.8122999999999997E-2</v>
      </c>
      <c r="R36" s="321">
        <v>0.12411700000000001</v>
      </c>
      <c r="S36" s="323">
        <v>9.4289999999999999E-3</v>
      </c>
      <c r="U36" s="323">
        <v>8.0000000000000004E-4</v>
      </c>
      <c r="V36" s="321">
        <v>1.8E-5</v>
      </c>
      <c r="X36" s="323">
        <v>4.7E-2</v>
      </c>
      <c r="Y36" s="323">
        <v>0.215</v>
      </c>
      <c r="Z36" s="323">
        <v>7.0000000000000001E-3</v>
      </c>
      <c r="AA36" s="323">
        <v>0</v>
      </c>
    </row>
    <row r="37" spans="1:28" x14ac:dyDescent="0.2">
      <c r="A37" s="122">
        <v>9.1</v>
      </c>
    </row>
    <row r="38" spans="1:28" x14ac:dyDescent="0.2">
      <c r="A38" s="122">
        <v>9.1999999999999993</v>
      </c>
      <c r="H38" s="321">
        <v>6.9999999999999999E-6</v>
      </c>
      <c r="L38" s="323">
        <v>2.5799999999999998E-4</v>
      </c>
      <c r="M38" s="321">
        <v>3.9999999999999998E-6</v>
      </c>
    </row>
    <row r="39" spans="1:28" x14ac:dyDescent="0.2">
      <c r="A39" s="122">
        <v>9.3000000000000007</v>
      </c>
      <c r="G39" s="322">
        <v>7.9999999999999996E-6</v>
      </c>
      <c r="L39" s="323">
        <v>1.8E-5</v>
      </c>
      <c r="M39" s="321">
        <v>0.226159</v>
      </c>
      <c r="P39" s="323">
        <v>1.1E-5</v>
      </c>
    </row>
    <row r="40" spans="1:28" x14ac:dyDescent="0.2">
      <c r="A40" s="122">
        <v>10</v>
      </c>
      <c r="B40" s="323">
        <v>1.0399999999999999E-4</v>
      </c>
      <c r="C40" s="323">
        <v>4.7999999999999996E-3</v>
      </c>
      <c r="D40" s="323">
        <v>0.2611</v>
      </c>
      <c r="E40" s="321">
        <v>1.8E-3</v>
      </c>
      <c r="F40" s="321">
        <v>5.2623999999999997E-2</v>
      </c>
      <c r="G40" s="322">
        <v>7.2113999999999998E-2</v>
      </c>
      <c r="H40" s="321">
        <v>8.8405999999999998E-2</v>
      </c>
      <c r="I40" s="321">
        <v>9.8840000000000004E-3</v>
      </c>
      <c r="K40" s="321">
        <v>0.262376</v>
      </c>
      <c r="L40" s="323">
        <v>0.14096400000000001</v>
      </c>
      <c r="M40" s="321">
        <v>8.0389999999999993E-3</v>
      </c>
      <c r="N40" s="321">
        <v>4.3000000000000002E-5</v>
      </c>
      <c r="P40" s="323">
        <v>0.275034</v>
      </c>
      <c r="Q40" s="323">
        <v>6.1853999999999999E-2</v>
      </c>
      <c r="R40" s="321">
        <v>6.7302000000000001E-2</v>
      </c>
      <c r="S40" s="323">
        <v>6.8212999999999996E-2</v>
      </c>
      <c r="U40" s="323">
        <v>1.6000000000000001E-3</v>
      </c>
      <c r="V40" s="321">
        <v>1.8E-5</v>
      </c>
      <c r="W40" s="323">
        <v>1.7399999999999999E-2</v>
      </c>
      <c r="X40" s="323">
        <v>0.41199999999999998</v>
      </c>
      <c r="Y40" s="323">
        <v>0.40200000000000002</v>
      </c>
      <c r="Z40" s="323">
        <v>0.28399999999999997</v>
      </c>
      <c r="AA40" s="323">
        <v>0</v>
      </c>
    </row>
    <row r="41" spans="1:28" x14ac:dyDescent="0.2">
      <c r="A41" s="122">
        <v>10.1</v>
      </c>
    </row>
    <row r="42" spans="1:28" x14ac:dyDescent="0.2">
      <c r="A42" s="122">
        <v>10.199999999999999</v>
      </c>
      <c r="H42" s="321">
        <v>3.9999999999999998E-6</v>
      </c>
      <c r="I42" s="321">
        <v>5.5900000000000004E-4</v>
      </c>
      <c r="L42" s="323">
        <v>9.0000000000000002E-6</v>
      </c>
      <c r="P42" s="323">
        <v>3.9999999999999998E-6</v>
      </c>
      <c r="U42" s="323">
        <v>0</v>
      </c>
    </row>
    <row r="43" spans="1:28" x14ac:dyDescent="0.2">
      <c r="A43" s="122">
        <v>10.3</v>
      </c>
    </row>
    <row r="44" spans="1:28" x14ac:dyDescent="0.2">
      <c r="A44" s="122">
        <v>11</v>
      </c>
      <c r="B44" s="323">
        <v>6.0700000000000001E-4</v>
      </c>
      <c r="C44" s="323">
        <v>4.2099999999999999E-2</v>
      </c>
      <c r="D44" s="323">
        <v>0.28860000000000002</v>
      </c>
      <c r="E44" s="321">
        <v>8.9999999999999993E-3</v>
      </c>
      <c r="F44" s="321">
        <v>2.95179E-2</v>
      </c>
      <c r="G44" s="322">
        <v>1.10308E-2</v>
      </c>
      <c r="H44" s="321">
        <v>0.28868100000000002</v>
      </c>
      <c r="I44" s="321">
        <v>1.0769000000000001E-2</v>
      </c>
      <c r="K44" s="321">
        <v>0.29358499999999998</v>
      </c>
      <c r="L44" s="323">
        <v>0.15679799999999999</v>
      </c>
      <c r="M44" s="321">
        <v>4.84E-4</v>
      </c>
      <c r="N44" s="321">
        <v>3.8059999999999999E-3</v>
      </c>
      <c r="P44" s="323">
        <v>0.23635999999999999</v>
      </c>
      <c r="Q44" s="323">
        <v>0.32906299999999999</v>
      </c>
      <c r="R44" s="321">
        <v>0.275532</v>
      </c>
      <c r="S44" s="323">
        <v>7.7105999999999994E-2</v>
      </c>
      <c r="U44" s="323">
        <v>1.7500000000000002E-2</v>
      </c>
      <c r="V44" s="321">
        <v>1.5E-5</v>
      </c>
      <c r="W44" s="323">
        <v>0.1012</v>
      </c>
      <c r="X44" s="323">
        <v>0.28699999999999998</v>
      </c>
      <c r="Y44" s="323">
        <v>2E-3</v>
      </c>
      <c r="Z44" s="323">
        <v>0.439</v>
      </c>
      <c r="AA44" s="323">
        <v>0</v>
      </c>
      <c r="AB44" s="323">
        <v>1E-3</v>
      </c>
    </row>
    <row r="45" spans="1:28" x14ac:dyDescent="0.2">
      <c r="A45" s="122">
        <v>11.1</v>
      </c>
    </row>
    <row r="46" spans="1:28" x14ac:dyDescent="0.2">
      <c r="A46" s="122">
        <v>11.2</v>
      </c>
      <c r="L46" s="323">
        <v>9.0000000000000002E-6</v>
      </c>
      <c r="U46" s="323">
        <v>8.0000000000000004E-4</v>
      </c>
    </row>
    <row r="47" spans="1:28" x14ac:dyDescent="0.2">
      <c r="A47" s="122">
        <v>11.3</v>
      </c>
      <c r="D47" s="323">
        <v>4.5499999999999999E-2</v>
      </c>
    </row>
    <row r="48" spans="1:28" x14ac:dyDescent="0.2">
      <c r="A48" s="122">
        <v>12</v>
      </c>
      <c r="B48" s="323">
        <v>2.4420000000000002E-3</v>
      </c>
      <c r="C48" s="323">
        <v>9.98E-2</v>
      </c>
      <c r="D48" s="323">
        <v>7.3099999999999998E-2</v>
      </c>
      <c r="E48" s="321">
        <v>6.0499999999999998E-2</v>
      </c>
      <c r="F48" s="321">
        <v>0.29337999999999997</v>
      </c>
      <c r="G48" s="322">
        <v>1.6804900000000001E-2</v>
      </c>
      <c r="H48" s="321">
        <v>0.25604300000000002</v>
      </c>
      <c r="I48" s="321">
        <v>0.121118</v>
      </c>
      <c r="K48" s="321">
        <v>0.30245100000000003</v>
      </c>
      <c r="L48" s="323">
        <v>0.16545399999999999</v>
      </c>
      <c r="M48" s="321">
        <v>9.0000000000000002E-6</v>
      </c>
      <c r="N48" s="321">
        <v>6.5499999999999998E-4</v>
      </c>
      <c r="O48" s="321">
        <v>3.9999999999999998E-6</v>
      </c>
      <c r="P48" s="323">
        <v>0.161387</v>
      </c>
      <c r="Q48" s="323">
        <v>0.34637600000000002</v>
      </c>
      <c r="R48" s="321">
        <v>4.8122999999999999E-2</v>
      </c>
      <c r="S48" s="323">
        <v>0.12992999999999999</v>
      </c>
      <c r="U48" s="323">
        <v>0.10100000000000001</v>
      </c>
      <c r="V48" s="321">
        <v>1.5E-5</v>
      </c>
      <c r="W48" s="323">
        <v>1.38E-2</v>
      </c>
      <c r="X48" s="323">
        <v>0.20300000000000001</v>
      </c>
      <c r="Y48" s="323">
        <v>2E-3</v>
      </c>
      <c r="Z48" s="323">
        <v>0.22500000000000001</v>
      </c>
      <c r="AA48" s="323">
        <v>2E-3</v>
      </c>
      <c r="AB48" s="323">
        <v>5.0000000000000001E-3</v>
      </c>
    </row>
    <row r="49" spans="1:28" x14ac:dyDescent="0.2">
      <c r="A49" s="122">
        <v>12.1</v>
      </c>
    </row>
    <row r="50" spans="1:28" x14ac:dyDescent="0.2">
      <c r="A50" s="122">
        <v>12.2</v>
      </c>
      <c r="G50" s="322">
        <v>7.9999999999999996E-6</v>
      </c>
      <c r="I50" s="321">
        <v>1.4E-5</v>
      </c>
      <c r="L50" s="323">
        <v>5.3999999999999998E-5</v>
      </c>
      <c r="U50" s="323">
        <v>9.4999999999999998E-3</v>
      </c>
    </row>
    <row r="51" spans="1:28" x14ac:dyDescent="0.2">
      <c r="A51" s="122">
        <v>12.3</v>
      </c>
      <c r="D51" s="323">
        <v>4.7999999999999996E-3</v>
      </c>
      <c r="I51" s="321">
        <v>3.9999999999999998E-6</v>
      </c>
    </row>
    <row r="52" spans="1:28" x14ac:dyDescent="0.2">
      <c r="A52" s="122">
        <v>13</v>
      </c>
      <c r="B52" s="323">
        <v>4.2180000000000004E-3</v>
      </c>
      <c r="C52" s="323">
        <v>8.5300000000000001E-2</v>
      </c>
      <c r="D52" s="323">
        <v>3.4099999999999998E-2</v>
      </c>
      <c r="E52" s="321">
        <v>0.27010000000000001</v>
      </c>
      <c r="F52" s="321">
        <v>0.12642100000000001</v>
      </c>
      <c r="G52" s="322">
        <v>0.112971</v>
      </c>
      <c r="H52" s="321">
        <v>0.15450700000000001</v>
      </c>
      <c r="I52" s="321">
        <v>0.108532</v>
      </c>
      <c r="J52" s="323">
        <v>2.3999999999999998E-3</v>
      </c>
      <c r="K52" s="321">
        <v>6.3686000000000006E-2</v>
      </c>
      <c r="L52" s="323">
        <v>0.15434600000000001</v>
      </c>
      <c r="M52" s="321">
        <v>1.8E-5</v>
      </c>
      <c r="N52" s="321">
        <v>5.7840000000000001E-3</v>
      </c>
      <c r="P52" s="323">
        <v>3.0415000000000001E-2</v>
      </c>
      <c r="Q52" s="323">
        <v>0.17447299999999999</v>
      </c>
      <c r="R52" s="321">
        <v>2.173E-3</v>
      </c>
      <c r="S52" s="323">
        <v>0.27866200000000002</v>
      </c>
      <c r="U52" s="323">
        <v>0.2369</v>
      </c>
      <c r="V52" s="321">
        <v>1.5E-5</v>
      </c>
      <c r="W52" s="323">
        <v>1.1999999999999999E-3</v>
      </c>
      <c r="X52" s="323">
        <v>4.9000000000000002E-2</v>
      </c>
      <c r="Z52" s="323">
        <v>2.8000000000000001E-2</v>
      </c>
      <c r="AA52" s="323">
        <v>5.0000000000000001E-3</v>
      </c>
      <c r="AB52" s="323">
        <v>1.6E-2</v>
      </c>
    </row>
    <row r="53" spans="1:28" x14ac:dyDescent="0.2">
      <c r="A53" s="122">
        <v>13.1</v>
      </c>
    </row>
    <row r="54" spans="1:28" x14ac:dyDescent="0.2">
      <c r="A54" s="122">
        <v>13.2</v>
      </c>
      <c r="I54" s="321">
        <v>4.7609999999999996E-3</v>
      </c>
      <c r="U54" s="323">
        <v>3.2599999999999997E-2</v>
      </c>
    </row>
    <row r="55" spans="1:28" x14ac:dyDescent="0.2">
      <c r="A55" s="122">
        <v>13.3</v>
      </c>
      <c r="D55" s="323">
        <v>1.1999999999999999E-3</v>
      </c>
      <c r="I55" s="321">
        <v>3.9999999999999998E-6</v>
      </c>
      <c r="M55" s="321">
        <v>3.9999999999999998E-6</v>
      </c>
    </row>
    <row r="56" spans="1:28" x14ac:dyDescent="0.2">
      <c r="A56" s="122">
        <v>14</v>
      </c>
      <c r="B56" s="323">
        <v>9.3156000000000003E-2</v>
      </c>
      <c r="C56" s="323">
        <v>0.1358</v>
      </c>
      <c r="D56" s="323">
        <v>0.26050000000000001</v>
      </c>
      <c r="E56" s="321">
        <v>0.30480000000000002</v>
      </c>
      <c r="F56" s="321">
        <v>4.8228E-2</v>
      </c>
      <c r="G56" s="322">
        <v>6.9455000000000003E-2</v>
      </c>
      <c r="H56" s="321">
        <v>2.4974E-2</v>
      </c>
      <c r="I56" s="321">
        <v>0.14722199999999999</v>
      </c>
      <c r="J56" s="323">
        <v>1.6000000000000001E-3</v>
      </c>
      <c r="K56" s="321">
        <v>9.5090000000000001E-3</v>
      </c>
      <c r="L56" s="323">
        <v>5.9928000000000002E-2</v>
      </c>
      <c r="M56" s="321">
        <v>1.2999999999999999E-5</v>
      </c>
      <c r="N56" s="321">
        <v>8.4447999999999995E-2</v>
      </c>
      <c r="P56" s="323">
        <v>3.7850000000000002E-3</v>
      </c>
      <c r="Q56" s="323">
        <v>1.3070999999999999E-2</v>
      </c>
      <c r="R56" s="321">
        <v>1.22E-4</v>
      </c>
      <c r="S56" s="323">
        <v>0.25086999999999998</v>
      </c>
      <c r="U56" s="323">
        <v>0.29409999999999997</v>
      </c>
      <c r="V56" s="321">
        <v>2.1999999999999999E-5</v>
      </c>
      <c r="W56" s="323">
        <v>4.8500000000000001E-2</v>
      </c>
      <c r="X56" s="323">
        <v>0</v>
      </c>
      <c r="Z56" s="323">
        <v>2E-3</v>
      </c>
      <c r="AA56" s="323">
        <v>1.7000000000000001E-2</v>
      </c>
      <c r="AB56" s="323">
        <v>2.5000000000000001E-2</v>
      </c>
    </row>
    <row r="57" spans="1:28" x14ac:dyDescent="0.2">
      <c r="A57" s="122">
        <v>14.1</v>
      </c>
      <c r="E57" s="321">
        <v>0</v>
      </c>
    </row>
    <row r="58" spans="1:28" x14ac:dyDescent="0.2">
      <c r="A58" s="122">
        <v>14.2</v>
      </c>
      <c r="I58" s="321">
        <v>1.06E-4</v>
      </c>
      <c r="U58" s="323">
        <v>3.1800000000000002E-2</v>
      </c>
      <c r="AB58" s="323">
        <v>4.0000000000000001E-3</v>
      </c>
    </row>
    <row r="59" spans="1:28" x14ac:dyDescent="0.2">
      <c r="A59" s="122">
        <v>14.3</v>
      </c>
      <c r="C59" s="323">
        <v>8.9999999999999993E-3</v>
      </c>
      <c r="I59" s="321">
        <v>6.9999999999999999E-6</v>
      </c>
    </row>
    <row r="60" spans="1:28" x14ac:dyDescent="0.2">
      <c r="A60" s="122">
        <v>15</v>
      </c>
      <c r="B60" s="323">
        <v>0.290991</v>
      </c>
      <c r="C60" s="323">
        <v>0.15870000000000001</v>
      </c>
      <c r="D60" s="323">
        <v>2.69E-2</v>
      </c>
      <c r="E60" s="321">
        <v>0.2102</v>
      </c>
      <c r="F60" s="321">
        <v>1.6900000000000001E-3</v>
      </c>
      <c r="G60" s="322">
        <v>6.1957999999999999E-2</v>
      </c>
      <c r="H60" s="321">
        <v>1.6900000000000001E-3</v>
      </c>
      <c r="I60" s="321">
        <v>0.15221299999999999</v>
      </c>
      <c r="J60" s="323">
        <v>1.6000000000000001E-3</v>
      </c>
      <c r="K60" s="321">
        <v>1.2329999999999999E-3</v>
      </c>
      <c r="L60" s="323">
        <v>1.9278E-2</v>
      </c>
      <c r="M60" s="321">
        <v>3.9999999999999998E-6</v>
      </c>
      <c r="N60" s="321">
        <v>0.13799400000000001</v>
      </c>
      <c r="P60" s="323">
        <v>5.5000000000000002E-5</v>
      </c>
      <c r="Q60" s="323">
        <v>1.6459999999999999E-3</v>
      </c>
      <c r="R60" s="321">
        <v>5.3000000000000001E-5</v>
      </c>
      <c r="S60" s="323">
        <v>0.13833100000000001</v>
      </c>
      <c r="T60" s="323">
        <v>4.5600000000000002E-2</v>
      </c>
      <c r="U60" s="323">
        <v>0.15179999999999999</v>
      </c>
      <c r="V60" s="321">
        <v>2.5999999999999998E-5</v>
      </c>
      <c r="W60" s="323">
        <v>0.36049999999999999</v>
      </c>
      <c r="AA60" s="323">
        <v>0.01</v>
      </c>
      <c r="AB60" s="323">
        <v>3.9E-2</v>
      </c>
    </row>
    <row r="61" spans="1:28" x14ac:dyDescent="0.2">
      <c r="A61" s="122">
        <v>15.1</v>
      </c>
      <c r="G61" s="322">
        <v>3.9999999999999998E-6</v>
      </c>
    </row>
    <row r="62" spans="1:28" x14ac:dyDescent="0.2">
      <c r="A62" s="122">
        <v>15.2</v>
      </c>
      <c r="B62" s="323">
        <v>6.9999999999999994E-5</v>
      </c>
      <c r="I62" s="321">
        <v>1.17E-4</v>
      </c>
      <c r="N62" s="321">
        <v>3.9999999999999998E-6</v>
      </c>
      <c r="U62" s="323">
        <v>5.8799999999999998E-2</v>
      </c>
    </row>
    <row r="63" spans="1:28" x14ac:dyDescent="0.2">
      <c r="A63" s="122">
        <v>15.3</v>
      </c>
      <c r="C63" s="323">
        <v>4.3900000000000002E-2</v>
      </c>
    </row>
    <row r="64" spans="1:28" x14ac:dyDescent="0.2">
      <c r="A64" s="122">
        <v>16</v>
      </c>
      <c r="B64" s="323">
        <v>0.27030799999999999</v>
      </c>
      <c r="C64" s="323">
        <v>0.1328</v>
      </c>
      <c r="D64" s="323">
        <v>3.0000000000000001E-3</v>
      </c>
      <c r="E64" s="321">
        <v>0.11559999999999999</v>
      </c>
      <c r="F64" s="321">
        <v>5.5000000000000002E-5</v>
      </c>
      <c r="G64" s="322">
        <v>4.7588999999999999E-2</v>
      </c>
      <c r="H64" s="321">
        <v>5.5000000000000002E-5</v>
      </c>
      <c r="I64" s="321">
        <v>0.144487</v>
      </c>
      <c r="J64" s="323">
        <v>4.4999999999999998E-2</v>
      </c>
      <c r="K64" s="321">
        <v>4.0000000000000003E-5</v>
      </c>
      <c r="L64" s="323">
        <v>2.9589999999999998E-3</v>
      </c>
      <c r="M64" s="321">
        <v>3.9999999999999998E-6</v>
      </c>
      <c r="N64" s="321">
        <v>0.26001999999999997</v>
      </c>
      <c r="Q64" s="323">
        <v>1.8900000000000001E-4</v>
      </c>
      <c r="R64" s="321">
        <v>2.8E-5</v>
      </c>
      <c r="S64" s="323">
        <v>3.363E-2</v>
      </c>
      <c r="T64" s="323">
        <v>3.5400000000000001E-2</v>
      </c>
      <c r="U64" s="323">
        <v>3.5000000000000003E-2</v>
      </c>
      <c r="V64" s="321">
        <v>5.4799999999999998E-4</v>
      </c>
      <c r="W64" s="323">
        <v>0.32869999999999999</v>
      </c>
      <c r="AA64" s="323">
        <v>0</v>
      </c>
      <c r="AB64" s="323">
        <v>0.04</v>
      </c>
    </row>
    <row r="65" spans="1:28" x14ac:dyDescent="0.2">
      <c r="A65" s="122">
        <v>16.100000000000001</v>
      </c>
    </row>
    <row r="66" spans="1:28" x14ac:dyDescent="0.2">
      <c r="A66" s="123">
        <v>16.2</v>
      </c>
      <c r="B66" s="323">
        <v>6.9999999999999999E-6</v>
      </c>
      <c r="E66" s="324"/>
      <c r="G66" s="322">
        <v>3.9999999999999998E-6</v>
      </c>
      <c r="I66" s="321">
        <v>1.8E-5</v>
      </c>
      <c r="N66" s="321">
        <v>3.9999999999999998E-6</v>
      </c>
      <c r="U66" s="323">
        <v>2.1499999999999998E-2</v>
      </c>
      <c r="AB66" s="323">
        <v>1E-3</v>
      </c>
    </row>
    <row r="67" spans="1:28" x14ac:dyDescent="0.2">
      <c r="A67" s="122">
        <v>16.3</v>
      </c>
      <c r="B67" s="323">
        <v>3.9999999999999998E-6</v>
      </c>
      <c r="C67" s="323">
        <v>5.0500000000000003E-2</v>
      </c>
    </row>
    <row r="68" spans="1:28" x14ac:dyDescent="0.2">
      <c r="A68" s="122">
        <v>17</v>
      </c>
      <c r="B68" s="323">
        <v>0.20327799999999999</v>
      </c>
      <c r="C68" s="323">
        <v>4.1500000000000002E-2</v>
      </c>
      <c r="E68" s="321">
        <v>2.46E-2</v>
      </c>
      <c r="F68" s="321">
        <v>1.8E-5</v>
      </c>
      <c r="G68" s="322">
        <v>3.9604E-2</v>
      </c>
      <c r="H68" s="321">
        <v>1.8E-5</v>
      </c>
      <c r="I68" s="321">
        <v>0.121915</v>
      </c>
      <c r="J68" s="323">
        <v>0.2077</v>
      </c>
      <c r="L68" s="323">
        <v>1.323E-3</v>
      </c>
      <c r="N68" s="321">
        <v>0.25484400000000001</v>
      </c>
      <c r="P68" s="323">
        <v>3.9999999999999998E-6</v>
      </c>
      <c r="Q68" s="323">
        <v>5.8999999999999998E-5</v>
      </c>
      <c r="R68" s="321">
        <v>7.9999999999999996E-6</v>
      </c>
      <c r="S68" s="323">
        <v>4.4260000000000002E-3</v>
      </c>
      <c r="T68" s="323">
        <v>9.6000000000000002E-2</v>
      </c>
      <c r="U68" s="323">
        <v>4.0000000000000001E-3</v>
      </c>
      <c r="V68" s="321">
        <v>1.5020000000000001E-3</v>
      </c>
      <c r="W68" s="323">
        <v>0.12039999999999999</v>
      </c>
      <c r="AB68" s="323">
        <v>6.2E-2</v>
      </c>
    </row>
    <row r="69" spans="1:28" x14ac:dyDescent="0.2">
      <c r="A69" s="122">
        <v>17.100000000000001</v>
      </c>
      <c r="T69" s="323">
        <v>1.1999999999999999E-3</v>
      </c>
    </row>
    <row r="70" spans="1:28" x14ac:dyDescent="0.2">
      <c r="A70" s="122">
        <v>17.2</v>
      </c>
      <c r="N70" s="321">
        <v>3.9999999999999998E-6</v>
      </c>
      <c r="U70" s="323">
        <v>1.6000000000000001E-3</v>
      </c>
      <c r="V70" s="321">
        <v>2.5999999999999998E-5</v>
      </c>
    </row>
    <row r="71" spans="1:28" x14ac:dyDescent="0.2">
      <c r="A71" s="122">
        <v>17.3</v>
      </c>
      <c r="B71" s="323">
        <v>1.5E-5</v>
      </c>
      <c r="C71" s="323">
        <v>0.1376</v>
      </c>
      <c r="N71" s="321">
        <v>1.2E-5</v>
      </c>
      <c r="T71" s="323">
        <v>1.9199999999999998E-2</v>
      </c>
      <c r="AB71" s="323">
        <v>2E-3</v>
      </c>
    </row>
    <row r="72" spans="1:28" x14ac:dyDescent="0.2">
      <c r="A72" s="122">
        <v>18</v>
      </c>
      <c r="B72" s="323">
        <v>0.12392599999999999</v>
      </c>
      <c r="C72" s="323">
        <v>6.0000000000000001E-3</v>
      </c>
      <c r="E72" s="321">
        <v>3.0000000000000001E-3</v>
      </c>
      <c r="G72" s="322">
        <v>2.2190000000000001E-2</v>
      </c>
      <c r="I72" s="321">
        <v>7.7560000000000004E-2</v>
      </c>
      <c r="J72" s="323">
        <v>7.4200000000000002E-2</v>
      </c>
      <c r="L72" s="323">
        <v>3.6000000000000001E-5</v>
      </c>
      <c r="M72" s="321">
        <v>1.2999999999999999E-5</v>
      </c>
      <c r="N72" s="321">
        <v>0.170153</v>
      </c>
      <c r="Q72" s="323">
        <v>1.5E-5</v>
      </c>
      <c r="R72" s="321">
        <v>7.9999999999999996E-6</v>
      </c>
      <c r="S72" s="323">
        <v>5.6999999999999998E-4</v>
      </c>
      <c r="T72" s="323">
        <v>0.18790000000000001</v>
      </c>
      <c r="V72" s="321">
        <v>9.3460000000000001E-3</v>
      </c>
      <c r="W72" s="323">
        <v>7.1999999999999998E-3</v>
      </c>
      <c r="AB72" s="323">
        <v>7.1999999999999995E-2</v>
      </c>
    </row>
    <row r="73" spans="1:28" x14ac:dyDescent="0.2">
      <c r="A73" s="122">
        <v>18.100000000000001</v>
      </c>
    </row>
    <row r="74" spans="1:28" x14ac:dyDescent="0.2">
      <c r="A74" s="122">
        <v>18.2</v>
      </c>
      <c r="I74" s="321">
        <v>1.8E-5</v>
      </c>
      <c r="U74" s="323">
        <v>8.0000000000000004E-4</v>
      </c>
      <c r="V74" s="321">
        <v>2.359E-3</v>
      </c>
    </row>
    <row r="75" spans="1:28" x14ac:dyDescent="0.2">
      <c r="A75" s="122">
        <v>18.3</v>
      </c>
      <c r="C75" s="323">
        <v>4.5100000000000001E-2</v>
      </c>
      <c r="T75" s="323">
        <v>1.44E-2</v>
      </c>
      <c r="V75" s="321">
        <v>3.9999999999999998E-6</v>
      </c>
      <c r="AB75" s="323">
        <v>1E-3</v>
      </c>
    </row>
    <row r="76" spans="1:28" x14ac:dyDescent="0.2">
      <c r="A76" s="122">
        <v>19</v>
      </c>
      <c r="B76" s="323">
        <v>9.8569999999999994E-3</v>
      </c>
      <c r="G76" s="322">
        <v>1.4130999999999999E-2</v>
      </c>
      <c r="I76" s="321">
        <v>4.8621999999999999E-2</v>
      </c>
      <c r="J76" s="323">
        <v>0.12239999999999999</v>
      </c>
      <c r="L76" s="323">
        <v>5.0000000000000004E-6</v>
      </c>
      <c r="N76" s="321">
        <v>6.5726000000000007E-2</v>
      </c>
      <c r="Q76" s="323">
        <v>3.9999999999999998E-6</v>
      </c>
      <c r="S76" s="323">
        <v>7.7999999999999999E-5</v>
      </c>
      <c r="T76" s="323">
        <v>0.1699</v>
      </c>
      <c r="V76" s="321">
        <v>7.5357999999999994E-2</v>
      </c>
      <c r="W76" s="323">
        <v>1.1999999999999999E-3</v>
      </c>
      <c r="AB76" s="323">
        <v>6.6000000000000003E-2</v>
      </c>
    </row>
    <row r="77" spans="1:28" x14ac:dyDescent="0.2">
      <c r="A77" s="122">
        <v>19.100000000000001</v>
      </c>
      <c r="T77" s="323">
        <v>4.1999999999999997E-3</v>
      </c>
    </row>
    <row r="78" spans="1:28" x14ac:dyDescent="0.2">
      <c r="A78" s="122">
        <v>19.2</v>
      </c>
      <c r="I78" s="321">
        <v>1.5E-5</v>
      </c>
      <c r="V78" s="321">
        <v>5.9599999999999996E-4</v>
      </c>
      <c r="AB78" s="323">
        <v>4.0000000000000001E-3</v>
      </c>
    </row>
    <row r="79" spans="1:28" x14ac:dyDescent="0.2">
      <c r="A79" s="122">
        <v>19.3</v>
      </c>
      <c r="C79" s="323">
        <v>3.5999999999999999E-3</v>
      </c>
      <c r="T79" s="323">
        <v>1.26E-2</v>
      </c>
    </row>
    <row r="80" spans="1:28" x14ac:dyDescent="0.2">
      <c r="A80" s="122">
        <v>20</v>
      </c>
      <c r="B80" s="323">
        <v>8.0699999999999999E-4</v>
      </c>
      <c r="E80" s="321">
        <v>5.9999999999999995E-4</v>
      </c>
      <c r="G80" s="322">
        <v>9.9220000000000003E-3</v>
      </c>
      <c r="I80" s="321">
        <v>2.9085E-2</v>
      </c>
      <c r="J80" s="323">
        <v>0.13669999999999999</v>
      </c>
      <c r="N80" s="321">
        <v>1.4139000000000001E-2</v>
      </c>
      <c r="S80" s="323">
        <v>1.1E-5</v>
      </c>
      <c r="T80" s="323">
        <v>0.1507</v>
      </c>
      <c r="V80" s="321">
        <v>0.11390699999999999</v>
      </c>
      <c r="AB80" s="323">
        <v>5.3999999999999999E-2</v>
      </c>
    </row>
    <row r="81" spans="1:28" x14ac:dyDescent="0.2">
      <c r="A81" s="122">
        <v>20.100000000000001</v>
      </c>
    </row>
    <row r="82" spans="1:28" x14ac:dyDescent="0.2">
      <c r="A82" s="122">
        <v>20.2</v>
      </c>
      <c r="I82" s="321">
        <v>1.8E-5</v>
      </c>
      <c r="V82" s="321">
        <v>2.3900000000000001E-4</v>
      </c>
      <c r="AB82" s="323">
        <v>1.0999999999999999E-2</v>
      </c>
    </row>
    <row r="83" spans="1:28" x14ac:dyDescent="0.2">
      <c r="A83" s="122">
        <v>20.3</v>
      </c>
      <c r="C83" s="323">
        <v>3.0000000000000001E-3</v>
      </c>
      <c r="T83" s="323">
        <v>1.8E-3</v>
      </c>
    </row>
    <row r="84" spans="1:28" x14ac:dyDescent="0.2">
      <c r="A84" s="122">
        <v>21</v>
      </c>
      <c r="B84" s="323">
        <v>3.3000000000000003E-5</v>
      </c>
      <c r="G84" s="322">
        <v>6.3879999999999996E-3</v>
      </c>
      <c r="I84" s="321">
        <v>1.3039E-2</v>
      </c>
      <c r="J84" s="323">
        <v>0.06</v>
      </c>
      <c r="N84" s="321">
        <v>2.1740000000000002E-3</v>
      </c>
      <c r="S84" s="323">
        <v>3.9999999999999998E-6</v>
      </c>
      <c r="T84" s="323">
        <v>8.3400000000000002E-2</v>
      </c>
      <c r="V84" s="321">
        <v>0.15107999999999999</v>
      </c>
      <c r="AB84" s="323">
        <v>2.4E-2</v>
      </c>
    </row>
    <row r="85" spans="1:28" x14ac:dyDescent="0.2">
      <c r="A85" s="122">
        <v>21.1</v>
      </c>
    </row>
    <row r="86" spans="1:28" x14ac:dyDescent="0.2">
      <c r="A86" s="122">
        <v>21.2</v>
      </c>
      <c r="I86" s="321">
        <v>3.9999999999999998E-6</v>
      </c>
      <c r="V86" s="321">
        <v>1.3439999999999999E-3</v>
      </c>
    </row>
    <row r="87" spans="1:28" x14ac:dyDescent="0.2">
      <c r="A87" s="122">
        <v>21.3</v>
      </c>
    </row>
    <row r="88" spans="1:28" x14ac:dyDescent="0.2">
      <c r="A88" s="122">
        <v>22</v>
      </c>
      <c r="G88" s="322">
        <v>4.463E-3</v>
      </c>
      <c r="I88" s="321">
        <v>5.5319999999999996E-3</v>
      </c>
      <c r="J88" s="323">
        <v>8.14E-2</v>
      </c>
      <c r="K88" s="321">
        <v>3.9999999999999998E-6</v>
      </c>
      <c r="L88" s="323">
        <v>5.0000000000000004E-6</v>
      </c>
      <c r="N88" s="321">
        <v>1.7699999999999999E-4</v>
      </c>
      <c r="O88" s="321">
        <v>3.9999999999999998E-6</v>
      </c>
      <c r="S88" s="323">
        <v>1.1E-5</v>
      </c>
      <c r="T88" s="323">
        <v>6.3E-2</v>
      </c>
      <c r="V88" s="321">
        <v>0.161658</v>
      </c>
      <c r="AB88" s="323">
        <v>1.4999999999999999E-2</v>
      </c>
    </row>
    <row r="89" spans="1:28" x14ac:dyDescent="0.2">
      <c r="A89" s="122">
        <v>22.1</v>
      </c>
    </row>
    <row r="90" spans="1:28" x14ac:dyDescent="0.2">
      <c r="A90" s="122">
        <v>22.2</v>
      </c>
      <c r="V90" s="321">
        <v>2.4369999999999999E-3</v>
      </c>
      <c r="AB90" s="323">
        <v>3.7999999999999999E-2</v>
      </c>
    </row>
    <row r="91" spans="1:28" x14ac:dyDescent="0.2">
      <c r="A91" s="122">
        <v>22.3</v>
      </c>
    </row>
    <row r="92" spans="1:28" x14ac:dyDescent="0.2">
      <c r="A92" s="122">
        <v>23</v>
      </c>
      <c r="G92" s="322">
        <v>1.3630000000000001E-3</v>
      </c>
      <c r="I92" s="321">
        <v>1.379E-3</v>
      </c>
      <c r="J92" s="323">
        <v>0.1169</v>
      </c>
      <c r="K92" s="321">
        <v>3.9999999999999998E-6</v>
      </c>
      <c r="N92" s="321">
        <v>3.9999999999999998E-6</v>
      </c>
      <c r="O92" s="321">
        <v>3.9999999999999998E-6</v>
      </c>
      <c r="T92" s="323">
        <v>6.8400000000000002E-2</v>
      </c>
      <c r="V92" s="321">
        <v>0.149283</v>
      </c>
      <c r="AB92" s="323">
        <v>2E-3</v>
      </c>
    </row>
    <row r="93" spans="1:28" x14ac:dyDescent="0.2">
      <c r="A93" s="122">
        <v>23.1</v>
      </c>
    </row>
    <row r="94" spans="1:28" x14ac:dyDescent="0.2">
      <c r="A94" s="122">
        <v>23.2</v>
      </c>
      <c r="I94" s="321">
        <v>3.9999999999999998E-6</v>
      </c>
      <c r="V94" s="321">
        <v>1.09E-3</v>
      </c>
      <c r="AB94" s="323">
        <v>4.3999999999999997E-2</v>
      </c>
    </row>
    <row r="95" spans="1:28" x14ac:dyDescent="0.2">
      <c r="A95" s="122">
        <v>23.3</v>
      </c>
    </row>
    <row r="96" spans="1:28" x14ac:dyDescent="0.2">
      <c r="A96" s="122">
        <v>24</v>
      </c>
      <c r="G96" s="322">
        <v>4.6099999999999998E-4</v>
      </c>
      <c r="I96" s="321">
        <v>1.3799999999999999E-4</v>
      </c>
      <c r="J96" s="323">
        <v>7.5800000000000006E-2</v>
      </c>
      <c r="O96" s="321">
        <v>1.3799999999999999E-4</v>
      </c>
      <c r="T96" s="323">
        <v>3.4799999999999998E-2</v>
      </c>
      <c r="V96" s="321">
        <v>0.15093200000000001</v>
      </c>
      <c r="AB96" s="323">
        <v>1E-3</v>
      </c>
    </row>
    <row r="97" spans="1:28" x14ac:dyDescent="0.2">
      <c r="A97" s="122">
        <v>24.1</v>
      </c>
    </row>
    <row r="98" spans="1:28" x14ac:dyDescent="0.2">
      <c r="A98" s="122">
        <v>24.2</v>
      </c>
      <c r="O98" s="321">
        <v>2.1189999999999998E-3</v>
      </c>
      <c r="V98" s="321">
        <v>3.3100000000000002E-4</v>
      </c>
      <c r="AB98" s="323">
        <v>2.1999999999999999E-2</v>
      </c>
    </row>
    <row r="99" spans="1:28" x14ac:dyDescent="0.2">
      <c r="A99" s="122">
        <v>24.3</v>
      </c>
    </row>
    <row r="100" spans="1:28" x14ac:dyDescent="0.2">
      <c r="A100" s="122">
        <v>25</v>
      </c>
      <c r="G100" s="322">
        <v>7.3999999999999999E-4</v>
      </c>
      <c r="I100" s="321">
        <v>3.7300000000000001E-4</v>
      </c>
      <c r="J100" s="323">
        <v>5.5300000000000002E-2</v>
      </c>
      <c r="O100" s="321">
        <v>9.7599999999999998E-4</v>
      </c>
      <c r="T100" s="323">
        <v>8.9999999999999993E-3</v>
      </c>
      <c r="V100" s="321">
        <v>0.10340199999999999</v>
      </c>
    </row>
    <row r="101" spans="1:28" x14ac:dyDescent="0.2">
      <c r="A101" s="122">
        <v>25.1</v>
      </c>
    </row>
    <row r="102" spans="1:28" x14ac:dyDescent="0.2">
      <c r="A102" s="122">
        <v>25.2</v>
      </c>
      <c r="O102" s="321">
        <v>5.9199999999999997E-4</v>
      </c>
      <c r="V102" s="321">
        <v>2.1000000000000001E-4</v>
      </c>
      <c r="AB102" s="323">
        <v>0.04</v>
      </c>
    </row>
    <row r="103" spans="1:28" x14ac:dyDescent="0.2">
      <c r="A103" s="122">
        <v>25.3</v>
      </c>
    </row>
    <row r="104" spans="1:28" x14ac:dyDescent="0.2">
      <c r="A104" s="122">
        <v>26</v>
      </c>
      <c r="G104" s="322">
        <v>1.5999999999999999E-5</v>
      </c>
      <c r="I104" s="321">
        <v>1.8599999999999999E-4</v>
      </c>
      <c r="J104" s="323">
        <v>1.7399999999999999E-2</v>
      </c>
      <c r="O104" s="321">
        <v>1.127E-3</v>
      </c>
      <c r="T104" s="323">
        <v>1.1999999999999999E-3</v>
      </c>
      <c r="V104" s="321">
        <v>4.7419999999999997E-2</v>
      </c>
    </row>
    <row r="105" spans="1:28" x14ac:dyDescent="0.2">
      <c r="A105" s="122">
        <v>26.1</v>
      </c>
    </row>
    <row r="106" spans="1:28" x14ac:dyDescent="0.2">
      <c r="A106" s="122">
        <v>26.2</v>
      </c>
      <c r="O106" s="321">
        <v>3.1000000000000001E-5</v>
      </c>
      <c r="V106" s="321">
        <v>2.9E-5</v>
      </c>
      <c r="AB106" s="323">
        <v>4.3999999999999997E-2</v>
      </c>
    </row>
    <row r="107" spans="1:28" x14ac:dyDescent="0.2">
      <c r="A107" s="122">
        <v>26.3</v>
      </c>
    </row>
    <row r="108" spans="1:28" x14ac:dyDescent="0.2">
      <c r="A108" s="122">
        <v>27</v>
      </c>
      <c r="G108" s="322">
        <v>3.9999999999999998E-6</v>
      </c>
      <c r="I108" s="321">
        <v>2.8499999999999999E-4</v>
      </c>
      <c r="J108" s="323">
        <v>1.6000000000000001E-3</v>
      </c>
      <c r="O108" s="321">
        <v>3.0043E-2</v>
      </c>
      <c r="T108" s="323">
        <v>1.1999999999999999E-3</v>
      </c>
      <c r="V108" s="321">
        <v>1.5952999999999998E-2</v>
      </c>
    </row>
    <row r="109" spans="1:28" x14ac:dyDescent="0.2">
      <c r="A109" s="122">
        <v>27.1</v>
      </c>
    </row>
    <row r="110" spans="1:28" x14ac:dyDescent="0.2">
      <c r="A110" s="122">
        <v>27.2</v>
      </c>
      <c r="O110" s="321">
        <v>7.7000000000000001E-5</v>
      </c>
      <c r="AB110" s="323">
        <v>9.5000000000000001E-2</v>
      </c>
    </row>
    <row r="111" spans="1:28" x14ac:dyDescent="0.2">
      <c r="A111" s="122">
        <v>27.3</v>
      </c>
    </row>
    <row r="112" spans="1:28" x14ac:dyDescent="0.2">
      <c r="A112" s="122">
        <v>28</v>
      </c>
      <c r="G112" s="322">
        <v>3.9999999999999998E-6</v>
      </c>
      <c r="I112" s="321">
        <v>2.9E-5</v>
      </c>
      <c r="O112" s="321">
        <v>0.15936700000000001</v>
      </c>
      <c r="V112" s="321">
        <v>5.0610000000000004E-3</v>
      </c>
    </row>
    <row r="113" spans="1:28" x14ac:dyDescent="0.2">
      <c r="A113" s="122">
        <v>28.1</v>
      </c>
    </row>
    <row r="114" spans="1:28" x14ac:dyDescent="0.2">
      <c r="A114" s="122">
        <v>28.2</v>
      </c>
      <c r="O114" s="321">
        <v>2.6189999999999998E-3</v>
      </c>
      <c r="V114" s="321">
        <v>6.9999999999999999E-6</v>
      </c>
      <c r="AB114" s="323">
        <v>7.3999999999999996E-2</v>
      </c>
    </row>
    <row r="115" spans="1:28" x14ac:dyDescent="0.2">
      <c r="A115" s="122">
        <v>28.3</v>
      </c>
      <c r="AB115" s="323">
        <v>1E-3</v>
      </c>
    </row>
    <row r="116" spans="1:28" x14ac:dyDescent="0.2">
      <c r="A116" s="122">
        <v>29</v>
      </c>
      <c r="O116" s="321">
        <v>0.20807800000000001</v>
      </c>
      <c r="V116" s="321">
        <v>1.807E-3</v>
      </c>
    </row>
    <row r="117" spans="1:28" x14ac:dyDescent="0.2">
      <c r="A117" s="122">
        <v>29.1</v>
      </c>
    </row>
    <row r="118" spans="1:28" x14ac:dyDescent="0.2">
      <c r="A118" s="122">
        <v>29.2</v>
      </c>
      <c r="O118" s="321">
        <v>4.934E-3</v>
      </c>
      <c r="V118" s="321">
        <v>2.1999999999999999E-5</v>
      </c>
      <c r="AB118" s="323">
        <v>6.3E-2</v>
      </c>
    </row>
    <row r="119" spans="1:28" x14ac:dyDescent="0.2">
      <c r="A119" s="122">
        <v>29.3</v>
      </c>
    </row>
    <row r="120" spans="1:28" x14ac:dyDescent="0.2">
      <c r="A120" s="122">
        <v>30</v>
      </c>
      <c r="O120" s="321">
        <v>0.231679</v>
      </c>
      <c r="V120" s="321">
        <v>7.1000000000000002E-4</v>
      </c>
    </row>
    <row r="121" spans="1:28" x14ac:dyDescent="0.2">
      <c r="A121" s="122">
        <v>30.1</v>
      </c>
    </row>
    <row r="122" spans="1:28" x14ac:dyDescent="0.2">
      <c r="A122" s="122">
        <v>30.2</v>
      </c>
      <c r="O122" s="321">
        <v>2.8434999999999998E-2</v>
      </c>
      <c r="V122" s="321">
        <v>1.73E-4</v>
      </c>
      <c r="AB122" s="323">
        <v>0.57999999999999996</v>
      </c>
    </row>
    <row r="123" spans="1:28" x14ac:dyDescent="0.2">
      <c r="A123" s="122">
        <v>30.3</v>
      </c>
    </row>
    <row r="124" spans="1:28" x14ac:dyDescent="0.2">
      <c r="A124" s="122">
        <v>31</v>
      </c>
      <c r="O124" s="321">
        <v>7.6919000000000001E-2</v>
      </c>
      <c r="V124" s="321">
        <v>1.07E-4</v>
      </c>
      <c r="AB124" s="323">
        <v>2E-3</v>
      </c>
    </row>
    <row r="125" spans="1:28" x14ac:dyDescent="0.2">
      <c r="A125" s="122">
        <v>31.1</v>
      </c>
    </row>
    <row r="126" spans="1:28" x14ac:dyDescent="0.2">
      <c r="A126" s="122">
        <v>31.2</v>
      </c>
      <c r="O126" s="321">
        <v>8.9885999999999994E-2</v>
      </c>
      <c r="V126" s="321">
        <v>1.134E-3</v>
      </c>
      <c r="AB126" s="323">
        <v>2.1999999999999999E-2</v>
      </c>
    </row>
    <row r="127" spans="1:28" x14ac:dyDescent="0.2">
      <c r="A127" s="122">
        <v>31.3</v>
      </c>
    </row>
    <row r="128" spans="1:28" x14ac:dyDescent="0.2">
      <c r="A128" s="122">
        <v>32</v>
      </c>
      <c r="O128" s="321">
        <v>2.8482E-2</v>
      </c>
      <c r="V128" s="321">
        <v>6.9999999999999994E-5</v>
      </c>
      <c r="AB128" s="323">
        <v>1E-3</v>
      </c>
    </row>
    <row r="129" spans="1:28" x14ac:dyDescent="0.2">
      <c r="A129" s="122">
        <v>32.1</v>
      </c>
    </row>
    <row r="130" spans="1:28" x14ac:dyDescent="0.2">
      <c r="A130" s="122">
        <v>32.200000000000003</v>
      </c>
      <c r="O130" s="321">
        <v>7.5126999999999999E-2</v>
      </c>
      <c r="V130" s="321">
        <v>1.5100000000000001E-4</v>
      </c>
      <c r="AB130" s="323">
        <v>1.2999999999999999E-2</v>
      </c>
    </row>
    <row r="131" spans="1:28" x14ac:dyDescent="0.2">
      <c r="A131" s="122">
        <v>32.299999999999997</v>
      </c>
    </row>
    <row r="132" spans="1:28" x14ac:dyDescent="0.2">
      <c r="A132" s="122">
        <v>33</v>
      </c>
      <c r="O132" s="321">
        <v>1.1826E-2</v>
      </c>
      <c r="V132" s="321">
        <v>3.6999999999999998E-5</v>
      </c>
      <c r="AB132" s="323">
        <v>1E-3</v>
      </c>
    </row>
    <row r="133" spans="1:28" x14ac:dyDescent="0.2">
      <c r="A133" s="122">
        <v>33.1</v>
      </c>
    </row>
    <row r="134" spans="1:28" x14ac:dyDescent="0.2">
      <c r="A134" s="122">
        <v>33.200000000000003</v>
      </c>
      <c r="O134" s="321">
        <v>2.8434999999999998E-2</v>
      </c>
      <c r="V134" s="321">
        <v>1.8E-5</v>
      </c>
      <c r="AB134" s="323">
        <v>5.0000000000000001E-3</v>
      </c>
    </row>
    <row r="135" spans="1:28" x14ac:dyDescent="0.2">
      <c r="A135" s="122">
        <v>33.299999999999997</v>
      </c>
      <c r="O135" s="321">
        <v>7.9999999999999996E-6</v>
      </c>
    </row>
    <row r="136" spans="1:28" x14ac:dyDescent="0.2">
      <c r="A136" s="122">
        <v>34</v>
      </c>
      <c r="O136" s="321">
        <v>4.5880000000000001E-3</v>
      </c>
      <c r="AB136" s="323">
        <v>7.0000000000000001E-3</v>
      </c>
    </row>
    <row r="137" spans="1:28" x14ac:dyDescent="0.2">
      <c r="A137" s="122">
        <v>34.1</v>
      </c>
    </row>
    <row r="138" spans="1:28" x14ac:dyDescent="0.2">
      <c r="A138" s="122">
        <v>34.200000000000003</v>
      </c>
      <c r="O138" s="321">
        <v>3.7690000000000002E-3</v>
      </c>
      <c r="AB138" s="323">
        <v>1E-3</v>
      </c>
    </row>
    <row r="139" spans="1:28" x14ac:dyDescent="0.2">
      <c r="A139" s="122">
        <v>34.299999999999997</v>
      </c>
    </row>
    <row r="140" spans="1:28" x14ac:dyDescent="0.2">
      <c r="A140" s="122">
        <v>35</v>
      </c>
      <c r="O140" s="321">
        <v>6.4419999999999998E-3</v>
      </c>
    </row>
    <row r="141" spans="1:28" x14ac:dyDescent="0.2">
      <c r="A141" s="122">
        <v>35.1</v>
      </c>
      <c r="O141" s="321">
        <v>3.9999999999999998E-6</v>
      </c>
    </row>
    <row r="142" spans="1:28" x14ac:dyDescent="0.2">
      <c r="A142" s="122">
        <v>35.200000000000003</v>
      </c>
      <c r="O142" s="321">
        <v>1.323E-3</v>
      </c>
    </row>
    <row r="143" spans="1:28" x14ac:dyDescent="0.2">
      <c r="A143" s="122">
        <v>35.299999999999997</v>
      </c>
    </row>
    <row r="144" spans="1:28" x14ac:dyDescent="0.2">
      <c r="A144" s="122">
        <v>36</v>
      </c>
      <c r="O144" s="321">
        <v>2.261E-3</v>
      </c>
    </row>
    <row r="145" spans="1:22" s="323" customFormat="1" ht="14.25" x14ac:dyDescent="0.2">
      <c r="A145" s="122">
        <v>36.1</v>
      </c>
      <c r="E145" s="321"/>
      <c r="F145" s="321"/>
      <c r="G145" s="322"/>
      <c r="H145" s="321"/>
      <c r="I145" s="321"/>
      <c r="K145" s="321"/>
      <c r="M145" s="321"/>
      <c r="N145" s="321"/>
      <c r="O145" s="321"/>
      <c r="R145" s="321"/>
      <c r="V145" s="321"/>
    </row>
    <row r="146" spans="1:22" s="323" customFormat="1" ht="14.25" x14ac:dyDescent="0.2">
      <c r="A146" s="122">
        <v>36.200000000000003</v>
      </c>
      <c r="E146" s="321"/>
      <c r="F146" s="321"/>
      <c r="G146" s="322"/>
      <c r="H146" s="321"/>
      <c r="I146" s="321"/>
      <c r="K146" s="321"/>
      <c r="M146" s="321"/>
      <c r="N146" s="321"/>
      <c r="O146" s="321">
        <v>2.6999999999999999E-5</v>
      </c>
      <c r="R146" s="321"/>
      <c r="V146" s="321"/>
    </row>
    <row r="147" spans="1:22" s="323" customFormat="1" ht="14.25" x14ac:dyDescent="0.2">
      <c r="A147" s="122">
        <v>36.299999999999997</v>
      </c>
      <c r="E147" s="321"/>
      <c r="F147" s="321"/>
      <c r="G147" s="322"/>
      <c r="H147" s="321"/>
      <c r="I147" s="321"/>
      <c r="K147" s="321"/>
      <c r="M147" s="321"/>
      <c r="N147" s="321"/>
      <c r="O147" s="321"/>
      <c r="R147" s="321"/>
      <c r="V147" s="321"/>
    </row>
    <row r="148" spans="1:22" s="323" customFormat="1" ht="14.25" x14ac:dyDescent="0.2">
      <c r="A148" s="122">
        <v>37</v>
      </c>
      <c r="E148" s="321"/>
      <c r="F148" s="321"/>
      <c r="G148" s="322"/>
      <c r="H148" s="321"/>
      <c r="I148" s="321"/>
      <c r="K148" s="321"/>
      <c r="M148" s="321"/>
      <c r="N148" s="321"/>
      <c r="O148" s="321">
        <v>5.6099999999999998E-4</v>
      </c>
      <c r="R148" s="321"/>
      <c r="V148" s="321"/>
    </row>
    <row r="149" spans="1:22" s="323" customFormat="1" ht="14.25" x14ac:dyDescent="0.2">
      <c r="A149" s="122">
        <v>37.1</v>
      </c>
      <c r="E149" s="321"/>
      <c r="F149" s="321"/>
      <c r="G149" s="322"/>
      <c r="H149" s="321"/>
      <c r="I149" s="321"/>
      <c r="K149" s="321"/>
      <c r="M149" s="321"/>
      <c r="N149" s="321"/>
      <c r="O149" s="321"/>
      <c r="R149" s="321"/>
      <c r="V149" s="321"/>
    </row>
    <row r="150" spans="1:22" s="323" customFormat="1" ht="14.25" x14ac:dyDescent="0.2">
      <c r="A150" s="122">
        <v>37.200000000000003</v>
      </c>
      <c r="E150" s="321"/>
      <c r="F150" s="321"/>
      <c r="G150" s="322"/>
      <c r="H150" s="321"/>
      <c r="I150" s="321"/>
      <c r="K150" s="321"/>
      <c r="M150" s="321"/>
      <c r="N150" s="321"/>
      <c r="O150" s="321"/>
      <c r="R150" s="321"/>
      <c r="V150" s="321"/>
    </row>
    <row r="151" spans="1:22" s="323" customFormat="1" ht="14.25" x14ac:dyDescent="0.2">
      <c r="A151" s="122">
        <v>37.299999999999997</v>
      </c>
      <c r="E151" s="321"/>
      <c r="F151" s="321"/>
      <c r="G151" s="322"/>
      <c r="H151" s="321"/>
      <c r="I151" s="321"/>
      <c r="K151" s="321"/>
      <c r="M151" s="321"/>
      <c r="N151" s="321"/>
      <c r="O151" s="321"/>
      <c r="R151" s="321"/>
      <c r="V151" s="321"/>
    </row>
    <row r="152" spans="1:22" s="323" customFormat="1" ht="14.25" x14ac:dyDescent="0.2">
      <c r="A152" s="122">
        <v>38</v>
      </c>
      <c r="E152" s="321"/>
      <c r="F152" s="321"/>
      <c r="G152" s="322"/>
      <c r="H152" s="321"/>
      <c r="I152" s="321"/>
      <c r="K152" s="321"/>
      <c r="M152" s="321"/>
      <c r="N152" s="321"/>
      <c r="O152" s="321">
        <v>2.6499999999999999E-4</v>
      </c>
      <c r="R152" s="321"/>
      <c r="V152" s="321"/>
    </row>
    <row r="153" spans="1:22" s="323" customFormat="1" ht="14.25" x14ac:dyDescent="0.2">
      <c r="A153" s="122">
        <v>38.1</v>
      </c>
      <c r="E153" s="321"/>
      <c r="F153" s="321"/>
      <c r="G153" s="322"/>
      <c r="H153" s="321"/>
      <c r="I153" s="321"/>
      <c r="K153" s="321"/>
      <c r="M153" s="321"/>
      <c r="N153" s="321"/>
      <c r="O153" s="321"/>
      <c r="R153" s="321"/>
      <c r="V153" s="321"/>
    </row>
    <row r="154" spans="1:22" s="323" customFormat="1" ht="14.25" x14ac:dyDescent="0.2">
      <c r="A154" s="122">
        <v>38.200000000000003</v>
      </c>
      <c r="E154" s="321"/>
      <c r="F154" s="321"/>
      <c r="G154" s="322"/>
      <c r="H154" s="321"/>
      <c r="I154" s="321"/>
      <c r="K154" s="321"/>
      <c r="M154" s="321"/>
      <c r="N154" s="321"/>
      <c r="O154" s="321"/>
      <c r="R154" s="321"/>
      <c r="V154" s="321"/>
    </row>
    <row r="155" spans="1:22" s="323" customFormat="1" ht="14.25" x14ac:dyDescent="0.2">
      <c r="A155" s="122">
        <v>38.299999999999997</v>
      </c>
      <c r="E155" s="321"/>
      <c r="F155" s="321"/>
      <c r="G155" s="322"/>
      <c r="H155" s="321"/>
      <c r="I155" s="321"/>
      <c r="K155" s="321"/>
      <c r="M155" s="321"/>
      <c r="N155" s="321"/>
      <c r="O155" s="321"/>
      <c r="R155" s="321"/>
      <c r="V155" s="321"/>
    </row>
    <row r="156" spans="1:22" s="323" customFormat="1" ht="14.25" x14ac:dyDescent="0.2">
      <c r="A156" s="122">
        <v>39</v>
      </c>
      <c r="E156" s="321"/>
      <c r="F156" s="321"/>
      <c r="G156" s="322"/>
      <c r="H156" s="321"/>
      <c r="I156" s="321"/>
      <c r="K156" s="321"/>
      <c r="M156" s="321"/>
      <c r="N156" s="321"/>
      <c r="O156" s="321">
        <v>3.1000000000000001E-5</v>
      </c>
      <c r="R156" s="321"/>
      <c r="V156" s="321"/>
    </row>
    <row r="157" spans="1:22" s="323" customFormat="1" ht="14.25" x14ac:dyDescent="0.2">
      <c r="A157" s="122">
        <v>39.1</v>
      </c>
      <c r="E157" s="321"/>
      <c r="F157" s="321"/>
      <c r="G157" s="322"/>
      <c r="H157" s="321"/>
      <c r="I157" s="321"/>
      <c r="K157" s="321"/>
      <c r="M157" s="321"/>
      <c r="N157" s="321"/>
      <c r="O157" s="321"/>
      <c r="R157" s="321"/>
      <c r="V157" s="321"/>
    </row>
    <row r="158" spans="1:22" s="323" customFormat="1" ht="14.25" x14ac:dyDescent="0.2">
      <c r="A158" s="122">
        <v>39.200000000000003</v>
      </c>
      <c r="E158" s="321"/>
      <c r="F158" s="321"/>
      <c r="G158" s="322"/>
      <c r="H158" s="321"/>
      <c r="I158" s="321"/>
      <c r="K158" s="321"/>
      <c r="M158" s="321"/>
      <c r="N158" s="321"/>
      <c r="O158" s="321"/>
      <c r="R158" s="321"/>
      <c r="V158" s="321">
        <v>3.9999999999999998E-6</v>
      </c>
    </row>
    <row r="159" spans="1:22" s="323" customFormat="1" ht="14.25" x14ac:dyDescent="0.2">
      <c r="A159" s="122">
        <v>39.299999999999997</v>
      </c>
      <c r="E159" s="321"/>
      <c r="F159" s="321"/>
      <c r="G159" s="322"/>
      <c r="H159" s="321"/>
      <c r="I159" s="321"/>
      <c r="K159" s="321"/>
      <c r="M159" s="321"/>
      <c r="N159" s="321"/>
      <c r="O159" s="321"/>
      <c r="R159" s="321"/>
      <c r="V159" s="321"/>
    </row>
    <row r="160" spans="1:22" s="323" customFormat="1" ht="14.25" x14ac:dyDescent="0.2">
      <c r="A160" s="122">
        <v>40</v>
      </c>
      <c r="E160" s="321"/>
      <c r="F160" s="321"/>
      <c r="G160" s="322"/>
      <c r="H160" s="321"/>
      <c r="I160" s="321"/>
      <c r="K160" s="321"/>
      <c r="M160" s="321"/>
      <c r="N160" s="321"/>
      <c r="O160" s="321"/>
      <c r="R160" s="321"/>
      <c r="V160" s="321">
        <v>6.9999999999999999E-6</v>
      </c>
    </row>
    <row r="161" spans="1:22" s="323" customFormat="1" ht="14.25" x14ac:dyDescent="0.2">
      <c r="A161" s="122">
        <v>40.1</v>
      </c>
      <c r="E161" s="321"/>
      <c r="F161" s="321"/>
      <c r="G161" s="322"/>
      <c r="H161" s="321"/>
      <c r="I161" s="321"/>
      <c r="K161" s="321"/>
      <c r="M161" s="321"/>
      <c r="N161" s="321"/>
      <c r="O161" s="321"/>
      <c r="R161" s="321"/>
      <c r="V161" s="321"/>
    </row>
    <row r="162" spans="1:22" s="323" customFormat="1" ht="14.25" x14ac:dyDescent="0.2">
      <c r="A162" s="122">
        <v>40.200000000000003</v>
      </c>
      <c r="E162" s="321"/>
      <c r="F162" s="321"/>
      <c r="G162" s="322"/>
      <c r="H162" s="321"/>
      <c r="I162" s="321"/>
      <c r="K162" s="321"/>
      <c r="M162" s="321"/>
      <c r="N162" s="321"/>
      <c r="O162" s="321"/>
      <c r="R162" s="321"/>
      <c r="V162" s="321"/>
    </row>
    <row r="163" spans="1:22" s="323" customFormat="1" ht="14.25" x14ac:dyDescent="0.2">
      <c r="A163" s="122">
        <v>40.299999999999997</v>
      </c>
      <c r="E163" s="321"/>
      <c r="F163" s="321"/>
      <c r="G163" s="322"/>
      <c r="H163" s="321"/>
      <c r="I163" s="321"/>
      <c r="K163" s="321"/>
      <c r="M163" s="321"/>
      <c r="N163" s="321"/>
      <c r="O163" s="321"/>
      <c r="R163" s="321"/>
      <c r="V163" s="321"/>
    </row>
    <row r="164" spans="1:22" s="323" customFormat="1" ht="14.25" x14ac:dyDescent="0.2">
      <c r="A164" s="122">
        <v>41</v>
      </c>
      <c r="E164" s="321"/>
      <c r="F164" s="321"/>
      <c r="G164" s="322"/>
      <c r="H164" s="321"/>
      <c r="I164" s="321"/>
      <c r="K164" s="321"/>
      <c r="M164" s="321"/>
      <c r="N164" s="321"/>
      <c r="O164" s="321"/>
      <c r="R164" s="321"/>
      <c r="V164" s="321"/>
    </row>
    <row r="165" spans="1:22" s="323" customFormat="1" ht="14.25" x14ac:dyDescent="0.2">
      <c r="A165" s="122">
        <v>41.1</v>
      </c>
      <c r="E165" s="321"/>
      <c r="F165" s="321"/>
      <c r="G165" s="322"/>
      <c r="H165" s="321"/>
      <c r="I165" s="321"/>
      <c r="K165" s="321"/>
      <c r="M165" s="321"/>
      <c r="N165" s="321"/>
      <c r="O165" s="321"/>
      <c r="R165" s="321"/>
      <c r="V165" s="321"/>
    </row>
    <row r="166" spans="1:22" s="323" customFormat="1" ht="14.25" x14ac:dyDescent="0.2">
      <c r="A166" s="122">
        <v>41.2</v>
      </c>
      <c r="E166" s="321"/>
      <c r="F166" s="321"/>
      <c r="G166" s="322"/>
      <c r="H166" s="321"/>
      <c r="I166" s="321"/>
      <c r="K166" s="321"/>
      <c r="M166" s="321"/>
      <c r="N166" s="321"/>
      <c r="O166" s="321"/>
      <c r="R166" s="321"/>
      <c r="V166" s="321">
        <v>3.9999999999999998E-6</v>
      </c>
    </row>
    <row r="167" spans="1:22" s="323" customFormat="1" ht="14.25" x14ac:dyDescent="0.2">
      <c r="A167" s="122">
        <v>41.3</v>
      </c>
      <c r="E167" s="321"/>
      <c r="F167" s="321"/>
      <c r="G167" s="322"/>
      <c r="H167" s="321"/>
      <c r="I167" s="321"/>
      <c r="K167" s="321"/>
      <c r="M167" s="321"/>
      <c r="N167" s="321"/>
      <c r="O167" s="321"/>
      <c r="R167" s="321"/>
      <c r="V167" s="321"/>
    </row>
    <row r="168" spans="1:22" s="323" customFormat="1" ht="14.25" x14ac:dyDescent="0.2">
      <c r="A168" s="122">
        <v>42</v>
      </c>
      <c r="E168" s="321"/>
      <c r="F168" s="321"/>
      <c r="G168" s="322"/>
      <c r="H168" s="321"/>
      <c r="I168" s="321"/>
      <c r="K168" s="321"/>
      <c r="M168" s="321"/>
      <c r="N168" s="321"/>
      <c r="O168" s="321"/>
      <c r="R168" s="321"/>
      <c r="V168" s="321">
        <v>6.9999999999999999E-6</v>
      </c>
    </row>
    <row r="169" spans="1:22" s="323" customFormat="1" ht="14.25" x14ac:dyDescent="0.2">
      <c r="A169" s="122">
        <v>42.1</v>
      </c>
      <c r="E169" s="321"/>
      <c r="F169" s="321"/>
      <c r="G169" s="322"/>
      <c r="H169" s="321"/>
      <c r="I169" s="321"/>
      <c r="K169" s="321"/>
      <c r="M169" s="321"/>
      <c r="N169" s="321"/>
      <c r="O169" s="321"/>
      <c r="R169" s="321"/>
      <c r="V169" s="321"/>
    </row>
    <row r="170" spans="1:22" s="323" customFormat="1" ht="14.25" x14ac:dyDescent="0.2">
      <c r="A170" s="122">
        <v>42.2</v>
      </c>
      <c r="E170" s="321"/>
      <c r="F170" s="321"/>
      <c r="G170" s="322"/>
      <c r="H170" s="321"/>
      <c r="I170" s="321"/>
      <c r="K170" s="321"/>
      <c r="M170" s="321"/>
      <c r="N170" s="321"/>
      <c r="O170" s="321"/>
      <c r="R170" s="321"/>
      <c r="V170" s="321">
        <v>4.8000000000000001E-5</v>
      </c>
    </row>
    <row r="171" spans="1:22" s="323" customFormat="1" ht="14.25" x14ac:dyDescent="0.2">
      <c r="A171" s="122">
        <v>42.3</v>
      </c>
      <c r="E171" s="321"/>
      <c r="F171" s="321"/>
      <c r="G171" s="322"/>
      <c r="H171" s="321"/>
      <c r="I171" s="321"/>
      <c r="K171" s="321"/>
      <c r="M171" s="321"/>
      <c r="N171" s="321"/>
      <c r="O171" s="321"/>
      <c r="R171" s="321"/>
      <c r="V171" s="321"/>
    </row>
    <row r="172" spans="1:22" s="323" customFormat="1" ht="14.25" x14ac:dyDescent="0.2">
      <c r="A172" s="122">
        <v>43</v>
      </c>
      <c r="E172" s="321"/>
      <c r="F172" s="321"/>
      <c r="G172" s="322"/>
      <c r="H172" s="321"/>
      <c r="I172" s="321"/>
      <c r="K172" s="321"/>
      <c r="M172" s="321"/>
      <c r="N172" s="321"/>
      <c r="O172" s="321"/>
      <c r="R172" s="321"/>
      <c r="V172" s="321">
        <v>3.9999999999999998E-6</v>
      </c>
    </row>
    <row r="173" spans="1:22" s="323" customFormat="1" ht="14.25" x14ac:dyDescent="0.2">
      <c r="A173" s="122">
        <v>43.1</v>
      </c>
      <c r="E173" s="321"/>
      <c r="F173" s="321"/>
      <c r="G173" s="322"/>
      <c r="H173" s="321"/>
      <c r="I173" s="321"/>
      <c r="K173" s="321"/>
      <c r="M173" s="321"/>
      <c r="N173" s="321"/>
      <c r="O173" s="321"/>
      <c r="R173" s="321"/>
      <c r="V173" s="321"/>
    </row>
    <row r="174" spans="1:22" s="323" customFormat="1" ht="14.25" x14ac:dyDescent="0.2">
      <c r="A174" s="122">
        <v>43.2</v>
      </c>
      <c r="E174" s="321"/>
      <c r="F174" s="321"/>
      <c r="G174" s="322"/>
      <c r="H174" s="321"/>
      <c r="I174" s="321"/>
      <c r="K174" s="321"/>
      <c r="M174" s="321"/>
      <c r="N174" s="321"/>
      <c r="O174" s="321"/>
      <c r="R174" s="321"/>
      <c r="V174" s="321">
        <v>5.7799999999999995E-4</v>
      </c>
    </row>
    <row r="175" spans="1:22" s="323" customFormat="1" ht="14.25" x14ac:dyDescent="0.2">
      <c r="A175" s="122">
        <v>43.3</v>
      </c>
      <c r="E175" s="321"/>
      <c r="F175" s="321"/>
      <c r="G175" s="322"/>
      <c r="H175" s="321"/>
      <c r="I175" s="321"/>
      <c r="K175" s="321"/>
      <c r="M175" s="321"/>
      <c r="N175" s="321"/>
      <c r="O175" s="321"/>
      <c r="R175" s="321"/>
      <c r="V175" s="321"/>
    </row>
    <row r="176" spans="1:22" s="323" customFormat="1" ht="14.25" x14ac:dyDescent="0.2">
      <c r="A176" s="122">
        <v>44</v>
      </c>
      <c r="E176" s="321"/>
      <c r="F176" s="321"/>
      <c r="G176" s="322"/>
      <c r="H176" s="321"/>
      <c r="I176" s="321"/>
      <c r="K176" s="321"/>
      <c r="M176" s="321"/>
      <c r="N176" s="321"/>
      <c r="O176" s="321"/>
      <c r="R176" s="321"/>
      <c r="V176" s="321"/>
    </row>
    <row r="177" spans="1:22" s="323" customFormat="1" ht="14.25" x14ac:dyDescent="0.2">
      <c r="A177" s="122">
        <v>44.1</v>
      </c>
      <c r="E177" s="321"/>
      <c r="F177" s="321"/>
      <c r="G177" s="322"/>
      <c r="H177" s="321"/>
      <c r="I177" s="321"/>
      <c r="K177" s="321"/>
      <c r="M177" s="321"/>
      <c r="N177" s="321"/>
      <c r="O177" s="321"/>
      <c r="R177" s="321"/>
      <c r="V177" s="321"/>
    </row>
    <row r="178" spans="1:22" s="323" customFormat="1" ht="14.25" x14ac:dyDescent="0.2">
      <c r="A178" s="122">
        <v>44.2</v>
      </c>
      <c r="E178" s="321"/>
      <c r="F178" s="321"/>
      <c r="G178" s="322"/>
      <c r="H178" s="321"/>
      <c r="I178" s="321"/>
      <c r="K178" s="321"/>
      <c r="M178" s="321"/>
      <c r="N178" s="321"/>
      <c r="O178" s="321"/>
      <c r="R178" s="321"/>
      <c r="V178" s="321">
        <v>2.6899999999999998E-4</v>
      </c>
    </row>
    <row r="179" spans="1:22" s="323" customFormat="1" ht="14.25" x14ac:dyDescent="0.2">
      <c r="A179" s="122">
        <v>44.3</v>
      </c>
      <c r="E179" s="321"/>
      <c r="F179" s="321"/>
      <c r="G179" s="322"/>
      <c r="H179" s="321"/>
      <c r="I179" s="321"/>
      <c r="K179" s="321"/>
      <c r="M179" s="321"/>
      <c r="N179" s="321"/>
      <c r="O179" s="321"/>
      <c r="R179" s="321"/>
      <c r="V179" s="321"/>
    </row>
    <row r="180" spans="1:22" s="323" customFormat="1" ht="14.25" x14ac:dyDescent="0.2">
      <c r="A180" s="122">
        <v>45</v>
      </c>
      <c r="E180" s="321"/>
      <c r="F180" s="321"/>
      <c r="G180" s="322"/>
      <c r="H180" s="321"/>
      <c r="I180" s="321"/>
      <c r="K180" s="321"/>
      <c r="M180" s="321"/>
      <c r="N180" s="321"/>
      <c r="O180" s="321"/>
      <c r="R180" s="321"/>
      <c r="V180" s="321"/>
    </row>
    <row r="181" spans="1:22" s="323" customFormat="1" ht="14.25" x14ac:dyDescent="0.2">
      <c r="A181" s="122">
        <v>45.1</v>
      </c>
      <c r="E181" s="321"/>
      <c r="F181" s="321"/>
      <c r="G181" s="322"/>
      <c r="H181" s="321"/>
      <c r="I181" s="321"/>
      <c r="K181" s="321"/>
      <c r="M181" s="321"/>
      <c r="N181" s="321"/>
      <c r="O181" s="321"/>
      <c r="R181" s="321"/>
      <c r="V181" s="321"/>
    </row>
    <row r="182" spans="1:22" s="323" customFormat="1" ht="14.25" x14ac:dyDescent="0.2">
      <c r="A182" s="122">
        <v>45.2</v>
      </c>
      <c r="E182" s="321"/>
      <c r="F182" s="321"/>
      <c r="G182" s="322"/>
      <c r="H182" s="321"/>
      <c r="I182" s="321"/>
      <c r="K182" s="321"/>
      <c r="M182" s="321"/>
      <c r="N182" s="321"/>
      <c r="O182" s="321"/>
      <c r="R182" s="321"/>
      <c r="V182" s="321">
        <v>2.7599999999999999E-4</v>
      </c>
    </row>
    <row r="183" spans="1:22" s="323" customFormat="1" ht="14.25" x14ac:dyDescent="0.2">
      <c r="A183" s="122">
        <v>45.3</v>
      </c>
      <c r="E183" s="321"/>
      <c r="F183" s="321"/>
      <c r="G183" s="322"/>
      <c r="H183" s="321"/>
      <c r="I183" s="321"/>
      <c r="K183" s="321"/>
      <c r="M183" s="321"/>
      <c r="N183" s="321"/>
      <c r="O183" s="321"/>
      <c r="R183" s="321"/>
      <c r="V183" s="321"/>
    </row>
    <row r="184" spans="1:22" s="323" customFormat="1" ht="14.25" x14ac:dyDescent="0.2">
      <c r="A184" s="122">
        <v>46</v>
      </c>
      <c r="E184" s="321"/>
      <c r="F184" s="321"/>
      <c r="G184" s="322"/>
      <c r="H184" s="321"/>
      <c r="I184" s="321"/>
      <c r="K184" s="321"/>
      <c r="M184" s="321"/>
      <c r="N184" s="321"/>
      <c r="O184" s="321"/>
      <c r="R184" s="321"/>
      <c r="V184" s="321"/>
    </row>
    <row r="185" spans="1:22" s="323" customFormat="1" ht="14.25" x14ac:dyDescent="0.2">
      <c r="A185" s="122">
        <v>46.1</v>
      </c>
      <c r="E185" s="321"/>
      <c r="F185" s="321"/>
      <c r="G185" s="322"/>
      <c r="H185" s="321"/>
      <c r="I185" s="321"/>
      <c r="K185" s="321"/>
      <c r="M185" s="321"/>
      <c r="N185" s="321"/>
      <c r="O185" s="321"/>
      <c r="R185" s="321"/>
      <c r="V185" s="321"/>
    </row>
    <row r="186" spans="1:22" s="323" customFormat="1" ht="14.25" x14ac:dyDescent="0.2">
      <c r="A186" s="122">
        <v>46.2</v>
      </c>
      <c r="E186" s="321"/>
      <c r="F186" s="321"/>
      <c r="G186" s="322"/>
      <c r="H186" s="321"/>
      <c r="I186" s="321"/>
      <c r="K186" s="321"/>
      <c r="M186" s="321"/>
      <c r="N186" s="321"/>
      <c r="O186" s="321"/>
      <c r="R186" s="321"/>
      <c r="V186" s="321">
        <v>2.5399999999999999E-4</v>
      </c>
    </row>
    <row r="187" spans="1:22" s="323" customFormat="1" ht="14.25" x14ac:dyDescent="0.2">
      <c r="A187" s="122">
        <v>46.3</v>
      </c>
      <c r="E187" s="321"/>
      <c r="F187" s="321"/>
      <c r="G187" s="322"/>
      <c r="H187" s="321"/>
      <c r="I187" s="321"/>
      <c r="K187" s="321"/>
      <c r="M187" s="321"/>
      <c r="N187" s="321"/>
      <c r="O187" s="321"/>
      <c r="R187" s="321"/>
      <c r="V187" s="321"/>
    </row>
    <row r="188" spans="1:22" s="323" customFormat="1" ht="14.25" x14ac:dyDescent="0.2">
      <c r="A188" s="122">
        <v>47</v>
      </c>
      <c r="E188" s="321"/>
      <c r="F188" s="321"/>
      <c r="G188" s="322"/>
      <c r="H188" s="321"/>
      <c r="I188" s="321"/>
      <c r="K188" s="321"/>
      <c r="M188" s="321"/>
      <c r="N188" s="321"/>
      <c r="O188" s="321"/>
      <c r="R188" s="321"/>
      <c r="V188" s="321">
        <v>3.9999999999999998E-6</v>
      </c>
    </row>
    <row r="189" spans="1:22" s="323" customFormat="1" ht="14.25" x14ac:dyDescent="0.2">
      <c r="A189" s="122">
        <v>47.1</v>
      </c>
      <c r="E189" s="321"/>
      <c r="F189" s="321"/>
      <c r="G189" s="322"/>
      <c r="H189" s="321"/>
      <c r="I189" s="321"/>
      <c r="K189" s="321"/>
      <c r="M189" s="321"/>
      <c r="N189" s="321"/>
      <c r="O189" s="321"/>
      <c r="R189" s="321"/>
      <c r="V189" s="321"/>
    </row>
    <row r="190" spans="1:22" s="323" customFormat="1" ht="14.25" x14ac:dyDescent="0.2">
      <c r="A190" s="122">
        <v>47.2</v>
      </c>
      <c r="E190" s="321"/>
      <c r="F190" s="321"/>
      <c r="G190" s="322"/>
      <c r="H190" s="321"/>
      <c r="I190" s="321"/>
      <c r="K190" s="321"/>
      <c r="M190" s="321"/>
      <c r="N190" s="321"/>
      <c r="O190" s="321"/>
      <c r="R190" s="321"/>
      <c r="V190" s="321">
        <v>4.0000000000000003E-5</v>
      </c>
    </row>
    <row r="191" spans="1:22" s="323" customFormat="1" ht="14.25" x14ac:dyDescent="0.2">
      <c r="A191" s="122">
        <v>47.3</v>
      </c>
      <c r="E191" s="321"/>
      <c r="F191" s="321"/>
      <c r="G191" s="322"/>
      <c r="H191" s="321"/>
      <c r="I191" s="321"/>
      <c r="K191" s="321"/>
      <c r="M191" s="321"/>
      <c r="N191" s="321"/>
      <c r="O191" s="321"/>
      <c r="R191" s="321"/>
      <c r="V191" s="321"/>
    </row>
    <row r="192" spans="1:22" s="323" customFormat="1" ht="14.25" x14ac:dyDescent="0.2">
      <c r="A192" s="122">
        <v>48</v>
      </c>
      <c r="E192" s="321"/>
      <c r="F192" s="321"/>
      <c r="G192" s="322"/>
      <c r="H192" s="321"/>
      <c r="I192" s="321"/>
      <c r="K192" s="321"/>
      <c r="M192" s="321"/>
      <c r="N192" s="321"/>
      <c r="O192" s="321"/>
      <c r="R192" s="321"/>
      <c r="V192" s="321"/>
    </row>
    <row r="193" spans="1:22" s="323" customFormat="1" ht="14.25" x14ac:dyDescent="0.2">
      <c r="A193" s="122">
        <v>48.1</v>
      </c>
      <c r="E193" s="321"/>
      <c r="F193" s="321"/>
      <c r="G193" s="322"/>
      <c r="H193" s="321"/>
      <c r="I193" s="321"/>
      <c r="K193" s="321"/>
      <c r="M193" s="321"/>
      <c r="N193" s="321"/>
      <c r="O193" s="321"/>
      <c r="R193" s="321"/>
      <c r="V193" s="321"/>
    </row>
    <row r="194" spans="1:22" s="323" customFormat="1" ht="14.25" x14ac:dyDescent="0.2">
      <c r="A194" s="122">
        <v>48.2</v>
      </c>
      <c r="E194" s="321"/>
      <c r="F194" s="321"/>
      <c r="G194" s="322"/>
      <c r="H194" s="321"/>
      <c r="I194" s="321"/>
      <c r="K194" s="321"/>
      <c r="M194" s="321"/>
      <c r="N194" s="321"/>
      <c r="O194" s="321"/>
      <c r="R194" s="321"/>
      <c r="V194" s="321">
        <v>1.5E-5</v>
      </c>
    </row>
    <row r="195" spans="1:22" s="323" customFormat="1" ht="14.25" x14ac:dyDescent="0.2">
      <c r="A195" s="122">
        <v>48.3</v>
      </c>
      <c r="E195" s="321"/>
      <c r="F195" s="321"/>
      <c r="G195" s="322"/>
      <c r="H195" s="321"/>
      <c r="I195" s="321"/>
      <c r="K195" s="321"/>
      <c r="M195" s="321"/>
      <c r="N195" s="321"/>
      <c r="O195" s="321"/>
      <c r="R195" s="321"/>
      <c r="V195" s="321"/>
    </row>
    <row r="196" spans="1:22" s="323" customFormat="1" ht="14.25" x14ac:dyDescent="0.2">
      <c r="A196" s="122">
        <v>49</v>
      </c>
      <c r="E196" s="321"/>
      <c r="F196" s="321"/>
      <c r="G196" s="322"/>
      <c r="H196" s="321"/>
      <c r="I196" s="321"/>
      <c r="K196" s="321"/>
      <c r="M196" s="321"/>
      <c r="N196" s="321"/>
      <c r="O196" s="321"/>
      <c r="R196" s="321"/>
      <c r="V196" s="321"/>
    </row>
    <row r="197" spans="1:22" s="323" customFormat="1" ht="14.25" x14ac:dyDescent="0.2">
      <c r="A197" s="122">
        <v>49.1</v>
      </c>
      <c r="E197" s="321"/>
      <c r="F197" s="321"/>
      <c r="G197" s="322"/>
      <c r="H197" s="321"/>
      <c r="I197" s="321"/>
      <c r="K197" s="321"/>
      <c r="M197" s="321"/>
      <c r="N197" s="321"/>
      <c r="O197" s="321"/>
      <c r="R197" s="321"/>
      <c r="V197" s="321"/>
    </row>
    <row r="198" spans="1:22" s="323" customFormat="1" ht="14.25" x14ac:dyDescent="0.2">
      <c r="A198" s="122">
        <v>49.2</v>
      </c>
      <c r="E198" s="321"/>
      <c r="F198" s="321"/>
      <c r="G198" s="322"/>
      <c r="H198" s="321"/>
      <c r="I198" s="321"/>
      <c r="K198" s="321"/>
      <c r="M198" s="321"/>
      <c r="N198" s="321"/>
      <c r="O198" s="321"/>
      <c r="R198" s="321"/>
      <c r="V198" s="321"/>
    </row>
    <row r="199" spans="1:22" s="323" customFormat="1" ht="14.25" x14ac:dyDescent="0.2">
      <c r="A199" s="122">
        <v>49.3</v>
      </c>
      <c r="E199" s="321"/>
      <c r="F199" s="321"/>
      <c r="G199" s="322"/>
      <c r="H199" s="321"/>
      <c r="I199" s="321"/>
      <c r="K199" s="321"/>
      <c r="M199" s="321"/>
      <c r="N199" s="321"/>
      <c r="O199" s="321"/>
      <c r="R199" s="321"/>
      <c r="V199" s="321"/>
    </row>
  </sheetData>
  <dataConsolidate/>
  <phoneticPr fontId="31" type="noConversion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CG63"/>
  <sheetViews>
    <sheetView showGridLines="0" tabSelected="1" topLeftCell="A22" zoomScale="150" zoomScaleNormal="150" workbookViewId="0">
      <selection activeCell="A35" sqref="A35:AH38"/>
    </sheetView>
  </sheetViews>
  <sheetFormatPr defaultRowHeight="12.75" x14ac:dyDescent="0.2"/>
  <cols>
    <col min="1" max="1" width="9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hidden="1" customWidth="1"/>
    <col min="36" max="36" width="20.140625" style="1" hidden="1" customWidth="1"/>
    <col min="37" max="37" width="12.5703125" style="1" hidden="1" customWidth="1"/>
    <col min="38" max="38" width="0.140625" style="1" hidden="1" customWidth="1"/>
    <col min="39" max="39" width="10.140625" style="1" hidden="1" customWidth="1"/>
    <col min="40" max="40" width="4.85546875" style="1" hidden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1" width="4.85546875" style="1" hidden="1" customWidth="1"/>
    <col min="82" max="98" width="4.85546875" style="1" customWidth="1"/>
    <col min="99" max="16384" width="9.140625" style="1"/>
  </cols>
  <sheetData>
    <row r="1" spans="1:80" ht="17.25" thickTop="1" thickBot="1" x14ac:dyDescent="0.25">
      <c r="A1" s="433" t="s">
        <v>251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00"/>
      <c r="AJ1" s="400"/>
      <c r="AK1" s="400"/>
      <c r="AL1" s="400"/>
      <c r="AM1" s="400"/>
      <c r="AN1" s="401"/>
      <c r="AO1" s="20"/>
      <c r="AP1" s="21"/>
    </row>
    <row r="2" spans="1:80" ht="10.5" customHeight="1" thickBot="1" x14ac:dyDescent="0.25">
      <c r="A2" s="434" t="s">
        <v>122</v>
      </c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  <c r="V2" s="435"/>
      <c r="W2" s="435"/>
      <c r="X2" s="435"/>
      <c r="Y2" s="435"/>
      <c r="Z2" s="435"/>
      <c r="AA2" s="435"/>
      <c r="AB2" s="435"/>
      <c r="AC2" s="435"/>
      <c r="AD2" s="435"/>
      <c r="AE2" s="435"/>
      <c r="AF2" s="435"/>
      <c r="AG2" s="479"/>
      <c r="AH2" s="478"/>
      <c r="AI2" s="4"/>
      <c r="AJ2" s="4"/>
      <c r="AK2" s="4"/>
      <c r="AL2" s="4"/>
      <c r="AM2" s="5"/>
      <c r="AN2" s="399"/>
    </row>
    <row r="3" spans="1:80" ht="14.45" customHeight="1" x14ac:dyDescent="0.25">
      <c r="A3" s="462" t="s">
        <v>81</v>
      </c>
      <c r="B3" s="463"/>
      <c r="C3" s="463"/>
      <c r="D3" s="463"/>
      <c r="E3" s="463"/>
      <c r="F3" s="463"/>
      <c r="G3" s="464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6"/>
      <c r="AH3" s="467" t="s">
        <v>0</v>
      </c>
      <c r="AI3" s="331"/>
      <c r="AJ3" s="331"/>
      <c r="AK3" s="331"/>
      <c r="AL3" s="331"/>
      <c r="AN3" s="231"/>
    </row>
    <row r="4" spans="1:80" ht="14.45" customHeight="1" x14ac:dyDescent="0.25">
      <c r="A4" s="468" t="s">
        <v>161</v>
      </c>
      <c r="B4" s="232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425"/>
      <c r="AH4" s="469" t="str">
        <f>(IF(('IMPORTAÇÃO GENOTIPER'!$W$4="X"),"XX",(IF(('IMPORTAÇÃO GENOTIPER'!$W$4&lt;&gt;"X"),"ERRO"))))</f>
        <v>XX</v>
      </c>
      <c r="AJ4" s="230"/>
      <c r="AK4" s="230"/>
      <c r="AL4" s="230"/>
      <c r="AM4" s="233" t="str">
        <f>IF(('SUPERVISÃO 1'!$AB$34="EVIDÊNCIA DE TROCA"),"VERIFICAR","OK")</f>
        <v>OK</v>
      </c>
      <c r="AN4" s="234"/>
    </row>
    <row r="5" spans="1:80" ht="14.45" customHeight="1" thickBot="1" x14ac:dyDescent="0.3">
      <c r="A5" s="468" t="s">
        <v>92</v>
      </c>
      <c r="B5" s="232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35"/>
      <c r="Y5" s="235"/>
      <c r="Z5" s="235"/>
      <c r="AA5" s="235"/>
      <c r="AB5" s="235"/>
      <c r="AC5" s="235"/>
      <c r="AD5" s="235"/>
      <c r="AE5" s="229"/>
      <c r="AF5" s="229"/>
      <c r="AG5" s="470"/>
      <c r="AH5" s="471" t="str">
        <f>(IF(('IMPORTAÇÃO GENOTIPER'!$AM$4="Y"),"XY",(IF(('IMPORTAÇÃO GENOTIPER'!$AM$4="X"),"XX","ERRO"))))</f>
        <v>XY</v>
      </c>
      <c r="AJ5" s="230"/>
      <c r="AK5" s="230"/>
      <c r="AL5" s="230"/>
      <c r="AM5" s="233" t="str">
        <f>IF(('SUPERVISÃO 2'!$AB$34="EVIDÊNCIA DE TROCA"),"VERIFICAR","OK")</f>
        <v>OK</v>
      </c>
      <c r="AN5" s="234"/>
    </row>
    <row r="6" spans="1:80" ht="14.45" customHeight="1" thickTop="1" thickBot="1" x14ac:dyDescent="0.3">
      <c r="A6" s="468" t="s">
        <v>93</v>
      </c>
      <c r="B6" s="232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29"/>
      <c r="AC6" s="229"/>
      <c r="AD6" s="229"/>
      <c r="AE6" s="229"/>
      <c r="AF6" s="229"/>
      <c r="AG6" s="426"/>
      <c r="AH6" s="472" t="str">
        <f>(IF(('IMPORTAÇÃO GENOTIPER'!$BC$4="Y"),"XY",(IF(('IMPORTAÇÃO GENOTIPER'!$BC$4&lt;&gt;"Y"),"ERRO"))))</f>
        <v>XY</v>
      </c>
      <c r="AJ6" s="230" t="s">
        <v>149</v>
      </c>
      <c r="AK6" s="230"/>
      <c r="AL6" s="230"/>
      <c r="AM6" s="233" t="str">
        <f>IF(('SUPERVISÃO 3'!$AB$34="TROCA POSSÍVEL"),"VERIFICAR","OK")</f>
        <v>OK</v>
      </c>
      <c r="AN6" s="234"/>
      <c r="AO6" s="22"/>
      <c r="AZ6" s="353" t="s">
        <v>88</v>
      </c>
      <c r="BA6" s="354"/>
      <c r="BB6" s="31">
        <v>1E-3</v>
      </c>
      <c r="BH6" s="66"/>
      <c r="BI6" s="55"/>
      <c r="BJ6" s="55"/>
      <c r="BK6" s="55"/>
      <c r="BL6" s="55"/>
    </row>
    <row r="7" spans="1:80" s="22" customFormat="1" ht="14.45" customHeight="1" thickTop="1" thickBot="1" x14ac:dyDescent="0.25">
      <c r="A7" s="473" t="str">
        <f>IF(($BD$31=1)," DETECTADA 1 MUTAÇÃO MATERNA",IF(($BD$31=2)," DETECTADAS 2 MUTAÇÕES MATERNAS",IF(($BD$31&gt;=3)," DETECTADA EXCLUSÃO DE MÃE"," MATERNIDADE CONFIRMADA")))</f>
        <v xml:space="preserve"> MATERNIDADE CONFIRMADA</v>
      </c>
      <c r="B7" s="474"/>
      <c r="C7" s="475"/>
      <c r="D7" s="475"/>
      <c r="E7" s="475"/>
      <c r="F7" s="476"/>
      <c r="G7" s="475"/>
      <c r="H7" s="475"/>
      <c r="I7" s="475"/>
      <c r="J7" s="475"/>
      <c r="K7" s="475"/>
      <c r="L7" s="475"/>
      <c r="M7" s="475"/>
      <c r="N7" s="475"/>
      <c r="O7" s="475"/>
      <c r="P7" s="475"/>
      <c r="Q7" s="475"/>
      <c r="R7" s="475"/>
      <c r="S7" s="475"/>
      <c r="T7" s="475"/>
      <c r="U7" s="475"/>
      <c r="V7" s="475"/>
      <c r="W7" s="475"/>
      <c r="X7" s="475"/>
      <c r="Y7" s="475"/>
      <c r="Z7" s="475"/>
      <c r="AA7" s="475"/>
      <c r="AB7" s="475" t="s">
        <v>228</v>
      </c>
      <c r="AC7" s="475"/>
      <c r="AD7" s="475"/>
      <c r="AE7" s="475"/>
      <c r="AF7" s="475"/>
      <c r="AG7" s="475"/>
      <c r="AH7" s="477"/>
      <c r="AI7" s="3">
        <v>0.05</v>
      </c>
      <c r="AJ7" s="22" t="s">
        <v>150</v>
      </c>
      <c r="AM7" s="222" t="str">
        <f>IF(('SUPERVISÃO 4'!$AG$34="VERIFICAR"),"VERIFICAR","OK")</f>
        <v>OK</v>
      </c>
      <c r="AN7" s="73"/>
      <c r="AO7" s="22" t="s">
        <v>78</v>
      </c>
      <c r="AZ7" s="390" t="s">
        <v>87</v>
      </c>
      <c r="BA7" s="391"/>
      <c r="BB7" s="392"/>
      <c r="BF7" s="38"/>
      <c r="BG7" s="38"/>
      <c r="BI7" s="390" t="s">
        <v>108</v>
      </c>
      <c r="BJ7" s="391"/>
      <c r="BK7" s="392"/>
      <c r="BL7" s="393" t="s">
        <v>109</v>
      </c>
      <c r="BM7" s="394"/>
      <c r="BN7" s="395"/>
      <c r="BO7" s="396" t="s">
        <v>111</v>
      </c>
      <c r="BP7" s="397"/>
      <c r="BQ7" s="398"/>
    </row>
    <row r="8" spans="1:80" ht="11.1" customHeight="1" thickTop="1" thickBot="1" x14ac:dyDescent="0.3">
      <c r="A8" s="437" t="s">
        <v>50</v>
      </c>
      <c r="B8" s="438" t="s">
        <v>130</v>
      </c>
      <c r="C8" s="438"/>
      <c r="D8" s="438" t="s">
        <v>131</v>
      </c>
      <c r="E8" s="438"/>
      <c r="F8" s="438" t="s">
        <v>133</v>
      </c>
      <c r="G8" s="438"/>
      <c r="H8" s="438" t="s">
        <v>97</v>
      </c>
      <c r="I8" s="438"/>
      <c r="J8" s="438" t="s">
        <v>98</v>
      </c>
      <c r="K8" s="438"/>
      <c r="L8" s="438" t="s">
        <v>99</v>
      </c>
      <c r="M8" s="438"/>
      <c r="N8" s="438" t="s">
        <v>165</v>
      </c>
      <c r="O8" s="438"/>
      <c r="P8" s="438" t="s">
        <v>166</v>
      </c>
      <c r="Q8" s="438"/>
      <c r="R8" s="438" t="s">
        <v>167</v>
      </c>
      <c r="S8" s="438"/>
      <c r="T8" s="437" t="s">
        <v>135</v>
      </c>
      <c r="U8" s="437" t="s">
        <v>136</v>
      </c>
      <c r="V8" s="437" t="s">
        <v>137</v>
      </c>
      <c r="W8" s="439" t="s">
        <v>134</v>
      </c>
      <c r="X8" s="438" t="s">
        <v>138</v>
      </c>
      <c r="Y8" s="438"/>
      <c r="Z8" s="438" t="s">
        <v>141</v>
      </c>
      <c r="AA8" s="438"/>
      <c r="AB8" s="437" t="s">
        <v>145</v>
      </c>
      <c r="AC8" s="437" t="s">
        <v>147</v>
      </c>
      <c r="AD8" s="437" t="s">
        <v>146</v>
      </c>
      <c r="AE8" s="437" t="s">
        <v>148</v>
      </c>
      <c r="AF8" s="437" t="s">
        <v>160</v>
      </c>
      <c r="AG8" s="437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437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427" t="s">
        <v>143</v>
      </c>
      <c r="AJ8" s="112" t="s">
        <v>139</v>
      </c>
      <c r="AK8" s="112"/>
      <c r="AL8" s="112"/>
      <c r="AM8" s="228" t="s">
        <v>176</v>
      </c>
      <c r="AN8" s="228" t="s">
        <v>129</v>
      </c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0" t="s">
        <v>100</v>
      </c>
      <c r="BG8" s="50" t="s">
        <v>101</v>
      </c>
      <c r="BI8" s="13" t="s">
        <v>105</v>
      </c>
      <c r="BJ8" s="53" t="s">
        <v>106</v>
      </c>
      <c r="BK8" s="53" t="s">
        <v>107</v>
      </c>
      <c r="BL8" s="57" t="s">
        <v>105</v>
      </c>
      <c r="BM8" s="58" t="s">
        <v>112</v>
      </c>
      <c r="BN8" s="58" t="s">
        <v>110</v>
      </c>
      <c r="BO8" s="60" t="s">
        <v>105</v>
      </c>
      <c r="BP8" s="61" t="s">
        <v>113</v>
      </c>
      <c r="BQ8" s="62" t="s">
        <v>114</v>
      </c>
    </row>
    <row r="9" spans="1:80" ht="11.1" customHeight="1" thickTop="1" thickBot="1" x14ac:dyDescent="0.25">
      <c r="A9" s="439" t="s">
        <v>151</v>
      </c>
      <c r="B9" s="440">
        <f>'IMPORTAÇÃO GENOTIPER'!O5</f>
        <v>16</v>
      </c>
      <c r="C9" s="440">
        <f>'IMPORTAÇÃO GENOTIPER'!W5</f>
        <v>18</v>
      </c>
      <c r="D9" s="440">
        <f>'IMPORTAÇÃO GENOTIPER'!AE5</f>
        <v>15</v>
      </c>
      <c r="E9" s="440">
        <f>'IMPORTAÇÃO GENOTIPER'!AM5</f>
        <v>18</v>
      </c>
      <c r="F9" s="440">
        <f>'IMPORTAÇÃO GENOTIPER'!AU5</f>
        <v>14</v>
      </c>
      <c r="G9" s="440">
        <f>'IMPORTAÇÃO GENOTIPER'!BC5</f>
        <v>15</v>
      </c>
      <c r="H9" s="441">
        <f t="shared" ref="H9:M23" si="0">(IF(CODE(B9)=(60),($BF9-1),(IF(CODE(B9)=(62),($BG9+1),B9))))</f>
        <v>16</v>
      </c>
      <c r="I9" s="441">
        <f t="shared" si="0"/>
        <v>18</v>
      </c>
      <c r="J9" s="441">
        <f t="shared" si="0"/>
        <v>15</v>
      </c>
      <c r="K9" s="441">
        <f t="shared" si="0"/>
        <v>18</v>
      </c>
      <c r="L9" s="441">
        <f t="shared" si="0"/>
        <v>14</v>
      </c>
      <c r="M9" s="441">
        <f t="shared" si="0"/>
        <v>15</v>
      </c>
      <c r="N9" s="442">
        <f t="shared" ref="N9:N23" si="1">IF((H9&gt;I9),I9,H9)</f>
        <v>16</v>
      </c>
      <c r="O9" s="442">
        <f t="shared" ref="O9:O23" si="2">IF((I9&gt;H9),I9,H9)</f>
        <v>18</v>
      </c>
      <c r="P9" s="442">
        <f t="shared" ref="P9:P23" si="3">IF((J9&gt;K9),K9,J9)</f>
        <v>15</v>
      </c>
      <c r="Q9" s="442">
        <f t="shared" ref="Q9:Q23" si="4">IF((K9&gt;J9),K9,J9)</f>
        <v>18</v>
      </c>
      <c r="R9" s="442">
        <f t="shared" ref="R9:R23" si="5">IF((L9&gt;M9),M9,L9)</f>
        <v>14</v>
      </c>
      <c r="S9" s="442">
        <f t="shared" ref="S9:S23" si="6">IF((M9&gt;L9),M9,L9)</f>
        <v>15</v>
      </c>
      <c r="T9" s="442">
        <f t="shared" ref="T9:T23" si="7">IF((P9=N9),P9,(IF((P9=O9),P9,0)))</f>
        <v>0</v>
      </c>
      <c r="U9" s="442">
        <f t="shared" ref="U9:U23" si="8">IF((Q9=N9),Q9,(IF((Q9=O9),Q9,0)))</f>
        <v>18</v>
      </c>
      <c r="V9" s="443">
        <f>(IF((OR((P9="&gt;18"),(Q9="&gt;18"))),2,(IF(((T9+U9)=(P9+Q9)),0,1))))</f>
        <v>1</v>
      </c>
      <c r="W9" s="442">
        <f>IF(OR(($T9=$U9),($U9=0)),$T9,(IF(AND(($T9=0),($U9&lt;&gt;0)),$U9,$AJ$7)))</f>
        <v>18</v>
      </c>
      <c r="X9" s="444">
        <f>(ROUND( (IF((AND((T9=0),(U9=0))),D9,(IF((V9=2),S9,(IF((W9&lt;&gt;$AJ$7),(P9+Q9-W9),P9)))))),1))</f>
        <v>15</v>
      </c>
      <c r="Y9" s="442">
        <f>(IF((AND(($T9=0),($U9=0))),$E9,(IF(($W9&lt;&gt;$AJ$7),0,$Q9))))</f>
        <v>0</v>
      </c>
      <c r="Z9" s="442">
        <f t="shared" ref="Z9:Z23" si="9">(IF(OR((X9=R9),(X9=S9)),X9,0))</f>
        <v>15</v>
      </c>
      <c r="AA9" s="442">
        <f t="shared" ref="AA9:AA23" si="10">(IF(AND((V9=0),(Z9=0),(OR((S9=T9),(S9=U9)))),Y9,(IF((Y9&lt;&gt;0),(IF(OR((Y9=R9),(Y9=S9)),Y9,0)),0))))</f>
        <v>0</v>
      </c>
      <c r="AB9" s="445">
        <f>IF(X9=0,0,VLOOKUP(X9,FREQUENCIAS!$1:$1048576,(IF(($A9=FREQUENCIAS!$B$1),2,"ERRO")),FREQUENCIAS!$1:$1048576))</f>
        <v>0.290991</v>
      </c>
      <c r="AC9" s="445">
        <f>IF(Y9=0,0,VLOOKUP(Y9,FREQUENCIAS!$1:$1048576,(IF(($A9=FREQUENCIAS!$B$1),2,"ERRO")),FREQUENCIAS!$1:$1048576))</f>
        <v>0</v>
      </c>
      <c r="AD9" s="445"/>
      <c r="AE9" s="445"/>
      <c r="AF9" s="445"/>
      <c r="AG9" s="446">
        <f>(IF((A9="ERRO-FT"),"11",(IF((AND(($Z9=0),($AA9=0),(AX$32="S"))),0,(IF((AB9+AC9+AD9+AE9+AF9)&lt;=$AI$7,$AI$7,(AB9+AC9+AD9+AE9+AF9)))))))</f>
        <v>0.290991</v>
      </c>
      <c r="AH9" s="447">
        <f>(IF((A9="ERRO-FT"),"19",(IF((AND(($Z9=0),($AA9=0),($AX$31&gt;=3))),0,(IF((AND(($Z9=0),($AA9=0),(AX$32="S"))),$AY9,(IF(OR((AND(($B9=$C9),($C9=$D9),($D9=$E9),($E9=$F9),($F9=$G9))),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1.7182662006728731</v>
      </c>
      <c r="AI9" s="431">
        <f t="shared" ref="AI9:AI23" si="11">(IF((AH9=0),0,(AH9/(AH9+1))))</f>
        <v>0.63211844382553029</v>
      </c>
      <c r="AJ9" s="112"/>
      <c r="AK9" s="113">
        <f>IF(AG9=0,0,(1-AG9)^2)</f>
        <v>0.50269376208100003</v>
      </c>
      <c r="AL9" s="112"/>
      <c r="AM9" s="114" t="str">
        <f>IF((AND(($Z9=0),($AA9=0),($AX$31&gt;=3)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1 / 2F</v>
      </c>
      <c r="AN9" s="105" t="str">
        <f t="shared" ref="AN9:AN30" si="12">(IF((AND(($BD$31&lt;=2),(BD9=1))),"MT",(IF((AND(($BD$31&gt;2),(BD9=1))),"EM","OK"))))</f>
        <v>OK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0</v>
      </c>
      <c r="AY9" s="39">
        <f>BB9/BA9</f>
        <v>2.1857923497267755E-3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3">(IF((AND(($AX$32="N"),($AX$34="O"),($AX9=1))),1,$AH9))</f>
        <v>1.7182662006728731</v>
      </c>
      <c r="BD9" s="2">
        <f>IF((W9=0),1,0)</f>
        <v>0</v>
      </c>
      <c r="BE9" s="67"/>
      <c r="BF9" s="51">
        <v>8</v>
      </c>
      <c r="BG9" s="51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CORRETO</v>
      </c>
      <c r="BI9" s="56" t="str">
        <f t="shared" ref="BI9:BI30" si="14">IF(($W9=($BF9-1)),"&lt;",IF(($W9=($BG9+1)),"&gt;",""))</f>
        <v/>
      </c>
      <c r="BJ9" s="56">
        <f t="shared" ref="BJ9:BJ30" si="15">IF(($W9=($BF9-1)),$BF9,IF(($W9=($BG9-1)),$BG9,$W9))</f>
        <v>19</v>
      </c>
      <c r="BK9" s="56">
        <f t="shared" ref="BK9:BK23" si="16">(IF((OR(($W9=($BF9-1)),($W9=($BG9+1)))),(CONCATENATE((BI9),(BJ9))),$W9))</f>
        <v>18</v>
      </c>
      <c r="BL9" s="59" t="str">
        <f t="shared" ref="BL9:BL30" si="17">IF(($Z9=($BF9-1)),"&lt;",IF(($Z9=($BG9+1)),"&gt;",""))</f>
        <v/>
      </c>
      <c r="BM9" s="59">
        <f t="shared" ref="BM9:BM30" si="18">IF(($Z9=($BF9-1)),$BF9,IF(($Z9=($BG9+1)),$BG9,$Z9))</f>
        <v>15</v>
      </c>
      <c r="BN9" s="59">
        <f t="shared" ref="BN9:BN23" si="19">(IF((OR(($Z9=($BF9-1)),($Z9=($BG9+1)))),(CONCATENATE((BL9),(BM9))),$Z9))</f>
        <v>15</v>
      </c>
      <c r="BO9" s="37" t="str">
        <f>IF(($AA9=($BF9-1)),"&lt;",IF(($AA9=($BG9+1)),"&gt;",""))</f>
        <v/>
      </c>
      <c r="BP9" s="37">
        <f t="shared" ref="BP9:BP23" si="20">IF((AA9=($BF9-1)),BG9,IF((AA9=($BG9+1)),$BG9,AA9))</f>
        <v>0</v>
      </c>
      <c r="BQ9" s="37">
        <f t="shared" ref="BQ9:BQ23" si="21">(IF((OR(($AA9=($BF9-1)),($AA9=($BG9+1)))),(CONCATENATE((BO9),(BP9))),$AA9))</f>
        <v>0</v>
      </c>
      <c r="BT9" s="23">
        <v>9</v>
      </c>
      <c r="BU9" s="24" t="s">
        <v>103</v>
      </c>
    </row>
    <row r="10" spans="1:80" ht="11.1" customHeight="1" thickTop="1" thickBot="1" x14ac:dyDescent="0.25">
      <c r="A10" s="439" t="s">
        <v>218</v>
      </c>
      <c r="B10" s="440">
        <f>'IMPORTAÇÃO GENOTIPER'!O6</f>
        <v>15</v>
      </c>
      <c r="C10" s="440">
        <f>'IMPORTAÇÃO GENOTIPER'!W6</f>
        <v>16.3</v>
      </c>
      <c r="D10" s="440">
        <f>'IMPORTAÇÃO GENOTIPER'!AE6</f>
        <v>16.3</v>
      </c>
      <c r="E10" s="440">
        <f>'IMPORTAÇÃO GENOTIPER'!AM6</f>
        <v>19.3</v>
      </c>
      <c r="F10" s="440">
        <f>'IMPORTAÇÃO GENOTIPER'!AU6</f>
        <v>13</v>
      </c>
      <c r="G10" s="440">
        <f>'IMPORTAÇÃO GENOTIPER'!BC6</f>
        <v>19.3</v>
      </c>
      <c r="H10" s="441">
        <f t="shared" si="0"/>
        <v>15</v>
      </c>
      <c r="I10" s="441">
        <f t="shared" si="0"/>
        <v>16.3</v>
      </c>
      <c r="J10" s="441">
        <f t="shared" si="0"/>
        <v>16.3</v>
      </c>
      <c r="K10" s="441">
        <f t="shared" si="0"/>
        <v>19.3</v>
      </c>
      <c r="L10" s="441">
        <f t="shared" si="0"/>
        <v>13</v>
      </c>
      <c r="M10" s="441">
        <f t="shared" si="0"/>
        <v>19.3</v>
      </c>
      <c r="N10" s="442">
        <f t="shared" si="1"/>
        <v>15</v>
      </c>
      <c r="O10" s="442">
        <f t="shared" si="2"/>
        <v>16.3</v>
      </c>
      <c r="P10" s="442">
        <f t="shared" si="3"/>
        <v>16.3</v>
      </c>
      <c r="Q10" s="442">
        <f t="shared" si="4"/>
        <v>19.3</v>
      </c>
      <c r="R10" s="442">
        <f t="shared" si="5"/>
        <v>13</v>
      </c>
      <c r="S10" s="442">
        <f t="shared" si="6"/>
        <v>19.3</v>
      </c>
      <c r="T10" s="442">
        <f t="shared" si="7"/>
        <v>16.3</v>
      </c>
      <c r="U10" s="442">
        <f t="shared" si="8"/>
        <v>0</v>
      </c>
      <c r="V10" s="443">
        <f>(IF((OR((P10="&gt;36"),(Q10="&gt;36"))),2,(IF(((T10+U10)=(P10+Q10)),0,1))))</f>
        <v>1</v>
      </c>
      <c r="W10" s="442">
        <f t="shared" ref="W10:W23" si="22">IF(OR((T10=U10),(U10=0)),T10,(IF(AND((T10=0),(U10&lt;&gt;0)),U10,$AJ$7)))</f>
        <v>16.3</v>
      </c>
      <c r="X10" s="444">
        <f>(ROUND( (IF((AND((T10=0),(U10=0))),D10,(IF((V10=2),S10,(IF((W10&lt;&gt;$AJ$7),(P10+Q10-W10),P10)))))),1))</f>
        <v>19.3</v>
      </c>
      <c r="Y10" s="442">
        <f>(IF((AND((T10=0),(U10=0))),E10,(IF((W10&lt;&gt;$AJ$7),0,Q10))))</f>
        <v>0</v>
      </c>
      <c r="Z10" s="442">
        <f t="shared" si="9"/>
        <v>19.3</v>
      </c>
      <c r="AA10" s="442">
        <f t="shared" si="10"/>
        <v>0</v>
      </c>
      <c r="AB10" s="445">
        <f>IF(X10=0,0,VLOOKUP(X10,FREQUENCIAS!$1:$1048576,(IF(($A10=FREQUENCIAS!$C$1),3,"ERRO")),FREQUENCIAS!$1:$1048576))</f>
        <v>3.5999999999999999E-3</v>
      </c>
      <c r="AC10" s="445">
        <f>IF(Y10=0,0,VLOOKUP(Y10,FREQUENCIAS!$1:$1048576,(IF(($A10=FREQUENCIAS!$C$1),3,"ERRO")),FREQUENCIAS!$1:$1048576))</f>
        <v>0</v>
      </c>
      <c r="AD10" s="445"/>
      <c r="AE10" s="445"/>
      <c r="AF10" s="445"/>
      <c r="AG10" s="446">
        <f t="shared" ref="AG10:AG30" si="23">(IF((A10="ERRO-FT"),"11",(IF((AND(($Z10=0),($AA10=0),(AX$32="S"))),0,(IF((AB10+AC10+AD10+AE10+AF10)&lt;=$AI$7,$AI$7,(AB10+AC10+AD10+AE10+AF10)))))))</f>
        <v>0.05</v>
      </c>
      <c r="AH10" s="447">
        <f t="shared" ref="AH10:AH30" si="24">(IF((A10="ERRO-FT"),"19",(IF((AND(($Z10=0),($AA10=0),($AX$31&gt;=3))),0,(IF((AND(($Z10=0),($AA10=0),(AX$32="S"))),$AY10,(IF(OR((AND(($B10=$C10),($C10=$D10),($D10=$E10),($E10=$F10),($F10=$G10))),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10</v>
      </c>
      <c r="AI10" s="431">
        <f t="shared" si="11"/>
        <v>0.90909090909090906</v>
      </c>
      <c r="AJ10" s="112"/>
      <c r="AK10" s="113">
        <f t="shared" ref="AK10:AK30" si="25">IF(AG10=0,0,(1-AG10)^2)</f>
        <v>0.90249999999999997</v>
      </c>
      <c r="AL10" s="112"/>
      <c r="AM10" s="114" t="str">
        <f t="shared" ref="AM10:AM30" si="26">IF((AND(($Z10=0),($AA10=0),($AX$31&gt;=3))),"EXCLUI",(IF((AND(($Z10=0),($AA10=0),(AX$32="S"))),"MUTAÇÃO",(IF(OR((AND((B10=C10),(C10=D10),(D10=E10),(E10=F10),(F10=G10))),((AND((N10=P10),(P10=R10),(O10=Q10),(Q10=S10),(N10&lt;&gt;O10)))),(AND((D10=E10),(B10&lt;&gt;C10),(E10=F10),(F10=G10))),((AND((X10=Z10),(F10=G10))))),("1 / F"),("1 / 2F"))))))</f>
        <v>1 / 2F</v>
      </c>
      <c r="AN10" s="105" t="str">
        <f t="shared" si="12"/>
        <v>OK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7">IF(($AG10=0),1,0)</f>
        <v>0</v>
      </c>
      <c r="AY10" s="39">
        <f t="shared" ref="AY10:AY30" si="28">BB10/BA10</f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3"/>
        <v>10</v>
      </c>
      <c r="BD10" s="2">
        <f t="shared" ref="BD10:BD23" si="29">IF((W10=0),1,0)</f>
        <v>0</v>
      </c>
      <c r="BF10" s="52">
        <v>24</v>
      </c>
      <c r="BG10" s="52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6" t="str">
        <f t="shared" si="14"/>
        <v/>
      </c>
      <c r="BJ10" s="56">
        <f t="shared" si="15"/>
        <v>16.3</v>
      </c>
      <c r="BK10" s="56">
        <f t="shared" si="16"/>
        <v>16.3</v>
      </c>
      <c r="BL10" s="59" t="str">
        <f t="shared" si="17"/>
        <v/>
      </c>
      <c r="BM10" s="65">
        <f t="shared" si="18"/>
        <v>19.3</v>
      </c>
      <c r="BN10" s="59">
        <f t="shared" si="19"/>
        <v>19.3</v>
      </c>
      <c r="BO10" s="37" t="str">
        <f t="shared" ref="BO10:BO30" si="30">IF(($AA10=($BF10-1)),"&lt;",IF(($AA10=($BG10+1)),"&gt;",""))</f>
        <v/>
      </c>
      <c r="BP10" s="37">
        <f t="shared" si="20"/>
        <v>0</v>
      </c>
      <c r="BQ10" s="37">
        <f t="shared" si="21"/>
        <v>0</v>
      </c>
      <c r="BT10" s="23">
        <v>24</v>
      </c>
      <c r="BU10" s="24">
        <v>30</v>
      </c>
      <c r="BW10" s="1">
        <f t="shared" ref="BW10:CB10" si="31">(IF((B10=35.2),1,0))</f>
        <v>0</v>
      </c>
      <c r="BX10" s="1">
        <f t="shared" si="31"/>
        <v>0</v>
      </c>
      <c r="BY10" s="1">
        <f t="shared" si="31"/>
        <v>0</v>
      </c>
      <c r="BZ10" s="1">
        <f t="shared" si="31"/>
        <v>0</v>
      </c>
      <c r="CA10" s="1">
        <f t="shared" si="31"/>
        <v>0</v>
      </c>
      <c r="CB10" s="1">
        <f t="shared" si="31"/>
        <v>0</v>
      </c>
    </row>
    <row r="11" spans="1:80" ht="11.1" customHeight="1" thickTop="1" thickBot="1" x14ac:dyDescent="0.25">
      <c r="A11" s="439" t="s">
        <v>219</v>
      </c>
      <c r="B11" s="440">
        <f>'IMPORTAÇÃO GENOTIPER'!O7</f>
        <v>10</v>
      </c>
      <c r="C11" s="440">
        <f>'IMPORTAÇÃO GENOTIPER'!W7</f>
        <v>12</v>
      </c>
      <c r="D11" s="440">
        <f>'IMPORTAÇÃO GENOTIPER'!AE7</f>
        <v>10</v>
      </c>
      <c r="E11" s="440">
        <f>'IMPORTAÇÃO GENOTIPER'!AM7</f>
        <v>12</v>
      </c>
      <c r="F11" s="440">
        <f>'IMPORTAÇÃO GENOTIPER'!AU7</f>
        <v>10</v>
      </c>
      <c r="G11" s="440">
        <f>'IMPORTAÇÃO GENOTIPER'!BC7</f>
        <v>11</v>
      </c>
      <c r="H11" s="441">
        <f t="shared" si="0"/>
        <v>10</v>
      </c>
      <c r="I11" s="441">
        <f t="shared" si="0"/>
        <v>12</v>
      </c>
      <c r="J11" s="441">
        <f t="shared" si="0"/>
        <v>10</v>
      </c>
      <c r="K11" s="441">
        <f t="shared" si="0"/>
        <v>12</v>
      </c>
      <c r="L11" s="441">
        <f t="shared" si="0"/>
        <v>10</v>
      </c>
      <c r="M11" s="441">
        <f t="shared" si="0"/>
        <v>11</v>
      </c>
      <c r="N11" s="442">
        <f t="shared" si="1"/>
        <v>10</v>
      </c>
      <c r="O11" s="442">
        <f t="shared" si="2"/>
        <v>12</v>
      </c>
      <c r="P11" s="442">
        <f t="shared" si="3"/>
        <v>10</v>
      </c>
      <c r="Q11" s="442">
        <f t="shared" si="4"/>
        <v>12</v>
      </c>
      <c r="R11" s="442">
        <f t="shared" si="5"/>
        <v>10</v>
      </c>
      <c r="S11" s="442">
        <f t="shared" si="6"/>
        <v>11</v>
      </c>
      <c r="T11" s="442">
        <f t="shared" si="7"/>
        <v>10</v>
      </c>
      <c r="U11" s="442">
        <f t="shared" si="8"/>
        <v>12</v>
      </c>
      <c r="V11" s="443">
        <f>(IF((OR((P11="&gt;22"),(Q11="&gt;22"))),2,(IF(((T11+U11)=(P11+Q11)),0,1))))</f>
        <v>0</v>
      </c>
      <c r="W11" s="442" t="str">
        <f t="shared" si="22"/>
        <v>NÃO DEF</v>
      </c>
      <c r="X11" s="444">
        <f>(ROUND( (IF((AND((T11=0),(U11=0))),D11,(IF((V11=2),S11,(IF((W11&lt;&gt;$AJ$7),(P11+Q11-W11),P11)))))),1))</f>
        <v>10</v>
      </c>
      <c r="Y11" s="442">
        <f>(ROUND( (IF((AND((T11=0),(U11=0))),E11,(IF((W11&lt;&gt;$AJ$7),0,Q11)))),1))</f>
        <v>12</v>
      </c>
      <c r="Z11" s="442">
        <f t="shared" si="9"/>
        <v>10</v>
      </c>
      <c r="AA11" s="442">
        <f t="shared" si="10"/>
        <v>0</v>
      </c>
      <c r="AB11" s="445">
        <f>IF(X11=0,0,VLOOKUP(X11,FREQUENCIAS!$1:$1048576,(IF(($A11=FREQUENCIAS!$D$1),4,"ERRO")),FREQUENCIAS!$1:$1048576))</f>
        <v>0.2611</v>
      </c>
      <c r="AC11" s="445">
        <f>IF(Y11=0,0,VLOOKUP(Y11,FREQUENCIAS!$1:$1048576,(IF(($A11=FREQUENCIAS!$D$1),4,"ERRO")),FREQUENCIAS!$1:$1048576))</f>
        <v>7.3099999999999998E-2</v>
      </c>
      <c r="AD11" s="445"/>
      <c r="AE11" s="445"/>
      <c r="AF11" s="445"/>
      <c r="AG11" s="446">
        <f t="shared" si="23"/>
        <v>0.3342</v>
      </c>
      <c r="AH11" s="447">
        <f t="shared" si="24"/>
        <v>1.4961101137043686</v>
      </c>
      <c r="AI11" s="431">
        <f t="shared" si="11"/>
        <v>0.59937664828578285</v>
      </c>
      <c r="AJ11" s="112"/>
      <c r="AK11" s="113">
        <f t="shared" si="25"/>
        <v>0.44328963999999993</v>
      </c>
      <c r="AL11" s="112"/>
      <c r="AM11" s="114" t="str">
        <f t="shared" si="26"/>
        <v>1 / 2F</v>
      </c>
      <c r="AN11" s="105" t="str">
        <f t="shared" si="12"/>
        <v>OK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7"/>
        <v>0</v>
      </c>
      <c r="AY11" s="39">
        <f t="shared" si="28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3"/>
        <v>1.4961101137043686</v>
      </c>
      <c r="BD11" s="2">
        <f t="shared" si="29"/>
        <v>0</v>
      </c>
      <c r="BF11" s="52">
        <v>6</v>
      </c>
      <c r="BG11" s="52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CORRETO</v>
      </c>
      <c r="BI11" s="56" t="str">
        <f t="shared" si="14"/>
        <v/>
      </c>
      <c r="BJ11" s="56" t="str">
        <f t="shared" si="15"/>
        <v>NÃO DEF</v>
      </c>
      <c r="BK11" s="56" t="str">
        <f t="shared" si="16"/>
        <v>NÃO DEF</v>
      </c>
      <c r="BL11" s="59" t="str">
        <f t="shared" si="17"/>
        <v/>
      </c>
      <c r="BM11" s="59">
        <f t="shared" si="18"/>
        <v>10</v>
      </c>
      <c r="BN11" s="59">
        <f t="shared" si="19"/>
        <v>10</v>
      </c>
      <c r="BO11" s="37" t="str">
        <f t="shared" si="30"/>
        <v/>
      </c>
      <c r="BP11" s="37">
        <f t="shared" si="20"/>
        <v>0</v>
      </c>
      <c r="BQ11" s="37">
        <f t="shared" si="21"/>
        <v>0</v>
      </c>
      <c r="BT11" s="23">
        <v>10</v>
      </c>
      <c r="BU11" s="24">
        <v>10</v>
      </c>
    </row>
    <row r="12" spans="1:80" s="139" customFormat="1" ht="11.1" customHeight="1" thickTop="1" thickBot="1" x14ac:dyDescent="0.25">
      <c r="A12" s="448" t="s">
        <v>220</v>
      </c>
      <c r="B12" s="449" t="str">
        <f>'IMPORTAÇÃO GENOTIPER'!O8</f>
        <v>&lt;8</v>
      </c>
      <c r="C12" s="449">
        <f>'IMPORTAÇÃO GENOTIPER'!W8</f>
        <v>13</v>
      </c>
      <c r="D12" s="449" t="str">
        <f>'IMPORTAÇÃO GENOTIPER'!AE8</f>
        <v>&lt;8</v>
      </c>
      <c r="E12" s="449">
        <f>'IMPORTAÇÃO GENOTIPER'!AM8</f>
        <v>14</v>
      </c>
      <c r="F12" s="449">
        <f>'IMPORTAÇÃO GENOTIPER'!AU8</f>
        <v>13</v>
      </c>
      <c r="G12" s="449">
        <f>'IMPORTAÇÃO GENOTIPER'!BC8</f>
        <v>14</v>
      </c>
      <c r="H12" s="450">
        <f t="shared" si="0"/>
        <v>5</v>
      </c>
      <c r="I12" s="450">
        <f t="shared" si="0"/>
        <v>13</v>
      </c>
      <c r="J12" s="450">
        <f t="shared" si="0"/>
        <v>5</v>
      </c>
      <c r="K12" s="450">
        <f t="shared" si="0"/>
        <v>14</v>
      </c>
      <c r="L12" s="450">
        <f t="shared" si="0"/>
        <v>13</v>
      </c>
      <c r="M12" s="450">
        <f t="shared" si="0"/>
        <v>14</v>
      </c>
      <c r="N12" s="451">
        <f t="shared" si="1"/>
        <v>5</v>
      </c>
      <c r="O12" s="451">
        <f t="shared" si="2"/>
        <v>13</v>
      </c>
      <c r="P12" s="451">
        <f t="shared" si="3"/>
        <v>5</v>
      </c>
      <c r="Q12" s="451">
        <f t="shared" si="4"/>
        <v>14</v>
      </c>
      <c r="R12" s="451">
        <f t="shared" si="5"/>
        <v>13</v>
      </c>
      <c r="S12" s="451">
        <f t="shared" si="6"/>
        <v>14</v>
      </c>
      <c r="T12" s="451">
        <f t="shared" si="7"/>
        <v>5</v>
      </c>
      <c r="U12" s="451">
        <f t="shared" si="8"/>
        <v>0</v>
      </c>
      <c r="V12" s="452">
        <f>(IF((OR((P12="&gt;21"),(Q12="&gt;21"))),2,(IF(((T12+U12)=(P12+Q12)),0,1))))</f>
        <v>1</v>
      </c>
      <c r="W12" s="451">
        <f t="shared" si="22"/>
        <v>5</v>
      </c>
      <c r="X12" s="444">
        <f>(ROUND( (IF((AND((T12=0),(U12=0))),D12,(IF((V12=2),S12,(IF((W12&lt;&gt;$AJ$7),(P12+Q12-W12),P12)))))),1))</f>
        <v>14</v>
      </c>
      <c r="Y12" s="451">
        <f xml:space="preserve"> (IF((AND((T12=0),(U12=0))),E12,(IF((W12&lt;&gt;$AJ$7),0,Q12))))</f>
        <v>0</v>
      </c>
      <c r="Z12" s="451">
        <f t="shared" si="9"/>
        <v>14</v>
      </c>
      <c r="AA12" s="451">
        <f t="shared" si="10"/>
        <v>0</v>
      </c>
      <c r="AB12" s="453">
        <f>IF(X12=0,0,VLOOKUP(X12,FREQUENCIAS!$1:$1048576,(IF(($A12=FREQUENCIAS!$E$1),5,"ERRO")),FREQUENCIAS!$1:$1048576))</f>
        <v>0.30480000000000002</v>
      </c>
      <c r="AC12" s="453">
        <f>IF(Y12=0,0,VLOOKUP(Y12,FREQUENCIAS!$1:$1048576,(IF(($A12=FREQUENCIAS!$E$1),5,"ERRO")),FREQUENCIAS!$1:$1048576))</f>
        <v>0</v>
      </c>
      <c r="AD12" s="453"/>
      <c r="AE12" s="453"/>
      <c r="AF12" s="453"/>
      <c r="AG12" s="446">
        <f t="shared" si="23"/>
        <v>0.30480000000000002</v>
      </c>
      <c r="AH12" s="447">
        <f t="shared" si="24"/>
        <v>1.6404199475065615</v>
      </c>
      <c r="AI12" s="432">
        <f t="shared" si="11"/>
        <v>0.62127236580516887</v>
      </c>
      <c r="AJ12" s="135" t="s">
        <v>140</v>
      </c>
      <c r="AK12" s="113">
        <f t="shared" si="25"/>
        <v>0.48330304000000007</v>
      </c>
      <c r="AL12" s="135"/>
      <c r="AM12" s="114" t="str">
        <f t="shared" si="26"/>
        <v>1 / 2F</v>
      </c>
      <c r="AN12" s="138" t="str">
        <f t="shared" si="12"/>
        <v>OK</v>
      </c>
      <c r="AQ12" s="139" t="e">
        <f>(IF(OR((B12="&lt;6"),(B12="&gt;15"),(B12=11.3),(B12=15),(B12=#REF!),(B12=#REF!),(B12=#REF!),(B12=#REF!),(B12=#REF!),(B12=#REF!),(B12=#REF!),(B12=#REF!),(B12=#REF!)),1,0))</f>
        <v>#REF!</v>
      </c>
      <c r="AR12" s="139" t="e">
        <f>(IF(OR((C12="&lt;6"),(C12="&gt;15"),(C12=11.3),(C12=15),(C12=#REF!),(C12=#REF!),(C12=#REF!),(C12=#REF!),(C12=#REF!),(C12=#REF!),(C12=#REF!),(C12=#REF!),(C12=#REF!)),1,0))</f>
        <v>#REF!</v>
      </c>
      <c r="AS12" s="139" t="e">
        <f>(IF(OR((D12="&lt;6"),(D12="&gt;15"),(D12=11.3),(D12=15),(D12=#REF!),(D12=#REF!),(D12=#REF!),(D12=#REF!),(D12=#REF!),(D12=#REF!),(D12=#REF!),(D12=#REF!),(D12=#REF!)),1,0))</f>
        <v>#REF!</v>
      </c>
      <c r="AT12" s="139" t="e">
        <f>(IF(OR((E12="&lt;6"),(E12="&gt;15"),(E12=11.3),(E12=15),(E12=#REF!),(E12=#REF!),(E12=#REF!),(E12=#REF!),(E12=#REF!),(E12=#REF!),(E12=#REF!),(E12=#REF!),(E12=#REF!)),1,0))</f>
        <v>#REF!</v>
      </c>
      <c r="AU12" s="139" t="e">
        <f>(IF(OR((F12="&lt;6"),(F12="&gt;15"),(F12=11.3),(F12=15),(F12=#REF!),(F12=#REF!),(F12=#REF!),(F12=#REF!),(F12=#REF!),(F12=#REF!),(F12=#REF!),(F12=#REF!),(F12=#REF!)),1,0))</f>
        <v>#REF!</v>
      </c>
      <c r="AV12" s="139" t="e">
        <f>(IF(OR((G12="&lt;6"),(G12="&gt;15"),(G12=11.3),(G12=15),(G12=#REF!),(G12=#REF!),(G12=#REF!),(G12=#REF!),(G12=#REF!),(G12=#REF!),(G12=#REF!),(G12=#REF!),(G12=#REF!)),1,0))</f>
        <v>#REF!</v>
      </c>
      <c r="AX12" s="140">
        <f t="shared" si="27"/>
        <v>0</v>
      </c>
      <c r="AY12" s="39">
        <f t="shared" si="28"/>
        <v>0</v>
      </c>
      <c r="AZ12" s="142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3">
        <f t="shared" si="13"/>
        <v>1.6404199475065615</v>
      </c>
      <c r="BD12" s="144">
        <f t="shared" si="29"/>
        <v>0</v>
      </c>
      <c r="BF12" s="145">
        <v>6</v>
      </c>
      <c r="BG12" s="145">
        <v>15</v>
      </c>
      <c r="BH12" s="139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6" t="str">
        <f t="shared" si="14"/>
        <v>&lt;</v>
      </c>
      <c r="BJ12" s="126">
        <f t="shared" si="15"/>
        <v>6</v>
      </c>
      <c r="BK12" s="126" t="str">
        <f t="shared" si="16"/>
        <v>&lt;6</v>
      </c>
      <c r="BL12" s="126" t="str">
        <f t="shared" si="17"/>
        <v/>
      </c>
      <c r="BM12" s="126">
        <f t="shared" si="18"/>
        <v>14</v>
      </c>
      <c r="BN12" s="126">
        <f t="shared" si="19"/>
        <v>14</v>
      </c>
      <c r="BO12" s="126" t="str">
        <f t="shared" si="30"/>
        <v/>
      </c>
      <c r="BP12" s="126">
        <f t="shared" si="20"/>
        <v>0</v>
      </c>
      <c r="BQ12" s="126">
        <f t="shared" si="21"/>
        <v>0</v>
      </c>
      <c r="BT12" s="146">
        <v>9</v>
      </c>
      <c r="BU12" s="147">
        <v>12</v>
      </c>
    </row>
    <row r="13" spans="1:80" ht="11.1" customHeight="1" thickTop="1" thickBot="1" x14ac:dyDescent="0.25">
      <c r="A13" s="439" t="s">
        <v>157</v>
      </c>
      <c r="B13" s="440">
        <f>'IMPORTAÇÃO GENOTIPER'!O9</f>
        <v>8</v>
      </c>
      <c r="C13" s="440">
        <f>'IMPORTAÇÃO GENOTIPER'!W9</f>
        <v>10</v>
      </c>
      <c r="D13" s="440">
        <f>'IMPORTAÇÃO GENOTIPER'!AE9</f>
        <v>10</v>
      </c>
      <c r="E13" s="440">
        <f>'IMPORTAÇÃO GENOTIPER'!AM9</f>
        <v>12</v>
      </c>
      <c r="F13" s="440">
        <f>'IMPORTAÇÃO GENOTIPER'!AU9</f>
        <v>12</v>
      </c>
      <c r="G13" s="440">
        <f>'IMPORTAÇÃO GENOTIPER'!BC9</f>
        <v>12</v>
      </c>
      <c r="H13" s="441">
        <f t="shared" si="0"/>
        <v>8</v>
      </c>
      <c r="I13" s="441">
        <f t="shared" si="0"/>
        <v>10</v>
      </c>
      <c r="J13" s="441">
        <f t="shared" si="0"/>
        <v>10</v>
      </c>
      <c r="K13" s="441">
        <f t="shared" si="0"/>
        <v>12</v>
      </c>
      <c r="L13" s="441">
        <f t="shared" si="0"/>
        <v>12</v>
      </c>
      <c r="M13" s="441">
        <f t="shared" si="0"/>
        <v>12</v>
      </c>
      <c r="N13" s="442">
        <f t="shared" si="1"/>
        <v>8</v>
      </c>
      <c r="O13" s="442">
        <f t="shared" si="2"/>
        <v>10</v>
      </c>
      <c r="P13" s="442">
        <f t="shared" si="3"/>
        <v>10</v>
      </c>
      <c r="Q13" s="442">
        <f t="shared" si="4"/>
        <v>12</v>
      </c>
      <c r="R13" s="442">
        <f t="shared" si="5"/>
        <v>12</v>
      </c>
      <c r="S13" s="442">
        <f t="shared" si="6"/>
        <v>12</v>
      </c>
      <c r="T13" s="442">
        <f t="shared" si="7"/>
        <v>10</v>
      </c>
      <c r="U13" s="442">
        <f t="shared" si="8"/>
        <v>0</v>
      </c>
      <c r="V13" s="443">
        <f>(IF((OR((P13="&gt;21"),(Q13="&gt;21"))),2,(IF(((T13+U13)=(P13+Q13)),0,1))))</f>
        <v>1</v>
      </c>
      <c r="W13" s="442">
        <f t="shared" si="22"/>
        <v>10</v>
      </c>
      <c r="X13" s="444">
        <f t="shared" ref="X13:X30" si="32">(ROUND( (IF((AND((T13=0),(U13=0))),D13,(IF((V13=2),S13,(IF((W13&lt;&gt;$AJ$7),(P13+Q13-W13),P13)))))),1))</f>
        <v>12</v>
      </c>
      <c r="Y13" s="442">
        <f t="shared" ref="Y13:Y23" si="33">(IF((AND((T13=0),(U13=0))),E13,(IF((W13&lt;&gt;$AJ$7),0,Q13))))</f>
        <v>0</v>
      </c>
      <c r="Z13" s="442">
        <f t="shared" si="9"/>
        <v>12</v>
      </c>
      <c r="AA13" s="442">
        <f t="shared" si="10"/>
        <v>0</v>
      </c>
      <c r="AB13" s="445">
        <f>IF(X13=0,0,VLOOKUP(X13,FREQUENCIAS!$1:$1048576,(IF(($A13=FREQUENCIAS!$F$1),6,"ERRO")),FREQUENCIAS!$1:$1048576))</f>
        <v>0.29337999999999997</v>
      </c>
      <c r="AC13" s="445">
        <f>IF(Y13=0,0,VLOOKUP(Y13,FREQUENCIAS!$1:$1048576,(IF(($A13=FREQUENCIAS!$F$1),6,"ERRO")),FREQUENCIAS!$1:$1048576))</f>
        <v>0</v>
      </c>
      <c r="AD13" s="445"/>
      <c r="AE13" s="445"/>
      <c r="AF13" s="445"/>
      <c r="AG13" s="446">
        <f t="shared" si="23"/>
        <v>0.29337999999999997</v>
      </c>
      <c r="AH13" s="447">
        <f t="shared" si="24"/>
        <v>3.408548639989093</v>
      </c>
      <c r="AI13" s="431">
        <f t="shared" si="11"/>
        <v>0.77316797847500363</v>
      </c>
      <c r="AJ13" s="112" t="s">
        <v>163</v>
      </c>
      <c r="AK13" s="113">
        <f t="shared" si="25"/>
        <v>0.49931182440000005</v>
      </c>
      <c r="AL13" s="112"/>
      <c r="AM13" s="114" t="str">
        <f t="shared" si="26"/>
        <v>1 / F</v>
      </c>
      <c r="AN13" s="105" t="str">
        <f t="shared" si="12"/>
        <v>OK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7"/>
        <v>0</v>
      </c>
      <c r="AY13" s="39">
        <f t="shared" si="28"/>
        <v>2.4604569420035153E-3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3"/>
        <v>3.408548639989093</v>
      </c>
      <c r="BD13" s="2">
        <f t="shared" si="29"/>
        <v>0</v>
      </c>
      <c r="BF13" s="52">
        <v>12</v>
      </c>
      <c r="BG13" s="52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6" t="str">
        <f t="shared" si="14"/>
        <v/>
      </c>
      <c r="BJ13" s="56">
        <f t="shared" si="15"/>
        <v>10</v>
      </c>
      <c r="BK13" s="56">
        <f t="shared" si="16"/>
        <v>10</v>
      </c>
      <c r="BL13" s="59" t="str">
        <f t="shared" si="17"/>
        <v/>
      </c>
      <c r="BM13" s="59">
        <f t="shared" si="18"/>
        <v>12</v>
      </c>
      <c r="BN13" s="59">
        <f t="shared" si="19"/>
        <v>12</v>
      </c>
      <c r="BO13" s="37" t="str">
        <f t="shared" si="30"/>
        <v/>
      </c>
      <c r="BP13" s="37">
        <f t="shared" si="20"/>
        <v>0</v>
      </c>
      <c r="BQ13" s="37">
        <f t="shared" si="21"/>
        <v>0</v>
      </c>
      <c r="BT13" s="23">
        <v>12</v>
      </c>
      <c r="BU13" s="24">
        <v>15</v>
      </c>
    </row>
    <row r="14" spans="1:80" ht="11.1" customHeight="1" thickTop="1" thickBot="1" x14ac:dyDescent="0.25">
      <c r="A14" s="439" t="s">
        <v>226</v>
      </c>
      <c r="B14" s="440">
        <f>'IMPORTAÇÃO GENOTIPER'!O10</f>
        <v>11</v>
      </c>
      <c r="C14" s="440">
        <f>'IMPORTAÇÃO GENOTIPER'!W10</f>
        <v>11</v>
      </c>
      <c r="D14" s="440">
        <f>'IMPORTAÇÃO GENOTIPER'!AE10</f>
        <v>7</v>
      </c>
      <c r="E14" s="440">
        <f>'IMPORTAÇÃO GENOTIPER'!AM10</f>
        <v>11</v>
      </c>
      <c r="F14" s="440">
        <f>'IMPORTAÇÃO GENOTIPER'!AU10</f>
        <v>7</v>
      </c>
      <c r="G14" s="440">
        <f>'IMPORTAÇÃO GENOTIPER'!BC10</f>
        <v>12</v>
      </c>
      <c r="H14" s="441">
        <f t="shared" si="0"/>
        <v>11</v>
      </c>
      <c r="I14" s="441">
        <f t="shared" si="0"/>
        <v>11</v>
      </c>
      <c r="J14" s="441">
        <f t="shared" si="0"/>
        <v>7</v>
      </c>
      <c r="K14" s="441">
        <f t="shared" si="0"/>
        <v>11</v>
      </c>
      <c r="L14" s="441">
        <f t="shared" si="0"/>
        <v>7</v>
      </c>
      <c r="M14" s="441">
        <f t="shared" si="0"/>
        <v>12</v>
      </c>
      <c r="N14" s="442">
        <f t="shared" si="1"/>
        <v>11</v>
      </c>
      <c r="O14" s="442">
        <f t="shared" si="2"/>
        <v>11</v>
      </c>
      <c r="P14" s="442">
        <f t="shared" si="3"/>
        <v>7</v>
      </c>
      <c r="Q14" s="442">
        <f t="shared" si="4"/>
        <v>11</v>
      </c>
      <c r="R14" s="442">
        <f t="shared" si="5"/>
        <v>7</v>
      </c>
      <c r="S14" s="442">
        <f t="shared" si="6"/>
        <v>12</v>
      </c>
      <c r="T14" s="442">
        <f t="shared" si="7"/>
        <v>0</v>
      </c>
      <c r="U14" s="442">
        <f t="shared" si="8"/>
        <v>11</v>
      </c>
      <c r="V14" s="443">
        <f>(IF((OR((P14="&gt;20"),(Q14="&gt;20"))),2,(IF(((T14+U14)=(P14+Q14)),0,1))))</f>
        <v>1</v>
      </c>
      <c r="W14" s="442">
        <f t="shared" si="22"/>
        <v>11</v>
      </c>
      <c r="X14" s="444">
        <f t="shared" si="32"/>
        <v>7</v>
      </c>
      <c r="Y14" s="442">
        <f t="shared" si="33"/>
        <v>0</v>
      </c>
      <c r="Z14" s="442">
        <f t="shared" si="9"/>
        <v>7</v>
      </c>
      <c r="AA14" s="442">
        <f t="shared" si="10"/>
        <v>0</v>
      </c>
      <c r="AB14" s="445">
        <f>IF(X14=0,0,VLOOKUP(X14,FREQUENCIAS!$1:$1048576,(IF(($A14=FREQUENCIAS!$G$1),7,"ERRO")),FREQUENCIAS!$1:$1048576))</f>
        <v>0.10938299999999999</v>
      </c>
      <c r="AC14" s="445">
        <f>IF(Y14=0,0,VLOOKUP(Y14,FREQUENCIAS!$1:$1048576,(IF(($A14=FREQUENCIAS!$G$1),7,"ERRO")),FREQUENCIAS!$1:$1048576))</f>
        <v>0</v>
      </c>
      <c r="AD14" s="445"/>
      <c r="AE14" s="445"/>
      <c r="AF14" s="445"/>
      <c r="AG14" s="446">
        <f t="shared" si="23"/>
        <v>0.10938299999999999</v>
      </c>
      <c r="AH14" s="447">
        <f t="shared" si="24"/>
        <v>4.5710942285364276</v>
      </c>
      <c r="AI14" s="431">
        <f t="shared" si="11"/>
        <v>0.82050204879361588</v>
      </c>
      <c r="AJ14" s="112"/>
      <c r="AK14" s="113">
        <f t="shared" si="25"/>
        <v>0.79319864068900003</v>
      </c>
      <c r="AL14" s="112"/>
      <c r="AM14" s="114" t="str">
        <f t="shared" si="26"/>
        <v>1 / 2F</v>
      </c>
      <c r="AN14" s="105" t="str">
        <f t="shared" si="12"/>
        <v>OK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0</v>
      </c>
      <c r="AY14" s="39">
        <f t="shared" si="28"/>
        <v>2.0253164556962027E-3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3"/>
        <v>4.5710942285364276</v>
      </c>
      <c r="BD14" s="2">
        <f t="shared" si="29"/>
        <v>0</v>
      </c>
      <c r="BF14" s="52">
        <v>4</v>
      </c>
      <c r="BG14" s="52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CORRETO</v>
      </c>
      <c r="BI14" s="56" t="str">
        <f t="shared" si="14"/>
        <v/>
      </c>
      <c r="BJ14" s="56">
        <f t="shared" si="15"/>
        <v>11</v>
      </c>
      <c r="BK14" s="56">
        <f t="shared" si="16"/>
        <v>11</v>
      </c>
      <c r="BL14" s="59" t="str">
        <f t="shared" si="17"/>
        <v/>
      </c>
      <c r="BM14" s="59">
        <f t="shared" si="18"/>
        <v>7</v>
      </c>
      <c r="BN14" s="59">
        <f t="shared" si="19"/>
        <v>7</v>
      </c>
      <c r="BO14" s="37" t="str">
        <f t="shared" si="30"/>
        <v/>
      </c>
      <c r="BP14" s="37">
        <f t="shared" si="20"/>
        <v>0</v>
      </c>
      <c r="BQ14" s="37">
        <f t="shared" si="21"/>
        <v>0</v>
      </c>
      <c r="BT14" s="23">
        <v>5</v>
      </c>
      <c r="BU14" s="24">
        <v>11</v>
      </c>
    </row>
    <row r="15" spans="1:80" ht="11.1" customHeight="1" thickTop="1" thickBot="1" x14ac:dyDescent="0.25">
      <c r="A15" s="439" t="s">
        <v>159</v>
      </c>
      <c r="B15" s="440">
        <f>'IMPORTAÇÃO GENOTIPER'!O11</f>
        <v>8</v>
      </c>
      <c r="C15" s="440">
        <f>'IMPORTAÇÃO GENOTIPER'!W11</f>
        <v>12</v>
      </c>
      <c r="D15" s="440">
        <f>'IMPORTAÇÃO GENOTIPER'!AE11</f>
        <v>11</v>
      </c>
      <c r="E15" s="440">
        <f>'IMPORTAÇÃO GENOTIPER'!AM11</f>
        <v>12</v>
      </c>
      <c r="F15" s="440">
        <f>'IMPORTAÇÃO GENOTIPER'!AU11</f>
        <v>11</v>
      </c>
      <c r="G15" s="440">
        <f>'IMPORTAÇÃO GENOTIPER'!BC11</f>
        <v>12</v>
      </c>
      <c r="H15" s="441">
        <f t="shared" si="0"/>
        <v>8</v>
      </c>
      <c r="I15" s="441">
        <f t="shared" si="0"/>
        <v>12</v>
      </c>
      <c r="J15" s="441">
        <f t="shared" si="0"/>
        <v>11</v>
      </c>
      <c r="K15" s="441">
        <f t="shared" si="0"/>
        <v>12</v>
      </c>
      <c r="L15" s="441">
        <f t="shared" si="0"/>
        <v>11</v>
      </c>
      <c r="M15" s="441">
        <f t="shared" si="0"/>
        <v>12</v>
      </c>
      <c r="N15" s="442">
        <f t="shared" si="1"/>
        <v>8</v>
      </c>
      <c r="O15" s="442">
        <f t="shared" si="2"/>
        <v>12</v>
      </c>
      <c r="P15" s="442">
        <f t="shared" si="3"/>
        <v>11</v>
      </c>
      <c r="Q15" s="442">
        <f t="shared" si="4"/>
        <v>12</v>
      </c>
      <c r="R15" s="442">
        <f t="shared" si="5"/>
        <v>11</v>
      </c>
      <c r="S15" s="442">
        <f t="shared" si="6"/>
        <v>12</v>
      </c>
      <c r="T15" s="442">
        <f t="shared" si="7"/>
        <v>0</v>
      </c>
      <c r="U15" s="442">
        <f t="shared" si="8"/>
        <v>12</v>
      </c>
      <c r="V15" s="443">
        <f>(IF((OR((P15="&gt;23"),(Q15="&gt;23"))),2,(IF(((T15+U15)=(P15+Q15)),0,1))))</f>
        <v>1</v>
      </c>
      <c r="W15" s="442">
        <f t="shared" si="22"/>
        <v>12</v>
      </c>
      <c r="X15" s="444">
        <f t="shared" si="32"/>
        <v>11</v>
      </c>
      <c r="Y15" s="442">
        <f t="shared" si="33"/>
        <v>0</v>
      </c>
      <c r="Z15" s="442">
        <f t="shared" si="9"/>
        <v>11</v>
      </c>
      <c r="AA15" s="442">
        <f t="shared" si="10"/>
        <v>0</v>
      </c>
      <c r="AB15" s="445">
        <f>IF(X15=0,0,VLOOKUP(X15,FREQUENCIAS!$1:$1048576,(IF(($A15=FREQUENCIAS!$H$1),8,"ERRO")),FREQUENCIAS!$1:$1048576))</f>
        <v>0.28868100000000002</v>
      </c>
      <c r="AC15" s="445">
        <f>IF(Y15=0,0,VLOOKUP(Y15,FREQUENCIAS!$1:$1048576,(IF(($A15=FREQUENCIAS!$H$1),8,"ERRO")),FREQUENCIAS!$1:$1048576))</f>
        <v>0</v>
      </c>
      <c r="AD15" s="445"/>
      <c r="AE15" s="445"/>
      <c r="AF15" s="445"/>
      <c r="AG15" s="446">
        <f t="shared" si="23"/>
        <v>0.28868100000000002</v>
      </c>
      <c r="AH15" s="447">
        <f t="shared" si="24"/>
        <v>1.7320156158527924</v>
      </c>
      <c r="AI15" s="431">
        <f t="shared" si="11"/>
        <v>0.63396988135887633</v>
      </c>
      <c r="AJ15" s="112"/>
      <c r="AK15" s="113">
        <f t="shared" si="25"/>
        <v>0.50597471976100006</v>
      </c>
      <c r="AL15" s="112"/>
      <c r="AM15" s="114" t="str">
        <f t="shared" si="26"/>
        <v>1 / 2F</v>
      </c>
      <c r="AN15" s="105" t="str">
        <f t="shared" si="12"/>
        <v>OK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7"/>
        <v>0</v>
      </c>
      <c r="AY15" s="39">
        <f t="shared" si="28"/>
        <v>1.4588859416445625E-3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3"/>
        <v>1.7320156158527924</v>
      </c>
      <c r="BD15" s="2">
        <f t="shared" si="29"/>
        <v>0</v>
      </c>
      <c r="BF15" s="52">
        <v>8</v>
      </c>
      <c r="BG15" s="52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CORRETO</v>
      </c>
      <c r="BI15" s="56" t="str">
        <f t="shared" si="14"/>
        <v/>
      </c>
      <c r="BJ15" s="56">
        <f t="shared" si="15"/>
        <v>12</v>
      </c>
      <c r="BK15" s="56">
        <f t="shared" si="16"/>
        <v>12</v>
      </c>
      <c r="BL15" s="59" t="str">
        <f t="shared" si="17"/>
        <v/>
      </c>
      <c r="BM15" s="59">
        <f t="shared" si="18"/>
        <v>11</v>
      </c>
      <c r="BN15" s="59">
        <f t="shared" si="19"/>
        <v>11</v>
      </c>
      <c r="BO15" s="37" t="str">
        <f t="shared" si="30"/>
        <v/>
      </c>
      <c r="BP15" s="37">
        <f t="shared" si="20"/>
        <v>0</v>
      </c>
      <c r="BQ15" s="37">
        <f t="shared" si="21"/>
        <v>0</v>
      </c>
      <c r="BT15" s="23">
        <v>8</v>
      </c>
      <c r="BU15" s="24">
        <v>11</v>
      </c>
    </row>
    <row r="16" spans="1:80" ht="11.1" customHeight="1" thickTop="1" thickBot="1" x14ac:dyDescent="0.25">
      <c r="A16" s="439" t="s">
        <v>155</v>
      </c>
      <c r="B16" s="440">
        <f>'IMPORTAÇÃO GENOTIPER'!O12</f>
        <v>15</v>
      </c>
      <c r="C16" s="440">
        <f>'IMPORTAÇÃO GENOTIPER'!W12</f>
        <v>20</v>
      </c>
      <c r="D16" s="440">
        <f>'IMPORTAÇÃO GENOTIPER'!AE12</f>
        <v>15</v>
      </c>
      <c r="E16" s="440">
        <f>'IMPORTAÇÃO GENOTIPER'!AM12</f>
        <v>18</v>
      </c>
      <c r="F16" s="440">
        <f>'IMPORTAÇÃO GENOTIPER'!AU12</f>
        <v>14</v>
      </c>
      <c r="G16" s="440">
        <f>'IMPORTAÇÃO GENOTIPER'!BC12</f>
        <v>18</v>
      </c>
      <c r="H16" s="441">
        <f t="shared" si="0"/>
        <v>15</v>
      </c>
      <c r="I16" s="441">
        <f t="shared" si="0"/>
        <v>20</v>
      </c>
      <c r="J16" s="441">
        <f t="shared" si="0"/>
        <v>15</v>
      </c>
      <c r="K16" s="441">
        <f t="shared" si="0"/>
        <v>18</v>
      </c>
      <c r="L16" s="441">
        <f t="shared" si="0"/>
        <v>14</v>
      </c>
      <c r="M16" s="441">
        <f t="shared" si="0"/>
        <v>18</v>
      </c>
      <c r="N16" s="442">
        <f t="shared" si="1"/>
        <v>15</v>
      </c>
      <c r="O16" s="442">
        <f t="shared" si="2"/>
        <v>20</v>
      </c>
      <c r="P16" s="442">
        <f t="shared" si="3"/>
        <v>15</v>
      </c>
      <c r="Q16" s="442">
        <f t="shared" si="4"/>
        <v>18</v>
      </c>
      <c r="R16" s="442">
        <f t="shared" si="5"/>
        <v>14</v>
      </c>
      <c r="S16" s="442">
        <f t="shared" si="6"/>
        <v>18</v>
      </c>
      <c r="T16" s="442">
        <f t="shared" si="7"/>
        <v>15</v>
      </c>
      <c r="U16" s="442">
        <f t="shared" si="8"/>
        <v>0</v>
      </c>
      <c r="V16" s="443">
        <f>(IF((OR((P16="&gt;22"),(Q16="&gt;22"))),2,(IF(((T16+U16)=(P16+Q16)),0,1))))</f>
        <v>1</v>
      </c>
      <c r="W16" s="442">
        <f t="shared" si="22"/>
        <v>15</v>
      </c>
      <c r="X16" s="444">
        <f t="shared" si="32"/>
        <v>18</v>
      </c>
      <c r="Y16" s="442">
        <f t="shared" si="33"/>
        <v>0</v>
      </c>
      <c r="Z16" s="442">
        <f t="shared" si="9"/>
        <v>18</v>
      </c>
      <c r="AA16" s="442">
        <f t="shared" si="10"/>
        <v>0</v>
      </c>
      <c r="AB16" s="445">
        <f>IF(X16=0,0,VLOOKUP(X16,FREQUENCIAS!$1:$1048576,(IF(($A16=FREQUENCIAS!$I$1),9,"ERRO")),FREQUENCIAS!$1:$1048576))</f>
        <v>7.7560000000000004E-2</v>
      </c>
      <c r="AC16" s="445">
        <f>IF(Y16=0,0,VLOOKUP(Y16,FREQUENCIAS!$1:$1048576,(IF(($A16=FREQUENCIAS!$I$1),9,"ERRO")),FREQUENCIAS!$1:$1048576))</f>
        <v>0</v>
      </c>
      <c r="AD16" s="445"/>
      <c r="AE16" s="445"/>
      <c r="AF16" s="445"/>
      <c r="AG16" s="446">
        <f t="shared" si="23"/>
        <v>7.7560000000000004E-2</v>
      </c>
      <c r="AH16" s="447">
        <f t="shared" si="24"/>
        <v>6.4466219700876737</v>
      </c>
      <c r="AI16" s="431">
        <f t="shared" si="11"/>
        <v>0.86571092180898956</v>
      </c>
      <c r="AJ16" s="112"/>
      <c r="AK16" s="113">
        <f t="shared" si="25"/>
        <v>0.85089555360000002</v>
      </c>
      <c r="AL16" s="112"/>
      <c r="AM16" s="114" t="str">
        <f t="shared" si="26"/>
        <v>1 / 2F</v>
      </c>
      <c r="AN16" s="105" t="str">
        <f t="shared" si="12"/>
        <v>OK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7"/>
        <v>0</v>
      </c>
      <c r="AY16" s="39">
        <f t="shared" si="28"/>
        <v>2.917771883289125E-3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3"/>
        <v>6.4466219700876737</v>
      </c>
      <c r="BD16" s="2">
        <f t="shared" si="29"/>
        <v>0</v>
      </c>
      <c r="BF16" s="52">
        <v>5</v>
      </c>
      <c r="BG16" s="52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6" t="str">
        <f t="shared" si="14"/>
        <v/>
      </c>
      <c r="BJ16" s="56">
        <f t="shared" si="15"/>
        <v>15</v>
      </c>
      <c r="BK16" s="56">
        <f t="shared" si="16"/>
        <v>15</v>
      </c>
      <c r="BL16" s="59" t="str">
        <f t="shared" si="17"/>
        <v/>
      </c>
      <c r="BM16" s="59">
        <f t="shared" si="18"/>
        <v>18</v>
      </c>
      <c r="BN16" s="59">
        <f t="shared" si="19"/>
        <v>18</v>
      </c>
      <c r="BO16" s="37" t="str">
        <f t="shared" si="30"/>
        <v/>
      </c>
      <c r="BP16" s="37">
        <f t="shared" si="20"/>
        <v>0</v>
      </c>
      <c r="BQ16" s="37">
        <f t="shared" si="21"/>
        <v>0</v>
      </c>
      <c r="BT16" s="23">
        <v>9</v>
      </c>
      <c r="BU16" s="24">
        <v>10</v>
      </c>
    </row>
    <row r="17" spans="1:80" ht="11.1" customHeight="1" thickTop="1" thickBot="1" x14ac:dyDescent="0.25">
      <c r="A17" s="439" t="s">
        <v>51</v>
      </c>
      <c r="B17" s="440">
        <f>'IMPORTAÇÃO GENOTIPER'!O13</f>
        <v>20</v>
      </c>
      <c r="C17" s="440">
        <f>'IMPORTAÇÃO GENOTIPER'!W13</f>
        <v>22</v>
      </c>
      <c r="D17" s="440">
        <f>'IMPORTAÇÃO GENOTIPER'!AE13</f>
        <v>17</v>
      </c>
      <c r="E17" s="440">
        <f>'IMPORTAÇÃO GENOTIPER'!AM13</f>
        <v>20</v>
      </c>
      <c r="F17" s="440">
        <f>'IMPORTAÇÃO GENOTIPER'!AU13</f>
        <v>17</v>
      </c>
      <c r="G17" s="440">
        <f>'IMPORTAÇÃO GENOTIPER'!BC13</f>
        <v>17</v>
      </c>
      <c r="H17" s="441">
        <f t="shared" si="0"/>
        <v>20</v>
      </c>
      <c r="I17" s="441">
        <f t="shared" si="0"/>
        <v>22</v>
      </c>
      <c r="J17" s="441">
        <f t="shared" si="0"/>
        <v>17</v>
      </c>
      <c r="K17" s="441">
        <f t="shared" si="0"/>
        <v>20</v>
      </c>
      <c r="L17" s="441">
        <f t="shared" si="0"/>
        <v>17</v>
      </c>
      <c r="M17" s="441">
        <f t="shared" si="0"/>
        <v>17</v>
      </c>
      <c r="N17" s="442">
        <f t="shared" si="1"/>
        <v>20</v>
      </c>
      <c r="O17" s="442">
        <f t="shared" si="2"/>
        <v>22</v>
      </c>
      <c r="P17" s="442">
        <f t="shared" si="3"/>
        <v>17</v>
      </c>
      <c r="Q17" s="442">
        <f t="shared" si="4"/>
        <v>20</v>
      </c>
      <c r="R17" s="442">
        <f t="shared" si="5"/>
        <v>17</v>
      </c>
      <c r="S17" s="442">
        <f t="shared" si="6"/>
        <v>17</v>
      </c>
      <c r="T17" s="442">
        <f t="shared" si="7"/>
        <v>0</v>
      </c>
      <c r="U17" s="442">
        <f t="shared" si="8"/>
        <v>20</v>
      </c>
      <c r="V17" s="443">
        <f>(IF((OR((P17="&gt;28"),(Q17="&gt;28"))),2,(IF(((T17+U17)=(P17+Q17)),0,1))))</f>
        <v>1</v>
      </c>
      <c r="W17" s="442">
        <f t="shared" si="22"/>
        <v>20</v>
      </c>
      <c r="X17" s="444">
        <f t="shared" si="32"/>
        <v>17</v>
      </c>
      <c r="Y17" s="442">
        <f t="shared" si="33"/>
        <v>0</v>
      </c>
      <c r="Z17" s="442">
        <f t="shared" si="9"/>
        <v>17</v>
      </c>
      <c r="AA17" s="442">
        <f t="shared" si="10"/>
        <v>0</v>
      </c>
      <c r="AB17" s="445">
        <f>IF(X17=0,0,VLOOKUP(X17,FREQUENCIAS!$1:$1048576,(IF(($A17=FREQUENCIAS!$J$1),10,"ERRO")),FREQUENCIAS!$1:$1048576))</f>
        <v>0.2077</v>
      </c>
      <c r="AC17" s="445">
        <f>IF(Y17=0,0,VLOOKUP(Y17,FREQUENCIAS!$1:$1048576,(IF(($A17=FREQUENCIAS!$J$1),10,"ERRO")),FREQUENCIAS!$1:$1048576))</f>
        <v>0</v>
      </c>
      <c r="AD17" s="445"/>
      <c r="AE17" s="445"/>
      <c r="AF17" s="445"/>
      <c r="AG17" s="446">
        <f t="shared" si="23"/>
        <v>0.2077</v>
      </c>
      <c r="AH17" s="447">
        <f t="shared" si="24"/>
        <v>4.8146364949446321</v>
      </c>
      <c r="AI17" s="431">
        <f t="shared" si="11"/>
        <v>0.82802020369297014</v>
      </c>
      <c r="AJ17" s="112" t="s">
        <v>173</v>
      </c>
      <c r="AK17" s="113">
        <f t="shared" si="25"/>
        <v>0.62773929000000006</v>
      </c>
      <c r="AL17" s="112"/>
      <c r="AM17" s="114" t="str">
        <f t="shared" si="26"/>
        <v>1 / F</v>
      </c>
      <c r="AN17" s="105" t="str">
        <f t="shared" si="12"/>
        <v>OK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7"/>
        <v>0</v>
      </c>
      <c r="AY17" s="39">
        <f t="shared" si="28"/>
        <v>1.6787912702853943E-3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3"/>
        <v>4.8146364949446321</v>
      </c>
      <c r="BD17" s="2">
        <f t="shared" si="29"/>
        <v>0</v>
      </c>
      <c r="BF17" s="52">
        <v>15</v>
      </c>
      <c r="BG17" s="52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CORRETO</v>
      </c>
      <c r="BI17" s="56" t="str">
        <f t="shared" si="14"/>
        <v/>
      </c>
      <c r="BJ17" s="56">
        <f t="shared" si="15"/>
        <v>20</v>
      </c>
      <c r="BK17" s="56">
        <f t="shared" si="16"/>
        <v>20</v>
      </c>
      <c r="BL17" s="59" t="str">
        <f t="shared" si="17"/>
        <v/>
      </c>
      <c r="BM17" s="59">
        <f t="shared" si="18"/>
        <v>17</v>
      </c>
      <c r="BN17" s="59">
        <f t="shared" si="19"/>
        <v>17</v>
      </c>
      <c r="BO17" s="37" t="str">
        <f t="shared" si="30"/>
        <v/>
      </c>
      <c r="BP17" s="37">
        <f t="shared" si="20"/>
        <v>0</v>
      </c>
      <c r="BQ17" s="37">
        <f t="shared" si="21"/>
        <v>0</v>
      </c>
      <c r="BT17" s="23">
        <v>23</v>
      </c>
      <c r="BU17" s="24">
        <v>24</v>
      </c>
    </row>
    <row r="18" spans="1:80" ht="11.1" customHeight="1" thickTop="1" thickBot="1" x14ac:dyDescent="0.25">
      <c r="A18" s="439" t="s">
        <v>132</v>
      </c>
      <c r="B18" s="440">
        <f>'IMPORTAÇÃO GENOTIPER'!O14</f>
        <v>10</v>
      </c>
      <c r="C18" s="440">
        <f>'IMPORTAÇÃO GENOTIPER'!W14</f>
        <v>11</v>
      </c>
      <c r="D18" s="440">
        <f>'IMPORTAÇÃO GENOTIPER'!AE14</f>
        <v>10</v>
      </c>
      <c r="E18" s="440">
        <f>'IMPORTAÇÃO GENOTIPER'!AM14</f>
        <v>10</v>
      </c>
      <c r="F18" s="440">
        <f>'IMPORTAÇÃO GENOTIPER'!AU14</f>
        <v>10</v>
      </c>
      <c r="G18" s="440">
        <f>'IMPORTAÇÃO GENOTIPER'!BC14</f>
        <v>10</v>
      </c>
      <c r="H18" s="441">
        <f t="shared" si="0"/>
        <v>10</v>
      </c>
      <c r="I18" s="441">
        <f t="shared" si="0"/>
        <v>11</v>
      </c>
      <c r="J18" s="441">
        <f t="shared" si="0"/>
        <v>10</v>
      </c>
      <c r="K18" s="441">
        <f t="shared" si="0"/>
        <v>10</v>
      </c>
      <c r="L18" s="441">
        <f t="shared" si="0"/>
        <v>10</v>
      </c>
      <c r="M18" s="441">
        <f t="shared" si="0"/>
        <v>10</v>
      </c>
      <c r="N18" s="442">
        <f t="shared" si="1"/>
        <v>10</v>
      </c>
      <c r="O18" s="442">
        <f t="shared" si="2"/>
        <v>11</v>
      </c>
      <c r="P18" s="442">
        <f t="shared" si="3"/>
        <v>10</v>
      </c>
      <c r="Q18" s="442">
        <f t="shared" si="4"/>
        <v>10</v>
      </c>
      <c r="R18" s="442">
        <f t="shared" si="5"/>
        <v>10</v>
      </c>
      <c r="S18" s="442">
        <f t="shared" si="6"/>
        <v>10</v>
      </c>
      <c r="T18" s="442">
        <f t="shared" si="7"/>
        <v>10</v>
      </c>
      <c r="U18" s="442">
        <f t="shared" si="8"/>
        <v>10</v>
      </c>
      <c r="V18" s="443">
        <f>(IF((OR((P18="&gt;17,2"),(Q18="&gt;17,2"))),2,(IF(((T18+U18)=(P18+Q18)),0,1))))</f>
        <v>0</v>
      </c>
      <c r="W18" s="442">
        <f t="shared" si="22"/>
        <v>10</v>
      </c>
      <c r="X18" s="444">
        <f t="shared" si="32"/>
        <v>10</v>
      </c>
      <c r="Y18" s="442">
        <f t="shared" si="33"/>
        <v>0</v>
      </c>
      <c r="Z18" s="442">
        <f t="shared" si="9"/>
        <v>10</v>
      </c>
      <c r="AA18" s="442">
        <f t="shared" si="10"/>
        <v>0</v>
      </c>
      <c r="AB18" s="445">
        <f>IF(X18=0,0,VLOOKUP(X18,FREQUENCIAS!$1:$1048576,(IF(($A18=FREQUENCIAS!$K$1),11,"ERRO")),FREQUENCIAS!$1:$1048576))</f>
        <v>0.262376</v>
      </c>
      <c r="AC18" s="445">
        <f>IF(Y18=0,0,VLOOKUP(Y18,FREQUENCIAS!$1:$1048576,(IF(($A18=FREQUENCIAS!$K$1),11,"ERRO")),FREQUENCIAS!$1:$1048576))</f>
        <v>0</v>
      </c>
      <c r="AD18" s="445"/>
      <c r="AE18" s="445"/>
      <c r="AF18" s="445"/>
      <c r="AG18" s="446">
        <f t="shared" si="23"/>
        <v>0.262376</v>
      </c>
      <c r="AH18" s="447">
        <f t="shared" si="24"/>
        <v>3.8113242064823001</v>
      </c>
      <c r="AI18" s="431">
        <f t="shared" si="11"/>
        <v>0.79215701185700604</v>
      </c>
      <c r="AJ18" s="112"/>
      <c r="AK18" s="113">
        <f t="shared" si="25"/>
        <v>0.54408916537600005</v>
      </c>
      <c r="AL18" s="112"/>
      <c r="AM18" s="114" t="str">
        <f t="shared" si="26"/>
        <v>1 / F</v>
      </c>
      <c r="AN18" s="105" t="str">
        <f t="shared" si="12"/>
        <v>OK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7"/>
        <v>0</v>
      </c>
      <c r="AY18" s="39">
        <f t="shared" si="28"/>
        <v>3.4408602150537634E-3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3"/>
        <v>3.8113242064823001</v>
      </c>
      <c r="BD18" s="2">
        <f t="shared" si="29"/>
        <v>0</v>
      </c>
      <c r="BF18" s="52">
        <v>9</v>
      </c>
      <c r="BG18" s="52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CORRETO</v>
      </c>
      <c r="BI18" s="56" t="str">
        <f t="shared" si="14"/>
        <v/>
      </c>
      <c r="BJ18" s="56">
        <f t="shared" si="15"/>
        <v>10</v>
      </c>
      <c r="BK18" s="56">
        <f t="shared" si="16"/>
        <v>10</v>
      </c>
      <c r="BL18" s="59" t="str">
        <f t="shared" si="17"/>
        <v/>
      </c>
      <c r="BM18" s="59">
        <f t="shared" si="18"/>
        <v>10</v>
      </c>
      <c r="BN18" s="59">
        <f t="shared" si="19"/>
        <v>10</v>
      </c>
      <c r="BO18" s="37" t="str">
        <f t="shared" si="30"/>
        <v/>
      </c>
      <c r="BP18" s="37">
        <f t="shared" si="20"/>
        <v>0</v>
      </c>
      <c r="BQ18" s="37">
        <f t="shared" si="21"/>
        <v>0</v>
      </c>
      <c r="BT18" s="23">
        <v>15</v>
      </c>
      <c r="BU18" s="24">
        <v>15</v>
      </c>
    </row>
    <row r="19" spans="1:80" ht="11.1" customHeight="1" thickTop="1" thickBot="1" x14ac:dyDescent="0.25">
      <c r="A19" s="439" t="s">
        <v>227</v>
      </c>
      <c r="B19" s="440">
        <f>'IMPORTAÇÃO GENOTIPER'!O15</f>
        <v>8</v>
      </c>
      <c r="C19" s="440">
        <f>'IMPORTAÇÃO GENOTIPER'!W15</f>
        <v>11</v>
      </c>
      <c r="D19" s="440">
        <f>'IMPORTAÇÃO GENOTIPER'!AE15</f>
        <v>11</v>
      </c>
      <c r="E19" s="440">
        <f>'IMPORTAÇÃO GENOTIPER'!AM15</f>
        <v>11</v>
      </c>
      <c r="F19" s="440">
        <f>'IMPORTAÇÃO GENOTIPER'!AU15</f>
        <v>11</v>
      </c>
      <c r="G19" s="440">
        <f>'IMPORTAÇÃO GENOTIPER'!BC15</f>
        <v>12</v>
      </c>
      <c r="H19" s="441">
        <f t="shared" si="0"/>
        <v>8</v>
      </c>
      <c r="I19" s="441">
        <f t="shared" si="0"/>
        <v>11</v>
      </c>
      <c r="J19" s="441">
        <f t="shared" si="0"/>
        <v>11</v>
      </c>
      <c r="K19" s="441">
        <f t="shared" si="0"/>
        <v>11</v>
      </c>
      <c r="L19" s="441">
        <f t="shared" si="0"/>
        <v>11</v>
      </c>
      <c r="M19" s="441">
        <f t="shared" si="0"/>
        <v>12</v>
      </c>
      <c r="N19" s="442">
        <f t="shared" si="1"/>
        <v>8</v>
      </c>
      <c r="O19" s="442">
        <f t="shared" si="2"/>
        <v>11</v>
      </c>
      <c r="P19" s="442">
        <f t="shared" si="3"/>
        <v>11</v>
      </c>
      <c r="Q19" s="442">
        <f t="shared" si="4"/>
        <v>11</v>
      </c>
      <c r="R19" s="442">
        <f t="shared" si="5"/>
        <v>11</v>
      </c>
      <c r="S19" s="442">
        <f t="shared" si="6"/>
        <v>12</v>
      </c>
      <c r="T19" s="442">
        <f t="shared" si="7"/>
        <v>11</v>
      </c>
      <c r="U19" s="442">
        <f t="shared" si="8"/>
        <v>11</v>
      </c>
      <c r="V19" s="443">
        <f>(IF((OR((P19="&gt;21"),(Q19="&gt;21"))),2,(IF(((T19+U19)=(P19+Q19)),0,1))))</f>
        <v>0</v>
      </c>
      <c r="W19" s="442">
        <f t="shared" si="22"/>
        <v>11</v>
      </c>
      <c r="X19" s="444">
        <f t="shared" si="32"/>
        <v>11</v>
      </c>
      <c r="Y19" s="442">
        <f t="shared" si="33"/>
        <v>0</v>
      </c>
      <c r="Z19" s="442">
        <f t="shared" si="9"/>
        <v>11</v>
      </c>
      <c r="AA19" s="442">
        <f t="shared" si="10"/>
        <v>0</v>
      </c>
      <c r="AB19" s="445">
        <f>IF(X19=0,0,VLOOKUP(X19,FREQUENCIAS!$1:$1048576,(IF(($A19=FREQUENCIAS!$L$1),12,"ERRO")),FREQUENCIAS!$1:$1048576))</f>
        <v>0.15679799999999999</v>
      </c>
      <c r="AC19" s="445">
        <f>IF(Y19=0,0,VLOOKUP(Y19,FREQUENCIAS!$1:$1048576,(IF(($A19=FREQUENCIAS!$L$1),12,"ERRO")),FREQUENCIAS!$1:$1048576))</f>
        <v>0</v>
      </c>
      <c r="AD19" s="445"/>
      <c r="AE19" s="445"/>
      <c r="AF19" s="445"/>
      <c r="AG19" s="446">
        <f t="shared" si="23"/>
        <v>0.15679799999999999</v>
      </c>
      <c r="AH19" s="447">
        <f t="shared" si="24"/>
        <v>3.1888161838798967</v>
      </c>
      <c r="AI19" s="431">
        <f t="shared" si="11"/>
        <v>0.76126906598375754</v>
      </c>
      <c r="AJ19" s="112" t="s">
        <v>164</v>
      </c>
      <c r="AK19" s="113">
        <f t="shared" si="25"/>
        <v>0.71098961280399997</v>
      </c>
      <c r="AL19" s="112"/>
      <c r="AM19" s="114" t="str">
        <f t="shared" si="26"/>
        <v>1 / 2F</v>
      </c>
      <c r="AN19" s="105" t="str">
        <f t="shared" si="12"/>
        <v>OK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7"/>
        <v>0</v>
      </c>
      <c r="AY19" s="39">
        <f t="shared" si="28"/>
        <v>1.9943019943019944E-3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3"/>
        <v>3.1888161838798967</v>
      </c>
      <c r="BD19" s="2">
        <f t="shared" si="29"/>
        <v>0</v>
      </c>
      <c r="BF19" s="52">
        <v>11</v>
      </c>
      <c r="BG19" s="52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6" t="str">
        <f t="shared" si="14"/>
        <v/>
      </c>
      <c r="BJ19" s="56">
        <f t="shared" si="15"/>
        <v>11</v>
      </c>
      <c r="BK19" s="56">
        <f t="shared" si="16"/>
        <v>11</v>
      </c>
      <c r="BL19" s="59" t="str">
        <f t="shared" si="17"/>
        <v/>
      </c>
      <c r="BM19" s="59">
        <f t="shared" si="18"/>
        <v>11</v>
      </c>
      <c r="BN19" s="59">
        <f t="shared" si="19"/>
        <v>11</v>
      </c>
      <c r="BO19" s="37" t="str">
        <f t="shared" si="30"/>
        <v/>
      </c>
      <c r="BP19" s="37">
        <f t="shared" si="20"/>
        <v>0</v>
      </c>
      <c r="BQ19" s="37">
        <f t="shared" si="21"/>
        <v>0</v>
      </c>
      <c r="BT19" s="23">
        <v>15</v>
      </c>
      <c r="BU19" s="24">
        <v>17</v>
      </c>
    </row>
    <row r="20" spans="1:80" ht="11.1" customHeight="1" thickTop="1" thickBot="1" x14ac:dyDescent="0.25">
      <c r="A20" s="439" t="s">
        <v>144</v>
      </c>
      <c r="B20" s="440">
        <f>'IMPORTAÇÃO GENOTIPER'!O16</f>
        <v>6</v>
      </c>
      <c r="C20" s="440">
        <f>'IMPORTAÇÃO GENOTIPER'!W16</f>
        <v>7</v>
      </c>
      <c r="D20" s="440">
        <f>'IMPORTAÇÃO GENOTIPER'!AE16</f>
        <v>6</v>
      </c>
      <c r="E20" s="440">
        <f>'IMPORTAÇÃO GENOTIPER'!AM16</f>
        <v>6</v>
      </c>
      <c r="F20" s="440">
        <f>'IMPORTAÇÃO GENOTIPER'!AU16</f>
        <v>6</v>
      </c>
      <c r="G20" s="440">
        <f>'IMPORTAÇÃO GENOTIPER'!BC16</f>
        <v>6</v>
      </c>
      <c r="H20" s="441">
        <f t="shared" si="0"/>
        <v>6</v>
      </c>
      <c r="I20" s="441">
        <f t="shared" si="0"/>
        <v>7</v>
      </c>
      <c r="J20" s="441">
        <f t="shared" si="0"/>
        <v>6</v>
      </c>
      <c r="K20" s="441">
        <f t="shared" si="0"/>
        <v>6</v>
      </c>
      <c r="L20" s="441">
        <f t="shared" si="0"/>
        <v>6</v>
      </c>
      <c r="M20" s="441">
        <f t="shared" si="0"/>
        <v>6</v>
      </c>
      <c r="N20" s="442">
        <f t="shared" si="1"/>
        <v>6</v>
      </c>
      <c r="O20" s="442">
        <f t="shared" si="2"/>
        <v>7</v>
      </c>
      <c r="P20" s="442">
        <f t="shared" si="3"/>
        <v>6</v>
      </c>
      <c r="Q20" s="442">
        <f t="shared" si="4"/>
        <v>6</v>
      </c>
      <c r="R20" s="442">
        <f t="shared" si="5"/>
        <v>6</v>
      </c>
      <c r="S20" s="442">
        <f t="shared" si="6"/>
        <v>6</v>
      </c>
      <c r="T20" s="442">
        <f t="shared" si="7"/>
        <v>6</v>
      </c>
      <c r="U20" s="442">
        <f t="shared" si="8"/>
        <v>6</v>
      </c>
      <c r="V20" s="443">
        <f>(IF((OR((P20="&gt;20"),(Q20="&gt;20"))),2,(IF(((T20+U20)=(P20+Q20)),0,1))))</f>
        <v>0</v>
      </c>
      <c r="W20" s="442">
        <f t="shared" si="22"/>
        <v>6</v>
      </c>
      <c r="X20" s="444">
        <f t="shared" si="32"/>
        <v>6</v>
      </c>
      <c r="Y20" s="442">
        <f t="shared" si="33"/>
        <v>0</v>
      </c>
      <c r="Z20" s="442">
        <f t="shared" si="9"/>
        <v>6</v>
      </c>
      <c r="AA20" s="442">
        <f t="shared" si="10"/>
        <v>0</v>
      </c>
      <c r="AB20" s="445">
        <f>IF(X20=0,0,VLOOKUP(X20,FREQUENCIAS!$1:$1048576,(IF(($A20=FREQUENCIAS!$M$1),13,"ERRO")),FREQUENCIAS!$1:$1048576))</f>
        <v>0.21123800000000001</v>
      </c>
      <c r="AC20" s="445">
        <f>IF(Y20=0,0,VLOOKUP(Y20,FREQUENCIAS!$1:$1048576,(IF(($A20=FREQUENCIAS!$M$1),13,"ERRO")),FREQUENCIAS!$1:$1048576))</f>
        <v>0</v>
      </c>
      <c r="AD20" s="445"/>
      <c r="AE20" s="445"/>
      <c r="AF20" s="445"/>
      <c r="AG20" s="446">
        <f t="shared" si="23"/>
        <v>0.21123800000000001</v>
      </c>
      <c r="AH20" s="447">
        <f t="shared" si="24"/>
        <v>4.7339967240742666</v>
      </c>
      <c r="AI20" s="431">
        <f t="shared" si="11"/>
        <v>0.82560157458732308</v>
      </c>
      <c r="AJ20" s="112"/>
      <c r="AK20" s="113">
        <f t="shared" si="25"/>
        <v>0.62214549264399999</v>
      </c>
      <c r="AL20" s="112"/>
      <c r="AM20" s="114" t="str">
        <f t="shared" si="26"/>
        <v>1 / F</v>
      </c>
      <c r="AN20" s="105" t="str">
        <f t="shared" si="12"/>
        <v>OK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0</v>
      </c>
      <c r="AY20" s="39">
        <f t="shared" si="28"/>
        <v>1.7152658662092626E-4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3"/>
        <v>4.7339967240742666</v>
      </c>
      <c r="BD20" s="2">
        <f t="shared" si="29"/>
        <v>0</v>
      </c>
      <c r="BF20" s="52">
        <v>5</v>
      </c>
      <c r="BG20" s="52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CORRETO</v>
      </c>
      <c r="BI20" s="56" t="str">
        <f t="shared" si="14"/>
        <v/>
      </c>
      <c r="BJ20" s="56">
        <f t="shared" si="15"/>
        <v>6</v>
      </c>
      <c r="BK20" s="56">
        <f t="shared" si="16"/>
        <v>6</v>
      </c>
      <c r="BL20" s="59" t="str">
        <f t="shared" si="17"/>
        <v/>
      </c>
      <c r="BM20" s="59">
        <f t="shared" si="18"/>
        <v>6</v>
      </c>
      <c r="BN20" s="59">
        <f t="shared" si="19"/>
        <v>6</v>
      </c>
      <c r="BO20" s="37" t="str">
        <f t="shared" si="30"/>
        <v/>
      </c>
      <c r="BP20" s="37">
        <f t="shared" si="20"/>
        <v>0</v>
      </c>
      <c r="BQ20" s="37">
        <f t="shared" si="21"/>
        <v>0</v>
      </c>
      <c r="BT20" s="23">
        <v>11</v>
      </c>
      <c r="BU20" s="24">
        <v>11</v>
      </c>
    </row>
    <row r="21" spans="1:80" ht="11.1" customHeight="1" thickTop="1" thickBot="1" x14ac:dyDescent="0.25">
      <c r="A21" s="439" t="s">
        <v>179</v>
      </c>
      <c r="B21" s="440">
        <f>'IMPORTAÇÃO GENOTIPER'!O17</f>
        <v>15</v>
      </c>
      <c r="C21" s="440">
        <f>'IMPORTAÇÃO GENOTIPER'!W17</f>
        <v>17</v>
      </c>
      <c r="D21" s="440">
        <f>'IMPORTAÇÃO GENOTIPER'!AE17</f>
        <v>15</v>
      </c>
      <c r="E21" s="440">
        <f>'IMPORTAÇÃO GENOTIPER'!AM17</f>
        <v>17</v>
      </c>
      <c r="F21" s="440">
        <f>'IMPORTAÇÃO GENOTIPER'!AU17</f>
        <v>17</v>
      </c>
      <c r="G21" s="440">
        <f>'IMPORTAÇÃO GENOTIPER'!BC17</f>
        <v>17</v>
      </c>
      <c r="H21" s="441">
        <f t="shared" si="0"/>
        <v>15</v>
      </c>
      <c r="I21" s="441">
        <f t="shared" si="0"/>
        <v>17</v>
      </c>
      <c r="J21" s="441">
        <f t="shared" si="0"/>
        <v>15</v>
      </c>
      <c r="K21" s="441">
        <f t="shared" si="0"/>
        <v>17</v>
      </c>
      <c r="L21" s="441">
        <f t="shared" si="0"/>
        <v>17</v>
      </c>
      <c r="M21" s="441">
        <f t="shared" si="0"/>
        <v>17</v>
      </c>
      <c r="N21" s="442">
        <f t="shared" si="1"/>
        <v>15</v>
      </c>
      <c r="O21" s="442">
        <f t="shared" si="2"/>
        <v>17</v>
      </c>
      <c r="P21" s="442">
        <f t="shared" si="3"/>
        <v>15</v>
      </c>
      <c r="Q21" s="442">
        <f t="shared" si="4"/>
        <v>17</v>
      </c>
      <c r="R21" s="442">
        <f t="shared" si="5"/>
        <v>17</v>
      </c>
      <c r="S21" s="442">
        <f t="shared" si="6"/>
        <v>17</v>
      </c>
      <c r="T21" s="442">
        <f t="shared" si="7"/>
        <v>15</v>
      </c>
      <c r="U21" s="442">
        <f t="shared" si="8"/>
        <v>17</v>
      </c>
      <c r="V21" s="443">
        <f>(IF((OR((P21="&gt;24"),(Q21="&gt;24"))),2,(IF(((T21+U21)=(P21+Q21)),0,1))))</f>
        <v>0</v>
      </c>
      <c r="W21" s="442" t="str">
        <f t="shared" si="22"/>
        <v>NÃO DEF</v>
      </c>
      <c r="X21" s="444">
        <f t="shared" si="32"/>
        <v>15</v>
      </c>
      <c r="Y21" s="442">
        <f t="shared" si="33"/>
        <v>17</v>
      </c>
      <c r="Z21" s="442">
        <f t="shared" si="9"/>
        <v>0</v>
      </c>
      <c r="AA21" s="442">
        <f t="shared" si="10"/>
        <v>17</v>
      </c>
      <c r="AB21" s="445">
        <f>IF(X21=0,0,VLOOKUP(X21,FREQUENCIAS!$1:$1048576,(IF(($A21=FREQUENCIAS!$N$1),14,"ERRO")),FREQUENCIAS!$1:$1048576))</f>
        <v>0.13799400000000001</v>
      </c>
      <c r="AC21" s="445">
        <f>IF(Y21=0,0,VLOOKUP(Y21,FREQUENCIAS!$1:$1048576,(IF(($A21=FREQUENCIAS!$N$1),14,"ERRO")),FREQUENCIAS!$1:$1048576))</f>
        <v>0.25484400000000001</v>
      </c>
      <c r="AD21" s="445"/>
      <c r="AE21" s="445"/>
      <c r="AF21" s="445"/>
      <c r="AG21" s="446">
        <f t="shared" si="23"/>
        <v>0.39283800000000002</v>
      </c>
      <c r="AH21" s="447">
        <f t="shared" si="24"/>
        <v>1.2727892922782418</v>
      </c>
      <c r="AI21" s="431">
        <f t="shared" si="11"/>
        <v>0.56001200665742268</v>
      </c>
      <c r="AJ21" s="112"/>
      <c r="AK21" s="113">
        <f t="shared" si="25"/>
        <v>0.36864569424399996</v>
      </c>
      <c r="AL21" s="112"/>
      <c r="AM21" s="114" t="str">
        <f t="shared" si="26"/>
        <v>1 / 2F</v>
      </c>
      <c r="AN21" s="105" t="str">
        <f t="shared" si="12"/>
        <v>OK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7"/>
        <v>0</v>
      </c>
      <c r="AY21" s="39">
        <f t="shared" si="28"/>
        <v>2.7463651050080775E-3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3"/>
        <v>1.2727892922782418</v>
      </c>
      <c r="BD21" s="2">
        <f t="shared" si="29"/>
        <v>0</v>
      </c>
      <c r="BF21" s="52">
        <v>7</v>
      </c>
      <c r="BG21" s="52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CORRETO</v>
      </c>
      <c r="BI21" s="56" t="str">
        <f t="shared" si="14"/>
        <v/>
      </c>
      <c r="BJ21" s="56" t="str">
        <f t="shared" si="15"/>
        <v>NÃO DEF</v>
      </c>
      <c r="BK21" s="56" t="str">
        <f t="shared" si="16"/>
        <v>NÃO DEF</v>
      </c>
      <c r="BL21" s="59" t="str">
        <f t="shared" si="17"/>
        <v/>
      </c>
      <c r="BM21" s="59">
        <f t="shared" si="18"/>
        <v>0</v>
      </c>
      <c r="BN21" s="59">
        <f t="shared" si="19"/>
        <v>0</v>
      </c>
      <c r="BO21" s="37" t="str">
        <f t="shared" si="30"/>
        <v/>
      </c>
      <c r="BP21" s="37">
        <f t="shared" si="20"/>
        <v>17</v>
      </c>
      <c r="BQ21" s="37">
        <f t="shared" si="21"/>
        <v>17</v>
      </c>
      <c r="BT21" s="23">
        <v>12</v>
      </c>
      <c r="BU21" s="24">
        <v>16</v>
      </c>
    </row>
    <row r="22" spans="1:80" ht="11.1" customHeight="1" thickTop="1" thickBot="1" x14ac:dyDescent="0.25">
      <c r="A22" s="439" t="s">
        <v>154</v>
      </c>
      <c r="B22" s="440">
        <f>'IMPORTAÇÃO GENOTIPER'!O18</f>
        <v>31.2</v>
      </c>
      <c r="C22" s="440">
        <f>'IMPORTAÇÃO GENOTIPER'!W18</f>
        <v>33.200000000000003</v>
      </c>
      <c r="D22" s="440">
        <f>'IMPORTAÇÃO GENOTIPER'!AE18</f>
        <v>28</v>
      </c>
      <c r="E22" s="440">
        <f>'IMPORTAÇÃO GENOTIPER'!AM18</f>
        <v>31.2</v>
      </c>
      <c r="F22" s="440">
        <f>'IMPORTAÇÃO GENOTIPER'!AU18</f>
        <v>28</v>
      </c>
      <c r="G22" s="440">
        <f>'IMPORTAÇÃO GENOTIPER'!BC18</f>
        <v>30</v>
      </c>
      <c r="H22" s="441">
        <f t="shared" si="0"/>
        <v>31.2</v>
      </c>
      <c r="I22" s="441">
        <f t="shared" si="0"/>
        <v>33.200000000000003</v>
      </c>
      <c r="J22" s="441">
        <f t="shared" si="0"/>
        <v>28</v>
      </c>
      <c r="K22" s="441">
        <f t="shared" si="0"/>
        <v>31.2</v>
      </c>
      <c r="L22" s="441">
        <f t="shared" si="0"/>
        <v>28</v>
      </c>
      <c r="M22" s="441">
        <f t="shared" si="0"/>
        <v>30</v>
      </c>
      <c r="N22" s="442">
        <f t="shared" si="1"/>
        <v>31.2</v>
      </c>
      <c r="O22" s="442">
        <f t="shared" si="2"/>
        <v>33.200000000000003</v>
      </c>
      <c r="P22" s="442">
        <f t="shared" si="3"/>
        <v>28</v>
      </c>
      <c r="Q22" s="442">
        <f t="shared" si="4"/>
        <v>31.2</v>
      </c>
      <c r="R22" s="442">
        <f t="shared" si="5"/>
        <v>28</v>
      </c>
      <c r="S22" s="442">
        <f t="shared" si="6"/>
        <v>30</v>
      </c>
      <c r="T22" s="442">
        <f t="shared" si="7"/>
        <v>0</v>
      </c>
      <c r="U22" s="442">
        <f t="shared" si="8"/>
        <v>31.2</v>
      </c>
      <c r="V22" s="443">
        <f>(IF((OR((P22="&gt;22"),(Q22="&gt;22"))),2,(IF(((T22+U22)=(P22+Q22)),0,1))))</f>
        <v>1</v>
      </c>
      <c r="W22" s="442">
        <f t="shared" si="22"/>
        <v>31.2</v>
      </c>
      <c r="X22" s="444">
        <f t="shared" si="32"/>
        <v>28</v>
      </c>
      <c r="Y22" s="442">
        <f t="shared" si="33"/>
        <v>0</v>
      </c>
      <c r="Z22" s="442">
        <f t="shared" si="9"/>
        <v>28</v>
      </c>
      <c r="AA22" s="442">
        <f t="shared" si="10"/>
        <v>0</v>
      </c>
      <c r="AB22" s="445">
        <f>IF(X22=0,0,VLOOKUP(X22,FREQUENCIAS!$1:$1048576,(IF(($A22=FREQUENCIAS!$O$1),15,"ERRO")),FREQUENCIAS!$1:$1048576))</f>
        <v>0.15936700000000001</v>
      </c>
      <c r="AC22" s="445">
        <f>IF(Y22=0,0,VLOOKUP(Y22,FREQUENCIAS!$1:$1048576,(IF(($A22=FREQUENCIAS!$O$1),15,"ERRO")),FREQUENCIAS!$1:$1048576))</f>
        <v>0</v>
      </c>
      <c r="AD22" s="445"/>
      <c r="AE22" s="445"/>
      <c r="AF22" s="445"/>
      <c r="AG22" s="446">
        <f t="shared" si="23"/>
        <v>0.15936700000000001</v>
      </c>
      <c r="AH22" s="447">
        <f t="shared" si="24"/>
        <v>3.1374123877590718</v>
      </c>
      <c r="AI22" s="431">
        <f t="shared" si="11"/>
        <v>0.7583030391269201</v>
      </c>
      <c r="AJ22" s="112"/>
      <c r="AK22" s="113">
        <f t="shared" si="25"/>
        <v>0.7066638406889999</v>
      </c>
      <c r="AL22" s="112"/>
      <c r="AM22" s="114" t="str">
        <f t="shared" si="26"/>
        <v>1 / 2F</v>
      </c>
      <c r="AN22" s="105" t="str">
        <f t="shared" si="12"/>
        <v>OK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7"/>
        <v>0</v>
      </c>
      <c r="AY22" s="39">
        <f t="shared" si="28"/>
        <v>2.7900146842878117E-3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3"/>
        <v>3.1374123877590718</v>
      </c>
      <c r="BD22" s="2">
        <f t="shared" si="29"/>
        <v>0</v>
      </c>
      <c r="BF22" s="52">
        <v>7</v>
      </c>
      <c r="BG22" s="52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6" t="str">
        <f t="shared" si="14"/>
        <v/>
      </c>
      <c r="BJ22" s="56">
        <f t="shared" si="15"/>
        <v>31.2</v>
      </c>
      <c r="BK22" s="56">
        <f t="shared" si="16"/>
        <v>31.2</v>
      </c>
      <c r="BL22" s="59" t="str">
        <f t="shared" si="17"/>
        <v/>
      </c>
      <c r="BM22" s="59">
        <f t="shared" si="18"/>
        <v>28</v>
      </c>
      <c r="BN22" s="59">
        <f t="shared" si="19"/>
        <v>28</v>
      </c>
      <c r="BO22" s="37" t="str">
        <f t="shared" si="30"/>
        <v/>
      </c>
      <c r="BP22" s="37">
        <f t="shared" si="20"/>
        <v>0</v>
      </c>
      <c r="BQ22" s="37">
        <f t="shared" si="21"/>
        <v>0</v>
      </c>
      <c r="BT22" s="23">
        <v>13</v>
      </c>
      <c r="BU22" s="24">
        <v>13</v>
      </c>
    </row>
    <row r="23" spans="1:80" ht="11.1" customHeight="1" thickTop="1" thickBot="1" x14ac:dyDescent="0.25">
      <c r="A23" s="439" t="s">
        <v>158</v>
      </c>
      <c r="B23" s="440">
        <f>'IMPORTAÇÃO GENOTIPER'!O19</f>
        <v>8</v>
      </c>
      <c r="C23" s="440">
        <f>'IMPORTAÇÃO GENOTIPER'!W19</f>
        <v>10</v>
      </c>
      <c r="D23" s="440">
        <f>'IMPORTAÇÃO GENOTIPER'!AE19</f>
        <v>10</v>
      </c>
      <c r="E23" s="440">
        <f>'IMPORTAÇÃO GENOTIPER'!AM19</f>
        <v>10</v>
      </c>
      <c r="F23" s="440">
        <f>'IMPORTAÇÃO GENOTIPER'!AU19</f>
        <v>10</v>
      </c>
      <c r="G23" s="440">
        <f>'IMPORTAÇÃO GENOTIPER'!BC19</f>
        <v>10</v>
      </c>
      <c r="H23" s="441">
        <f t="shared" si="0"/>
        <v>8</v>
      </c>
      <c r="I23" s="441">
        <f t="shared" si="0"/>
        <v>10</v>
      </c>
      <c r="J23" s="441">
        <f t="shared" si="0"/>
        <v>10</v>
      </c>
      <c r="K23" s="441">
        <f t="shared" si="0"/>
        <v>10</v>
      </c>
      <c r="L23" s="441">
        <f t="shared" si="0"/>
        <v>10</v>
      </c>
      <c r="M23" s="441">
        <f t="shared" si="0"/>
        <v>10</v>
      </c>
      <c r="N23" s="442">
        <f t="shared" si="1"/>
        <v>8</v>
      </c>
      <c r="O23" s="442">
        <f t="shared" si="2"/>
        <v>10</v>
      </c>
      <c r="P23" s="442">
        <f t="shared" si="3"/>
        <v>10</v>
      </c>
      <c r="Q23" s="442">
        <f t="shared" si="4"/>
        <v>10</v>
      </c>
      <c r="R23" s="442">
        <f t="shared" si="5"/>
        <v>10</v>
      </c>
      <c r="S23" s="442">
        <f t="shared" si="6"/>
        <v>10</v>
      </c>
      <c r="T23" s="442">
        <f t="shared" si="7"/>
        <v>10</v>
      </c>
      <c r="U23" s="442">
        <f t="shared" si="8"/>
        <v>10</v>
      </c>
      <c r="V23" s="443">
        <f>(IF((OR((P23="&gt;32"),(Q23="&gt;32"))),2,(IF(((T23+U23)=(P23+Q23)),0,1))))</f>
        <v>0</v>
      </c>
      <c r="W23" s="442">
        <f t="shared" si="22"/>
        <v>10</v>
      </c>
      <c r="X23" s="444">
        <f t="shared" si="32"/>
        <v>10</v>
      </c>
      <c r="Y23" s="442">
        <f t="shared" si="33"/>
        <v>0</v>
      </c>
      <c r="Z23" s="442">
        <f t="shared" si="9"/>
        <v>10</v>
      </c>
      <c r="AA23" s="442">
        <f t="shared" si="10"/>
        <v>0</v>
      </c>
      <c r="AB23" s="445">
        <f>IF(X23=0,0,VLOOKUP(X23,FREQUENCIAS!$1:$1048576,(IF(($A23=FREQUENCIAS!$P$1),16,"ERRO")),FREQUENCIAS!$1:$1048576))</f>
        <v>0.275034</v>
      </c>
      <c r="AC23" s="445">
        <f>IF(Y23=0,0,VLOOKUP(Y23,FREQUENCIAS!$1:$1048576,(IF(($A23=FREQUENCIAS!$P$1),16,"ERRO")),FREQUENCIAS!$1:$1048576))</f>
        <v>0</v>
      </c>
      <c r="AD23" s="445"/>
      <c r="AE23" s="445"/>
      <c r="AF23" s="445"/>
      <c r="AG23" s="446">
        <f t="shared" si="23"/>
        <v>0.275034</v>
      </c>
      <c r="AH23" s="447">
        <f t="shared" si="24"/>
        <v>3.6359141051651798</v>
      </c>
      <c r="AI23" s="431">
        <f t="shared" si="11"/>
        <v>0.78429281101523574</v>
      </c>
      <c r="AJ23" s="112" t="s">
        <v>173</v>
      </c>
      <c r="AK23" s="113">
        <f t="shared" si="25"/>
        <v>0.52557570115600005</v>
      </c>
      <c r="AL23" s="112"/>
      <c r="AM23" s="114" t="str">
        <f t="shared" si="26"/>
        <v>1 / F</v>
      </c>
      <c r="AN23" s="105" t="str">
        <f t="shared" si="12"/>
        <v>OK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7"/>
        <v>0</v>
      </c>
      <c r="AY23" s="39">
        <f t="shared" si="28"/>
        <v>1.6778523489932888E-3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3"/>
        <v>3.6359141051651798</v>
      </c>
      <c r="BD23" s="2">
        <f t="shared" si="29"/>
        <v>0</v>
      </c>
      <c r="BF23" s="52">
        <v>17</v>
      </c>
      <c r="BG23" s="52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4"/>
        <v/>
      </c>
      <c r="BJ23" s="25">
        <f t="shared" si="15"/>
        <v>10</v>
      </c>
      <c r="BK23" s="25">
        <f t="shared" si="16"/>
        <v>10</v>
      </c>
      <c r="BL23" s="63" t="str">
        <f t="shared" si="17"/>
        <v/>
      </c>
      <c r="BM23" s="63">
        <f t="shared" si="18"/>
        <v>10</v>
      </c>
      <c r="BN23" s="63">
        <f t="shared" si="19"/>
        <v>10</v>
      </c>
      <c r="BO23" s="64" t="str">
        <f t="shared" si="30"/>
        <v/>
      </c>
      <c r="BP23" s="64">
        <f t="shared" si="20"/>
        <v>0</v>
      </c>
      <c r="BQ23" s="64">
        <f t="shared" si="21"/>
        <v>0</v>
      </c>
      <c r="BT23" s="23">
        <v>17</v>
      </c>
      <c r="BU23" s="24">
        <v>23</v>
      </c>
      <c r="BW23" s="1">
        <f t="shared" ref="BW23:CB23" si="34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4"/>
        <v>0</v>
      </c>
      <c r="BY23" s="1">
        <f t="shared" si="34"/>
        <v>0</v>
      </c>
      <c r="BZ23" s="1">
        <f t="shared" si="34"/>
        <v>0</v>
      </c>
      <c r="CA23" s="1">
        <f t="shared" si="34"/>
        <v>0</v>
      </c>
      <c r="CB23" s="1">
        <f t="shared" si="34"/>
        <v>0</v>
      </c>
    </row>
    <row r="24" spans="1:80" ht="11.1" customHeight="1" thickTop="1" thickBot="1" x14ac:dyDescent="0.25">
      <c r="A24" s="439" t="s">
        <v>156</v>
      </c>
      <c r="B24" s="440">
        <f>'IMPORTAÇÃO GENOTIPER'!O20</f>
        <v>9</v>
      </c>
      <c r="C24" s="440">
        <f>'IMPORTAÇÃO GENOTIPER'!W20</f>
        <v>13</v>
      </c>
      <c r="D24" s="440">
        <f>'IMPORTAÇÃO GENOTIPER'!AE20</f>
        <v>9</v>
      </c>
      <c r="E24" s="440">
        <f>'IMPORTAÇÃO GENOTIPER'!AM20</f>
        <v>11</v>
      </c>
      <c r="F24" s="440">
        <f>'IMPORTAÇÃO GENOTIPER'!AU20</f>
        <v>11</v>
      </c>
      <c r="G24" s="440">
        <f>'IMPORTAÇÃO GENOTIPER'!BC20</f>
        <v>11</v>
      </c>
      <c r="H24" s="441">
        <f t="shared" ref="H24:H30" si="35">(IF(CODE(B24)=(60),($BF24-1),(IF(CODE(B24)=(62),($BG24+1),B24))))</f>
        <v>9</v>
      </c>
      <c r="I24" s="441">
        <f t="shared" ref="I24:I30" si="36">(IF(CODE(C24)=(60),($BF24-1),(IF(CODE(C24)=(62),($BG24+1),C24))))</f>
        <v>13</v>
      </c>
      <c r="J24" s="441">
        <f t="shared" ref="J24:J30" si="37">(IF(CODE(D24)=(60),($BF24-1),(IF(CODE(D24)=(62),($BG24+1),D24))))</f>
        <v>9</v>
      </c>
      <c r="K24" s="441">
        <f t="shared" ref="K24:K30" si="38">(IF(CODE(E24)=(60),($BF24-1),(IF(CODE(E24)=(62),($BG24+1),E24))))</f>
        <v>11</v>
      </c>
      <c r="L24" s="441">
        <f t="shared" ref="L24:L30" si="39">(IF(CODE(F24)=(60),($BF24-1),(IF(CODE(F24)=(62),($BG24+1),F24))))</f>
        <v>11</v>
      </c>
      <c r="M24" s="441">
        <f t="shared" ref="M24:M30" si="40">(IF(CODE(G24)=(60),($BF24-1),(IF(CODE(G24)=(62),($BG24+1),G24))))</f>
        <v>11</v>
      </c>
      <c r="N24" s="442">
        <f t="shared" ref="N24:N30" si="41">IF((H24&gt;I24),I24,H24)</f>
        <v>9</v>
      </c>
      <c r="O24" s="442">
        <f t="shared" ref="O24:O30" si="42">IF((I24&gt;H24),I24,H24)</f>
        <v>13</v>
      </c>
      <c r="P24" s="442">
        <f t="shared" ref="P24:P30" si="43">IF((J24&gt;K24),K24,J24)</f>
        <v>9</v>
      </c>
      <c r="Q24" s="442">
        <f t="shared" ref="Q24:Q30" si="44">IF((K24&gt;J24),K24,J24)</f>
        <v>11</v>
      </c>
      <c r="R24" s="442">
        <f t="shared" ref="R24:R30" si="45">IF((L24&gt;M24),M24,L24)</f>
        <v>11</v>
      </c>
      <c r="S24" s="442">
        <f t="shared" ref="S24:S30" si="46">IF((M24&gt;L24),M24,L24)</f>
        <v>11</v>
      </c>
      <c r="T24" s="442">
        <f t="shared" ref="T24:T30" si="47">IF((P24=N24),P24,(IF((P24=O24),P24,0)))</f>
        <v>9</v>
      </c>
      <c r="U24" s="442">
        <f t="shared" ref="U24:U30" si="48">IF((Q24=N24),Q24,(IF((Q24=O24),Q24,0)))</f>
        <v>0</v>
      </c>
      <c r="V24" s="443">
        <f>(IF((OR((P24="&gt;18"),(Q24="&gt;18"))),2,(IF(((T24+U24)=(P24+Q24)),0,1))))</f>
        <v>1</v>
      </c>
      <c r="W24" s="442">
        <f>IF(OR(($T24=$U24),($U24=0)),$T24,(IF(AND(($T24=0),($U24&lt;&gt;0)),$U24,$AJ$7)))</f>
        <v>9</v>
      </c>
      <c r="X24" s="444">
        <f t="shared" si="32"/>
        <v>11</v>
      </c>
      <c r="Y24" s="442">
        <f>(IF((AND(($T24=0),($U24=0))),$E24,(IF(($W24&lt;&gt;$AJ$7),0,$Q24))))</f>
        <v>0</v>
      </c>
      <c r="Z24" s="442">
        <f t="shared" ref="Z24:Z30" si="49">(IF(OR((X24=R24),(X24=S24)),X24,0))</f>
        <v>11</v>
      </c>
      <c r="AA24" s="442">
        <f t="shared" ref="AA24:AA30" si="50">(IF(AND((V24=0),(Z24=0),(OR((S24=T24),(S24=U24)))),Y24,(IF((Y24&lt;&gt;0),(IF(OR((Y24=R24),(Y24=S24)),Y24,0)),0))))</f>
        <v>0</v>
      </c>
      <c r="AB24" s="445">
        <f>IF(X24=0,0,VLOOKUP(X24,FREQUENCIAS!$1:$1048576,(IF(($A24=FREQUENCIAS!$Q$1),17,"ERRO")),FREQUENCIAS!$1:$1048576))</f>
        <v>0.32906299999999999</v>
      </c>
      <c r="AC24" s="445">
        <f>IF(Y24=0,0,VLOOKUP(Y24,FREQUENCIAS!$1:$1048576,(IF(($A24=FREQUENCIAS!$Q$1),17,"ERRO")),FREQUENCIAS!$1:$1048576))</f>
        <v>0</v>
      </c>
      <c r="AD24" s="445"/>
      <c r="AE24" s="445"/>
      <c r="AF24" s="445"/>
      <c r="AG24" s="446">
        <f t="shared" si="23"/>
        <v>0.32906299999999999</v>
      </c>
      <c r="AH24" s="447">
        <f t="shared" si="24"/>
        <v>3.0389317547095844</v>
      </c>
      <c r="AI24" s="431">
        <f t="shared" ref="AI24:AI30" si="51">(IF((AH24=0),0,(AH24/(AH24+1))))</f>
        <v>0.75240978042425377</v>
      </c>
      <c r="AJ24" s="112"/>
      <c r="AK24" s="113">
        <f t="shared" si="25"/>
        <v>0.450156457969</v>
      </c>
      <c r="AL24" s="112"/>
      <c r="AM24" s="114" t="str">
        <f t="shared" si="26"/>
        <v>1 / F</v>
      </c>
      <c r="AN24" s="105" t="str">
        <f t="shared" si="12"/>
        <v>OK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0</v>
      </c>
      <c r="AY24" s="39">
        <f t="shared" si="28"/>
        <v>2.2916666666666667E-3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3"/>
        <v>3.0389317547095844</v>
      </c>
      <c r="BD24" s="2">
        <f>IF((W24=0),1,0)</f>
        <v>0</v>
      </c>
      <c r="BE24" s="67"/>
      <c r="BF24" s="51">
        <v>8</v>
      </c>
      <c r="BG24" s="51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CORRETO</v>
      </c>
      <c r="BI24" s="56" t="str">
        <f t="shared" si="14"/>
        <v/>
      </c>
      <c r="BJ24" s="56">
        <f t="shared" si="15"/>
        <v>9</v>
      </c>
      <c r="BK24" s="56">
        <f t="shared" ref="BK24:BK30" si="52">(IF((OR(($W24=($BF24-1)),($W24=($BG24+1)))),(CONCATENATE((BI24),(BJ24))),$W24))</f>
        <v>9</v>
      </c>
      <c r="BL24" s="59" t="str">
        <f t="shared" si="17"/>
        <v/>
      </c>
      <c r="BM24" s="59">
        <f t="shared" si="18"/>
        <v>11</v>
      </c>
      <c r="BN24" s="59">
        <f t="shared" ref="BN24:BN30" si="53">(IF((OR(($Z24=($BF24-1)),($Z24=($BG24+1)))),(CONCATENATE((BL24),(BM24))),$Z24))</f>
        <v>11</v>
      </c>
      <c r="BO24" s="37" t="str">
        <f>IF(($AA24=($BF24-1)),"&lt;",IF(($AA24=($BG24+1)),"&gt;",""))</f>
        <v/>
      </c>
      <c r="BP24" s="37">
        <f t="shared" ref="BP24:BP30" si="54">IF((AA24=($BF24-1)),BG24,IF((AA24=($BG24+1)),$BG24,AA24))</f>
        <v>0</v>
      </c>
      <c r="BQ24" s="37">
        <f t="shared" ref="BQ24:BQ30" si="55">(IF((OR(($AA24=($BF24-1)),($AA24=($BG24+1)))),(CONCATENATE((BO24),(BP24))),$AA24))</f>
        <v>0</v>
      </c>
      <c r="BT24" s="23">
        <v>9</v>
      </c>
      <c r="BU24" s="24" t="s">
        <v>103</v>
      </c>
    </row>
    <row r="25" spans="1:80" ht="11.1" customHeight="1" thickTop="1" thickBot="1" x14ac:dyDescent="0.25">
      <c r="A25" s="439" t="s">
        <v>142</v>
      </c>
      <c r="B25" s="440">
        <f>'IMPORTAÇÃO GENOTIPER'!O21</f>
        <v>11</v>
      </c>
      <c r="C25" s="440">
        <f>'IMPORTAÇÃO GENOTIPER'!W21</f>
        <v>11</v>
      </c>
      <c r="D25" s="440">
        <f>'IMPORTAÇÃO GENOTIPER'!AE21</f>
        <v>8</v>
      </c>
      <c r="E25" s="440">
        <f>'IMPORTAÇÃO GENOTIPER'!AM21</f>
        <v>11</v>
      </c>
      <c r="F25" s="440">
        <f>'IMPORTAÇÃO GENOTIPER'!AU21</f>
        <v>7</v>
      </c>
      <c r="G25" s="440">
        <f>'IMPORTAÇÃO GENOTIPER'!BC21</f>
        <v>8</v>
      </c>
      <c r="H25" s="441">
        <f t="shared" si="35"/>
        <v>11</v>
      </c>
      <c r="I25" s="441">
        <f t="shared" si="36"/>
        <v>11</v>
      </c>
      <c r="J25" s="441">
        <f t="shared" si="37"/>
        <v>8</v>
      </c>
      <c r="K25" s="441">
        <f t="shared" si="38"/>
        <v>11</v>
      </c>
      <c r="L25" s="441">
        <f t="shared" si="39"/>
        <v>7</v>
      </c>
      <c r="M25" s="441">
        <f t="shared" si="40"/>
        <v>8</v>
      </c>
      <c r="N25" s="442">
        <f t="shared" si="41"/>
        <v>11</v>
      </c>
      <c r="O25" s="442">
        <f t="shared" si="42"/>
        <v>11</v>
      </c>
      <c r="P25" s="442">
        <f t="shared" si="43"/>
        <v>8</v>
      </c>
      <c r="Q25" s="442">
        <f t="shared" si="44"/>
        <v>11</v>
      </c>
      <c r="R25" s="442">
        <f t="shared" si="45"/>
        <v>7</v>
      </c>
      <c r="S25" s="442">
        <f t="shared" si="46"/>
        <v>8</v>
      </c>
      <c r="T25" s="442">
        <f t="shared" si="47"/>
        <v>0</v>
      </c>
      <c r="U25" s="442">
        <f t="shared" si="48"/>
        <v>11</v>
      </c>
      <c r="V25" s="443">
        <f>(IF((OR((P25="&gt;36"),(Q25="&gt;36"))),2,(IF(((T25+U25)=(P25+Q25)),0,1))))</f>
        <v>1</v>
      </c>
      <c r="W25" s="442">
        <f t="shared" ref="W25:W30" si="56">IF(OR((T25=U25),(U25=0)),T25,(IF(AND((T25=0),(U25&lt;&gt;0)),U25,$AJ$7)))</f>
        <v>11</v>
      </c>
      <c r="X25" s="444">
        <f t="shared" si="32"/>
        <v>8</v>
      </c>
      <c r="Y25" s="442">
        <f>(IF((AND((T25=0),(U25=0))),E25,(IF((W25&lt;&gt;$AJ$7),0,Q25))))</f>
        <v>0</v>
      </c>
      <c r="Z25" s="442">
        <f t="shared" si="49"/>
        <v>8</v>
      </c>
      <c r="AA25" s="442">
        <f t="shared" si="50"/>
        <v>0</v>
      </c>
      <c r="AB25" s="445">
        <f>IF(X25=0,0,VLOOKUP(X25,FREQUENCIAS!$1:$1048576,(IF(($A25=FREQUENCIAS!$R$1),18,"ERRO")),FREQUENCIAS!$1:$1048576))</f>
        <v>0.45586199999999999</v>
      </c>
      <c r="AC25" s="445">
        <f>IF(Y25=0,0,VLOOKUP(Y25,FREQUENCIAS!$1:$1048576,(IF(($A25=FREQUENCIAS!$R$1),18,"ERRO")),FREQUENCIAS!$1:$1048576))</f>
        <v>0</v>
      </c>
      <c r="AD25" s="445"/>
      <c r="AE25" s="445"/>
      <c r="AF25" s="445"/>
      <c r="AG25" s="446">
        <f t="shared" si="23"/>
        <v>0.45586199999999999</v>
      </c>
      <c r="AH25" s="447">
        <f t="shared" si="24"/>
        <v>1.0968231613953345</v>
      </c>
      <c r="AI25" s="431">
        <f t="shared" si="51"/>
        <v>0.52308806082886439</v>
      </c>
      <c r="AJ25" s="112"/>
      <c r="AK25" s="113">
        <f t="shared" si="25"/>
        <v>0.29608616304400004</v>
      </c>
      <c r="AL25" s="112"/>
      <c r="AM25" s="114" t="str">
        <f t="shared" si="26"/>
        <v>1 / 2F</v>
      </c>
      <c r="AN25" s="105" t="str">
        <f t="shared" si="12"/>
        <v>OK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7"/>
        <v>0</v>
      </c>
      <c r="AY25" s="39">
        <f t="shared" si="28"/>
        <v>2.4813895781637717E-4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3"/>
        <v>1.0968231613953345</v>
      </c>
      <c r="BD25" s="2">
        <f t="shared" ref="BD25:BD30" si="57">IF((W25=0),1,0)</f>
        <v>0</v>
      </c>
      <c r="BF25" s="52">
        <v>24</v>
      </c>
      <c r="BG25" s="52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6" t="str">
        <f t="shared" si="14"/>
        <v/>
      </c>
      <c r="BJ25" s="56">
        <f t="shared" si="15"/>
        <v>11</v>
      </c>
      <c r="BK25" s="56">
        <f t="shared" si="52"/>
        <v>11</v>
      </c>
      <c r="BL25" s="59" t="str">
        <f t="shared" si="17"/>
        <v/>
      </c>
      <c r="BM25" s="65">
        <f t="shared" si="18"/>
        <v>8</v>
      </c>
      <c r="BN25" s="59">
        <f t="shared" si="53"/>
        <v>8</v>
      </c>
      <c r="BO25" s="37" t="str">
        <f t="shared" si="30"/>
        <v/>
      </c>
      <c r="BP25" s="37">
        <f t="shared" si="54"/>
        <v>0</v>
      </c>
      <c r="BQ25" s="37">
        <f t="shared" si="55"/>
        <v>0</v>
      </c>
      <c r="BT25" s="23">
        <v>24</v>
      </c>
      <c r="BU25" s="24">
        <v>30</v>
      </c>
      <c r="BW25" s="1">
        <f t="shared" ref="BW25:CB25" si="58">(IF((B25=35.2),1,0))</f>
        <v>0</v>
      </c>
      <c r="BX25" s="1">
        <f t="shared" si="58"/>
        <v>0</v>
      </c>
      <c r="BY25" s="1">
        <f t="shared" si="58"/>
        <v>0</v>
      </c>
      <c r="BZ25" s="1">
        <f t="shared" si="58"/>
        <v>0</v>
      </c>
      <c r="CA25" s="1">
        <f t="shared" si="58"/>
        <v>0</v>
      </c>
      <c r="CB25" s="1">
        <f t="shared" si="58"/>
        <v>0</v>
      </c>
    </row>
    <row r="26" spans="1:80" ht="11.1" customHeight="1" thickTop="1" thickBot="1" x14ac:dyDescent="0.25">
      <c r="A26" s="439" t="s">
        <v>153</v>
      </c>
      <c r="B26" s="440">
        <f>'IMPORTAÇÃO GENOTIPER'!O23</f>
        <v>10</v>
      </c>
      <c r="C26" s="440">
        <f>'IMPORTAÇÃO GENOTIPER'!W23</f>
        <v>14</v>
      </c>
      <c r="D26" s="440">
        <f>'IMPORTAÇÃO GENOTIPER'!AE23</f>
        <v>10</v>
      </c>
      <c r="E26" s="440">
        <f>'IMPORTAÇÃO GENOTIPER'!AM23</f>
        <v>14</v>
      </c>
      <c r="F26" s="440">
        <f>'IMPORTAÇÃO GENOTIPER'!AU23</f>
        <v>14</v>
      </c>
      <c r="G26" s="440">
        <f>'IMPORTAÇÃO GENOTIPER'!BC23</f>
        <v>15</v>
      </c>
      <c r="H26" s="441">
        <f t="shared" si="35"/>
        <v>10</v>
      </c>
      <c r="I26" s="441">
        <f t="shared" si="36"/>
        <v>14</v>
      </c>
      <c r="J26" s="441">
        <f t="shared" si="37"/>
        <v>10</v>
      </c>
      <c r="K26" s="441">
        <f t="shared" si="38"/>
        <v>14</v>
      </c>
      <c r="L26" s="441">
        <f t="shared" si="39"/>
        <v>14</v>
      </c>
      <c r="M26" s="441">
        <f t="shared" si="40"/>
        <v>15</v>
      </c>
      <c r="N26" s="442">
        <f t="shared" si="41"/>
        <v>10</v>
      </c>
      <c r="O26" s="442">
        <f t="shared" si="42"/>
        <v>14</v>
      </c>
      <c r="P26" s="442">
        <f t="shared" si="43"/>
        <v>10</v>
      </c>
      <c r="Q26" s="442">
        <f t="shared" si="44"/>
        <v>14</v>
      </c>
      <c r="R26" s="442">
        <f t="shared" si="45"/>
        <v>14</v>
      </c>
      <c r="S26" s="442">
        <f t="shared" si="46"/>
        <v>15</v>
      </c>
      <c r="T26" s="442">
        <f t="shared" si="47"/>
        <v>10</v>
      </c>
      <c r="U26" s="442">
        <f t="shared" si="48"/>
        <v>14</v>
      </c>
      <c r="V26" s="443">
        <f>(IF((OR((P26="&gt;21"),(Q26="&gt;21"))),2,(IF(((T26+U26)=(P26+Q26)),0,1))))</f>
        <v>0</v>
      </c>
      <c r="W26" s="442" t="str">
        <f t="shared" si="56"/>
        <v>NÃO DEF</v>
      </c>
      <c r="X26" s="444">
        <f t="shared" si="32"/>
        <v>10</v>
      </c>
      <c r="Y26" s="442">
        <f xml:space="preserve"> (IF((AND((T26=0),(U26=0))),E26,(IF((W26&lt;&gt;$AJ$7),0,Q26))))</f>
        <v>14</v>
      </c>
      <c r="Z26" s="442">
        <f t="shared" si="49"/>
        <v>0</v>
      </c>
      <c r="AA26" s="442">
        <f t="shared" si="50"/>
        <v>14</v>
      </c>
      <c r="AB26" s="445">
        <f>IF(X26=0,0,VLOOKUP(X26,FREQUENCIAS!$1:$1048576,(IF(($A26=FREQUENCIAS!$S$1),19,"ERRO")),FREQUENCIAS!$1:$1048576))</f>
        <v>6.8212999999999996E-2</v>
      </c>
      <c r="AC26" s="445">
        <f>IF(Y26=0,0,VLOOKUP(Y26,FREQUENCIAS!$1:$1048576,(IF(($A26=FREQUENCIAS!$S$1),19,"ERRO")),FREQUENCIAS!$1:$1048576))</f>
        <v>0.25086999999999998</v>
      </c>
      <c r="AD26" s="445"/>
      <c r="AE26" s="445"/>
      <c r="AF26" s="445"/>
      <c r="AG26" s="446">
        <f t="shared" si="23"/>
        <v>0.31908300000000001</v>
      </c>
      <c r="AH26" s="447">
        <f t="shared" si="24"/>
        <v>1.5669904068847291</v>
      </c>
      <c r="AI26" s="431">
        <f t="shared" si="51"/>
        <v>0.61043874674483545</v>
      </c>
      <c r="AJ26" s="112" t="s">
        <v>140</v>
      </c>
      <c r="AK26" s="113">
        <f t="shared" si="25"/>
        <v>0.46364796088900001</v>
      </c>
      <c r="AL26" s="112"/>
      <c r="AM26" s="114" t="str">
        <f t="shared" si="26"/>
        <v>1 / 2F</v>
      </c>
      <c r="AN26" s="105" t="str">
        <f t="shared" si="12"/>
        <v>OK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7"/>
        <v>0</v>
      </c>
      <c r="AY26" s="39">
        <f t="shared" si="28"/>
        <v>2.2838499184339315E-3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3"/>
        <v>1.5669904068847291</v>
      </c>
      <c r="BD26" s="2">
        <f t="shared" si="57"/>
        <v>0</v>
      </c>
      <c r="BF26" s="52">
        <v>6</v>
      </c>
      <c r="BG26" s="52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CORRETO</v>
      </c>
      <c r="BI26" s="56" t="str">
        <f t="shared" si="14"/>
        <v/>
      </c>
      <c r="BJ26" s="56" t="str">
        <f t="shared" si="15"/>
        <v>NÃO DEF</v>
      </c>
      <c r="BK26" s="56" t="str">
        <f t="shared" si="52"/>
        <v>NÃO DEF</v>
      </c>
      <c r="BL26" s="59" t="str">
        <f t="shared" si="17"/>
        <v/>
      </c>
      <c r="BM26" s="59">
        <f t="shared" si="18"/>
        <v>0</v>
      </c>
      <c r="BN26" s="59">
        <f t="shared" si="53"/>
        <v>0</v>
      </c>
      <c r="BO26" s="37" t="str">
        <f t="shared" si="30"/>
        <v/>
      </c>
      <c r="BP26" s="37">
        <f t="shared" si="54"/>
        <v>14</v>
      </c>
      <c r="BQ26" s="37">
        <f t="shared" si="55"/>
        <v>14</v>
      </c>
      <c r="BT26" s="23">
        <v>9</v>
      </c>
      <c r="BU26" s="24">
        <v>12</v>
      </c>
    </row>
    <row r="27" spans="1:80" ht="11.1" customHeight="1" thickTop="1" thickBot="1" x14ac:dyDescent="0.25">
      <c r="A27" s="439" t="s">
        <v>224</v>
      </c>
      <c r="B27" s="440">
        <f>'IMPORTAÇÃO GENOTIPER'!O24</f>
        <v>17</v>
      </c>
      <c r="C27" s="440">
        <f>'IMPORTAÇÃO GENOTIPER'!W24</f>
        <v>19</v>
      </c>
      <c r="D27" s="440">
        <f>'IMPORTAÇÃO GENOTIPER'!AE24</f>
        <v>18.3</v>
      </c>
      <c r="E27" s="440">
        <f>'IMPORTAÇÃO GENOTIPER'!AM24</f>
        <v>19</v>
      </c>
      <c r="F27" s="440">
        <f>'IMPORTAÇÃO GENOTIPER'!AU24</f>
        <v>18.3</v>
      </c>
      <c r="G27" s="440">
        <f>'IMPORTAÇÃO GENOTIPER'!BC24</f>
        <v>22</v>
      </c>
      <c r="H27" s="441">
        <f t="shared" si="35"/>
        <v>17</v>
      </c>
      <c r="I27" s="441">
        <f t="shared" si="36"/>
        <v>19</v>
      </c>
      <c r="J27" s="441">
        <f t="shared" si="37"/>
        <v>18.3</v>
      </c>
      <c r="K27" s="441">
        <f t="shared" si="38"/>
        <v>19</v>
      </c>
      <c r="L27" s="441">
        <f t="shared" si="39"/>
        <v>18.3</v>
      </c>
      <c r="M27" s="441">
        <f t="shared" si="40"/>
        <v>22</v>
      </c>
      <c r="N27" s="442">
        <f t="shared" si="41"/>
        <v>17</v>
      </c>
      <c r="O27" s="442">
        <f t="shared" si="42"/>
        <v>19</v>
      </c>
      <c r="P27" s="442">
        <f t="shared" si="43"/>
        <v>18.3</v>
      </c>
      <c r="Q27" s="442">
        <f t="shared" si="44"/>
        <v>19</v>
      </c>
      <c r="R27" s="442">
        <f t="shared" si="45"/>
        <v>18.3</v>
      </c>
      <c r="S27" s="442">
        <f t="shared" si="46"/>
        <v>22</v>
      </c>
      <c r="T27" s="442">
        <f t="shared" si="47"/>
        <v>0</v>
      </c>
      <c r="U27" s="442">
        <f t="shared" si="48"/>
        <v>19</v>
      </c>
      <c r="V27" s="443">
        <f>(IF((OR((P27="&gt;21"),(Q27="&gt;21"))),2,(IF(((T27+U27)=(P27+Q27)),0,1))))</f>
        <v>1</v>
      </c>
      <c r="W27" s="442">
        <f t="shared" si="56"/>
        <v>19</v>
      </c>
      <c r="X27" s="444">
        <f t="shared" si="32"/>
        <v>18.3</v>
      </c>
      <c r="Y27" s="442">
        <f>(IF((AND((T27=0),(U27=0))),E27,(IF((W27&lt;&gt;$AJ$7),0,Q27))))</f>
        <v>0</v>
      </c>
      <c r="Z27" s="442">
        <f t="shared" si="49"/>
        <v>18.3</v>
      </c>
      <c r="AA27" s="442">
        <f t="shared" si="50"/>
        <v>0</v>
      </c>
      <c r="AB27" s="445">
        <f>IF(X27=0,0,VLOOKUP(X27,FREQUENCIAS!$1:$1048576,(IF(($A27=FREQUENCIAS!$T$1),20,"ERRO")),FREQUENCIAS!$1:$1048576))</f>
        <v>1.44E-2</v>
      </c>
      <c r="AC27" s="445">
        <f>IF(Y27=0,0,VLOOKUP(Y27,FREQUENCIAS!$1:$1048576,(IF(($A27=FREQUENCIAS!$T$1),20,"ERRO")),FREQUENCIAS!$1:$1048576))</f>
        <v>0</v>
      </c>
      <c r="AD27" s="445"/>
      <c r="AE27" s="445"/>
      <c r="AF27" s="445"/>
      <c r="AG27" s="446">
        <f t="shared" si="23"/>
        <v>0.05</v>
      </c>
      <c r="AH27" s="447">
        <f t="shared" si="24"/>
        <v>10</v>
      </c>
      <c r="AI27" s="431">
        <f t="shared" si="51"/>
        <v>0.90909090909090906</v>
      </c>
      <c r="AJ27" s="112" t="s">
        <v>163</v>
      </c>
      <c r="AK27" s="113">
        <f t="shared" si="25"/>
        <v>0.90249999999999997</v>
      </c>
      <c r="AL27" s="112"/>
      <c r="AM27" s="114" t="str">
        <f t="shared" si="26"/>
        <v>1 / 2F</v>
      </c>
      <c r="AN27" s="105" t="str">
        <f t="shared" si="12"/>
        <v>OK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7"/>
        <v>0</v>
      </c>
      <c r="AY27" s="39">
        <f t="shared" si="28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3"/>
        <v>10</v>
      </c>
      <c r="BD27" s="2">
        <f t="shared" si="57"/>
        <v>0</v>
      </c>
      <c r="BF27" s="52">
        <v>12</v>
      </c>
      <c r="BG27" s="52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6" t="str">
        <f t="shared" si="14"/>
        <v/>
      </c>
      <c r="BJ27" s="56">
        <f t="shared" si="15"/>
        <v>19</v>
      </c>
      <c r="BK27" s="56">
        <f t="shared" si="52"/>
        <v>19</v>
      </c>
      <c r="BL27" s="59" t="str">
        <f t="shared" si="17"/>
        <v/>
      </c>
      <c r="BM27" s="59">
        <f t="shared" si="18"/>
        <v>18.3</v>
      </c>
      <c r="BN27" s="59">
        <f t="shared" si="53"/>
        <v>18.3</v>
      </c>
      <c r="BO27" s="37" t="str">
        <f t="shared" si="30"/>
        <v/>
      </c>
      <c r="BP27" s="37">
        <f t="shared" si="54"/>
        <v>0</v>
      </c>
      <c r="BQ27" s="37">
        <f t="shared" si="55"/>
        <v>0</v>
      </c>
      <c r="BT27" s="23">
        <v>12</v>
      </c>
      <c r="BU27" s="24">
        <v>15</v>
      </c>
    </row>
    <row r="28" spans="1:80" ht="11.1" customHeight="1" thickTop="1" thickBot="1" x14ac:dyDescent="0.25">
      <c r="A28" s="439" t="s">
        <v>52</v>
      </c>
      <c r="B28" s="440">
        <f>'IMPORTAÇÃO GENOTIPER'!O25</f>
        <v>12</v>
      </c>
      <c r="C28" s="440">
        <f>'IMPORTAÇÃO GENOTIPER'!W25</f>
        <v>14</v>
      </c>
      <c r="D28" s="440">
        <f>'IMPORTAÇÃO GENOTIPER'!AE25</f>
        <v>14</v>
      </c>
      <c r="E28" s="440">
        <f>'IMPORTAÇÃO GENOTIPER'!AM25</f>
        <v>14</v>
      </c>
      <c r="F28" s="440">
        <f>'IMPORTAÇÃO GENOTIPER'!AU25</f>
        <v>14</v>
      </c>
      <c r="G28" s="440">
        <f>'IMPORTAÇÃO GENOTIPER'!BC25</f>
        <v>14</v>
      </c>
      <c r="H28" s="441">
        <f t="shared" si="35"/>
        <v>12</v>
      </c>
      <c r="I28" s="441">
        <f t="shared" si="36"/>
        <v>14</v>
      </c>
      <c r="J28" s="441">
        <f t="shared" si="37"/>
        <v>14</v>
      </c>
      <c r="K28" s="441">
        <f t="shared" si="38"/>
        <v>14</v>
      </c>
      <c r="L28" s="441">
        <f t="shared" si="39"/>
        <v>14</v>
      </c>
      <c r="M28" s="441">
        <f t="shared" si="40"/>
        <v>14</v>
      </c>
      <c r="N28" s="442">
        <f t="shared" si="41"/>
        <v>12</v>
      </c>
      <c r="O28" s="442">
        <f t="shared" si="42"/>
        <v>14</v>
      </c>
      <c r="P28" s="442">
        <f t="shared" si="43"/>
        <v>14</v>
      </c>
      <c r="Q28" s="442">
        <f t="shared" si="44"/>
        <v>14</v>
      </c>
      <c r="R28" s="442">
        <f t="shared" si="45"/>
        <v>14</v>
      </c>
      <c r="S28" s="442">
        <f t="shared" si="46"/>
        <v>14</v>
      </c>
      <c r="T28" s="442">
        <f t="shared" si="47"/>
        <v>14</v>
      </c>
      <c r="U28" s="442">
        <f t="shared" si="48"/>
        <v>14</v>
      </c>
      <c r="V28" s="443">
        <f>(IF((OR((P28="&gt;20"),(Q28="&gt;20"))),2,(IF(((T28+U28)=(P28+Q28)),0,1))))</f>
        <v>0</v>
      </c>
      <c r="W28" s="442">
        <f t="shared" si="56"/>
        <v>14</v>
      </c>
      <c r="X28" s="444">
        <f t="shared" si="32"/>
        <v>14</v>
      </c>
      <c r="Y28" s="442">
        <f>(IF((AND((T28=0),(U28=0))),E28,(IF((W28&lt;&gt;$AJ$7),0,Q28))))</f>
        <v>0</v>
      </c>
      <c r="Z28" s="442">
        <f t="shared" si="49"/>
        <v>14</v>
      </c>
      <c r="AA28" s="442">
        <f t="shared" si="50"/>
        <v>0</v>
      </c>
      <c r="AB28" s="445">
        <f>IF(X28=0,0,VLOOKUP(X28,FREQUENCIAS!$1:$1048576,(IF(($A28=FREQUENCIAS!$U$1),21,"ERRO")),FREQUENCIAS!$1:$1048576))</f>
        <v>0.29409999999999997</v>
      </c>
      <c r="AC28" s="445">
        <f>IF(Y28=0,0,VLOOKUP(Y28,FREQUENCIAS!$1:$1048576,(IF(($A28=FREQUENCIAS!$U$1),21,"ERRO")),FREQUENCIAS!$1:$1048576))</f>
        <v>0</v>
      </c>
      <c r="AD28" s="445"/>
      <c r="AE28" s="445"/>
      <c r="AF28" s="445"/>
      <c r="AG28" s="446">
        <f t="shared" si="23"/>
        <v>0.29409999999999997</v>
      </c>
      <c r="AH28" s="447">
        <f t="shared" si="24"/>
        <v>3.4002040122407347</v>
      </c>
      <c r="AI28" s="431">
        <f t="shared" si="51"/>
        <v>0.77273781006104625</v>
      </c>
      <c r="AJ28" s="112"/>
      <c r="AK28" s="113">
        <f t="shared" si="25"/>
        <v>0.49829480999999998</v>
      </c>
      <c r="AL28" s="112"/>
      <c r="AM28" s="114" t="str">
        <f t="shared" si="26"/>
        <v>1 / F</v>
      </c>
      <c r="AN28" s="105" t="str">
        <f t="shared" si="12"/>
        <v>OK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0</v>
      </c>
      <c r="AY28" s="39">
        <f t="shared" si="28"/>
        <v>1.9784172661870504E-3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3"/>
        <v>3.4002040122407347</v>
      </c>
      <c r="BD28" s="2">
        <f t="shared" si="57"/>
        <v>0</v>
      </c>
      <c r="BF28" s="52">
        <v>4</v>
      </c>
      <c r="BG28" s="52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6" t="str">
        <f t="shared" si="14"/>
        <v/>
      </c>
      <c r="BJ28" s="56">
        <f t="shared" si="15"/>
        <v>14</v>
      </c>
      <c r="BK28" s="56">
        <f t="shared" si="52"/>
        <v>14</v>
      </c>
      <c r="BL28" s="59" t="str">
        <f t="shared" si="17"/>
        <v/>
      </c>
      <c r="BM28" s="59">
        <f t="shared" si="18"/>
        <v>14</v>
      </c>
      <c r="BN28" s="59">
        <f t="shared" si="53"/>
        <v>14</v>
      </c>
      <c r="BO28" s="37" t="str">
        <f t="shared" si="30"/>
        <v/>
      </c>
      <c r="BP28" s="37">
        <f t="shared" si="54"/>
        <v>0</v>
      </c>
      <c r="BQ28" s="37">
        <f t="shared" si="55"/>
        <v>0</v>
      </c>
      <c r="BT28" s="23">
        <v>5</v>
      </c>
      <c r="BU28" s="24">
        <v>11</v>
      </c>
    </row>
    <row r="29" spans="1:80" ht="11.1" customHeight="1" thickTop="1" thickBot="1" x14ac:dyDescent="0.25">
      <c r="A29" s="439" t="s">
        <v>152</v>
      </c>
      <c r="B29" s="440">
        <f>'IMPORTAÇÃO GENOTIPER'!O26</f>
        <v>21</v>
      </c>
      <c r="C29" s="440">
        <f>'IMPORTAÇÃO GENOTIPER'!W26</f>
        <v>23</v>
      </c>
      <c r="D29" s="440">
        <f>'IMPORTAÇÃO GENOTIPER'!AE26</f>
        <v>19</v>
      </c>
      <c r="E29" s="440">
        <f>'IMPORTAÇÃO GENOTIPER'!AM26</f>
        <v>21</v>
      </c>
      <c r="F29" s="440">
        <f>'IMPORTAÇÃO GENOTIPER'!AU26</f>
        <v>19</v>
      </c>
      <c r="G29" s="440">
        <f>'IMPORTAÇÃO GENOTIPER'!BC26</f>
        <v>26</v>
      </c>
      <c r="H29" s="441">
        <f t="shared" si="35"/>
        <v>21</v>
      </c>
      <c r="I29" s="441">
        <f t="shared" si="36"/>
        <v>23</v>
      </c>
      <c r="J29" s="441">
        <f t="shared" si="37"/>
        <v>19</v>
      </c>
      <c r="K29" s="441">
        <f t="shared" si="38"/>
        <v>21</v>
      </c>
      <c r="L29" s="441">
        <f t="shared" si="39"/>
        <v>19</v>
      </c>
      <c r="M29" s="441">
        <f t="shared" si="40"/>
        <v>26</v>
      </c>
      <c r="N29" s="442">
        <f t="shared" si="41"/>
        <v>21</v>
      </c>
      <c r="O29" s="442">
        <f t="shared" si="42"/>
        <v>23</v>
      </c>
      <c r="P29" s="442">
        <f t="shared" si="43"/>
        <v>19</v>
      </c>
      <c r="Q29" s="442">
        <f t="shared" si="44"/>
        <v>21</v>
      </c>
      <c r="R29" s="442">
        <f t="shared" si="45"/>
        <v>19</v>
      </c>
      <c r="S29" s="442">
        <f t="shared" si="46"/>
        <v>26</v>
      </c>
      <c r="T29" s="442">
        <f t="shared" si="47"/>
        <v>0</v>
      </c>
      <c r="U29" s="442">
        <f t="shared" si="48"/>
        <v>21</v>
      </c>
      <c r="V29" s="443">
        <f>(IF((OR((P29="&gt;23"),(Q29="&gt;23"))),2,(IF(((T29+U29)=(P29+Q29)),0,1))))</f>
        <v>1</v>
      </c>
      <c r="W29" s="442">
        <f t="shared" si="56"/>
        <v>21</v>
      </c>
      <c r="X29" s="444">
        <f t="shared" si="32"/>
        <v>19</v>
      </c>
      <c r="Y29" s="442">
        <f>(IF((AND((T29=0),(U29=0))),E29,(IF((W29&lt;&gt;$AJ$7),0,Q29))))</f>
        <v>0</v>
      </c>
      <c r="Z29" s="442">
        <f t="shared" si="49"/>
        <v>19</v>
      </c>
      <c r="AA29" s="442">
        <f t="shared" si="50"/>
        <v>0</v>
      </c>
      <c r="AB29" s="445">
        <f>IF(X29=0,0,VLOOKUP(X29,FREQUENCIAS!$1:$1048576,(IF(($A29=FREQUENCIAS!$V$1),22,"ERRO")),FREQUENCIAS!$1:$1048576))</f>
        <v>7.5357999999999994E-2</v>
      </c>
      <c r="AC29" s="445">
        <f>IF(Y29=0,0,VLOOKUP(Y29,FREQUENCIAS!$1:$1048576,(IF(($A29=FREQUENCIAS!$V$1),22,"ERRO")),FREQUENCIAS!$1:$1048576))</f>
        <v>0</v>
      </c>
      <c r="AD29" s="445"/>
      <c r="AE29" s="445"/>
      <c r="AF29" s="445"/>
      <c r="AG29" s="446">
        <f t="shared" si="23"/>
        <v>7.5357999999999994E-2</v>
      </c>
      <c r="AH29" s="447">
        <f t="shared" si="24"/>
        <v>6.6349956209028909</v>
      </c>
      <c r="AI29" s="431">
        <f t="shared" si="51"/>
        <v>0.86902415539542344</v>
      </c>
      <c r="AJ29" s="112"/>
      <c r="AK29" s="113">
        <f t="shared" si="25"/>
        <v>0.85496282816399993</v>
      </c>
      <c r="AL29" s="112"/>
      <c r="AM29" s="114" t="str">
        <f t="shared" si="26"/>
        <v>1 / 2F</v>
      </c>
      <c r="AN29" s="105" t="str">
        <f t="shared" si="12"/>
        <v>OK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7"/>
        <v>0</v>
      </c>
      <c r="AY29" s="39">
        <f t="shared" si="28"/>
        <v>3.8043478260869567E-3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3"/>
        <v>6.6349956209028909</v>
      </c>
      <c r="BD29" s="2">
        <f t="shared" si="57"/>
        <v>0</v>
      </c>
      <c r="BF29" s="52">
        <v>8</v>
      </c>
      <c r="BG29" s="52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6" t="str">
        <f t="shared" si="14"/>
        <v/>
      </c>
      <c r="BJ29" s="56">
        <f t="shared" si="15"/>
        <v>21</v>
      </c>
      <c r="BK29" s="56">
        <f t="shared" si="52"/>
        <v>21</v>
      </c>
      <c r="BL29" s="59" t="str">
        <f t="shared" si="17"/>
        <v/>
      </c>
      <c r="BM29" s="59">
        <f t="shared" si="18"/>
        <v>19</v>
      </c>
      <c r="BN29" s="59">
        <f t="shared" si="53"/>
        <v>19</v>
      </c>
      <c r="BO29" s="37" t="str">
        <f t="shared" si="30"/>
        <v/>
      </c>
      <c r="BP29" s="37">
        <f t="shared" si="54"/>
        <v>0</v>
      </c>
      <c r="BQ29" s="37">
        <f t="shared" si="55"/>
        <v>0</v>
      </c>
      <c r="BT29" s="23">
        <v>8</v>
      </c>
      <c r="BU29" s="24">
        <v>11</v>
      </c>
    </row>
    <row r="30" spans="1:80" ht="11.1" customHeight="1" thickTop="1" thickBot="1" x14ac:dyDescent="0.25">
      <c r="A30" s="439" t="s">
        <v>225</v>
      </c>
      <c r="B30" s="440">
        <f>'IMPORTAÇÃO GENOTIPER'!O27</f>
        <v>11</v>
      </c>
      <c r="C30" s="440">
        <f>'IMPORTAÇÃO GENOTIPER'!W27</f>
        <v>16</v>
      </c>
      <c r="D30" s="440">
        <f>'IMPORTAÇÃO GENOTIPER'!AE27</f>
        <v>16</v>
      </c>
      <c r="E30" s="440">
        <f>'IMPORTAÇÃO GENOTIPER'!AM27</f>
        <v>16</v>
      </c>
      <c r="F30" s="440">
        <f>'IMPORTAÇÃO GENOTIPER'!AU27</f>
        <v>16</v>
      </c>
      <c r="G30" s="440">
        <f>'IMPORTAÇÃO GENOTIPER'!BC27</f>
        <v>17</v>
      </c>
      <c r="H30" s="441">
        <f t="shared" si="35"/>
        <v>11</v>
      </c>
      <c r="I30" s="441">
        <f t="shared" si="36"/>
        <v>16</v>
      </c>
      <c r="J30" s="441">
        <f t="shared" si="37"/>
        <v>16</v>
      </c>
      <c r="K30" s="441">
        <f t="shared" si="38"/>
        <v>16</v>
      </c>
      <c r="L30" s="441">
        <f t="shared" si="39"/>
        <v>16</v>
      </c>
      <c r="M30" s="441">
        <f t="shared" si="40"/>
        <v>17</v>
      </c>
      <c r="N30" s="442">
        <f t="shared" si="41"/>
        <v>11</v>
      </c>
      <c r="O30" s="442">
        <f t="shared" si="42"/>
        <v>16</v>
      </c>
      <c r="P30" s="442">
        <f t="shared" si="43"/>
        <v>16</v>
      </c>
      <c r="Q30" s="442">
        <f t="shared" si="44"/>
        <v>16</v>
      </c>
      <c r="R30" s="442">
        <f t="shared" si="45"/>
        <v>16</v>
      </c>
      <c r="S30" s="442">
        <f t="shared" si="46"/>
        <v>17</v>
      </c>
      <c r="T30" s="442">
        <f t="shared" si="47"/>
        <v>16</v>
      </c>
      <c r="U30" s="442">
        <f t="shared" si="48"/>
        <v>16</v>
      </c>
      <c r="V30" s="443">
        <f>(IF((OR((P30="&gt;22"),(Q30="&gt;22"))),2,(IF(((T30+U30)=(P30+Q30)),0,1))))</f>
        <v>0</v>
      </c>
      <c r="W30" s="442">
        <f t="shared" si="56"/>
        <v>16</v>
      </c>
      <c r="X30" s="444">
        <f t="shared" si="32"/>
        <v>16</v>
      </c>
      <c r="Y30" s="442">
        <f>(IF((AND((T30=0),(U30=0))),E30,(IF((W30&lt;&gt;$AJ$7),0,Q30))))</f>
        <v>0</v>
      </c>
      <c r="Z30" s="442">
        <f t="shared" si="49"/>
        <v>16</v>
      </c>
      <c r="AA30" s="442">
        <f t="shared" si="50"/>
        <v>0</v>
      </c>
      <c r="AB30" s="445">
        <f>IF(X30=0,0,VLOOKUP(X30,FREQUENCIAS!$1:$1048576,(IF(($A30=FREQUENCIAS!$W$1),23,"ERRO")),FREQUENCIAS!$1:$1048576))</f>
        <v>0.32869999999999999</v>
      </c>
      <c r="AC30" s="445">
        <f>IF(Y30=0,0,VLOOKUP(Y30,FREQUENCIAS!$1:$1048576,(IF(($A30=FREQUENCIAS!$W$1),23,"ERRO")),FREQUENCIAS!$1:$1048576))</f>
        <v>0</v>
      </c>
      <c r="AD30" s="445"/>
      <c r="AE30" s="445"/>
      <c r="AF30" s="445"/>
      <c r="AG30" s="446">
        <f t="shared" si="23"/>
        <v>0.32869999999999999</v>
      </c>
      <c r="AH30" s="447">
        <f t="shared" si="24"/>
        <v>1.5211439002129601</v>
      </c>
      <c r="AI30" s="431">
        <f t="shared" si="51"/>
        <v>0.60335465186436588</v>
      </c>
      <c r="AJ30" s="112"/>
      <c r="AK30" s="113">
        <f t="shared" si="25"/>
        <v>0.45064368999999999</v>
      </c>
      <c r="AL30" s="112"/>
      <c r="AM30" s="114" t="str">
        <f t="shared" si="26"/>
        <v>1 / 2F</v>
      </c>
      <c r="AN30" s="105" t="str">
        <f t="shared" si="12"/>
        <v>OK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7"/>
        <v>0</v>
      </c>
      <c r="AY30" s="39">
        <f t="shared" si="28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3"/>
        <v>1.5211439002129601</v>
      </c>
      <c r="BD30" s="2">
        <f t="shared" si="57"/>
        <v>0</v>
      </c>
      <c r="BF30" s="52">
        <v>5</v>
      </c>
      <c r="BG30" s="52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6" t="str">
        <f t="shared" si="14"/>
        <v>&gt;</v>
      </c>
      <c r="BJ30" s="56">
        <f t="shared" si="15"/>
        <v>16</v>
      </c>
      <c r="BK30" s="56" t="str">
        <f t="shared" si="52"/>
        <v>&gt;16</v>
      </c>
      <c r="BL30" s="59" t="str">
        <f t="shared" si="17"/>
        <v>&gt;</v>
      </c>
      <c r="BM30" s="59">
        <f t="shared" si="18"/>
        <v>15</v>
      </c>
      <c r="BN30" s="59" t="str">
        <f t="shared" si="53"/>
        <v>&gt;15</v>
      </c>
      <c r="BO30" s="37" t="str">
        <f t="shared" si="30"/>
        <v/>
      </c>
      <c r="BP30" s="37">
        <f t="shared" si="54"/>
        <v>0</v>
      </c>
      <c r="BQ30" s="37">
        <f t="shared" si="55"/>
        <v>0</v>
      </c>
      <c r="BT30" s="23">
        <v>9</v>
      </c>
      <c r="BU30" s="24">
        <v>10</v>
      </c>
    </row>
    <row r="31" spans="1:80" ht="9.9499999999999993" customHeight="1" thickTop="1" x14ac:dyDescent="0.25">
      <c r="A31" s="491"/>
      <c r="B31" s="492"/>
      <c r="C31" s="492"/>
      <c r="D31" s="492"/>
      <c r="E31" s="512" t="s">
        <v>82</v>
      </c>
      <c r="F31" s="480">
        <v>52888482821.799187</v>
      </c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0"/>
      <c r="AH31" s="481"/>
      <c r="AI31" s="413"/>
      <c r="AJ31" s="47"/>
      <c r="AK31" s="409">
        <f>(IF((PRODUCT(AI9:AI30)&lt;&gt;0),((1-AK9)*(1-AK10)*(1-AK11)*(1-AK12)*(1-AK13)*(1-AK14)*(1-AK15)*(1-AK16)*(1-AK17)*(1-AK18)*(1-AK19)*(1-AK20)*(1-AK21)*(1-AK22)*(1-AK23)*(1-AK24)*(1-AK25)*(1-AK26)*(1-AK27)*(1-AK28)*(1-AK29)*(1-AK30)),$AJ$23))</f>
        <v>1.4015877285601763E-10</v>
      </c>
      <c r="AL31" s="409"/>
      <c r="AM31" s="410"/>
      <c r="AN31" s="17"/>
      <c r="AX31" s="54">
        <f>SUM(AX9:AX30)</f>
        <v>0</v>
      </c>
      <c r="BC31" s="41">
        <f>(IF((AND(($AX$32="N"),($AX$34="O"))),(BC9*BC10*BC11*BC12*BC13*BC14*BC15*BC16*BC17*BC18*BC19*BC20*BC21*BC22*BC23),0))</f>
        <v>0</v>
      </c>
      <c r="BD31" s="35">
        <f>SUM(BD9:BD23)</f>
        <v>0</v>
      </c>
    </row>
    <row r="32" spans="1:80" ht="9.9499999999999993" customHeight="1" x14ac:dyDescent="0.2">
      <c r="A32" s="493"/>
      <c r="B32" s="6"/>
      <c r="C32" s="6"/>
      <c r="D32" s="6"/>
      <c r="E32" s="428" t="s">
        <v>83</v>
      </c>
      <c r="F32" s="416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LADDER'",(IF((AND(($AX$32="N"),($AX$34="O"),($AX$31&lt;=2))),(ROUNDDOWN(($AG31/($AG31+1)),11)),(IF(((PRODUCT(G9:G30))&lt;&gt;0),(ROUNDDOWN(($F31/($F31+1)),11)),"NIHIL")))))))</f>
        <v>0.99999999998</v>
      </c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  <c r="X32" s="416"/>
      <c r="Y32" s="416"/>
      <c r="Z32" s="416"/>
      <c r="AA32" s="416"/>
      <c r="AB32" s="416"/>
      <c r="AC32" s="416"/>
      <c r="AD32" s="416"/>
      <c r="AE32" s="416"/>
      <c r="AF32" s="416"/>
      <c r="AG32" s="416"/>
      <c r="AH32" s="482"/>
      <c r="AI32" s="414"/>
      <c r="AJ32" s="414"/>
      <c r="AK32" s="414"/>
      <c r="AL32" s="414"/>
      <c r="AM32" s="414"/>
      <c r="AN32" s="75"/>
      <c r="AR32" s="1" t="s">
        <v>102</v>
      </c>
      <c r="AX32" s="28" t="s">
        <v>247</v>
      </c>
      <c r="AY32" s="49" t="s">
        <v>124</v>
      </c>
    </row>
    <row r="33" spans="1:74" ht="9.9499999999999993" customHeight="1" x14ac:dyDescent="0.2">
      <c r="A33" s="493"/>
      <c r="B33" s="6"/>
      <c r="C33" s="6"/>
      <c r="D33" s="6"/>
      <c r="E33" s="428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F33" s="416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LOCUS",(IF(((PRODUCT(G9:G30))&lt;&gt;0),(ROUNDDOWN((1-$AK31),11)),"EXCLUSÃO")))))))</f>
        <v>0.99999999984999999</v>
      </c>
      <c r="G33" s="416"/>
      <c r="H33" s="416"/>
      <c r="I33" s="416"/>
      <c r="J33" s="416"/>
      <c r="K33" s="416"/>
      <c r="L33" s="416"/>
      <c r="M33" s="416"/>
      <c r="N33" s="416"/>
      <c r="O33" s="416"/>
      <c r="P33" s="416"/>
      <c r="Q33" s="416"/>
      <c r="R33" s="416"/>
      <c r="S33" s="416"/>
      <c r="T33" s="416"/>
      <c r="U33" s="416"/>
      <c r="V33" s="416"/>
      <c r="W33" s="416"/>
      <c r="X33" s="416"/>
      <c r="Y33" s="416"/>
      <c r="Z33" s="416"/>
      <c r="AA33" s="416"/>
      <c r="AB33" s="416"/>
      <c r="AC33" s="416"/>
      <c r="AD33" s="416"/>
      <c r="AE33" s="416"/>
      <c r="AF33" s="416"/>
      <c r="AG33" s="416"/>
      <c r="AH33" s="483"/>
      <c r="AI33" s="415"/>
      <c r="AJ33" s="415"/>
      <c r="AK33" s="415"/>
      <c r="AL33" s="415"/>
      <c r="AM33" s="415"/>
      <c r="AN33" s="74"/>
      <c r="AR33" s="1" t="s">
        <v>104</v>
      </c>
      <c r="AX33" s="29" t="s">
        <v>104</v>
      </c>
      <c r="AY33" s="49" t="s">
        <v>125</v>
      </c>
    </row>
    <row r="34" spans="1:74" ht="9.9499999999999993" customHeight="1" thickBot="1" x14ac:dyDescent="0.25">
      <c r="A34" s="494"/>
      <c r="B34" s="495"/>
      <c r="C34" s="495"/>
      <c r="D34" s="495"/>
      <c r="E34" s="513" t="s">
        <v>84</v>
      </c>
      <c r="F34" s="514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ANÁLISE",(IF((AND((($F32)&lt;&gt;0),($F32)&lt;=0.9799)),"PATERNIDADE REMOTA",(IF((AND((($F32)&gt;0.9799),($F32)&lt;=0.9849)),"PATERNIDADE POUCO POSSÍVEL",(IF((AND((($F32)&gt;0.9849),($F32)&lt;=0.9899)),"PATERNIDADE POSSÍVEL",(IF((AND((($F32)&gt;0.9899),($F32)&lt;=0.9949)),"PATERNIDADE PROVÁVEL",(IF((AND((($F32)&gt;0.9949),($F32)&lt;=0.9999)),"PATERNIDADE MUITO PROVÁVEL",(IF((AND((($F32)&gt;0.9949),($F32)&lt;=1)),"VÍNCULO BIOLOGICAMENTE PROVADO","EXCLUSÃO")))))))))))))))</f>
        <v>VÍNCULO BIOLOGICAMENTE PROVADO</v>
      </c>
      <c r="G34" s="484"/>
      <c r="H34" s="485"/>
      <c r="I34" s="486"/>
      <c r="J34" s="486"/>
      <c r="K34" s="486"/>
      <c r="L34" s="487"/>
      <c r="M34" s="488"/>
      <c r="N34" s="489"/>
      <c r="O34" s="489"/>
      <c r="P34" s="489"/>
      <c r="Q34" s="489"/>
      <c r="R34" s="489"/>
      <c r="S34" s="489"/>
      <c r="T34" s="489"/>
      <c r="U34" s="489"/>
      <c r="V34" s="489"/>
      <c r="W34" s="489"/>
      <c r="X34" s="489"/>
      <c r="Y34" s="489"/>
      <c r="Z34" s="489"/>
      <c r="AA34" s="489"/>
      <c r="AB34" s="489"/>
      <c r="AC34" s="489"/>
      <c r="AD34" s="489"/>
      <c r="AE34" s="489"/>
      <c r="AF34" s="489"/>
      <c r="AG34" s="484"/>
      <c r="AH34" s="490"/>
      <c r="AI34" s="411"/>
      <c r="AJ34" s="47"/>
      <c r="AK34" s="47"/>
      <c r="AL34" s="47"/>
      <c r="AM34" s="412"/>
      <c r="AN34" s="12"/>
      <c r="AX34" s="29"/>
      <c r="AY34" s="49" t="s">
        <v>96</v>
      </c>
    </row>
    <row r="35" spans="1:74" ht="13.5" customHeight="1" thickTop="1" thickBot="1" x14ac:dyDescent="0.25">
      <c r="A35" s="455" t="s">
        <v>252</v>
      </c>
      <c r="B35" s="455"/>
      <c r="C35" s="455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  <c r="AG35" s="455"/>
      <c r="AH35" s="455"/>
      <c r="AI35" s="402"/>
      <c r="AJ35" s="402"/>
      <c r="AK35" s="402"/>
      <c r="AL35" s="402"/>
      <c r="AM35" s="402"/>
      <c r="AN35" s="403"/>
    </row>
    <row r="36" spans="1:74" ht="12" customHeight="1" thickBot="1" x14ac:dyDescent="0.25">
      <c r="A36" s="455"/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M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04"/>
      <c r="AJ36" s="404"/>
      <c r="AK36" s="404"/>
      <c r="AL36" s="404"/>
      <c r="AM36" s="404"/>
      <c r="AN36" s="405"/>
    </row>
    <row r="37" spans="1:74" ht="12" customHeight="1" thickBot="1" x14ac:dyDescent="0.25">
      <c r="A37" s="455"/>
      <c r="B37" s="455"/>
      <c r="C37" s="455"/>
      <c r="D37" s="455"/>
      <c r="E37" s="455"/>
      <c r="F37" s="455"/>
      <c r="G37" s="455"/>
      <c r="H37" s="455"/>
      <c r="I37" s="455"/>
      <c r="J37" s="455"/>
      <c r="K37" s="455"/>
      <c r="L37" s="455"/>
      <c r="M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  <c r="Y37" s="455"/>
      <c r="Z37" s="455"/>
      <c r="AA37" s="455"/>
      <c r="AB37" s="455"/>
      <c r="AC37" s="455"/>
      <c r="AD37" s="455"/>
      <c r="AE37" s="455"/>
      <c r="AF37" s="455"/>
      <c r="AG37" s="455"/>
      <c r="AH37" s="455"/>
      <c r="AI37" s="404"/>
      <c r="AJ37" s="404"/>
      <c r="AK37" s="404"/>
      <c r="AL37" s="404"/>
      <c r="AM37" s="404"/>
      <c r="AN37" s="405"/>
    </row>
    <row r="38" spans="1:74" ht="12" customHeight="1" thickBot="1" x14ac:dyDescent="0.25">
      <c r="A38" s="455"/>
      <c r="B38" s="455"/>
      <c r="C38" s="455"/>
      <c r="D38" s="455"/>
      <c r="E38" s="455"/>
      <c r="F38" s="455"/>
      <c r="G38" s="455"/>
      <c r="H38" s="455"/>
      <c r="I38" s="455"/>
      <c r="J38" s="455"/>
      <c r="K38" s="455"/>
      <c r="L38" s="455"/>
      <c r="M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  <c r="Y38" s="455"/>
      <c r="Z38" s="455"/>
      <c r="AA38" s="455"/>
      <c r="AB38" s="455"/>
      <c r="AC38" s="455"/>
      <c r="AD38" s="455"/>
      <c r="AE38" s="455"/>
      <c r="AF38" s="455"/>
      <c r="AG38" s="455"/>
      <c r="AH38" s="455"/>
      <c r="AI38" s="406"/>
      <c r="AJ38" s="406"/>
      <c r="AK38" s="406"/>
      <c r="AL38" s="406"/>
      <c r="AM38" s="406"/>
      <c r="AN38" s="407"/>
    </row>
    <row r="39" spans="1:74" ht="13.5" hidden="1" customHeight="1" thickBot="1" x14ac:dyDescent="0.25">
      <c r="A39" s="436"/>
      <c r="B39" s="454"/>
      <c r="C39" s="454"/>
      <c r="D39" s="454"/>
      <c r="E39" s="454"/>
      <c r="F39" s="454"/>
      <c r="G39" s="454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10"/>
      <c r="AJ39" s="44"/>
      <c r="AK39" s="44"/>
      <c r="AL39" s="44"/>
      <c r="AM39" s="10"/>
      <c r="AN39" s="12"/>
    </row>
    <row r="40" spans="1:74" ht="19.5" hidden="1" customHeight="1" thickTop="1" x14ac:dyDescent="0.3">
      <c r="A40" s="454"/>
      <c r="B40" s="454"/>
      <c r="C40" s="454"/>
      <c r="D40" s="456"/>
      <c r="E40" s="457"/>
      <c r="F40" s="458"/>
      <c r="G40" s="454"/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6"/>
      <c r="AH40" s="457"/>
      <c r="AI40" s="417"/>
      <c r="AJ40" s="68"/>
      <c r="AK40" s="68"/>
      <c r="AL40" s="68"/>
      <c r="AM40" s="68"/>
      <c r="AN40" s="70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9"/>
    </row>
    <row r="41" spans="1:74" ht="19.5" hidden="1" customHeight="1" x14ac:dyDescent="0.3">
      <c r="A41" s="459"/>
      <c r="B41" s="454"/>
      <c r="C41" s="454"/>
      <c r="D41" s="454"/>
      <c r="E41" s="454"/>
      <c r="F41" s="454"/>
      <c r="G41" s="454"/>
      <c r="H41" s="454"/>
      <c r="I41" s="454"/>
      <c r="J41" s="454"/>
      <c r="K41" s="454"/>
      <c r="L41" s="454"/>
      <c r="M41" s="454"/>
      <c r="N41" s="454"/>
      <c r="O41" s="454"/>
      <c r="P41" s="454"/>
      <c r="Q41" s="454"/>
      <c r="R41" s="454"/>
      <c r="S41" s="454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60"/>
      <c r="AH41" s="461"/>
      <c r="AI41" s="6"/>
      <c r="AJ41" s="43"/>
      <c r="AK41" s="43"/>
      <c r="AL41" s="43"/>
      <c r="AM41" s="6"/>
      <c r="AN41" s="7"/>
      <c r="AY41" s="47"/>
    </row>
    <row r="42" spans="1:74" ht="3" customHeight="1" x14ac:dyDescent="0.2">
      <c r="A42" s="496"/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2"/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7"/>
      <c r="AI42" s="6"/>
      <c r="AJ42" s="43"/>
      <c r="AK42" s="43"/>
      <c r="AL42" s="43"/>
      <c r="AM42" s="6"/>
      <c r="AN42" s="7"/>
      <c r="AY42" s="47"/>
    </row>
    <row r="43" spans="1:74" ht="13.5" hidden="1" customHeight="1" x14ac:dyDescent="0.25">
      <c r="A43" s="493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 t="str">
        <f>(IF((AX$32="S"),"Qual critério utilizar?",(IF(AND(($AX$31=1),($AX$32="N")),"Calcular omitindo o efeito da(s) mutação(ões)?",(IF(AND(($AX$31=2),($AX$32="N")),"Calcular omitindo o efeito da(s) mutação(ões)?",""))))))</f>
        <v>Qual critério utilizar?</v>
      </c>
      <c r="AH43" s="498"/>
      <c r="AI43" s="6"/>
      <c r="AJ43" s="43"/>
      <c r="AK43" s="43"/>
      <c r="AL43" s="43"/>
      <c r="AM43" s="6"/>
      <c r="AN43" s="7"/>
      <c r="AY43" s="47"/>
    </row>
    <row r="44" spans="1:74" ht="19.5" customHeight="1" x14ac:dyDescent="0.2">
      <c r="A44" s="499"/>
      <c r="B44" s="93"/>
      <c r="C44" s="93"/>
      <c r="D44" s="236"/>
      <c r="E44" s="429" t="s">
        <v>250</v>
      </c>
      <c r="F44" s="430">
        <f ca="1">TODAY()</f>
        <v>41863</v>
      </c>
      <c r="G44" s="430"/>
      <c r="H44" s="430"/>
      <c r="I44" s="430"/>
      <c r="J44" s="430"/>
      <c r="K44" s="430"/>
      <c r="L44" s="430"/>
      <c r="M44" s="430"/>
      <c r="N44" s="430"/>
      <c r="O44" s="430"/>
      <c r="P44" s="430"/>
      <c r="Q44" s="430"/>
      <c r="R44" s="430"/>
      <c r="S44" s="430"/>
      <c r="T44" s="430"/>
      <c r="U44" s="430"/>
      <c r="V44" s="430"/>
      <c r="W44" s="430"/>
      <c r="X44" s="430"/>
      <c r="Y44" s="430"/>
      <c r="Z44" s="430"/>
      <c r="AA44" s="430"/>
      <c r="AB44" s="430"/>
      <c r="AC44" s="430"/>
      <c r="AD44" s="430"/>
      <c r="AE44" s="430"/>
      <c r="AF44" s="430"/>
      <c r="AG44" s="430"/>
      <c r="AH44" s="500"/>
      <c r="AI44" s="332"/>
      <c r="AJ44" s="332"/>
      <c r="AK44" s="332"/>
      <c r="AL44" s="332"/>
      <c r="AM44" s="332"/>
      <c r="AN44" s="408"/>
    </row>
    <row r="45" spans="1:74" ht="11.25" customHeight="1" x14ac:dyDescent="0.2">
      <c r="A45" s="493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325"/>
      <c r="AH45" s="501"/>
      <c r="AI45" s="325"/>
      <c r="AJ45" s="326"/>
      <c r="AK45" s="326"/>
      <c r="AL45" s="326"/>
      <c r="AM45" s="325"/>
      <c r="AN45" s="327"/>
    </row>
    <row r="46" spans="1:74" ht="15" hidden="1" customHeight="1" x14ac:dyDescent="0.2">
      <c r="A46" s="493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328"/>
      <c r="AH46" s="502"/>
      <c r="AI46" s="325"/>
      <c r="AJ46" s="326"/>
      <c r="AK46" s="326"/>
      <c r="AL46" s="326"/>
      <c r="AM46" s="325"/>
      <c r="AN46" s="327"/>
    </row>
    <row r="47" spans="1:74" ht="17.25" customHeight="1" x14ac:dyDescent="0.2">
      <c r="A47" s="503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/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329"/>
      <c r="AH47" s="504"/>
      <c r="AI47" s="329"/>
      <c r="AJ47" s="329"/>
      <c r="AK47" s="329"/>
      <c r="AL47" s="329"/>
      <c r="AM47" s="329"/>
      <c r="AN47" s="330"/>
    </row>
    <row r="48" spans="1:74" ht="3.75" hidden="1" customHeight="1" x14ac:dyDescent="0.2">
      <c r="A48" s="493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505"/>
      <c r="AI48" s="6"/>
      <c r="AJ48" s="43"/>
      <c r="AK48" s="43"/>
      <c r="AL48" s="43"/>
      <c r="AM48" s="6"/>
      <c r="AN48" s="7"/>
    </row>
    <row r="49" spans="1:59" ht="9" customHeight="1" thickBot="1" x14ac:dyDescent="0.25">
      <c r="A49" s="506"/>
      <c r="B49" s="507"/>
      <c r="C49" s="507"/>
      <c r="D49" s="507"/>
      <c r="E49" s="507"/>
      <c r="F49" s="507"/>
      <c r="G49" s="508"/>
      <c r="H49" s="509"/>
      <c r="I49" s="509"/>
      <c r="J49" s="509"/>
      <c r="K49" s="509"/>
      <c r="L49" s="509"/>
      <c r="M49" s="509"/>
      <c r="N49" s="509"/>
      <c r="O49" s="509"/>
      <c r="P49" s="509"/>
      <c r="Q49" s="509"/>
      <c r="R49" s="509"/>
      <c r="S49" s="509"/>
      <c r="T49" s="509"/>
      <c r="U49" s="509"/>
      <c r="V49" s="509"/>
      <c r="W49" s="509"/>
      <c r="X49" s="509"/>
      <c r="Y49" s="509"/>
      <c r="Z49" s="509"/>
      <c r="AA49" s="509"/>
      <c r="AB49" s="509"/>
      <c r="AC49" s="509"/>
      <c r="AD49" s="509"/>
      <c r="AE49" s="509"/>
      <c r="AF49" s="509"/>
      <c r="AG49" s="510"/>
      <c r="AH49" s="511"/>
      <c r="AI49" s="418"/>
      <c r="AJ49" s="418"/>
      <c r="AK49" s="418"/>
      <c r="AL49" s="418"/>
      <c r="AM49" s="418"/>
      <c r="AN49" s="419"/>
    </row>
    <row r="50" spans="1:59" ht="9" hidden="1" customHeight="1" thickTop="1" x14ac:dyDescent="0.2">
      <c r="A50" s="370"/>
      <c r="B50" s="371"/>
      <c r="C50" s="371"/>
      <c r="D50" s="371"/>
      <c r="E50" s="371"/>
      <c r="F50" s="371"/>
      <c r="G50" s="424"/>
      <c r="H50" s="424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0"/>
      <c r="AI50" s="97"/>
      <c r="AJ50" s="97"/>
      <c r="AK50" s="97"/>
      <c r="AL50" s="97"/>
      <c r="AM50" s="97"/>
      <c r="AN50" s="420"/>
    </row>
    <row r="51" spans="1:59" ht="9" hidden="1" customHeight="1" x14ac:dyDescent="0.2">
      <c r="A51" s="370"/>
      <c r="B51" s="371"/>
      <c r="C51" s="371"/>
      <c r="D51" s="371"/>
      <c r="E51" s="371"/>
      <c r="F51" s="371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0"/>
      <c r="AI51" s="97"/>
      <c r="AJ51" s="97"/>
      <c r="AK51" s="97"/>
      <c r="AL51" s="97"/>
      <c r="AM51" s="97"/>
      <c r="AN51" s="420"/>
    </row>
    <row r="52" spans="1:59" ht="9" hidden="1" customHeight="1" thickBot="1" x14ac:dyDescent="0.25">
      <c r="A52" s="421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2"/>
      <c r="X52" s="422"/>
      <c r="Y52" s="422"/>
      <c r="Z52" s="422"/>
      <c r="AA52" s="422"/>
      <c r="AB52" s="422"/>
      <c r="AC52" s="422"/>
      <c r="AD52" s="422"/>
      <c r="AE52" s="422"/>
      <c r="AF52" s="422"/>
      <c r="AG52" s="422"/>
      <c r="AH52" s="423"/>
      <c r="AI52" s="422"/>
      <c r="AJ52" s="422"/>
      <c r="AK52" s="422"/>
      <c r="AL52" s="422"/>
      <c r="AM52" s="422"/>
      <c r="AN52" s="423"/>
    </row>
    <row r="53" spans="1:59" s="115" customFormat="1" ht="18.75" customHeight="1" x14ac:dyDescent="0.5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M53" s="117"/>
      <c r="AN53" s="237"/>
      <c r="BF53" s="116"/>
      <c r="BG53" s="116"/>
    </row>
    <row r="54" spans="1:59" s="94" customFormat="1" ht="7.5" customHeight="1" x14ac:dyDescent="0.2">
      <c r="AN54" s="238"/>
      <c r="BF54" s="95"/>
      <c r="BG54" s="95"/>
    </row>
    <row r="55" spans="1:59" s="94" customFormat="1" x14ac:dyDescent="0.2">
      <c r="BF55" s="95"/>
      <c r="BG55" s="95"/>
    </row>
    <row r="56" spans="1:59" s="94" customFormat="1" x14ac:dyDescent="0.2">
      <c r="BF56" s="95"/>
      <c r="BG56" s="95"/>
    </row>
    <row r="57" spans="1:59" s="94" customFormat="1" x14ac:dyDescent="0.2">
      <c r="BF57" s="95"/>
      <c r="BG57" s="95"/>
    </row>
    <row r="58" spans="1:59" s="94" customFormat="1" x14ac:dyDescent="0.2">
      <c r="BF58" s="95"/>
      <c r="BG58" s="95"/>
    </row>
    <row r="59" spans="1:59" s="94" customFormat="1" x14ac:dyDescent="0.2">
      <c r="BF59" s="95"/>
      <c r="BG59" s="95"/>
    </row>
    <row r="60" spans="1:59" s="94" customFormat="1" x14ac:dyDescent="0.2">
      <c r="BF60" s="95"/>
      <c r="BG60" s="95"/>
    </row>
    <row r="61" spans="1:59" s="94" customFormat="1" x14ac:dyDescent="0.2">
      <c r="BF61" s="95"/>
      <c r="BG61" s="95"/>
    </row>
    <row r="63" spans="1:59" x14ac:dyDescent="0.2">
      <c r="AM63" s="20"/>
    </row>
  </sheetData>
  <dataConsolidate/>
  <mergeCells count="26">
    <mergeCell ref="B3:F3"/>
    <mergeCell ref="F44:AH44"/>
    <mergeCell ref="F31:AG31"/>
    <mergeCell ref="F32:AG32"/>
    <mergeCell ref="F33:AG33"/>
    <mergeCell ref="A35:AH38"/>
    <mergeCell ref="A50:F50"/>
    <mergeCell ref="A51:F51"/>
    <mergeCell ref="BI7:BK7"/>
    <mergeCell ref="BL7:BN7"/>
    <mergeCell ref="BO7:BQ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X8:Y8"/>
    <mergeCell ref="Z8:AA8"/>
    <mergeCell ref="AZ6:BA6"/>
    <mergeCell ref="AZ7:BB7"/>
    <mergeCell ref="AK31:AL31"/>
    <mergeCell ref="A1:AH1"/>
  </mergeCells>
  <phoneticPr fontId="31" type="noConversion"/>
  <conditionalFormatting sqref="H9:M30">
    <cfRule type="cellIs" dxfId="34" priority="19" stopIfTrue="1" operator="equal">
      <formula>$Z9</formula>
    </cfRule>
    <cfRule type="cellIs" dxfId="33" priority="20" stopIfTrue="1" operator="equal">
      <formula>$AA9</formula>
    </cfRule>
  </conditionalFormatting>
  <conditionalFormatting sqref="AG43">
    <cfRule type="cellIs" dxfId="32" priority="21" stopIfTrue="1" operator="greaterThanOrEqual">
      <formula>1</formula>
    </cfRule>
    <cfRule type="cellIs" dxfId="31" priority="22" stopIfTrue="1" operator="lessThanOrEqual">
      <formula>2</formula>
    </cfRule>
  </conditionalFormatting>
  <conditionalFormatting sqref="AM9:AM30">
    <cfRule type="cellIs" dxfId="30" priority="23" stopIfTrue="1" operator="equal">
      <formula>"EXCLUI"</formula>
    </cfRule>
    <cfRule type="cellIs" dxfId="29" priority="24" stopIfTrue="1" operator="equal">
      <formula>"MUTAÇÃO"</formula>
    </cfRule>
  </conditionalFormatting>
  <conditionalFormatting sqref="BI9:BQ30">
    <cfRule type="cellIs" dxfId="28" priority="25" stopIfTrue="1" operator="equal">
      <formula>$BF9-1</formula>
    </cfRule>
  </conditionalFormatting>
  <conditionalFormatting sqref="BT9:BU30">
    <cfRule type="cellIs" dxfId="27" priority="26" stopIfTrue="1" operator="equal">
      <formula>$BN9</formula>
    </cfRule>
    <cfRule type="cellIs" dxfId="26" priority="27" stopIfTrue="1" operator="equal">
      <formula>$BQ9</formula>
    </cfRule>
  </conditionalFormatting>
  <conditionalFormatting sqref="A9:A30">
    <cfRule type="cellIs" dxfId="25" priority="28" stopIfTrue="1" operator="equal">
      <formula>"ERRO-FT"</formula>
    </cfRule>
  </conditionalFormatting>
  <conditionalFormatting sqref="AH8">
    <cfRule type="cellIs" dxfId="24" priority="29" stopIfTrue="1" operator="equal">
      <formula>"AL.SUP."</formula>
    </cfRule>
  </conditionalFormatting>
  <conditionalFormatting sqref="AG8">
    <cfRule type="cellIs" dxfId="23" priority="30" stopIfTrue="1" operator="equal">
      <formula>"AL.INF."</formula>
    </cfRule>
  </conditionalFormatting>
  <conditionalFormatting sqref="AG9:AG30">
    <cfRule type="expression" dxfId="22" priority="31" stopIfTrue="1">
      <formula>(A9="ERRO-FT")</formula>
    </cfRule>
  </conditionalFormatting>
  <conditionalFormatting sqref="AH9:AH30">
    <cfRule type="cellIs" dxfId="21" priority="32" stopIfTrue="1" operator="equal">
      <formula>0</formula>
    </cfRule>
    <cfRule type="cellIs" dxfId="20" priority="33" stopIfTrue="1" operator="equal">
      <formula>$AY9</formula>
    </cfRule>
    <cfRule type="expression" dxfId="19" priority="34" stopIfTrue="1">
      <formula>(A9="ERRO-FT")</formula>
    </cfRule>
  </conditionalFormatting>
  <conditionalFormatting sqref="AH31:AI31">
    <cfRule type="cellIs" dxfId="18" priority="35" stopIfTrue="1" operator="equal">
      <formula>"VERIFICAR ALELOS"</formula>
    </cfRule>
  </conditionalFormatting>
  <conditionalFormatting sqref="AH32:AM32">
    <cfRule type="cellIs" dxfId="17" priority="36" stopIfTrue="1" operator="equal">
      <formula>"OCORRÊNCIA DE 'OUT LADDER'"</formula>
    </cfRule>
  </conditionalFormatting>
  <conditionalFormatting sqref="AH33:AN33">
    <cfRule type="cellIs" dxfId="16" priority="37" stopIfTrue="1" operator="equal">
      <formula>"CÁLCULO COM OMISSÃO DE LOCUS"</formula>
    </cfRule>
    <cfRule type="cellIs" dxfId="15" priority="38" stopIfTrue="1" operator="equal">
      <formula>"ANALISAR DIGITAÇÃO"</formula>
    </cfRule>
  </conditionalFormatting>
  <conditionalFormatting sqref="AG46:AH46">
    <cfRule type="expression" dxfId="14" priority="39" stopIfTrue="1">
      <formula>($AH$46="SIM")</formula>
    </cfRule>
    <cfRule type="expression" dxfId="13" priority="40" stopIfTrue="1">
      <formula>($AH$46&lt;&gt;"SIM")</formula>
    </cfRule>
  </conditionalFormatting>
  <conditionalFormatting sqref="AN9:AN30">
    <cfRule type="cellIs" dxfId="12" priority="41" stopIfTrue="1" operator="equal">
      <formula>"EM"</formula>
    </cfRule>
    <cfRule type="cellIs" dxfId="11" priority="42" stopIfTrue="1" operator="equal">
      <formula>"MT"</formula>
    </cfRule>
  </conditionalFormatting>
  <conditionalFormatting sqref="F31">
    <cfRule type="cellIs" dxfId="6" priority="4" stopIfTrue="1" operator="equal">
      <formula>"VERIFICAR ALELOS"</formula>
    </cfRule>
  </conditionalFormatting>
  <conditionalFormatting sqref="F32">
    <cfRule type="cellIs" dxfId="2" priority="1" stopIfTrue="1" operator="equal">
      <formula>"OCORRÊNCIA DE 'OUT LADDER'"</formula>
    </cfRule>
  </conditionalFormatting>
  <conditionalFormatting sqref="F33">
    <cfRule type="cellIs" dxfId="1" priority="2" stopIfTrue="1" operator="equal">
      <formula>"CÁLCULO COM OMISSÃO DE LOCUS"</formula>
    </cfRule>
    <cfRule type="cellIs" dxfId="0" priority="3" stopIfTrue="1" operator="equal">
      <formula>"ANALISAR DIGITAÇÃO"</formula>
    </cfRule>
  </conditionalFormatting>
  <dataValidations count="2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</dataValidations>
  <pageMargins left="1.2598425196850394" right="0.47244094488188981" top="1.9685039370078741" bottom="0.19685039370078741" header="0" footer="0"/>
  <pageSetup paperSize="9" fitToWidth="0" fitToHeight="0" orientation="portrait" r:id="rId1"/>
  <headerFooter alignWithMargins="0">
    <oddHeader>&amp;L
                                          &amp;G</oddHeader>
    <oddFooter>&amp;R.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C8C6A9-1B13-4E20-88BE-D123CB36FA4D}"/>
</file>

<file path=customXml/itemProps2.xml><?xml version="1.0" encoding="utf-8"?>
<ds:datastoreItem xmlns:ds="http://schemas.openxmlformats.org/officeDocument/2006/customXml" ds:itemID="{3CA981A4-8816-4A27-B741-4BB5D829D7E1}"/>
</file>

<file path=customXml/itemProps3.xml><?xml version="1.0" encoding="utf-8"?>
<ds:datastoreItem xmlns:ds="http://schemas.openxmlformats.org/officeDocument/2006/customXml" ds:itemID="{944D195F-0874-440A-870D-2C3DD47E6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SUPERVISÃO 4</vt:lpstr>
      <vt:lpstr>SUPERVISÃO 3</vt:lpstr>
      <vt:lpstr>SUPERVISÃO 2</vt:lpstr>
      <vt:lpstr>SUPERVISÃO 1</vt:lpstr>
      <vt:lpstr>IMPORTAÇÃO GENOTIPER</vt:lpstr>
      <vt:lpstr>FREQUENCIAS</vt:lpstr>
      <vt:lpstr>DADOS FINAIS</vt:lpstr>
      <vt:lpstr>'DADOS FINAIS'!Print_Area</vt:lpstr>
      <vt:lpstr>'SUPERVISÃO 3'!Print_Area</vt:lpstr>
      <vt:lpstr>FREQUENCIAS!Print_Titles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Helder Pereira de Figueiredo - IPCMS</dc:creator>
  <dc:description>versão 4</dc:description>
  <cp:lastModifiedBy>Bruno Boiko Pereira de Figueiredo</cp:lastModifiedBy>
  <cp:lastPrinted>2014-08-12T18:57:36Z</cp:lastPrinted>
  <dcterms:created xsi:type="dcterms:W3CDTF">2000-11-01T18:17:47Z</dcterms:created>
  <dcterms:modified xsi:type="dcterms:W3CDTF">2014-08-12T18:59:09Z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