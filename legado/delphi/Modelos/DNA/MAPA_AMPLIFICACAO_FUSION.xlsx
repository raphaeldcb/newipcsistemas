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codeName="ThisWorkbook"/>
  <mc:AlternateContent xmlns:mc="http://schemas.openxmlformats.org/markup-compatibility/2006">
    <mc:Choice Requires="x15">
      <x15ac:absPath xmlns:x15ac="http://schemas.microsoft.com/office/spreadsheetml/2010/11/ac" url="C:\SCPG\Modelos\"/>
    </mc:Choice>
  </mc:AlternateContent>
  <xr:revisionPtr revIDLastSave="0" documentId="8_{0E4000FE-6F4E-4A2D-8165-FF9F6103E677}" xr6:coauthVersionLast="45" xr6:coauthVersionMax="45" xr10:uidLastSave="{00000000-0000-0000-0000-000000000000}"/>
  <bookViews>
    <workbookView xWindow="-120" yWindow="-120" windowWidth="29040" windowHeight="15840"/>
  </bookViews>
  <sheets>
    <sheet name="IPCMS" sheetId="1" r:id="rId1"/>
    <sheet name="EXPORTAR" sheetId="3" r:id="rId2"/>
    <sheet name="IMPRIMIR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7" i="3" l="1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94" i="3"/>
  <c r="E95" i="3"/>
  <c r="E96" i="3"/>
  <c r="E97" i="3"/>
  <c r="E98" i="3"/>
  <c r="E99" i="3"/>
  <c r="E100" i="3"/>
  <c r="E101" i="3"/>
  <c r="E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94" i="3"/>
  <c r="D95" i="3"/>
  <c r="D96" i="3"/>
  <c r="D97" i="3"/>
  <c r="D98" i="3"/>
  <c r="D99" i="3"/>
  <c r="D100" i="3"/>
  <c r="D101" i="3"/>
  <c r="D6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E62" i="3"/>
  <c r="D62" i="3"/>
  <c r="E74" i="3"/>
  <c r="D74" i="3"/>
  <c r="E86" i="3"/>
  <c r="D86" i="3"/>
  <c r="E55" i="3"/>
  <c r="D55" i="3"/>
  <c r="E59" i="3"/>
  <c r="D59" i="3"/>
  <c r="E63" i="3"/>
  <c r="D63" i="3"/>
  <c r="E67" i="3"/>
  <c r="D67" i="3"/>
  <c r="E71" i="3"/>
  <c r="D71" i="3"/>
  <c r="E75" i="3"/>
  <c r="D75" i="3"/>
  <c r="E79" i="3"/>
  <c r="D79" i="3"/>
  <c r="E83" i="3"/>
  <c r="D83" i="3"/>
  <c r="E87" i="3"/>
  <c r="D87" i="3"/>
  <c r="E91" i="3"/>
  <c r="D91" i="3"/>
  <c r="E54" i="3"/>
  <c r="D54" i="3"/>
  <c r="E66" i="3"/>
  <c r="D66" i="3"/>
  <c r="E78" i="3"/>
  <c r="D78" i="3"/>
  <c r="E90" i="3"/>
  <c r="D90" i="3"/>
  <c r="E56" i="3"/>
  <c r="D56" i="3"/>
  <c r="E60" i="3"/>
  <c r="D60" i="3"/>
  <c r="E64" i="3"/>
  <c r="D64" i="3"/>
  <c r="D68" i="3"/>
  <c r="E68" i="3"/>
  <c r="E72" i="3"/>
  <c r="D72" i="3"/>
  <c r="E76" i="3"/>
  <c r="D76" i="3"/>
  <c r="E80" i="3"/>
  <c r="D80" i="3"/>
  <c r="D84" i="3"/>
  <c r="E84" i="3"/>
  <c r="E88" i="3"/>
  <c r="D88" i="3"/>
  <c r="D92" i="3"/>
  <c r="E92" i="3"/>
  <c r="E58" i="3"/>
  <c r="D58" i="3"/>
  <c r="E70" i="3"/>
  <c r="D70" i="3"/>
  <c r="E82" i="3"/>
  <c r="D82" i="3"/>
  <c r="E57" i="3"/>
  <c r="D57" i="3"/>
  <c r="E61" i="3"/>
  <c r="D61" i="3"/>
  <c r="E65" i="3"/>
  <c r="D65" i="3"/>
  <c r="E69" i="3"/>
  <c r="D69" i="3"/>
  <c r="E73" i="3"/>
  <c r="D73" i="3"/>
  <c r="E77" i="3"/>
  <c r="D77" i="3"/>
  <c r="E81" i="3"/>
  <c r="D81" i="3"/>
  <c r="E85" i="3"/>
  <c r="D85" i="3"/>
  <c r="E89" i="3"/>
  <c r="D89" i="3"/>
  <c r="E93" i="3"/>
  <c r="D93" i="3"/>
  <c r="H94" i="3"/>
  <c r="H93" i="3"/>
  <c r="H86" i="3"/>
  <c r="G84" i="3"/>
  <c r="H79" i="3"/>
  <c r="H78" i="3"/>
  <c r="M76" i="3"/>
  <c r="M74" i="3"/>
  <c r="H73" i="3"/>
  <c r="M72" i="3"/>
  <c r="H70" i="3"/>
  <c r="H69" i="3"/>
  <c r="H67" i="3"/>
  <c r="H65" i="3"/>
  <c r="J62" i="3"/>
  <c r="N61" i="3"/>
  <c r="G58" i="3"/>
  <c r="J57" i="3"/>
  <c r="H56" i="3"/>
  <c r="H54" i="3"/>
  <c r="H50" i="3"/>
  <c r="G48" i="3"/>
  <c r="M46" i="3"/>
  <c r="G45" i="3"/>
  <c r="G42" i="3"/>
  <c r="G41" i="3"/>
  <c r="G38" i="3"/>
  <c r="G34" i="3"/>
  <c r="G33" i="3"/>
  <c r="G30" i="3"/>
  <c r="M26" i="3"/>
  <c r="M22" i="3"/>
  <c r="M21" i="3"/>
  <c r="H18" i="3"/>
  <c r="M99" i="3"/>
  <c r="H87" i="3"/>
  <c r="H83" i="3"/>
  <c r="G75" i="3"/>
  <c r="G71" i="3"/>
  <c r="M70" i="3"/>
  <c r="N63" i="3"/>
  <c r="H51" i="3"/>
  <c r="M37" i="3"/>
  <c r="H15" i="3"/>
  <c r="G14" i="3"/>
  <c r="H13" i="3"/>
  <c r="N11" i="3"/>
  <c r="H16" i="3"/>
  <c r="G12" i="3"/>
  <c r="H9" i="3"/>
  <c r="G8" i="3"/>
  <c r="H11" i="3"/>
  <c r="G25" i="3"/>
  <c r="G29" i="3"/>
  <c r="H77" i="3"/>
  <c r="H81" i="3"/>
  <c r="H97" i="3"/>
  <c r="H89" i="3"/>
  <c r="M7" i="3"/>
  <c r="N7" i="3"/>
  <c r="H8" i="3"/>
  <c r="M8" i="3"/>
  <c r="N8" i="3"/>
  <c r="G11" i="3"/>
  <c r="H12" i="3"/>
  <c r="M12" i="3"/>
  <c r="N12" i="3"/>
  <c r="G15" i="3"/>
  <c r="G16" i="3"/>
  <c r="M16" i="3"/>
  <c r="N16" i="3"/>
  <c r="H17" i="3"/>
  <c r="G20" i="3"/>
  <c r="M20" i="3"/>
  <c r="G24" i="3"/>
  <c r="G28" i="3"/>
  <c r="G32" i="3"/>
  <c r="M33" i="3"/>
  <c r="G36" i="3"/>
  <c r="G37" i="3"/>
  <c r="G40" i="3"/>
  <c r="G44" i="3"/>
  <c r="J49" i="3"/>
  <c r="G51" i="3"/>
  <c r="N51" i="3"/>
  <c r="H55" i="3"/>
  <c r="J55" i="3"/>
  <c r="J56" i="3"/>
  <c r="J59" i="3"/>
  <c r="N59" i="3"/>
  <c r="G60" i="3"/>
  <c r="H60" i="3"/>
  <c r="J60" i="3"/>
  <c r="N60" i="3"/>
  <c r="H63" i="3"/>
  <c r="J63" i="3"/>
  <c r="G68" i="3"/>
  <c r="H68" i="3"/>
  <c r="J68" i="3"/>
  <c r="N68" i="3"/>
  <c r="H71" i="3"/>
  <c r="M71" i="3"/>
  <c r="G72" i="3"/>
  <c r="H72" i="3"/>
  <c r="H75" i="3"/>
  <c r="M75" i="3"/>
  <c r="G76" i="3"/>
  <c r="H76" i="3"/>
  <c r="G80" i="3"/>
  <c r="H80" i="3"/>
  <c r="M80" i="3"/>
  <c r="G83" i="3"/>
  <c r="G87" i="3"/>
  <c r="G88" i="3"/>
  <c r="H88" i="3"/>
  <c r="M88" i="3"/>
  <c r="G91" i="3"/>
  <c r="M91" i="3"/>
  <c r="G92" i="3"/>
  <c r="H92" i="3"/>
  <c r="M92" i="3"/>
  <c r="G95" i="3"/>
  <c r="M95" i="3"/>
  <c r="G96" i="3"/>
  <c r="H96" i="3"/>
  <c r="M96" i="3"/>
  <c r="H99" i="3"/>
  <c r="G100" i="3"/>
  <c r="H100" i="3"/>
  <c r="M100" i="3"/>
  <c r="M84" i="3"/>
  <c r="H84" i="3"/>
  <c r="M79" i="3"/>
  <c r="G79" i="3"/>
  <c r="J67" i="3"/>
  <c r="H52" i="3"/>
  <c r="G52" i="3"/>
  <c r="N52" i="3"/>
  <c r="J52" i="3"/>
  <c r="J64" i="3"/>
  <c r="H64" i="3"/>
  <c r="G64" i="3"/>
  <c r="N64" i="3"/>
  <c r="J53" i="3"/>
  <c r="G56" i="3"/>
  <c r="N56" i="3"/>
  <c r="H57" i="3"/>
  <c r="N48" i="3"/>
  <c r="G26" i="3"/>
  <c r="M10" i="3"/>
  <c r="H90" i="3"/>
  <c r="H82" i="3"/>
  <c r="N58" i="3"/>
  <c r="G99" i="3"/>
  <c r="H95" i="3"/>
  <c r="H91" i="3"/>
  <c r="M87" i="3"/>
  <c r="M83" i="3"/>
  <c r="N67" i="3"/>
  <c r="H59" i="3"/>
  <c r="G55" i="3"/>
  <c r="J51" i="3"/>
  <c r="M19" i="3"/>
  <c r="H74" i="3"/>
  <c r="G98" i="3"/>
  <c r="N55" i="3"/>
  <c r="G50" i="3"/>
  <c r="H19" i="3"/>
  <c r="H62" i="3"/>
  <c r="G54" i="3"/>
  <c r="G46" i="3"/>
  <c r="G18" i="3"/>
  <c r="M78" i="3"/>
  <c r="N66" i="3"/>
  <c r="G66" i="3"/>
  <c r="G22" i="3"/>
  <c r="N14" i="3"/>
  <c r="M6" i="3"/>
  <c r="G90" i="3"/>
  <c r="G82" i="3"/>
  <c r="M38" i="3"/>
  <c r="M34" i="3"/>
  <c r="M30" i="3"/>
  <c r="N18" i="3"/>
  <c r="M14" i="3"/>
  <c r="H10" i="3"/>
  <c r="N6" i="3"/>
  <c r="M98" i="3"/>
  <c r="G94" i="3"/>
  <c r="J58" i="3"/>
  <c r="H98" i="3"/>
  <c r="M94" i="3"/>
  <c r="M90" i="3"/>
  <c r="M86" i="3"/>
  <c r="M82" i="3"/>
  <c r="G78" i="3"/>
  <c r="G74" i="3"/>
  <c r="G70" i="3"/>
  <c r="H66" i="3"/>
  <c r="N62" i="3"/>
  <c r="H58" i="3"/>
  <c r="J54" i="3"/>
  <c r="J50" i="3"/>
  <c r="M42" i="3"/>
  <c r="G19" i="3"/>
  <c r="M18" i="3"/>
  <c r="N15" i="3"/>
  <c r="H14" i="3"/>
  <c r="M11" i="3"/>
  <c r="G10" i="3"/>
  <c r="H7" i="3"/>
  <c r="H6" i="3"/>
  <c r="G7" i="3"/>
  <c r="G86" i="3"/>
  <c r="J66" i="3"/>
  <c r="G62" i="3"/>
  <c r="N54" i="3"/>
  <c r="N50" i="3"/>
  <c r="N19" i="3"/>
  <c r="M15" i="3"/>
  <c r="N10" i="3"/>
  <c r="G6" i="3"/>
  <c r="H53" i="3"/>
  <c r="H49" i="3"/>
  <c r="M45" i="3"/>
  <c r="M29" i="3"/>
  <c r="G17" i="3"/>
  <c r="G13" i="3"/>
  <c r="G9" i="3"/>
  <c r="H101" i="3"/>
  <c r="H85" i="3"/>
  <c r="J69" i="3"/>
  <c r="N57" i="3"/>
  <c r="G53" i="3"/>
  <c r="G49" i="3"/>
  <c r="M41" i="3"/>
  <c r="M25" i="3"/>
  <c r="N17" i="3"/>
  <c r="N13" i="3"/>
  <c r="N9" i="3"/>
  <c r="N53" i="3"/>
  <c r="N49" i="3"/>
  <c r="M17" i="3"/>
  <c r="M13" i="3"/>
  <c r="M9" i="3"/>
  <c r="G97" i="3"/>
  <c r="G93" i="3"/>
  <c r="G89" i="3"/>
  <c r="G85" i="3"/>
  <c r="G81" i="3"/>
  <c r="G77" i="3"/>
  <c r="G73" i="3"/>
  <c r="N65" i="3"/>
  <c r="H61" i="3"/>
  <c r="J61" i="3"/>
  <c r="M101" i="3"/>
  <c r="M97" i="3"/>
  <c r="M93" i="3"/>
  <c r="M89" i="3"/>
  <c r="M85" i="3"/>
  <c r="M81" i="3"/>
  <c r="M77" i="3"/>
  <c r="M73" i="3"/>
  <c r="M69" i="3"/>
  <c r="J65" i="3"/>
  <c r="G101" i="3"/>
  <c r="J47" i="3"/>
  <c r="H47" i="3"/>
  <c r="N47" i="3"/>
  <c r="J43" i="3"/>
  <c r="H43" i="3"/>
  <c r="N43" i="3"/>
  <c r="J39" i="3"/>
  <c r="H39" i="3"/>
  <c r="N39" i="3"/>
  <c r="J35" i="3"/>
  <c r="H35" i="3"/>
  <c r="N35" i="3"/>
  <c r="J31" i="3"/>
  <c r="H31" i="3"/>
  <c r="N31" i="3"/>
  <c r="J27" i="3"/>
  <c r="H27" i="3"/>
  <c r="N27" i="3"/>
  <c r="J23" i="3"/>
  <c r="H23" i="3"/>
  <c r="N23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M67" i="3"/>
  <c r="M65" i="3"/>
  <c r="M63" i="3"/>
  <c r="M61" i="3"/>
  <c r="M59" i="3"/>
  <c r="M57" i="3"/>
  <c r="M48" i="3"/>
  <c r="H48" i="3"/>
  <c r="J44" i="3"/>
  <c r="N44" i="3"/>
  <c r="H44" i="3"/>
  <c r="J40" i="3"/>
  <c r="N40" i="3"/>
  <c r="H40" i="3"/>
  <c r="J36" i="3"/>
  <c r="N36" i="3"/>
  <c r="H36" i="3"/>
  <c r="J32" i="3"/>
  <c r="N32" i="3"/>
  <c r="H32" i="3"/>
  <c r="J28" i="3"/>
  <c r="N28" i="3"/>
  <c r="H28" i="3"/>
  <c r="J24" i="3"/>
  <c r="N24" i="3"/>
  <c r="H24" i="3"/>
  <c r="J21" i="3"/>
  <c r="H21" i="3"/>
  <c r="N21" i="3"/>
  <c r="G21" i="3"/>
  <c r="M47" i="3"/>
  <c r="J45" i="3"/>
  <c r="H45" i="3"/>
  <c r="N45" i="3"/>
  <c r="M43" i="3"/>
  <c r="J41" i="3"/>
  <c r="H41" i="3"/>
  <c r="N41" i="3"/>
  <c r="M39" i="3"/>
  <c r="J37" i="3"/>
  <c r="H37" i="3"/>
  <c r="N37" i="3"/>
  <c r="M35" i="3"/>
  <c r="J33" i="3"/>
  <c r="H33" i="3"/>
  <c r="N33" i="3"/>
  <c r="M31" i="3"/>
  <c r="J29" i="3"/>
  <c r="H29" i="3"/>
  <c r="N29" i="3"/>
  <c r="M27" i="3"/>
  <c r="J25" i="3"/>
  <c r="H25" i="3"/>
  <c r="N25" i="3"/>
  <c r="M23" i="3"/>
  <c r="N101" i="3"/>
  <c r="N100" i="3"/>
  <c r="N99" i="3"/>
  <c r="N98" i="3"/>
  <c r="N97" i="3"/>
  <c r="N96" i="3"/>
  <c r="N95" i="3"/>
  <c r="N94" i="3"/>
  <c r="N93" i="3"/>
  <c r="N92" i="3"/>
  <c r="N91" i="3"/>
  <c r="N90" i="3"/>
  <c r="N89" i="3"/>
  <c r="N88" i="3"/>
  <c r="N87" i="3"/>
  <c r="N86" i="3"/>
  <c r="N85" i="3"/>
  <c r="N84" i="3"/>
  <c r="N83" i="3"/>
  <c r="N82" i="3"/>
  <c r="N81" i="3"/>
  <c r="N80" i="3"/>
  <c r="N79" i="3"/>
  <c r="N78" i="3"/>
  <c r="N77" i="3"/>
  <c r="N76" i="3"/>
  <c r="N75" i="3"/>
  <c r="N74" i="3"/>
  <c r="N73" i="3"/>
  <c r="N72" i="3"/>
  <c r="N71" i="3"/>
  <c r="N70" i="3"/>
  <c r="N69" i="3"/>
  <c r="G69" i="3"/>
  <c r="M68" i="3"/>
  <c r="G67" i="3"/>
  <c r="M66" i="3"/>
  <c r="G65" i="3"/>
  <c r="M64" i="3"/>
  <c r="G63" i="3"/>
  <c r="M62" i="3"/>
  <c r="G61" i="3"/>
  <c r="M60" i="3"/>
  <c r="G59" i="3"/>
  <c r="M58" i="3"/>
  <c r="G57" i="3"/>
  <c r="M56" i="3"/>
  <c r="J48" i="3"/>
  <c r="G47" i="3"/>
  <c r="J46" i="3"/>
  <c r="N46" i="3"/>
  <c r="H46" i="3"/>
  <c r="M44" i="3"/>
  <c r="G43" i="3"/>
  <c r="J42" i="3"/>
  <c r="N42" i="3"/>
  <c r="H42" i="3"/>
  <c r="M40" i="3"/>
  <c r="G39" i="3"/>
  <c r="J38" i="3"/>
  <c r="N38" i="3"/>
  <c r="H38" i="3"/>
  <c r="M36" i="3"/>
  <c r="G35" i="3"/>
  <c r="J34" i="3"/>
  <c r="N34" i="3"/>
  <c r="H34" i="3"/>
  <c r="M32" i="3"/>
  <c r="G31" i="3"/>
  <c r="J30" i="3"/>
  <c r="N30" i="3"/>
  <c r="H30" i="3"/>
  <c r="M28" i="3"/>
  <c r="G27" i="3"/>
  <c r="J26" i="3"/>
  <c r="N26" i="3"/>
  <c r="H26" i="3"/>
  <c r="M24" i="3"/>
  <c r="G23" i="3"/>
  <c r="J22" i="3"/>
  <c r="J20" i="3"/>
  <c r="H22" i="3"/>
  <c r="H20" i="3"/>
  <c r="M55" i="3"/>
  <c r="M54" i="3"/>
  <c r="M53" i="3"/>
  <c r="M52" i="3"/>
  <c r="M51" i="3"/>
  <c r="M50" i="3"/>
  <c r="M49" i="3"/>
  <c r="N22" i="3"/>
  <c r="N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G15" i="4"/>
  <c r="F15" i="4"/>
  <c r="G14" i="4"/>
  <c r="F14" i="4"/>
  <c r="E14" i="4"/>
  <c r="D14" i="4"/>
  <c r="C14" i="4"/>
  <c r="B14" i="4"/>
  <c r="G13" i="4"/>
  <c r="F13" i="4"/>
  <c r="E13" i="4"/>
  <c r="D13" i="4"/>
  <c r="C13" i="4"/>
  <c r="B13" i="4"/>
  <c r="G12" i="4"/>
  <c r="F12" i="4"/>
  <c r="E12" i="4"/>
  <c r="D12" i="4"/>
  <c r="C12" i="4"/>
  <c r="B12" i="4"/>
  <c r="G11" i="4"/>
  <c r="F11" i="4"/>
  <c r="E11" i="4"/>
  <c r="D11" i="4"/>
  <c r="C11" i="4"/>
  <c r="B11" i="4"/>
  <c r="H15" i="4"/>
  <c r="H14" i="4"/>
  <c r="H13" i="4"/>
  <c r="H12" i="4"/>
  <c r="H11" i="4"/>
  <c r="I15" i="4"/>
  <c r="I14" i="4"/>
  <c r="I13" i="4"/>
  <c r="I12" i="4"/>
  <c r="I11" i="4"/>
  <c r="I1" i="4"/>
  <c r="C12" i="1"/>
  <c r="D12" i="1"/>
  <c r="E12" i="1"/>
  <c r="F12" i="1"/>
  <c r="G12" i="1"/>
  <c r="H12" i="1"/>
  <c r="I12" i="1"/>
  <c r="J12" i="1"/>
  <c r="K12" i="1"/>
  <c r="L12" i="1"/>
  <c r="M12" i="1"/>
  <c r="A2" i="3"/>
</calcChain>
</file>

<file path=xl/sharedStrings.xml><?xml version="1.0" encoding="utf-8"?>
<sst xmlns="http://schemas.openxmlformats.org/spreadsheetml/2006/main" count="562" uniqueCount="169">
  <si>
    <t>A</t>
  </si>
  <si>
    <t>B</t>
  </si>
  <si>
    <t>C</t>
  </si>
  <si>
    <t>D</t>
  </si>
  <si>
    <t>E</t>
  </si>
  <si>
    <t>F</t>
  </si>
  <si>
    <t>G</t>
  </si>
  <si>
    <t>H</t>
  </si>
  <si>
    <t>Extração Perito</t>
  </si>
  <si>
    <t>Extração Caixa</t>
  </si>
  <si>
    <t>Extração Data</t>
  </si>
  <si>
    <t>PCR Caixa</t>
  </si>
  <si>
    <t>PCR Perito</t>
  </si>
  <si>
    <t>PCR Data</t>
  </si>
  <si>
    <t>PCR Maquina</t>
  </si>
  <si>
    <t>Taq Gold:     n x 0.25 uL =</t>
  </si>
  <si>
    <t>Primer:       n x 2.75 uL =</t>
  </si>
  <si>
    <t xml:space="preserve">Reaction Mix: n x 5.25 uL = </t>
  </si>
  <si>
    <t>DNA 0.5-1.25ng</t>
  </si>
  <si>
    <t>Observação</t>
  </si>
  <si>
    <t>PLACA</t>
  </si>
  <si>
    <t>Diluição</t>
  </si>
  <si>
    <t>Corrida Data</t>
  </si>
  <si>
    <t>Perito Data</t>
  </si>
  <si>
    <t>Análise Data</t>
  </si>
  <si>
    <t>Análise Perito</t>
  </si>
  <si>
    <t>Conferente</t>
  </si>
  <si>
    <t>Eletroforese LIZ Lote</t>
  </si>
  <si>
    <t>Formamida:  n+4 x 8.7 uL =</t>
  </si>
  <si>
    <t>GS500 LIZ:  n+4 x 0.3 uL =</t>
  </si>
  <si>
    <t>Distribuir 9 uL/poço e adicionar</t>
  </si>
  <si>
    <t>1 uL do produto de PCR ou ladder</t>
  </si>
  <si>
    <t>A10</t>
  </si>
  <si>
    <t>A11</t>
  </si>
  <si>
    <t>B10</t>
  </si>
  <si>
    <t>C10</t>
  </si>
  <si>
    <t>D10</t>
  </si>
  <si>
    <t>E10</t>
  </si>
  <si>
    <t>F10</t>
  </si>
  <si>
    <t>G10</t>
  </si>
  <si>
    <t>H10</t>
  </si>
  <si>
    <t>B11</t>
  </si>
  <si>
    <t>C11</t>
  </si>
  <si>
    <t>D11</t>
  </si>
  <si>
    <t>E11</t>
  </si>
  <si>
    <t>F11</t>
  </si>
  <si>
    <t>G11</t>
  </si>
  <si>
    <t>H11</t>
  </si>
  <si>
    <t>96-Well</t>
  </si>
  <si>
    <t>Well</t>
  </si>
  <si>
    <t>Sample Name</t>
  </si>
  <si>
    <t xml:space="preserve"> </t>
  </si>
  <si>
    <t>Volume Final 12.5 uL por reação</t>
  </si>
  <si>
    <t>Água:         n x 4.40 uL =</t>
  </si>
  <si>
    <t>PCR</t>
  </si>
  <si>
    <t>Container Name</t>
  </si>
  <si>
    <t>Description</t>
  </si>
  <si>
    <t>ContainerType</t>
  </si>
  <si>
    <t>AppType</t>
  </si>
  <si>
    <t>Owner</t>
  </si>
  <si>
    <t>Operator</t>
  </si>
  <si>
    <t>Regular</t>
  </si>
  <si>
    <t>AppServer</t>
  </si>
  <si>
    <t>AppInstance</t>
  </si>
  <si>
    <t>GeneMapper</t>
  </si>
  <si>
    <t>Comment</t>
  </si>
  <si>
    <t>Priority</t>
  </si>
  <si>
    <t>Sample Type</t>
  </si>
  <si>
    <t>Snp Set</t>
  </si>
  <si>
    <t>Analysis Method</t>
  </si>
  <si>
    <t>Panel</t>
  </si>
  <si>
    <t>User-Defined 3</t>
  </si>
  <si>
    <t>Size Standard</t>
  </si>
  <si>
    <t>User-Defined 2</t>
  </si>
  <si>
    <t>User-Defined 1</t>
  </si>
  <si>
    <t>Results Group 1</t>
  </si>
  <si>
    <t>Instrument Protocol 1</t>
  </si>
  <si>
    <t>A01</t>
  </si>
  <si>
    <t>B01</t>
  </si>
  <si>
    <t>C01</t>
  </si>
  <si>
    <t>D01</t>
  </si>
  <si>
    <t>E01</t>
  </si>
  <si>
    <t>F01</t>
  </si>
  <si>
    <t>G01</t>
  </si>
  <si>
    <t>H01</t>
  </si>
  <si>
    <t>A02</t>
  </si>
  <si>
    <t>B02</t>
  </si>
  <si>
    <t>C02</t>
  </si>
  <si>
    <t>D02</t>
  </si>
  <si>
    <t>E02</t>
  </si>
  <si>
    <t>F02</t>
  </si>
  <si>
    <t>G02</t>
  </si>
  <si>
    <t>H02</t>
  </si>
  <si>
    <t>A03</t>
  </si>
  <si>
    <t>B03</t>
  </si>
  <si>
    <t>C03</t>
  </si>
  <si>
    <t>D03</t>
  </si>
  <si>
    <t>E03</t>
  </si>
  <si>
    <t>F03</t>
  </si>
  <si>
    <t>G03</t>
  </si>
  <si>
    <t>H03</t>
  </si>
  <si>
    <t>A04</t>
  </si>
  <si>
    <t>B04</t>
  </si>
  <si>
    <t>C04</t>
  </si>
  <si>
    <t>D04</t>
  </si>
  <si>
    <t>E04</t>
  </si>
  <si>
    <t>F04</t>
  </si>
  <si>
    <t>G04</t>
  </si>
  <si>
    <t>H04</t>
  </si>
  <si>
    <t>A05</t>
  </si>
  <si>
    <t>B05</t>
  </si>
  <si>
    <t>C05</t>
  </si>
  <si>
    <t>D05</t>
  </si>
  <si>
    <t>E05</t>
  </si>
  <si>
    <t>F05</t>
  </si>
  <si>
    <t>G05</t>
  </si>
  <si>
    <t>H05</t>
  </si>
  <si>
    <t>A06</t>
  </si>
  <si>
    <t>B06</t>
  </si>
  <si>
    <t>C06</t>
  </si>
  <si>
    <t>D06</t>
  </si>
  <si>
    <t>E06</t>
  </si>
  <si>
    <t>F06</t>
  </si>
  <si>
    <t>G06</t>
  </si>
  <si>
    <t>H06</t>
  </si>
  <si>
    <t>A07</t>
  </si>
  <si>
    <t>B07</t>
  </si>
  <si>
    <t>C07</t>
  </si>
  <si>
    <t>D07</t>
  </si>
  <si>
    <t>E07</t>
  </si>
  <si>
    <t>F07</t>
  </si>
  <si>
    <t>G07</t>
  </si>
  <si>
    <t>H07</t>
  </si>
  <si>
    <t>A08</t>
  </si>
  <si>
    <t>B08</t>
  </si>
  <si>
    <t>C08</t>
  </si>
  <si>
    <t>D08</t>
  </si>
  <si>
    <t>E08</t>
  </si>
  <si>
    <t>F08</t>
  </si>
  <si>
    <t>G08</t>
  </si>
  <si>
    <t>H08</t>
  </si>
  <si>
    <t>A09</t>
  </si>
  <si>
    <t>B09</t>
  </si>
  <si>
    <t>C09</t>
  </si>
  <si>
    <t>D09</t>
  </si>
  <si>
    <t>E09</t>
  </si>
  <si>
    <t>F09</t>
  </si>
  <si>
    <t>G09</t>
  </si>
  <si>
    <t>H09</t>
  </si>
  <si>
    <t>A12</t>
  </si>
  <si>
    <t>B12</t>
  </si>
  <si>
    <t>C12</t>
  </si>
  <si>
    <t>D12</t>
  </si>
  <si>
    <t>E12</t>
  </si>
  <si>
    <t>F12</t>
  </si>
  <si>
    <t>G12</t>
  </si>
  <si>
    <t>H12</t>
  </si>
  <si>
    <t>ABI 3130</t>
  </si>
  <si>
    <t>IPCMS - Instituto de Perícias Científicas</t>
  </si>
  <si>
    <t>MAPA DE AMPLIFICAÇÃO</t>
  </si>
  <si>
    <t>DATA:</t>
  </si>
  <si>
    <t xml:space="preserve">Micropipetas:  16-2A (   )   17 -2A (   )    5 - 1C (   ) outros (   ) __________  </t>
  </si>
  <si>
    <t>Termociclador:        9600 (   )             9700 (   )</t>
  </si>
  <si>
    <t>Lote: FOR + LIZ: ___________   Ladder: _____________ Outros: ____________</t>
  </si>
  <si>
    <t>Pipetagem e desnaturação:  ____/____/20____     Responsáveis: ___________</t>
  </si>
  <si>
    <t>Corrida:  ____/____/20____     Responsáveis: ___________</t>
  </si>
  <si>
    <t>GeneMapper_Generic_Instance</t>
  </si>
  <si>
    <t>10_09_20</t>
  </si>
  <si>
    <t>Bruno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</si>
</sst>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0"/>
      <name val="Arial"/>
    </font>
    <font>
      <sz val="10"/>
      <name val="Courier New"/>
      <family val="3"/>
    </font>
    <font>
      <b/>
      <sz val="12"/>
      <name val="Courier New"/>
      <family val="3"/>
    </font>
    <font>
      <sz val="12"/>
      <name val="Courier New"/>
      <family val="3"/>
    </font>
    <font>
      <b/>
      <sz val="11"/>
      <name val="Courier New"/>
      <family val="3"/>
    </font>
    <font>
      <sz val="11"/>
      <name val="Courier New"/>
      <family val="3"/>
    </font>
    <font>
      <sz val="9"/>
      <name val="Courier New"/>
      <family val="3"/>
    </font>
    <font>
      <b/>
      <sz val="16"/>
      <color indexed="10"/>
      <name val="Courier New"/>
      <family val="3"/>
    </font>
    <font>
      <sz val="8"/>
      <name val="Courier New"/>
      <family val="3"/>
    </font>
    <font>
      <sz val="10"/>
      <name val="Arial"/>
      <family val="2"/>
    </font>
    <font>
      <sz val="10"/>
      <name val="Arial"/>
      <family val="2"/>
    </font>
    <font>
      <sz val="18"/>
      <name val="Arial"/>
      <family val="2"/>
    </font>
    <font>
      <sz val="12"/>
      <name val="Arial"/>
      <family val="2"/>
    </font>
    <font>
      <sz val="18"/>
      <name val="Umbrella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0" fontId="5" fillId="0" borderId="0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0" fontId="5" fillId="0" borderId="16" xfId="0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20" xfId="0" applyFont="1" applyBorder="1"/>
    <xf numFmtId="0" fontId="6" fillId="0" borderId="0" xfId="0" applyFont="1"/>
    <xf numFmtId="0" fontId="6" fillId="0" borderId="0" xfId="0" applyFont="1" applyFill="1"/>
    <xf numFmtId="0" fontId="1" fillId="0" borderId="0" xfId="0" applyFont="1"/>
    <xf numFmtId="0" fontId="7" fillId="0" borderId="5" xfId="0" applyFont="1" applyBorder="1"/>
    <xf numFmtId="0" fontId="8" fillId="0" borderId="21" xfId="0" applyFont="1" applyBorder="1" applyAlignment="1">
      <alignment horizontal="center" vertical="center" textRotation="90" wrapText="1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2" fillId="0" borderId="0" xfId="0" applyFont="1"/>
    <xf numFmtId="0" fontId="14" fillId="0" borderId="21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left"/>
    </xf>
    <xf numFmtId="0" fontId="2" fillId="0" borderId="23" xfId="0" applyFont="1" applyBorder="1" applyAlignment="1">
      <alignment horizontal="left"/>
    </xf>
    <xf numFmtId="0" fontId="13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23</xdr:row>
          <xdr:rowOff>114300</xdr:rowOff>
        </xdr:from>
        <xdr:to>
          <xdr:col>1</xdr:col>
          <xdr:colOff>295275</xdr:colOff>
          <xdr:row>24</xdr:row>
          <xdr:rowOff>133350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CABC91D1-07AD-48A1-BBD8-A15F5CBE04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M27"/>
  <sheetViews>
    <sheetView tabSelected="1" zoomScale="80" zoomScaleNormal="80" workbookViewId="0">
      <selection activeCell="B13" sqref="B13"/>
    </sheetView>
  </sheetViews>
  <sheetFormatPr defaultRowHeight="15"/>
  <cols>
    <col min="1" max="1" width="2.28515625" style="4" customWidth="1"/>
    <col min="2" max="13" width="11.7109375" style="4" customWidth="1"/>
    <col min="14" max="16384" width="9.140625" style="4"/>
  </cols>
  <sheetData>
    <row r="1" spans="1:13" s="2" customFormat="1" ht="18" customHeight="1" thickBot="1">
      <c r="A1" s="1" t="s">
        <v>158</v>
      </c>
      <c r="J1" s="3" t="s">
        <v>20</v>
      </c>
      <c r="K1" s="36"/>
      <c r="L1" s="36"/>
      <c r="M1" s="37"/>
    </row>
    <row r="2" spans="1:13" ht="9" customHeight="1" thickBot="1"/>
    <row r="3" spans="1:13" ht="21">
      <c r="A3" s="5"/>
      <c r="B3" s="5"/>
      <c r="C3" s="6" t="s">
        <v>9</v>
      </c>
      <c r="D3" s="7"/>
      <c r="E3" s="8"/>
      <c r="F3" s="28" t="s">
        <v>54</v>
      </c>
      <c r="G3" s="10"/>
      <c r="H3" s="10"/>
      <c r="I3" s="10"/>
      <c r="J3" s="9" t="s">
        <v>19</v>
      </c>
      <c r="K3" s="10"/>
      <c r="L3" s="10"/>
      <c r="M3" s="11"/>
    </row>
    <row r="4" spans="1:13">
      <c r="A4" s="5"/>
      <c r="B4" s="5"/>
      <c r="C4" s="12" t="s">
        <v>8</v>
      </c>
      <c r="D4" s="13"/>
      <c r="E4" s="14"/>
      <c r="F4" s="15"/>
      <c r="G4" s="5"/>
      <c r="H4" s="5"/>
      <c r="I4" s="5"/>
      <c r="J4" s="15"/>
      <c r="K4" s="5"/>
      <c r="L4" s="5"/>
      <c r="M4" s="16"/>
    </row>
    <row r="5" spans="1:13" ht="15.75" thickBot="1">
      <c r="A5" s="5"/>
      <c r="B5" s="5"/>
      <c r="C5" s="17" t="s">
        <v>10</v>
      </c>
      <c r="D5" s="18"/>
      <c r="E5" s="19"/>
      <c r="F5" s="12" t="s">
        <v>17</v>
      </c>
      <c r="G5" s="13"/>
      <c r="H5" s="13"/>
      <c r="I5" s="13"/>
      <c r="J5" s="15"/>
      <c r="K5" s="5"/>
      <c r="L5" s="5"/>
      <c r="M5" s="16"/>
    </row>
    <row r="6" spans="1:13" ht="15.75" thickBot="1">
      <c r="A6" s="5"/>
      <c r="B6" s="5"/>
      <c r="C6" s="5"/>
      <c r="D6" s="5"/>
      <c r="E6" s="16"/>
      <c r="F6" s="12" t="s">
        <v>16</v>
      </c>
      <c r="G6" s="13"/>
      <c r="H6" s="13"/>
      <c r="I6" s="13"/>
      <c r="J6" s="15"/>
      <c r="K6" s="5"/>
      <c r="L6" s="5"/>
      <c r="M6" s="16"/>
    </row>
    <row r="7" spans="1:13">
      <c r="A7" s="5"/>
      <c r="B7" s="5"/>
      <c r="C7" s="6" t="s">
        <v>11</v>
      </c>
      <c r="D7" s="7"/>
      <c r="E7" s="8"/>
      <c r="F7" s="12" t="s">
        <v>15</v>
      </c>
      <c r="G7" s="13"/>
      <c r="H7" s="13"/>
      <c r="I7" s="13"/>
      <c r="J7" s="15"/>
      <c r="K7" s="5"/>
      <c r="L7" s="5"/>
      <c r="M7" s="16"/>
    </row>
    <row r="8" spans="1:13">
      <c r="A8" s="5"/>
      <c r="B8" s="5"/>
      <c r="C8" s="12" t="s">
        <v>12</v>
      </c>
      <c r="D8" s="13"/>
      <c r="E8" s="14"/>
      <c r="F8" s="12" t="s">
        <v>53</v>
      </c>
      <c r="G8" s="13"/>
      <c r="H8" s="13"/>
      <c r="I8" s="13"/>
      <c r="J8" s="15"/>
      <c r="K8" s="5"/>
      <c r="L8" s="5"/>
      <c r="M8" s="16"/>
    </row>
    <row r="9" spans="1:13">
      <c r="A9" s="5"/>
      <c r="B9" s="5"/>
      <c r="C9" s="12" t="s">
        <v>13</v>
      </c>
      <c r="D9" s="13"/>
      <c r="E9" s="14"/>
      <c r="F9" s="12" t="s">
        <v>18</v>
      </c>
      <c r="G9" s="13"/>
      <c r="H9" s="13"/>
      <c r="I9" s="14"/>
      <c r="J9" s="15"/>
      <c r="K9" s="5"/>
      <c r="L9" s="5"/>
      <c r="M9" s="16"/>
    </row>
    <row r="10" spans="1:13" ht="15.75" thickBot="1">
      <c r="A10" s="5"/>
      <c r="B10" s="5"/>
      <c r="C10" s="17" t="s">
        <v>14</v>
      </c>
      <c r="D10" s="18"/>
      <c r="E10" s="19"/>
      <c r="F10" s="17" t="s">
        <v>52</v>
      </c>
      <c r="G10" s="18"/>
      <c r="H10" s="18"/>
      <c r="I10" s="18"/>
      <c r="J10" s="17"/>
      <c r="K10" s="18"/>
      <c r="L10" s="18"/>
      <c r="M10" s="19"/>
    </row>
    <row r="11" spans="1:13" ht="15.75" thickBot="1"/>
    <row r="12" spans="1:13" ht="15.75">
      <c r="A12" s="20"/>
      <c r="B12" s="21">
        <v>1</v>
      </c>
      <c r="C12" s="21">
        <f>B12+1</f>
        <v>2</v>
      </c>
      <c r="D12" s="21">
        <f t="shared" ref="D12:M12" si="0">C12+1</f>
        <v>3</v>
      </c>
      <c r="E12" s="21">
        <f t="shared" si="0"/>
        <v>4</v>
      </c>
      <c r="F12" s="21">
        <f t="shared" si="0"/>
        <v>5</v>
      </c>
      <c r="G12" s="21">
        <f t="shared" si="0"/>
        <v>6</v>
      </c>
      <c r="H12" s="21">
        <f t="shared" si="0"/>
        <v>7</v>
      </c>
      <c r="I12" s="21">
        <f t="shared" si="0"/>
        <v>8</v>
      </c>
      <c r="J12" s="21">
        <f t="shared" si="0"/>
        <v>9</v>
      </c>
      <c r="K12" s="21">
        <f t="shared" si="0"/>
        <v>10</v>
      </c>
      <c r="L12" s="21">
        <f t="shared" si="0"/>
        <v>11</v>
      </c>
      <c r="M12" s="22">
        <f t="shared" si="0"/>
        <v>12</v>
      </c>
    </row>
    <row r="13" spans="1:13" ht="51.95" customHeight="1">
      <c r="A13" s="23" t="s">
        <v>0</v>
      </c>
      <c r="B13" s="29"/>
      <c r="C13" s="29"/>
      <c r="D13" s="29"/>
      <c r="E13" s="29"/>
      <c r="F13" s="29"/>
      <c r="G13" s="35"/>
      <c r="H13" s="35"/>
      <c r="I13" s="35"/>
      <c r="J13" s="35"/>
      <c r="K13" s="35"/>
      <c r="L13" s="35"/>
      <c r="M13" s="29"/>
    </row>
    <row r="14" spans="1:13" ht="51.95" customHeight="1">
      <c r="A14" s="23" t="s">
        <v>1</v>
      </c>
      <c r="B14" s="29"/>
      <c r="C14" s="29"/>
      <c r="D14" s="29"/>
      <c r="E14" s="29"/>
      <c r="F14" s="35"/>
      <c r="G14" s="35"/>
      <c r="H14" s="35"/>
      <c r="I14" s="35"/>
      <c r="J14" s="35"/>
      <c r="K14" s="35"/>
      <c r="L14" s="35"/>
      <c r="M14" s="29"/>
    </row>
    <row r="15" spans="1:13" ht="51.95" customHeight="1">
      <c r="A15" s="23" t="s">
        <v>2</v>
      </c>
      <c r="B15" s="29"/>
      <c r="C15" s="29"/>
      <c r="D15" s="29"/>
      <c r="E15" s="29"/>
      <c r="F15" s="29"/>
      <c r="G15" s="35"/>
      <c r="H15" s="35"/>
      <c r="I15" s="35"/>
      <c r="J15" s="35"/>
      <c r="K15" s="35"/>
      <c r="L15" s="35"/>
      <c r="M15" s="29"/>
    </row>
    <row r="16" spans="1:13" ht="51.95" customHeight="1">
      <c r="A16" s="23" t="s">
        <v>3</v>
      </c>
      <c r="B16" s="29"/>
      <c r="C16" s="29"/>
      <c r="D16" s="29"/>
      <c r="E16" s="29"/>
      <c r="F16" s="35"/>
      <c r="G16" s="35"/>
      <c r="H16" s="35"/>
      <c r="I16" s="35"/>
      <c r="J16" s="35"/>
      <c r="K16" s="35"/>
      <c r="L16" s="35"/>
      <c r="M16" s="29"/>
    </row>
    <row r="17" spans="1:13" ht="51.95" customHeight="1">
      <c r="A17" s="23" t="s">
        <v>4</v>
      </c>
      <c r="B17" s="29"/>
      <c r="C17" s="29"/>
      <c r="D17" s="29"/>
      <c r="E17" s="29"/>
      <c r="F17" s="29"/>
      <c r="G17" s="35"/>
      <c r="H17" s="35"/>
      <c r="I17" s="35"/>
      <c r="J17" s="35"/>
      <c r="K17" s="35"/>
      <c r="L17" s="35"/>
      <c r="M17" s="29"/>
    </row>
    <row r="18" spans="1:13" ht="51.95" customHeight="1">
      <c r="A18" s="23" t="s">
        <v>5</v>
      </c>
      <c r="B18" s="29"/>
      <c r="C18" s="29"/>
      <c r="D18" s="29"/>
      <c r="E18" s="29"/>
      <c r="F18" s="29"/>
      <c r="G18" s="35"/>
      <c r="H18" s="35"/>
      <c r="I18" s="35"/>
      <c r="J18" s="35"/>
      <c r="K18" s="35"/>
      <c r="L18" s="35"/>
      <c r="M18" s="29"/>
    </row>
    <row r="19" spans="1:13" ht="51.95" customHeight="1">
      <c r="A19" s="23" t="s">
        <v>6</v>
      </c>
      <c r="B19" s="29"/>
      <c r="C19" s="29"/>
      <c r="D19" s="29"/>
      <c r="E19" s="29"/>
      <c r="F19" s="29"/>
      <c r="G19" s="35"/>
      <c r="H19" s="35"/>
      <c r="I19" s="35"/>
      <c r="J19" s="35"/>
      <c r="K19" s="35"/>
      <c r="L19" s="35"/>
      <c r="M19" s="29"/>
    </row>
    <row r="20" spans="1:13" ht="51.95" customHeight="1" thickBot="1">
      <c r="A20" s="24" t="s">
        <v>7</v>
      </c>
      <c r="B20" s="29"/>
      <c r="C20" s="29"/>
      <c r="D20" s="29"/>
      <c r="E20" s="29"/>
      <c r="F20" s="29"/>
      <c r="G20" s="35"/>
      <c r="H20" s="35"/>
      <c r="I20" s="35"/>
      <c r="J20" s="35"/>
      <c r="K20" s="35"/>
      <c r="L20" s="35"/>
      <c r="M20" s="29"/>
    </row>
    <row r="21" spans="1:13" ht="15.75" thickBot="1"/>
    <row r="22" spans="1:13">
      <c r="C22" s="9" t="s">
        <v>21</v>
      </c>
      <c r="D22" s="10"/>
      <c r="E22" s="11"/>
      <c r="F22" s="9" t="s">
        <v>27</v>
      </c>
      <c r="G22" s="10"/>
      <c r="H22" s="10"/>
      <c r="I22" s="11"/>
      <c r="J22" s="9" t="s">
        <v>19</v>
      </c>
      <c r="K22" s="10"/>
      <c r="L22" s="10"/>
      <c r="M22" s="11"/>
    </row>
    <row r="23" spans="1:13">
      <c r="A23" s="27" t="s">
        <v>157</v>
      </c>
      <c r="C23" s="12" t="s">
        <v>22</v>
      </c>
      <c r="D23" s="13"/>
      <c r="E23" s="14"/>
      <c r="F23" s="15"/>
      <c r="G23" s="5"/>
      <c r="H23" s="5"/>
      <c r="I23" s="16"/>
      <c r="J23" s="15"/>
      <c r="K23" s="5"/>
      <c r="L23" s="5"/>
      <c r="M23" s="16"/>
    </row>
    <row r="24" spans="1:13">
      <c r="C24" s="12" t="s">
        <v>23</v>
      </c>
      <c r="D24" s="13"/>
      <c r="E24" s="14"/>
      <c r="F24" s="12" t="s">
        <v>28</v>
      </c>
      <c r="G24" s="13"/>
      <c r="H24" s="13"/>
      <c r="I24" s="14"/>
      <c r="J24" s="15"/>
      <c r="K24" s="5"/>
      <c r="L24" s="5"/>
      <c r="M24" s="16"/>
    </row>
    <row r="25" spans="1:13">
      <c r="C25" s="12" t="s">
        <v>24</v>
      </c>
      <c r="D25" s="13"/>
      <c r="E25" s="14"/>
      <c r="F25" s="12" t="s">
        <v>29</v>
      </c>
      <c r="G25" s="13"/>
      <c r="H25" s="13"/>
      <c r="I25" s="14"/>
      <c r="J25" s="15"/>
      <c r="K25" s="5"/>
      <c r="L25" s="5"/>
      <c r="M25" s="16"/>
    </row>
    <row r="26" spans="1:13">
      <c r="C26" s="12" t="s">
        <v>25</v>
      </c>
      <c r="D26" s="13"/>
      <c r="E26" s="14"/>
      <c r="F26" s="15" t="s">
        <v>30</v>
      </c>
      <c r="G26" s="5"/>
      <c r="H26" s="5"/>
      <c r="I26" s="16"/>
      <c r="J26" s="15"/>
      <c r="K26" s="5"/>
      <c r="L26" s="5"/>
      <c r="M26" s="16"/>
    </row>
    <row r="27" spans="1:13" ht="15.75" thickBot="1">
      <c r="A27" s="26"/>
      <c r="B27" s="25"/>
      <c r="C27" s="17" t="s">
        <v>26</v>
      </c>
      <c r="D27" s="18"/>
      <c r="E27" s="19"/>
      <c r="F27" s="17" t="s">
        <v>31</v>
      </c>
      <c r="G27" s="18"/>
      <c r="H27" s="18"/>
      <c r="I27" s="19"/>
      <c r="J27" s="17"/>
      <c r="K27" s="18"/>
      <c r="L27" s="18"/>
      <c r="M27" s="19"/>
    </row>
  </sheetData>
  <mergeCells count="1">
    <mergeCell ref="K1:M1"/>
  </mergeCells>
  <phoneticPr fontId="0" type="noConversion"/>
  <pageMargins left="0.47244094488188981" right="0.35433070866141736" top="0.51181102362204722" bottom="0.39370078740157483" header="0.51181102362204722" footer="0.43307086614173229"/>
  <pageSetup scale="79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aint.Picture" shapeId="1028" r:id="rId4">
          <objectPr defaultSize="0" macro="[0]!ABI_3100" r:id="rId5">
            <anchor moveWithCells="1">
              <from>
                <xdr:col>1</xdr:col>
                <xdr:colOff>85725</xdr:colOff>
                <xdr:row>23</xdr:row>
                <xdr:rowOff>114300</xdr:rowOff>
              </from>
              <to>
                <xdr:col>1</xdr:col>
                <xdr:colOff>295275</xdr:colOff>
                <xdr:row>24</xdr:row>
                <xdr:rowOff>133350</xdr:rowOff>
              </to>
            </anchor>
          </objectPr>
        </oleObject>
      </mc:Choice>
      <mc:Fallback>
        <oleObject progId="Paint.Picture" shapeId="1028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S101"/>
  <sheetViews>
    <sheetView topLeftCell="B77" workbookViewId="0">
      <selection activeCell="G2" sqref="G2"/>
    </sheetView>
  </sheetViews>
  <sheetFormatPr defaultRowHeight="12.75"/>
  <cols>
    <col min="2" max="2" width="45.7109375" bestFit="1" customWidth="1"/>
    <col min="7" max="7" width="14.42578125" customWidth="1"/>
    <col min="10" max="10" width="16.140625" bestFit="1" customWidth="1"/>
    <col min="13" max="13" width="14.5703125" bestFit="1" customWidth="1"/>
    <col min="14" max="14" width="19" bestFit="1" customWidth="1"/>
  </cols>
  <sheetData>
    <row r="1" spans="1:19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</row>
    <row r="2" spans="1:19">
      <c r="A2">
        <f>IPCMS!K1</f>
        <v>0</v>
      </c>
      <c r="B2" t="s">
        <v>167</v>
      </c>
      <c r="C2" t="s">
        <v>48</v>
      </c>
      <c r="D2" t="s">
        <v>61</v>
      </c>
      <c r="E2" t="s">
        <v>168</v>
      </c>
      <c r="F2" t="s">
        <v>168</v>
      </c>
    </row>
    <row r="3" spans="1:19">
      <c r="A3" t="s">
        <v>62</v>
      </c>
      <c r="B3" t="s">
        <v>63</v>
      </c>
    </row>
    <row r="4" spans="1:19">
      <c r="A4" t="s">
        <v>64</v>
      </c>
      <c r="B4" t="s">
        <v>166</v>
      </c>
    </row>
    <row r="5" spans="1:19">
      <c r="A5" t="s">
        <v>49</v>
      </c>
      <c r="B5" t="s">
        <v>50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76</v>
      </c>
    </row>
    <row r="6" spans="1:19">
      <c r="A6" t="s">
        <v>77</v>
      </c>
      <c r="B6">
        <f>IF((IPCMS!$B13)="",0,IPCMS!$B13)</f>
        <v>0</v>
      </c>
      <c r="D6">
        <f>IF($B6="","",100)</f>
        <v>100</v>
      </c>
      <c r="E6" t="str">
        <f>IF($B6="FUSION","Allelic Ladder","Sample")</f>
        <v>Sample</v>
      </c>
      <c r="G6" t="str">
        <f>IF($B6="","","Fusion")</f>
        <v>Fusion</v>
      </c>
      <c r="H6" t="str">
        <f>IF($B6="","","PowerPlex_Fusion_Panels_IDX_v2.0")</f>
        <v>PowerPlex_Fusion_Panels_IDX_v2.0</v>
      </c>
      <c r="J6" t="str">
        <f>IF($B6="","","CC5_ILS_500_IDX")</f>
        <v>CC5_ILS_500_IDX</v>
      </c>
      <c r="M6" t="str">
        <f>IF($B6="","","Paternidade")</f>
        <v>Paternidade</v>
      </c>
      <c r="N6" t="str">
        <f>IF($B6="","","Fusion")</f>
        <v>Fusion</v>
      </c>
      <c r="P6" t="s">
        <v>51</v>
      </c>
      <c r="Q6" t="s">
        <v>51</v>
      </c>
      <c r="R6" t="s">
        <v>51</v>
      </c>
      <c r="S6" t="s">
        <v>51</v>
      </c>
    </row>
    <row r="7" spans="1:19">
      <c r="A7" t="s">
        <v>78</v>
      </c>
      <c r="B7">
        <f>IF((IPCMS!$B14)="",0,IPCMS!$B14)</f>
        <v>0</v>
      </c>
      <c r="D7">
        <f t="shared" ref="D7:D70" si="0">IF($B7="","",100)</f>
        <v>100</v>
      </c>
      <c r="E7" t="str">
        <f t="shared" ref="E7:E70" si="1">IF($B7="FUSION","Allelic Ladder","Sample")</f>
        <v>Sample</v>
      </c>
      <c r="G7" t="str">
        <f t="shared" ref="G7:G70" si="2">IF($B7="","","Fusion")</f>
        <v>Fusion</v>
      </c>
      <c r="H7" t="str">
        <f t="shared" ref="H7:H70" si="3">IF($B7="","","PowerPlex_Fusion_Panels_IDX_v2.0")</f>
        <v>PowerPlex_Fusion_Panels_IDX_v2.0</v>
      </c>
      <c r="J7" t="str">
        <f t="shared" ref="J7:J70" si="4">IF($B7="","","CC5_ILS_500_IDX")</f>
        <v>CC5_ILS_500_IDX</v>
      </c>
      <c r="M7" t="str">
        <f t="shared" ref="M7:M70" si="5">IF($B7="","","Paternidade")</f>
        <v>Paternidade</v>
      </c>
      <c r="N7" t="str">
        <f t="shared" ref="N7:N70" si="6">IF($B7="","","Fusion")</f>
        <v>Fusion</v>
      </c>
      <c r="P7" t="s">
        <v>51</v>
      </c>
      <c r="Q7" t="s">
        <v>51</v>
      </c>
      <c r="R7" t="s">
        <v>51</v>
      </c>
      <c r="S7" t="s">
        <v>51</v>
      </c>
    </row>
    <row r="8" spans="1:19">
      <c r="A8" t="s">
        <v>79</v>
      </c>
      <c r="B8">
        <f>IF((IPCMS!$B15)="",0,IPCMS!$B15)</f>
        <v>0</v>
      </c>
      <c r="D8">
        <f t="shared" si="0"/>
        <v>100</v>
      </c>
      <c r="E8" t="str">
        <f t="shared" si="1"/>
        <v>Sample</v>
      </c>
      <c r="G8" t="str">
        <f t="shared" si="2"/>
        <v>Fusion</v>
      </c>
      <c r="H8" t="str">
        <f t="shared" si="3"/>
        <v>PowerPlex_Fusion_Panels_IDX_v2.0</v>
      </c>
      <c r="J8" t="str">
        <f t="shared" si="4"/>
        <v>CC5_ILS_500_IDX</v>
      </c>
      <c r="M8" t="str">
        <f t="shared" si="5"/>
        <v>Paternidade</v>
      </c>
      <c r="N8" t="str">
        <f t="shared" si="6"/>
        <v>Fusion</v>
      </c>
      <c r="P8" t="s">
        <v>51</v>
      </c>
      <c r="Q8" t="s">
        <v>51</v>
      </c>
      <c r="R8" t="s">
        <v>51</v>
      </c>
      <c r="S8" t="s">
        <v>51</v>
      </c>
    </row>
    <row r="9" spans="1:19">
      <c r="A9" t="s">
        <v>80</v>
      </c>
      <c r="B9">
        <f>IF((IPCMS!$B16)="",0,IPCMS!$B16)</f>
        <v>0</v>
      </c>
      <c r="D9">
        <f t="shared" si="0"/>
        <v>100</v>
      </c>
      <c r="E9" t="str">
        <f t="shared" si="1"/>
        <v>Sample</v>
      </c>
      <c r="G9" t="str">
        <f t="shared" si="2"/>
        <v>Fusion</v>
      </c>
      <c r="H9" t="str">
        <f t="shared" si="3"/>
        <v>PowerPlex_Fusion_Panels_IDX_v2.0</v>
      </c>
      <c r="J9" t="str">
        <f t="shared" si="4"/>
        <v>CC5_ILS_500_IDX</v>
      </c>
      <c r="M9" t="str">
        <f t="shared" si="5"/>
        <v>Paternidade</v>
      </c>
      <c r="N9" t="str">
        <f t="shared" si="6"/>
        <v>Fusion</v>
      </c>
      <c r="P9" t="s">
        <v>51</v>
      </c>
      <c r="Q9" t="s">
        <v>51</v>
      </c>
      <c r="R9" t="s">
        <v>51</v>
      </c>
      <c r="S9" t="s">
        <v>51</v>
      </c>
    </row>
    <row r="10" spans="1:19">
      <c r="A10" t="s">
        <v>81</v>
      </c>
      <c r="B10">
        <f>IF((IPCMS!$B17)="",0,IPCMS!$B17)</f>
        <v>0</v>
      </c>
      <c r="D10">
        <f t="shared" si="0"/>
        <v>100</v>
      </c>
      <c r="E10" t="str">
        <f t="shared" si="1"/>
        <v>Sample</v>
      </c>
      <c r="G10" t="str">
        <f t="shared" si="2"/>
        <v>Fusion</v>
      </c>
      <c r="H10" t="str">
        <f t="shared" si="3"/>
        <v>PowerPlex_Fusion_Panels_IDX_v2.0</v>
      </c>
      <c r="J10" t="str">
        <f t="shared" si="4"/>
        <v>CC5_ILS_500_IDX</v>
      </c>
      <c r="M10" t="str">
        <f t="shared" si="5"/>
        <v>Paternidade</v>
      </c>
      <c r="N10" t="str">
        <f t="shared" si="6"/>
        <v>Fusion</v>
      </c>
      <c r="P10" t="s">
        <v>51</v>
      </c>
      <c r="Q10" t="s">
        <v>51</v>
      </c>
      <c r="R10" t="s">
        <v>51</v>
      </c>
      <c r="S10" t="s">
        <v>51</v>
      </c>
    </row>
    <row r="11" spans="1:19">
      <c r="A11" t="s">
        <v>82</v>
      </c>
      <c r="B11">
        <f>IF((IPCMS!$B18)="",0,IPCMS!$B18)</f>
        <v>0</v>
      </c>
      <c r="D11">
        <f t="shared" si="0"/>
        <v>100</v>
      </c>
      <c r="E11" t="str">
        <f t="shared" si="1"/>
        <v>Sample</v>
      </c>
      <c r="G11" t="str">
        <f t="shared" si="2"/>
        <v>Fusion</v>
      </c>
      <c r="H11" t="str">
        <f t="shared" si="3"/>
        <v>PowerPlex_Fusion_Panels_IDX_v2.0</v>
      </c>
      <c r="J11" t="str">
        <f t="shared" si="4"/>
        <v>CC5_ILS_500_IDX</v>
      </c>
      <c r="M11" t="str">
        <f t="shared" si="5"/>
        <v>Paternidade</v>
      </c>
      <c r="N11" t="str">
        <f t="shared" si="6"/>
        <v>Fusion</v>
      </c>
      <c r="P11" t="s">
        <v>51</v>
      </c>
      <c r="Q11" t="s">
        <v>51</v>
      </c>
      <c r="R11" t="s">
        <v>51</v>
      </c>
      <c r="S11" t="s">
        <v>51</v>
      </c>
    </row>
    <row r="12" spans="1:19">
      <c r="A12" t="s">
        <v>83</v>
      </c>
      <c r="B12">
        <f>IF((IPCMS!$B19)="",0,IPCMS!$B19)</f>
        <v>0</v>
      </c>
      <c r="D12">
        <f t="shared" si="0"/>
        <v>100</v>
      </c>
      <c r="E12" t="str">
        <f t="shared" si="1"/>
        <v>Sample</v>
      </c>
      <c r="G12" t="str">
        <f t="shared" si="2"/>
        <v>Fusion</v>
      </c>
      <c r="H12" t="str">
        <f t="shared" si="3"/>
        <v>PowerPlex_Fusion_Panels_IDX_v2.0</v>
      </c>
      <c r="J12" t="str">
        <f t="shared" si="4"/>
        <v>CC5_ILS_500_IDX</v>
      </c>
      <c r="M12" t="str">
        <f t="shared" si="5"/>
        <v>Paternidade</v>
      </c>
      <c r="N12" t="str">
        <f t="shared" si="6"/>
        <v>Fusion</v>
      </c>
      <c r="P12" t="s">
        <v>51</v>
      </c>
      <c r="Q12" t="s">
        <v>51</v>
      </c>
      <c r="R12" t="s">
        <v>51</v>
      </c>
      <c r="S12" t="s">
        <v>51</v>
      </c>
    </row>
    <row r="13" spans="1:19">
      <c r="A13" t="s">
        <v>84</v>
      </c>
      <c r="B13">
        <f>IF((IPCMS!$B20)="",0,IPCMS!$B20)</f>
        <v>0</v>
      </c>
      <c r="D13">
        <f t="shared" si="0"/>
        <v>100</v>
      </c>
      <c r="E13" t="str">
        <f t="shared" si="1"/>
        <v>Sample</v>
      </c>
      <c r="G13" t="str">
        <f t="shared" si="2"/>
        <v>Fusion</v>
      </c>
      <c r="H13" t="str">
        <f t="shared" si="3"/>
        <v>PowerPlex_Fusion_Panels_IDX_v2.0</v>
      </c>
      <c r="J13" t="str">
        <f t="shared" si="4"/>
        <v>CC5_ILS_500_IDX</v>
      </c>
      <c r="M13" t="str">
        <f t="shared" si="5"/>
        <v>Paternidade</v>
      </c>
      <c r="N13" t="str">
        <f t="shared" si="6"/>
        <v>Fusion</v>
      </c>
      <c r="P13" t="s">
        <v>51</v>
      </c>
      <c r="Q13" t="s">
        <v>51</v>
      </c>
      <c r="R13" t="s">
        <v>51</v>
      </c>
      <c r="S13" t="s">
        <v>51</v>
      </c>
    </row>
    <row r="14" spans="1:19">
      <c r="A14" t="s">
        <v>85</v>
      </c>
      <c r="B14">
        <f>IF((IPCMS!$C13)="",0,IPCMS!$C13)</f>
        <v>0</v>
      </c>
      <c r="D14">
        <f t="shared" si="0"/>
        <v>100</v>
      </c>
      <c r="E14" t="str">
        <f t="shared" si="1"/>
        <v>Sample</v>
      </c>
      <c r="G14" t="str">
        <f t="shared" si="2"/>
        <v>Fusion</v>
      </c>
      <c r="H14" t="str">
        <f t="shared" si="3"/>
        <v>PowerPlex_Fusion_Panels_IDX_v2.0</v>
      </c>
      <c r="J14" t="str">
        <f t="shared" si="4"/>
        <v>CC5_ILS_500_IDX</v>
      </c>
      <c r="M14" t="str">
        <f t="shared" si="5"/>
        <v>Paternidade</v>
      </c>
      <c r="N14" t="str">
        <f t="shared" si="6"/>
        <v>Fusion</v>
      </c>
      <c r="P14" t="s">
        <v>51</v>
      </c>
      <c r="Q14" t="s">
        <v>51</v>
      </c>
      <c r="R14" t="s">
        <v>51</v>
      </c>
      <c r="S14" t="s">
        <v>51</v>
      </c>
    </row>
    <row r="15" spans="1:19">
      <c r="A15" t="s">
        <v>86</v>
      </c>
      <c r="B15">
        <f>IF((IPCMS!$C14)="",0,IPCMS!$C14)</f>
        <v>0</v>
      </c>
      <c r="D15">
        <f t="shared" si="0"/>
        <v>100</v>
      </c>
      <c r="E15" t="str">
        <f t="shared" si="1"/>
        <v>Sample</v>
      </c>
      <c r="G15" t="str">
        <f t="shared" si="2"/>
        <v>Fusion</v>
      </c>
      <c r="H15" t="str">
        <f t="shared" si="3"/>
        <v>PowerPlex_Fusion_Panels_IDX_v2.0</v>
      </c>
      <c r="J15" t="str">
        <f t="shared" si="4"/>
        <v>CC5_ILS_500_IDX</v>
      </c>
      <c r="M15" t="str">
        <f t="shared" si="5"/>
        <v>Paternidade</v>
      </c>
      <c r="N15" t="str">
        <f t="shared" si="6"/>
        <v>Fusion</v>
      </c>
      <c r="P15" t="s">
        <v>51</v>
      </c>
      <c r="Q15" t="s">
        <v>51</v>
      </c>
      <c r="R15" t="s">
        <v>51</v>
      </c>
      <c r="S15" t="s">
        <v>51</v>
      </c>
    </row>
    <row r="16" spans="1:19">
      <c r="A16" t="s">
        <v>87</v>
      </c>
      <c r="B16">
        <f>IF((IPCMS!$C15)="",0,IPCMS!$C15)</f>
        <v>0</v>
      </c>
      <c r="D16">
        <f t="shared" si="0"/>
        <v>100</v>
      </c>
      <c r="E16" t="str">
        <f t="shared" si="1"/>
        <v>Sample</v>
      </c>
      <c r="G16" t="str">
        <f t="shared" si="2"/>
        <v>Fusion</v>
      </c>
      <c r="H16" t="str">
        <f t="shared" si="3"/>
        <v>PowerPlex_Fusion_Panels_IDX_v2.0</v>
      </c>
      <c r="J16" t="str">
        <f t="shared" si="4"/>
        <v>CC5_ILS_500_IDX</v>
      </c>
      <c r="M16" t="str">
        <f t="shared" si="5"/>
        <v>Paternidade</v>
      </c>
      <c r="N16" t="str">
        <f t="shared" si="6"/>
        <v>Fusion</v>
      </c>
      <c r="P16" t="s">
        <v>51</v>
      </c>
      <c r="Q16" t="s">
        <v>51</v>
      </c>
      <c r="R16" t="s">
        <v>51</v>
      </c>
      <c r="S16" t="s">
        <v>51</v>
      </c>
    </row>
    <row r="17" spans="1:19">
      <c r="A17" t="s">
        <v>88</v>
      </c>
      <c r="B17">
        <f>IF((IPCMS!$C16)="",0,IPCMS!$C16)</f>
        <v>0</v>
      </c>
      <c r="D17">
        <f t="shared" si="0"/>
        <v>100</v>
      </c>
      <c r="E17" t="str">
        <f t="shared" si="1"/>
        <v>Sample</v>
      </c>
      <c r="G17" t="str">
        <f t="shared" si="2"/>
        <v>Fusion</v>
      </c>
      <c r="H17" t="str">
        <f t="shared" si="3"/>
        <v>PowerPlex_Fusion_Panels_IDX_v2.0</v>
      </c>
      <c r="J17" t="str">
        <f t="shared" si="4"/>
        <v>CC5_ILS_500_IDX</v>
      </c>
      <c r="M17" t="str">
        <f t="shared" si="5"/>
        <v>Paternidade</v>
      </c>
      <c r="N17" t="str">
        <f t="shared" si="6"/>
        <v>Fusion</v>
      </c>
      <c r="P17" t="s">
        <v>51</v>
      </c>
      <c r="Q17" t="s">
        <v>51</v>
      </c>
      <c r="R17" t="s">
        <v>51</v>
      </c>
      <c r="S17" t="s">
        <v>51</v>
      </c>
    </row>
    <row r="18" spans="1:19">
      <c r="A18" t="s">
        <v>89</v>
      </c>
      <c r="B18">
        <f>IF((IPCMS!$C17)="",0,IPCMS!$C17)</f>
        <v>0</v>
      </c>
      <c r="D18">
        <f t="shared" si="0"/>
        <v>100</v>
      </c>
      <c r="E18" t="str">
        <f t="shared" si="1"/>
        <v>Sample</v>
      </c>
      <c r="G18" t="str">
        <f t="shared" si="2"/>
        <v>Fusion</v>
      </c>
      <c r="H18" t="str">
        <f t="shared" si="3"/>
        <v>PowerPlex_Fusion_Panels_IDX_v2.0</v>
      </c>
      <c r="J18" t="str">
        <f t="shared" si="4"/>
        <v>CC5_ILS_500_IDX</v>
      </c>
      <c r="M18" t="str">
        <f t="shared" si="5"/>
        <v>Paternidade</v>
      </c>
      <c r="N18" t="str">
        <f t="shared" si="6"/>
        <v>Fusion</v>
      </c>
      <c r="P18" t="s">
        <v>51</v>
      </c>
      <c r="Q18" t="s">
        <v>51</v>
      </c>
      <c r="R18" t="s">
        <v>51</v>
      </c>
      <c r="S18" t="s">
        <v>51</v>
      </c>
    </row>
    <row r="19" spans="1:19">
      <c r="A19" t="s">
        <v>90</v>
      </c>
      <c r="B19">
        <f>IF((IPCMS!$C18)="",0,IPCMS!$C18)</f>
        <v>0</v>
      </c>
      <c r="D19">
        <f t="shared" si="0"/>
        <v>100</v>
      </c>
      <c r="E19" t="str">
        <f t="shared" si="1"/>
        <v>Sample</v>
      </c>
      <c r="G19" t="str">
        <f t="shared" si="2"/>
        <v>Fusion</v>
      </c>
      <c r="H19" t="str">
        <f t="shared" si="3"/>
        <v>PowerPlex_Fusion_Panels_IDX_v2.0</v>
      </c>
      <c r="J19" t="str">
        <f t="shared" si="4"/>
        <v>CC5_ILS_500_IDX</v>
      </c>
      <c r="M19" t="str">
        <f t="shared" si="5"/>
        <v>Paternidade</v>
      </c>
      <c r="N19" t="str">
        <f t="shared" si="6"/>
        <v>Fusion</v>
      </c>
      <c r="P19" t="s">
        <v>51</v>
      </c>
      <c r="Q19" t="s">
        <v>51</v>
      </c>
      <c r="R19" t="s">
        <v>51</v>
      </c>
      <c r="S19" t="s">
        <v>51</v>
      </c>
    </row>
    <row r="20" spans="1:19">
      <c r="A20" t="s">
        <v>91</v>
      </c>
      <c r="B20">
        <f>IF((IPCMS!$C19)="",0,IPCMS!$C19)</f>
        <v>0</v>
      </c>
      <c r="D20">
        <f t="shared" si="0"/>
        <v>100</v>
      </c>
      <c r="E20" t="str">
        <f t="shared" si="1"/>
        <v>Sample</v>
      </c>
      <c r="G20" t="str">
        <f t="shared" si="2"/>
        <v>Fusion</v>
      </c>
      <c r="H20" t="str">
        <f t="shared" si="3"/>
        <v>PowerPlex_Fusion_Panels_IDX_v2.0</v>
      </c>
      <c r="J20" t="str">
        <f t="shared" si="4"/>
        <v>CC5_ILS_500_IDX</v>
      </c>
      <c r="M20" t="str">
        <f t="shared" si="5"/>
        <v>Paternidade</v>
      </c>
      <c r="N20" t="str">
        <f t="shared" si="6"/>
        <v>Fusion</v>
      </c>
      <c r="P20" t="s">
        <v>51</v>
      </c>
      <c r="Q20" t="s">
        <v>51</v>
      </c>
      <c r="R20" t="s">
        <v>51</v>
      </c>
      <c r="S20" t="s">
        <v>51</v>
      </c>
    </row>
    <row r="21" spans="1:19">
      <c r="A21" t="s">
        <v>92</v>
      </c>
      <c r="B21">
        <f>IF((IPCMS!$C20)="",0,IPCMS!$C20)</f>
        <v>0</v>
      </c>
      <c r="D21">
        <f t="shared" si="0"/>
        <v>100</v>
      </c>
      <c r="E21" t="str">
        <f t="shared" si="1"/>
        <v>Sample</v>
      </c>
      <c r="G21" t="str">
        <f t="shared" si="2"/>
        <v>Fusion</v>
      </c>
      <c r="H21" t="str">
        <f t="shared" si="3"/>
        <v>PowerPlex_Fusion_Panels_IDX_v2.0</v>
      </c>
      <c r="J21" t="str">
        <f t="shared" si="4"/>
        <v>CC5_ILS_500_IDX</v>
      </c>
      <c r="M21" t="str">
        <f t="shared" si="5"/>
        <v>Paternidade</v>
      </c>
      <c r="N21" t="str">
        <f t="shared" si="6"/>
        <v>Fusion</v>
      </c>
      <c r="P21" t="s">
        <v>51</v>
      </c>
      <c r="Q21" t="s">
        <v>51</v>
      </c>
      <c r="R21" t="s">
        <v>51</v>
      </c>
      <c r="S21" t="s">
        <v>51</v>
      </c>
    </row>
    <row r="22" spans="1:19">
      <c r="A22" t="s">
        <v>93</v>
      </c>
      <c r="B22">
        <f>IF((IPCMS!$D13)="",0,IPCMS!$D13)</f>
        <v>0</v>
      </c>
      <c r="D22">
        <f t="shared" si="0"/>
        <v>100</v>
      </c>
      <c r="E22" t="str">
        <f t="shared" si="1"/>
        <v>Sample</v>
      </c>
      <c r="G22" t="str">
        <f t="shared" si="2"/>
        <v>Fusion</v>
      </c>
      <c r="H22" t="str">
        <f t="shared" si="3"/>
        <v>PowerPlex_Fusion_Panels_IDX_v2.0</v>
      </c>
      <c r="J22" t="str">
        <f t="shared" si="4"/>
        <v>CC5_ILS_500_IDX</v>
      </c>
      <c r="M22" t="str">
        <f t="shared" si="5"/>
        <v>Paternidade</v>
      </c>
      <c r="N22" t="str">
        <f t="shared" si="6"/>
        <v>Fusion</v>
      </c>
      <c r="P22" t="s">
        <v>51</v>
      </c>
      <c r="Q22" t="s">
        <v>51</v>
      </c>
      <c r="R22" t="s">
        <v>51</v>
      </c>
      <c r="S22" t="s">
        <v>51</v>
      </c>
    </row>
    <row r="23" spans="1:19">
      <c r="A23" t="s">
        <v>94</v>
      </c>
      <c r="B23">
        <f>IF((IPCMS!$D14)="",0,IPCMS!$D14)</f>
        <v>0</v>
      </c>
      <c r="D23">
        <f t="shared" si="0"/>
        <v>100</v>
      </c>
      <c r="E23" t="str">
        <f t="shared" si="1"/>
        <v>Sample</v>
      </c>
      <c r="G23" t="str">
        <f t="shared" si="2"/>
        <v>Fusion</v>
      </c>
      <c r="H23" t="str">
        <f t="shared" si="3"/>
        <v>PowerPlex_Fusion_Panels_IDX_v2.0</v>
      </c>
      <c r="J23" t="str">
        <f t="shared" si="4"/>
        <v>CC5_ILS_500_IDX</v>
      </c>
      <c r="M23" t="str">
        <f t="shared" si="5"/>
        <v>Paternidade</v>
      </c>
      <c r="N23" t="str">
        <f t="shared" si="6"/>
        <v>Fusion</v>
      </c>
      <c r="P23" t="s">
        <v>51</v>
      </c>
      <c r="Q23" t="s">
        <v>51</v>
      </c>
      <c r="R23" t="s">
        <v>51</v>
      </c>
      <c r="S23" t="s">
        <v>51</v>
      </c>
    </row>
    <row r="24" spans="1:19">
      <c r="A24" t="s">
        <v>95</v>
      </c>
      <c r="B24">
        <f>IF((IPCMS!$D15)="",0,IPCMS!$D15)</f>
        <v>0</v>
      </c>
      <c r="D24">
        <f t="shared" si="0"/>
        <v>100</v>
      </c>
      <c r="E24" t="str">
        <f t="shared" si="1"/>
        <v>Sample</v>
      </c>
      <c r="G24" t="str">
        <f t="shared" si="2"/>
        <v>Fusion</v>
      </c>
      <c r="H24" t="str">
        <f t="shared" si="3"/>
        <v>PowerPlex_Fusion_Panels_IDX_v2.0</v>
      </c>
      <c r="J24" t="str">
        <f t="shared" si="4"/>
        <v>CC5_ILS_500_IDX</v>
      </c>
      <c r="M24" t="str">
        <f t="shared" si="5"/>
        <v>Paternidade</v>
      </c>
      <c r="N24" t="str">
        <f t="shared" si="6"/>
        <v>Fusion</v>
      </c>
      <c r="P24" t="s">
        <v>51</v>
      </c>
      <c r="Q24" t="s">
        <v>51</v>
      </c>
      <c r="R24" t="s">
        <v>51</v>
      </c>
      <c r="S24" t="s">
        <v>51</v>
      </c>
    </row>
    <row r="25" spans="1:19">
      <c r="A25" t="s">
        <v>96</v>
      </c>
      <c r="B25">
        <f>IF((IPCMS!$D16)="",0,IPCMS!$D16)</f>
        <v>0</v>
      </c>
      <c r="D25">
        <f t="shared" si="0"/>
        <v>100</v>
      </c>
      <c r="E25" t="str">
        <f t="shared" si="1"/>
        <v>Sample</v>
      </c>
      <c r="G25" t="str">
        <f t="shared" si="2"/>
        <v>Fusion</v>
      </c>
      <c r="H25" t="str">
        <f t="shared" si="3"/>
        <v>PowerPlex_Fusion_Panels_IDX_v2.0</v>
      </c>
      <c r="J25" t="str">
        <f t="shared" si="4"/>
        <v>CC5_ILS_500_IDX</v>
      </c>
      <c r="M25" t="str">
        <f t="shared" si="5"/>
        <v>Paternidade</v>
      </c>
      <c r="N25" t="str">
        <f t="shared" si="6"/>
        <v>Fusion</v>
      </c>
      <c r="P25" t="s">
        <v>51</v>
      </c>
      <c r="Q25" t="s">
        <v>51</v>
      </c>
      <c r="R25" t="s">
        <v>51</v>
      </c>
      <c r="S25" t="s">
        <v>51</v>
      </c>
    </row>
    <row r="26" spans="1:19">
      <c r="A26" t="s">
        <v>97</v>
      </c>
      <c r="B26">
        <f>IF((IPCMS!$D17)="",0,IPCMS!$D17)</f>
        <v>0</v>
      </c>
      <c r="D26">
        <f t="shared" si="0"/>
        <v>100</v>
      </c>
      <c r="E26" t="str">
        <f t="shared" si="1"/>
        <v>Sample</v>
      </c>
      <c r="G26" t="str">
        <f t="shared" si="2"/>
        <v>Fusion</v>
      </c>
      <c r="H26" t="str">
        <f t="shared" si="3"/>
        <v>PowerPlex_Fusion_Panels_IDX_v2.0</v>
      </c>
      <c r="J26" t="str">
        <f t="shared" si="4"/>
        <v>CC5_ILS_500_IDX</v>
      </c>
      <c r="M26" t="str">
        <f t="shared" si="5"/>
        <v>Paternidade</v>
      </c>
      <c r="N26" t="str">
        <f t="shared" si="6"/>
        <v>Fusion</v>
      </c>
      <c r="P26" t="s">
        <v>51</v>
      </c>
      <c r="Q26" t="s">
        <v>51</v>
      </c>
      <c r="R26" t="s">
        <v>51</v>
      </c>
      <c r="S26" t="s">
        <v>51</v>
      </c>
    </row>
    <row r="27" spans="1:19">
      <c r="A27" t="s">
        <v>98</v>
      </c>
      <c r="B27">
        <f>IF((IPCMS!$D18)="",0,IPCMS!$D18)</f>
        <v>0</v>
      </c>
      <c r="D27">
        <f t="shared" si="0"/>
        <v>100</v>
      </c>
      <c r="E27" t="str">
        <f t="shared" si="1"/>
        <v>Sample</v>
      </c>
      <c r="G27" t="str">
        <f t="shared" si="2"/>
        <v>Fusion</v>
      </c>
      <c r="H27" t="str">
        <f t="shared" si="3"/>
        <v>PowerPlex_Fusion_Panels_IDX_v2.0</v>
      </c>
      <c r="J27" t="str">
        <f t="shared" si="4"/>
        <v>CC5_ILS_500_IDX</v>
      </c>
      <c r="M27" t="str">
        <f t="shared" si="5"/>
        <v>Paternidade</v>
      </c>
      <c r="N27" t="str">
        <f t="shared" si="6"/>
        <v>Fusion</v>
      </c>
      <c r="P27" t="s">
        <v>51</v>
      </c>
      <c r="Q27" t="s">
        <v>51</v>
      </c>
      <c r="R27" t="s">
        <v>51</v>
      </c>
      <c r="S27" t="s">
        <v>51</v>
      </c>
    </row>
    <row r="28" spans="1:19">
      <c r="A28" t="s">
        <v>99</v>
      </c>
      <c r="B28">
        <f>IF((IPCMS!$D19)="",0,IPCMS!$D19)</f>
        <v>0</v>
      </c>
      <c r="D28">
        <f t="shared" si="0"/>
        <v>100</v>
      </c>
      <c r="E28" t="str">
        <f t="shared" si="1"/>
        <v>Sample</v>
      </c>
      <c r="G28" t="str">
        <f t="shared" si="2"/>
        <v>Fusion</v>
      </c>
      <c r="H28" t="str">
        <f t="shared" si="3"/>
        <v>PowerPlex_Fusion_Panels_IDX_v2.0</v>
      </c>
      <c r="J28" t="str">
        <f t="shared" si="4"/>
        <v>CC5_ILS_500_IDX</v>
      </c>
      <c r="M28" t="str">
        <f t="shared" si="5"/>
        <v>Paternidade</v>
      </c>
      <c r="N28" t="str">
        <f t="shared" si="6"/>
        <v>Fusion</v>
      </c>
      <c r="P28" t="s">
        <v>51</v>
      </c>
      <c r="Q28" t="s">
        <v>51</v>
      </c>
      <c r="R28" t="s">
        <v>51</v>
      </c>
      <c r="S28" t="s">
        <v>51</v>
      </c>
    </row>
    <row r="29" spans="1:19">
      <c r="A29" t="s">
        <v>100</v>
      </c>
      <c r="B29">
        <f>IF((IPCMS!$D20)="",0,IPCMS!$D20)</f>
        <v>0</v>
      </c>
      <c r="D29">
        <f t="shared" si="0"/>
        <v>100</v>
      </c>
      <c r="E29" t="str">
        <f t="shared" si="1"/>
        <v>Sample</v>
      </c>
      <c r="G29" t="str">
        <f t="shared" si="2"/>
        <v>Fusion</v>
      </c>
      <c r="H29" t="str">
        <f t="shared" si="3"/>
        <v>PowerPlex_Fusion_Panels_IDX_v2.0</v>
      </c>
      <c r="J29" t="str">
        <f t="shared" si="4"/>
        <v>CC5_ILS_500_IDX</v>
      </c>
      <c r="M29" t="str">
        <f t="shared" si="5"/>
        <v>Paternidade</v>
      </c>
      <c r="N29" t="str">
        <f t="shared" si="6"/>
        <v>Fusion</v>
      </c>
      <c r="P29" t="s">
        <v>51</v>
      </c>
      <c r="Q29" t="s">
        <v>51</v>
      </c>
      <c r="R29" t="s">
        <v>51</v>
      </c>
      <c r="S29" t="s">
        <v>51</v>
      </c>
    </row>
    <row r="30" spans="1:19">
      <c r="A30" t="s">
        <v>101</v>
      </c>
      <c r="B30">
        <f>IF((IPCMS!$E13)="",0,IPCMS!$E13)</f>
        <v>0</v>
      </c>
      <c r="D30">
        <f t="shared" si="0"/>
        <v>100</v>
      </c>
      <c r="E30" t="str">
        <f t="shared" si="1"/>
        <v>Sample</v>
      </c>
      <c r="G30" t="str">
        <f t="shared" si="2"/>
        <v>Fusion</v>
      </c>
      <c r="H30" t="str">
        <f t="shared" si="3"/>
        <v>PowerPlex_Fusion_Panels_IDX_v2.0</v>
      </c>
      <c r="J30" t="str">
        <f t="shared" si="4"/>
        <v>CC5_ILS_500_IDX</v>
      </c>
      <c r="M30" t="str">
        <f t="shared" si="5"/>
        <v>Paternidade</v>
      </c>
      <c r="N30" t="str">
        <f t="shared" si="6"/>
        <v>Fusion</v>
      </c>
      <c r="P30" t="s">
        <v>51</v>
      </c>
      <c r="Q30" t="s">
        <v>51</v>
      </c>
      <c r="R30" t="s">
        <v>51</v>
      </c>
      <c r="S30" t="s">
        <v>51</v>
      </c>
    </row>
    <row r="31" spans="1:19">
      <c r="A31" t="s">
        <v>102</v>
      </c>
      <c r="B31">
        <f>IF((IPCMS!$E14)="",0,IPCMS!$E14)</f>
        <v>0</v>
      </c>
      <c r="D31">
        <f t="shared" si="0"/>
        <v>100</v>
      </c>
      <c r="E31" t="str">
        <f t="shared" si="1"/>
        <v>Sample</v>
      </c>
      <c r="G31" t="str">
        <f t="shared" si="2"/>
        <v>Fusion</v>
      </c>
      <c r="H31" t="str">
        <f t="shared" si="3"/>
        <v>PowerPlex_Fusion_Panels_IDX_v2.0</v>
      </c>
      <c r="J31" t="str">
        <f t="shared" si="4"/>
        <v>CC5_ILS_500_IDX</v>
      </c>
      <c r="M31" t="str">
        <f t="shared" si="5"/>
        <v>Paternidade</v>
      </c>
      <c r="N31" t="str">
        <f t="shared" si="6"/>
        <v>Fusion</v>
      </c>
      <c r="P31" t="s">
        <v>51</v>
      </c>
      <c r="Q31" t="s">
        <v>51</v>
      </c>
      <c r="R31" t="s">
        <v>51</v>
      </c>
      <c r="S31" t="s">
        <v>51</v>
      </c>
    </row>
    <row r="32" spans="1:19">
      <c r="A32" t="s">
        <v>103</v>
      </c>
      <c r="B32">
        <f>IF((IPCMS!$E15)="",0,IPCMS!$E15)</f>
        <v>0</v>
      </c>
      <c r="D32">
        <f t="shared" si="0"/>
        <v>100</v>
      </c>
      <c r="E32" t="str">
        <f t="shared" si="1"/>
        <v>Sample</v>
      </c>
      <c r="G32" t="str">
        <f t="shared" si="2"/>
        <v>Fusion</v>
      </c>
      <c r="H32" t="str">
        <f t="shared" si="3"/>
        <v>PowerPlex_Fusion_Panels_IDX_v2.0</v>
      </c>
      <c r="J32" t="str">
        <f t="shared" si="4"/>
        <v>CC5_ILS_500_IDX</v>
      </c>
      <c r="M32" t="str">
        <f t="shared" si="5"/>
        <v>Paternidade</v>
      </c>
      <c r="N32" t="str">
        <f t="shared" si="6"/>
        <v>Fusion</v>
      </c>
      <c r="P32" t="s">
        <v>51</v>
      </c>
      <c r="Q32" t="s">
        <v>51</v>
      </c>
      <c r="R32" t="s">
        <v>51</v>
      </c>
      <c r="S32" t="s">
        <v>51</v>
      </c>
    </row>
    <row r="33" spans="1:19">
      <c r="A33" t="s">
        <v>104</v>
      </c>
      <c r="B33">
        <f>IF((IPCMS!$E16)="",0,IPCMS!$E16)</f>
        <v>0</v>
      </c>
      <c r="D33">
        <f t="shared" si="0"/>
        <v>100</v>
      </c>
      <c r="E33" t="str">
        <f t="shared" si="1"/>
        <v>Sample</v>
      </c>
      <c r="G33" t="str">
        <f t="shared" si="2"/>
        <v>Fusion</v>
      </c>
      <c r="H33" t="str">
        <f t="shared" si="3"/>
        <v>PowerPlex_Fusion_Panels_IDX_v2.0</v>
      </c>
      <c r="J33" t="str">
        <f t="shared" si="4"/>
        <v>CC5_ILS_500_IDX</v>
      </c>
      <c r="M33" t="str">
        <f t="shared" si="5"/>
        <v>Paternidade</v>
      </c>
      <c r="N33" t="str">
        <f t="shared" si="6"/>
        <v>Fusion</v>
      </c>
      <c r="P33" t="s">
        <v>51</v>
      </c>
      <c r="Q33" t="s">
        <v>51</v>
      </c>
      <c r="R33" t="s">
        <v>51</v>
      </c>
      <c r="S33" t="s">
        <v>51</v>
      </c>
    </row>
    <row r="34" spans="1:19">
      <c r="A34" t="s">
        <v>105</v>
      </c>
      <c r="B34">
        <f>IF((IPCMS!$E17)="",0,IPCMS!$E17)</f>
        <v>0</v>
      </c>
      <c r="D34">
        <f t="shared" si="0"/>
        <v>100</v>
      </c>
      <c r="E34" t="str">
        <f t="shared" si="1"/>
        <v>Sample</v>
      </c>
      <c r="G34" t="str">
        <f t="shared" si="2"/>
        <v>Fusion</v>
      </c>
      <c r="H34" t="str">
        <f t="shared" si="3"/>
        <v>PowerPlex_Fusion_Panels_IDX_v2.0</v>
      </c>
      <c r="J34" t="str">
        <f t="shared" si="4"/>
        <v>CC5_ILS_500_IDX</v>
      </c>
      <c r="M34" t="str">
        <f t="shared" si="5"/>
        <v>Paternidade</v>
      </c>
      <c r="N34" t="str">
        <f t="shared" si="6"/>
        <v>Fusion</v>
      </c>
      <c r="P34" t="s">
        <v>51</v>
      </c>
      <c r="Q34" t="s">
        <v>51</v>
      </c>
      <c r="R34" t="s">
        <v>51</v>
      </c>
      <c r="S34" t="s">
        <v>51</v>
      </c>
    </row>
    <row r="35" spans="1:19">
      <c r="A35" t="s">
        <v>106</v>
      </c>
      <c r="B35">
        <f>IF((IPCMS!$E18)="",0,IPCMS!$E18)</f>
        <v>0</v>
      </c>
      <c r="D35">
        <f t="shared" si="0"/>
        <v>100</v>
      </c>
      <c r="E35" t="str">
        <f t="shared" si="1"/>
        <v>Sample</v>
      </c>
      <c r="G35" t="str">
        <f t="shared" si="2"/>
        <v>Fusion</v>
      </c>
      <c r="H35" t="str">
        <f t="shared" si="3"/>
        <v>PowerPlex_Fusion_Panels_IDX_v2.0</v>
      </c>
      <c r="J35" t="str">
        <f t="shared" si="4"/>
        <v>CC5_ILS_500_IDX</v>
      </c>
      <c r="M35" t="str">
        <f t="shared" si="5"/>
        <v>Paternidade</v>
      </c>
      <c r="N35" t="str">
        <f t="shared" si="6"/>
        <v>Fusion</v>
      </c>
      <c r="P35" t="s">
        <v>51</v>
      </c>
      <c r="Q35" t="s">
        <v>51</v>
      </c>
      <c r="R35" t="s">
        <v>51</v>
      </c>
      <c r="S35" t="s">
        <v>51</v>
      </c>
    </row>
    <row r="36" spans="1:19">
      <c r="A36" t="s">
        <v>107</v>
      </c>
      <c r="B36">
        <f>IF((IPCMS!$E19)="",0,IPCMS!$E19)</f>
        <v>0</v>
      </c>
      <c r="D36">
        <f t="shared" si="0"/>
        <v>100</v>
      </c>
      <c r="E36" t="str">
        <f t="shared" si="1"/>
        <v>Sample</v>
      </c>
      <c r="G36" t="str">
        <f t="shared" si="2"/>
        <v>Fusion</v>
      </c>
      <c r="H36" t="str">
        <f t="shared" si="3"/>
        <v>PowerPlex_Fusion_Panels_IDX_v2.0</v>
      </c>
      <c r="J36" t="str">
        <f t="shared" si="4"/>
        <v>CC5_ILS_500_IDX</v>
      </c>
      <c r="M36" t="str">
        <f t="shared" si="5"/>
        <v>Paternidade</v>
      </c>
      <c r="N36" t="str">
        <f t="shared" si="6"/>
        <v>Fusion</v>
      </c>
      <c r="P36" t="s">
        <v>51</v>
      </c>
      <c r="Q36" t="s">
        <v>51</v>
      </c>
      <c r="R36" t="s">
        <v>51</v>
      </c>
      <c r="S36" t="s">
        <v>51</v>
      </c>
    </row>
    <row r="37" spans="1:19">
      <c r="A37" t="s">
        <v>108</v>
      </c>
      <c r="B37">
        <f>IF((IPCMS!$E20)="",0,IPCMS!$E20)</f>
        <v>0</v>
      </c>
      <c r="D37">
        <f t="shared" si="0"/>
        <v>100</v>
      </c>
      <c r="E37" t="str">
        <f t="shared" si="1"/>
        <v>Sample</v>
      </c>
      <c r="G37" t="str">
        <f t="shared" si="2"/>
        <v>Fusion</v>
      </c>
      <c r="H37" t="str">
        <f t="shared" si="3"/>
        <v>PowerPlex_Fusion_Panels_IDX_v2.0</v>
      </c>
      <c r="J37" t="str">
        <f t="shared" si="4"/>
        <v>CC5_ILS_500_IDX</v>
      </c>
      <c r="M37" t="str">
        <f t="shared" si="5"/>
        <v>Paternidade</v>
      </c>
      <c r="N37" t="str">
        <f t="shared" si="6"/>
        <v>Fusion</v>
      </c>
      <c r="P37" t="s">
        <v>51</v>
      </c>
      <c r="Q37" t="s">
        <v>51</v>
      </c>
      <c r="R37" t="s">
        <v>51</v>
      </c>
      <c r="S37" t="s">
        <v>51</v>
      </c>
    </row>
    <row r="38" spans="1:19">
      <c r="A38" t="s">
        <v>109</v>
      </c>
      <c r="B38">
        <f>IF((IPCMS!$F13)="",0,IPCMS!$F13)</f>
        <v>0</v>
      </c>
      <c r="D38">
        <f t="shared" si="0"/>
        <v>100</v>
      </c>
      <c r="E38" t="str">
        <f t="shared" si="1"/>
        <v>Sample</v>
      </c>
      <c r="G38" t="str">
        <f t="shared" si="2"/>
        <v>Fusion</v>
      </c>
      <c r="H38" t="str">
        <f t="shared" si="3"/>
        <v>PowerPlex_Fusion_Panels_IDX_v2.0</v>
      </c>
      <c r="J38" t="str">
        <f t="shared" si="4"/>
        <v>CC5_ILS_500_IDX</v>
      </c>
      <c r="M38" t="str">
        <f t="shared" si="5"/>
        <v>Paternidade</v>
      </c>
      <c r="N38" t="str">
        <f t="shared" si="6"/>
        <v>Fusion</v>
      </c>
      <c r="P38" t="s">
        <v>51</v>
      </c>
      <c r="Q38" t="s">
        <v>51</v>
      </c>
      <c r="R38" t="s">
        <v>51</v>
      </c>
      <c r="S38" t="s">
        <v>51</v>
      </c>
    </row>
    <row r="39" spans="1:19">
      <c r="A39" t="s">
        <v>110</v>
      </c>
      <c r="B39">
        <f>IF((IPCMS!$F14)="",0,IPCMS!$F14)</f>
        <v>0</v>
      </c>
      <c r="D39">
        <f t="shared" si="0"/>
        <v>100</v>
      </c>
      <c r="E39" t="str">
        <f t="shared" si="1"/>
        <v>Sample</v>
      </c>
      <c r="G39" t="str">
        <f t="shared" si="2"/>
        <v>Fusion</v>
      </c>
      <c r="H39" t="str">
        <f t="shared" si="3"/>
        <v>PowerPlex_Fusion_Panels_IDX_v2.0</v>
      </c>
      <c r="J39" t="str">
        <f t="shared" si="4"/>
        <v>CC5_ILS_500_IDX</v>
      </c>
      <c r="M39" t="str">
        <f t="shared" si="5"/>
        <v>Paternidade</v>
      </c>
      <c r="N39" t="str">
        <f t="shared" si="6"/>
        <v>Fusion</v>
      </c>
      <c r="P39" t="s">
        <v>51</v>
      </c>
      <c r="Q39" t="s">
        <v>51</v>
      </c>
      <c r="R39" t="s">
        <v>51</v>
      </c>
      <c r="S39" t="s">
        <v>51</v>
      </c>
    </row>
    <row r="40" spans="1:19">
      <c r="A40" t="s">
        <v>111</v>
      </c>
      <c r="B40">
        <f>IF((IPCMS!$F15)="",0,IPCMS!$F15)</f>
        <v>0</v>
      </c>
      <c r="D40">
        <f t="shared" si="0"/>
        <v>100</v>
      </c>
      <c r="E40" t="str">
        <f t="shared" si="1"/>
        <v>Sample</v>
      </c>
      <c r="G40" t="str">
        <f t="shared" si="2"/>
        <v>Fusion</v>
      </c>
      <c r="H40" t="str">
        <f t="shared" si="3"/>
        <v>PowerPlex_Fusion_Panels_IDX_v2.0</v>
      </c>
      <c r="J40" t="str">
        <f t="shared" si="4"/>
        <v>CC5_ILS_500_IDX</v>
      </c>
      <c r="M40" t="str">
        <f t="shared" si="5"/>
        <v>Paternidade</v>
      </c>
      <c r="N40" t="str">
        <f t="shared" si="6"/>
        <v>Fusion</v>
      </c>
      <c r="P40" t="s">
        <v>51</v>
      </c>
      <c r="Q40" t="s">
        <v>51</v>
      </c>
      <c r="R40" t="s">
        <v>51</v>
      </c>
      <c r="S40" t="s">
        <v>51</v>
      </c>
    </row>
    <row r="41" spans="1:19">
      <c r="A41" t="s">
        <v>112</v>
      </c>
      <c r="B41">
        <f>IF((IPCMS!$F16)="",0,IPCMS!$F16)</f>
        <v>0</v>
      </c>
      <c r="D41">
        <f t="shared" si="0"/>
        <v>100</v>
      </c>
      <c r="E41" t="str">
        <f t="shared" si="1"/>
        <v>Sample</v>
      </c>
      <c r="G41" t="str">
        <f t="shared" si="2"/>
        <v>Fusion</v>
      </c>
      <c r="H41" t="str">
        <f t="shared" si="3"/>
        <v>PowerPlex_Fusion_Panels_IDX_v2.0</v>
      </c>
      <c r="J41" t="str">
        <f t="shared" si="4"/>
        <v>CC5_ILS_500_IDX</v>
      </c>
      <c r="M41" t="str">
        <f t="shared" si="5"/>
        <v>Paternidade</v>
      </c>
      <c r="N41" t="str">
        <f t="shared" si="6"/>
        <v>Fusion</v>
      </c>
      <c r="P41" t="s">
        <v>51</v>
      </c>
      <c r="Q41" t="s">
        <v>51</v>
      </c>
      <c r="R41" t="s">
        <v>51</v>
      </c>
      <c r="S41" t="s">
        <v>51</v>
      </c>
    </row>
    <row r="42" spans="1:19">
      <c r="A42" t="s">
        <v>113</v>
      </c>
      <c r="B42">
        <f>IF((IPCMS!$F17)="",0,IPCMS!$F17)</f>
        <v>0</v>
      </c>
      <c r="D42">
        <f t="shared" si="0"/>
        <v>100</v>
      </c>
      <c r="E42" t="str">
        <f t="shared" si="1"/>
        <v>Sample</v>
      </c>
      <c r="G42" t="str">
        <f t="shared" si="2"/>
        <v>Fusion</v>
      </c>
      <c r="H42" t="str">
        <f t="shared" si="3"/>
        <v>PowerPlex_Fusion_Panels_IDX_v2.0</v>
      </c>
      <c r="J42" t="str">
        <f t="shared" si="4"/>
        <v>CC5_ILS_500_IDX</v>
      </c>
      <c r="M42" t="str">
        <f t="shared" si="5"/>
        <v>Paternidade</v>
      </c>
      <c r="N42" t="str">
        <f t="shared" si="6"/>
        <v>Fusion</v>
      </c>
      <c r="P42" t="s">
        <v>51</v>
      </c>
      <c r="Q42" t="s">
        <v>51</v>
      </c>
      <c r="R42" t="s">
        <v>51</v>
      </c>
      <c r="S42" t="s">
        <v>51</v>
      </c>
    </row>
    <row r="43" spans="1:19">
      <c r="A43" t="s">
        <v>114</v>
      </c>
      <c r="B43">
        <f>IF((IPCMS!$F18)="",0,IPCMS!$F18)</f>
        <v>0</v>
      </c>
      <c r="D43">
        <f t="shared" si="0"/>
        <v>100</v>
      </c>
      <c r="E43" t="str">
        <f t="shared" si="1"/>
        <v>Sample</v>
      </c>
      <c r="G43" t="str">
        <f t="shared" si="2"/>
        <v>Fusion</v>
      </c>
      <c r="H43" t="str">
        <f t="shared" si="3"/>
        <v>PowerPlex_Fusion_Panels_IDX_v2.0</v>
      </c>
      <c r="J43" t="str">
        <f t="shared" si="4"/>
        <v>CC5_ILS_500_IDX</v>
      </c>
      <c r="M43" t="str">
        <f t="shared" si="5"/>
        <v>Paternidade</v>
      </c>
      <c r="N43" t="str">
        <f t="shared" si="6"/>
        <v>Fusion</v>
      </c>
      <c r="P43" t="s">
        <v>51</v>
      </c>
      <c r="Q43" t="s">
        <v>51</v>
      </c>
      <c r="R43" t="s">
        <v>51</v>
      </c>
      <c r="S43" t="s">
        <v>51</v>
      </c>
    </row>
    <row r="44" spans="1:19">
      <c r="A44" t="s">
        <v>115</v>
      </c>
      <c r="B44">
        <f>IF((IPCMS!$F19)="",0,IPCMS!$F19)</f>
        <v>0</v>
      </c>
      <c r="D44">
        <f t="shared" si="0"/>
        <v>100</v>
      </c>
      <c r="E44" t="str">
        <f t="shared" si="1"/>
        <v>Sample</v>
      </c>
      <c r="G44" t="str">
        <f t="shared" si="2"/>
        <v>Fusion</v>
      </c>
      <c r="H44" t="str">
        <f t="shared" si="3"/>
        <v>PowerPlex_Fusion_Panels_IDX_v2.0</v>
      </c>
      <c r="J44" t="str">
        <f t="shared" si="4"/>
        <v>CC5_ILS_500_IDX</v>
      </c>
      <c r="M44" t="str">
        <f t="shared" si="5"/>
        <v>Paternidade</v>
      </c>
      <c r="N44" t="str">
        <f t="shared" si="6"/>
        <v>Fusion</v>
      </c>
      <c r="P44" t="s">
        <v>51</v>
      </c>
      <c r="Q44" t="s">
        <v>51</v>
      </c>
      <c r="R44" t="s">
        <v>51</v>
      </c>
      <c r="S44" t="s">
        <v>51</v>
      </c>
    </row>
    <row r="45" spans="1:19">
      <c r="A45" t="s">
        <v>116</v>
      </c>
      <c r="B45">
        <f>IF((IPCMS!$F20)="",0,IPCMS!$F20)</f>
        <v>0</v>
      </c>
      <c r="D45">
        <f t="shared" si="0"/>
        <v>100</v>
      </c>
      <c r="E45" t="str">
        <f t="shared" si="1"/>
        <v>Sample</v>
      </c>
      <c r="G45" t="str">
        <f t="shared" si="2"/>
        <v>Fusion</v>
      </c>
      <c r="H45" t="str">
        <f t="shared" si="3"/>
        <v>PowerPlex_Fusion_Panels_IDX_v2.0</v>
      </c>
      <c r="J45" t="str">
        <f t="shared" si="4"/>
        <v>CC5_ILS_500_IDX</v>
      </c>
      <c r="M45" t="str">
        <f t="shared" si="5"/>
        <v>Paternidade</v>
      </c>
      <c r="N45" t="str">
        <f t="shared" si="6"/>
        <v>Fusion</v>
      </c>
      <c r="P45" t="s">
        <v>51</v>
      </c>
      <c r="Q45" t="s">
        <v>51</v>
      </c>
      <c r="R45" t="s">
        <v>51</v>
      </c>
      <c r="S45" t="s">
        <v>51</v>
      </c>
    </row>
    <row r="46" spans="1:19">
      <c r="A46" t="s">
        <v>117</v>
      </c>
      <c r="B46">
        <f>IF((IPCMS!$G13)="",0,IPCMS!$G13)</f>
        <v>0</v>
      </c>
      <c r="D46">
        <f t="shared" si="0"/>
        <v>100</v>
      </c>
      <c r="E46" t="str">
        <f t="shared" si="1"/>
        <v>Sample</v>
      </c>
      <c r="G46" t="str">
        <f t="shared" si="2"/>
        <v>Fusion</v>
      </c>
      <c r="H46" t="str">
        <f t="shared" si="3"/>
        <v>PowerPlex_Fusion_Panels_IDX_v2.0</v>
      </c>
      <c r="J46" t="str">
        <f t="shared" si="4"/>
        <v>CC5_ILS_500_IDX</v>
      </c>
      <c r="M46" t="str">
        <f t="shared" si="5"/>
        <v>Paternidade</v>
      </c>
      <c r="N46" t="str">
        <f t="shared" si="6"/>
        <v>Fusion</v>
      </c>
      <c r="P46" t="s">
        <v>51</v>
      </c>
      <c r="Q46" t="s">
        <v>51</v>
      </c>
      <c r="R46" t="s">
        <v>51</v>
      </c>
      <c r="S46" t="s">
        <v>51</v>
      </c>
    </row>
    <row r="47" spans="1:19">
      <c r="A47" t="s">
        <v>118</v>
      </c>
      <c r="B47">
        <f>IF((IPCMS!$G14)="",0,IPCMS!$G14)</f>
        <v>0</v>
      </c>
      <c r="D47">
        <f t="shared" si="0"/>
        <v>100</v>
      </c>
      <c r="E47" t="str">
        <f t="shared" si="1"/>
        <v>Sample</v>
      </c>
      <c r="G47" t="str">
        <f t="shared" si="2"/>
        <v>Fusion</v>
      </c>
      <c r="H47" t="str">
        <f t="shared" si="3"/>
        <v>PowerPlex_Fusion_Panels_IDX_v2.0</v>
      </c>
      <c r="J47" t="str">
        <f t="shared" si="4"/>
        <v>CC5_ILS_500_IDX</v>
      </c>
      <c r="M47" t="str">
        <f t="shared" si="5"/>
        <v>Paternidade</v>
      </c>
      <c r="N47" t="str">
        <f t="shared" si="6"/>
        <v>Fusion</v>
      </c>
      <c r="P47" t="s">
        <v>51</v>
      </c>
      <c r="Q47" t="s">
        <v>51</v>
      </c>
      <c r="R47" t="s">
        <v>51</v>
      </c>
      <c r="S47" t="s">
        <v>51</v>
      </c>
    </row>
    <row r="48" spans="1:19">
      <c r="A48" t="s">
        <v>119</v>
      </c>
      <c r="B48">
        <f>IF((IPCMS!$G15)="",0,IPCMS!$G15)</f>
        <v>0</v>
      </c>
      <c r="D48">
        <f t="shared" si="0"/>
        <v>100</v>
      </c>
      <c r="E48" t="str">
        <f t="shared" si="1"/>
        <v>Sample</v>
      </c>
      <c r="G48" t="str">
        <f t="shared" si="2"/>
        <v>Fusion</v>
      </c>
      <c r="H48" t="str">
        <f t="shared" si="3"/>
        <v>PowerPlex_Fusion_Panels_IDX_v2.0</v>
      </c>
      <c r="J48" t="str">
        <f t="shared" si="4"/>
        <v>CC5_ILS_500_IDX</v>
      </c>
      <c r="M48" t="str">
        <f t="shared" si="5"/>
        <v>Paternidade</v>
      </c>
      <c r="N48" t="str">
        <f t="shared" si="6"/>
        <v>Fusion</v>
      </c>
      <c r="P48" t="s">
        <v>51</v>
      </c>
      <c r="Q48" t="s">
        <v>51</v>
      </c>
      <c r="R48" t="s">
        <v>51</v>
      </c>
      <c r="S48" t="s">
        <v>51</v>
      </c>
    </row>
    <row r="49" spans="1:19">
      <c r="A49" t="s">
        <v>120</v>
      </c>
      <c r="B49">
        <f>IF((IPCMS!$G16)="",0,IPCMS!$G16)</f>
        <v>0</v>
      </c>
      <c r="D49">
        <f t="shared" si="0"/>
        <v>100</v>
      </c>
      <c r="E49" t="str">
        <f t="shared" si="1"/>
        <v>Sample</v>
      </c>
      <c r="G49" t="str">
        <f t="shared" si="2"/>
        <v>Fusion</v>
      </c>
      <c r="H49" t="str">
        <f t="shared" si="3"/>
        <v>PowerPlex_Fusion_Panels_IDX_v2.0</v>
      </c>
      <c r="J49" t="str">
        <f t="shared" si="4"/>
        <v>CC5_ILS_500_IDX</v>
      </c>
      <c r="M49" t="str">
        <f t="shared" si="5"/>
        <v>Paternidade</v>
      </c>
      <c r="N49" t="str">
        <f t="shared" si="6"/>
        <v>Fusion</v>
      </c>
      <c r="P49" t="s">
        <v>51</v>
      </c>
      <c r="Q49" t="s">
        <v>51</v>
      </c>
      <c r="R49" t="s">
        <v>51</v>
      </c>
      <c r="S49" t="s">
        <v>51</v>
      </c>
    </row>
    <row r="50" spans="1:19">
      <c r="A50" t="s">
        <v>121</v>
      </c>
      <c r="B50">
        <f>IF((IPCMS!$G17)="",0,IPCMS!$G17)</f>
        <v>0</v>
      </c>
      <c r="D50">
        <f t="shared" si="0"/>
        <v>100</v>
      </c>
      <c r="E50" t="str">
        <f t="shared" si="1"/>
        <v>Sample</v>
      </c>
      <c r="G50" t="str">
        <f t="shared" si="2"/>
        <v>Fusion</v>
      </c>
      <c r="H50" t="str">
        <f t="shared" si="3"/>
        <v>PowerPlex_Fusion_Panels_IDX_v2.0</v>
      </c>
      <c r="J50" t="str">
        <f t="shared" si="4"/>
        <v>CC5_ILS_500_IDX</v>
      </c>
      <c r="M50" t="str">
        <f t="shared" si="5"/>
        <v>Paternidade</v>
      </c>
      <c r="N50" t="str">
        <f t="shared" si="6"/>
        <v>Fusion</v>
      </c>
      <c r="P50" t="s">
        <v>51</v>
      </c>
      <c r="Q50" t="s">
        <v>51</v>
      </c>
      <c r="R50" t="s">
        <v>51</v>
      </c>
      <c r="S50" t="s">
        <v>51</v>
      </c>
    </row>
    <row r="51" spans="1:19">
      <c r="A51" t="s">
        <v>122</v>
      </c>
      <c r="B51">
        <f>IF((IPCMS!$G18)="",0,IPCMS!$G18)</f>
        <v>0</v>
      </c>
      <c r="D51">
        <f t="shared" si="0"/>
        <v>100</v>
      </c>
      <c r="E51" t="str">
        <f t="shared" si="1"/>
        <v>Sample</v>
      </c>
      <c r="G51" t="str">
        <f t="shared" si="2"/>
        <v>Fusion</v>
      </c>
      <c r="H51" t="str">
        <f t="shared" si="3"/>
        <v>PowerPlex_Fusion_Panels_IDX_v2.0</v>
      </c>
      <c r="J51" t="str">
        <f t="shared" si="4"/>
        <v>CC5_ILS_500_IDX</v>
      </c>
      <c r="M51" t="str">
        <f t="shared" si="5"/>
        <v>Paternidade</v>
      </c>
      <c r="N51" t="str">
        <f t="shared" si="6"/>
        <v>Fusion</v>
      </c>
      <c r="P51" t="s">
        <v>51</v>
      </c>
      <c r="Q51" t="s">
        <v>51</v>
      </c>
      <c r="R51" t="s">
        <v>51</v>
      </c>
      <c r="S51" t="s">
        <v>51</v>
      </c>
    </row>
    <row r="52" spans="1:19">
      <c r="A52" t="s">
        <v>123</v>
      </c>
      <c r="B52">
        <f>IF((IPCMS!$G19)="",0,IPCMS!$G19)</f>
        <v>0</v>
      </c>
      <c r="D52">
        <f t="shared" si="0"/>
        <v>100</v>
      </c>
      <c r="E52" t="str">
        <f t="shared" si="1"/>
        <v>Sample</v>
      </c>
      <c r="G52" t="str">
        <f t="shared" si="2"/>
        <v>Fusion</v>
      </c>
      <c r="H52" t="str">
        <f t="shared" si="3"/>
        <v>PowerPlex_Fusion_Panels_IDX_v2.0</v>
      </c>
      <c r="J52" t="str">
        <f t="shared" si="4"/>
        <v>CC5_ILS_500_IDX</v>
      </c>
      <c r="M52" t="str">
        <f t="shared" si="5"/>
        <v>Paternidade</v>
      </c>
      <c r="N52" t="str">
        <f t="shared" si="6"/>
        <v>Fusion</v>
      </c>
      <c r="P52" t="s">
        <v>51</v>
      </c>
      <c r="Q52" t="s">
        <v>51</v>
      </c>
      <c r="R52" t="s">
        <v>51</v>
      </c>
      <c r="S52" t="s">
        <v>51</v>
      </c>
    </row>
    <row r="53" spans="1:19">
      <c r="A53" t="s">
        <v>124</v>
      </c>
      <c r="B53">
        <f>IF((IPCMS!$G20)="",0,IPCMS!$G20)</f>
        <v>0</v>
      </c>
      <c r="D53">
        <f t="shared" si="0"/>
        <v>100</v>
      </c>
      <c r="E53" t="str">
        <f t="shared" si="1"/>
        <v>Sample</v>
      </c>
      <c r="G53" t="str">
        <f t="shared" si="2"/>
        <v>Fusion</v>
      </c>
      <c r="H53" t="str">
        <f t="shared" si="3"/>
        <v>PowerPlex_Fusion_Panels_IDX_v2.0</v>
      </c>
      <c r="J53" t="str">
        <f t="shared" si="4"/>
        <v>CC5_ILS_500_IDX</v>
      </c>
      <c r="M53" t="str">
        <f t="shared" si="5"/>
        <v>Paternidade</v>
      </c>
      <c r="N53" t="str">
        <f t="shared" si="6"/>
        <v>Fusion</v>
      </c>
      <c r="P53" t="s">
        <v>51</v>
      </c>
      <c r="Q53" t="s">
        <v>51</v>
      </c>
      <c r="R53" t="s">
        <v>51</v>
      </c>
      <c r="S53" t="s">
        <v>51</v>
      </c>
    </row>
    <row r="54" spans="1:19">
      <c r="A54" t="s">
        <v>125</v>
      </c>
      <c r="B54">
        <f>IF((IPCMS!$H13)="",0,IPCMS!$H13)</f>
        <v>0</v>
      </c>
      <c r="D54">
        <f t="shared" si="0"/>
        <v>100</v>
      </c>
      <c r="E54" t="str">
        <f t="shared" si="1"/>
        <v>Sample</v>
      </c>
      <c r="G54" t="str">
        <f t="shared" si="2"/>
        <v>Fusion</v>
      </c>
      <c r="H54" t="str">
        <f t="shared" si="3"/>
        <v>PowerPlex_Fusion_Panels_IDX_v2.0</v>
      </c>
      <c r="J54" t="str">
        <f t="shared" si="4"/>
        <v>CC5_ILS_500_IDX</v>
      </c>
      <c r="M54" t="str">
        <f t="shared" si="5"/>
        <v>Paternidade</v>
      </c>
      <c r="N54" t="str">
        <f t="shared" si="6"/>
        <v>Fusion</v>
      </c>
      <c r="P54" t="s">
        <v>51</v>
      </c>
      <c r="Q54" t="s">
        <v>51</v>
      </c>
      <c r="R54" t="s">
        <v>51</v>
      </c>
      <c r="S54" t="s">
        <v>51</v>
      </c>
    </row>
    <row r="55" spans="1:19">
      <c r="A55" t="s">
        <v>126</v>
      </c>
      <c r="B55">
        <f>IF((IPCMS!$H14)="",0,IPCMS!$H14)</f>
        <v>0</v>
      </c>
      <c r="D55">
        <f t="shared" si="0"/>
        <v>100</v>
      </c>
      <c r="E55" t="str">
        <f t="shared" si="1"/>
        <v>Sample</v>
      </c>
      <c r="G55" t="str">
        <f t="shared" si="2"/>
        <v>Fusion</v>
      </c>
      <c r="H55" t="str">
        <f t="shared" si="3"/>
        <v>PowerPlex_Fusion_Panels_IDX_v2.0</v>
      </c>
      <c r="J55" t="str">
        <f t="shared" si="4"/>
        <v>CC5_ILS_500_IDX</v>
      </c>
      <c r="M55" t="str">
        <f t="shared" si="5"/>
        <v>Paternidade</v>
      </c>
      <c r="N55" t="str">
        <f t="shared" si="6"/>
        <v>Fusion</v>
      </c>
      <c r="P55" t="s">
        <v>51</v>
      </c>
      <c r="Q55" t="s">
        <v>51</v>
      </c>
      <c r="R55" t="s">
        <v>51</v>
      </c>
      <c r="S55" t="s">
        <v>51</v>
      </c>
    </row>
    <row r="56" spans="1:19">
      <c r="A56" t="s">
        <v>127</v>
      </c>
      <c r="B56">
        <f>IF((IPCMS!$H15)="",0,IPCMS!$H15)</f>
        <v>0</v>
      </c>
      <c r="D56">
        <f t="shared" si="0"/>
        <v>100</v>
      </c>
      <c r="E56" t="str">
        <f t="shared" si="1"/>
        <v>Sample</v>
      </c>
      <c r="G56" t="str">
        <f t="shared" si="2"/>
        <v>Fusion</v>
      </c>
      <c r="H56" t="str">
        <f t="shared" si="3"/>
        <v>PowerPlex_Fusion_Panels_IDX_v2.0</v>
      </c>
      <c r="J56" t="str">
        <f t="shared" si="4"/>
        <v>CC5_ILS_500_IDX</v>
      </c>
      <c r="M56" t="str">
        <f t="shared" si="5"/>
        <v>Paternidade</v>
      </c>
      <c r="N56" t="str">
        <f t="shared" si="6"/>
        <v>Fusion</v>
      </c>
      <c r="P56" t="s">
        <v>51</v>
      </c>
      <c r="Q56" t="s">
        <v>51</v>
      </c>
      <c r="R56" t="s">
        <v>51</v>
      </c>
      <c r="S56" t="s">
        <v>51</v>
      </c>
    </row>
    <row r="57" spans="1:19">
      <c r="A57" t="s">
        <v>128</v>
      </c>
      <c r="B57">
        <f>IF((IPCMS!$H16)="",0,IPCMS!$H16)</f>
        <v>0</v>
      </c>
      <c r="D57">
        <f t="shared" si="0"/>
        <v>100</v>
      </c>
      <c r="E57" t="str">
        <f t="shared" si="1"/>
        <v>Sample</v>
      </c>
      <c r="G57" t="str">
        <f t="shared" si="2"/>
        <v>Fusion</v>
      </c>
      <c r="H57" t="str">
        <f t="shared" si="3"/>
        <v>PowerPlex_Fusion_Panels_IDX_v2.0</v>
      </c>
      <c r="J57" t="str">
        <f t="shared" si="4"/>
        <v>CC5_ILS_500_IDX</v>
      </c>
      <c r="M57" t="str">
        <f t="shared" si="5"/>
        <v>Paternidade</v>
      </c>
      <c r="N57" t="str">
        <f t="shared" si="6"/>
        <v>Fusion</v>
      </c>
      <c r="P57" t="s">
        <v>51</v>
      </c>
      <c r="Q57" t="s">
        <v>51</v>
      </c>
      <c r="R57" t="s">
        <v>51</v>
      </c>
      <c r="S57" t="s">
        <v>51</v>
      </c>
    </row>
    <row r="58" spans="1:19">
      <c r="A58" t="s">
        <v>129</v>
      </c>
      <c r="B58">
        <f>IF((IPCMS!$H17)="",0,IPCMS!$H17)</f>
        <v>0</v>
      </c>
      <c r="D58">
        <f t="shared" si="0"/>
        <v>100</v>
      </c>
      <c r="E58" t="str">
        <f t="shared" si="1"/>
        <v>Sample</v>
      </c>
      <c r="G58" t="str">
        <f t="shared" si="2"/>
        <v>Fusion</v>
      </c>
      <c r="H58" t="str">
        <f t="shared" si="3"/>
        <v>PowerPlex_Fusion_Panels_IDX_v2.0</v>
      </c>
      <c r="J58" t="str">
        <f t="shared" si="4"/>
        <v>CC5_ILS_500_IDX</v>
      </c>
      <c r="M58" t="str">
        <f t="shared" si="5"/>
        <v>Paternidade</v>
      </c>
      <c r="N58" t="str">
        <f t="shared" si="6"/>
        <v>Fusion</v>
      </c>
      <c r="P58" t="s">
        <v>51</v>
      </c>
      <c r="Q58" t="s">
        <v>51</v>
      </c>
      <c r="R58" t="s">
        <v>51</v>
      </c>
      <c r="S58" t="s">
        <v>51</v>
      </c>
    </row>
    <row r="59" spans="1:19">
      <c r="A59" t="s">
        <v>130</v>
      </c>
      <c r="B59">
        <f>IF((IPCMS!$H18)="",0,IPCMS!$H18)</f>
        <v>0</v>
      </c>
      <c r="D59">
        <f t="shared" si="0"/>
        <v>100</v>
      </c>
      <c r="E59" t="str">
        <f t="shared" si="1"/>
        <v>Sample</v>
      </c>
      <c r="G59" t="str">
        <f t="shared" si="2"/>
        <v>Fusion</v>
      </c>
      <c r="H59" t="str">
        <f t="shared" si="3"/>
        <v>PowerPlex_Fusion_Panels_IDX_v2.0</v>
      </c>
      <c r="J59" t="str">
        <f t="shared" si="4"/>
        <v>CC5_ILS_500_IDX</v>
      </c>
      <c r="M59" t="str">
        <f t="shared" si="5"/>
        <v>Paternidade</v>
      </c>
      <c r="N59" t="str">
        <f t="shared" si="6"/>
        <v>Fusion</v>
      </c>
      <c r="P59" t="s">
        <v>51</v>
      </c>
      <c r="Q59" t="s">
        <v>51</v>
      </c>
      <c r="R59" t="s">
        <v>51</v>
      </c>
      <c r="S59" t="s">
        <v>51</v>
      </c>
    </row>
    <row r="60" spans="1:19">
      <c r="A60" t="s">
        <v>131</v>
      </c>
      <c r="B60">
        <f>IF((IPCMS!$H19)="",0,IPCMS!$H19)</f>
        <v>0</v>
      </c>
      <c r="D60">
        <f t="shared" si="0"/>
        <v>100</v>
      </c>
      <c r="E60" t="str">
        <f t="shared" si="1"/>
        <v>Sample</v>
      </c>
      <c r="G60" t="str">
        <f t="shared" si="2"/>
        <v>Fusion</v>
      </c>
      <c r="H60" t="str">
        <f t="shared" si="3"/>
        <v>PowerPlex_Fusion_Panels_IDX_v2.0</v>
      </c>
      <c r="J60" t="str">
        <f t="shared" si="4"/>
        <v>CC5_ILS_500_IDX</v>
      </c>
      <c r="M60" t="str">
        <f t="shared" si="5"/>
        <v>Paternidade</v>
      </c>
      <c r="N60" t="str">
        <f t="shared" si="6"/>
        <v>Fusion</v>
      </c>
      <c r="P60" t="s">
        <v>51</v>
      </c>
      <c r="Q60" t="s">
        <v>51</v>
      </c>
      <c r="R60" t="s">
        <v>51</v>
      </c>
      <c r="S60" t="s">
        <v>51</v>
      </c>
    </row>
    <row r="61" spans="1:19">
      <c r="A61" t="s">
        <v>132</v>
      </c>
      <c r="B61">
        <f>IF((IPCMS!$H20)="",0,IPCMS!$H20)</f>
        <v>0</v>
      </c>
      <c r="D61">
        <f t="shared" si="0"/>
        <v>100</v>
      </c>
      <c r="E61" t="str">
        <f t="shared" si="1"/>
        <v>Sample</v>
      </c>
      <c r="G61" t="str">
        <f t="shared" si="2"/>
        <v>Fusion</v>
      </c>
      <c r="H61" t="str">
        <f t="shared" si="3"/>
        <v>PowerPlex_Fusion_Panels_IDX_v2.0</v>
      </c>
      <c r="J61" t="str">
        <f t="shared" si="4"/>
        <v>CC5_ILS_500_IDX</v>
      </c>
      <c r="M61" t="str">
        <f t="shared" si="5"/>
        <v>Paternidade</v>
      </c>
      <c r="N61" t="str">
        <f t="shared" si="6"/>
        <v>Fusion</v>
      </c>
      <c r="P61" t="s">
        <v>51</v>
      </c>
      <c r="Q61" t="s">
        <v>51</v>
      </c>
      <c r="R61" t="s">
        <v>51</v>
      </c>
      <c r="S61" t="s">
        <v>51</v>
      </c>
    </row>
    <row r="62" spans="1:19">
      <c r="A62" t="s">
        <v>133</v>
      </c>
      <c r="B62">
        <f>IF((IPCMS!$I13)="",0,IPCMS!$I13)</f>
        <v>0</v>
      </c>
      <c r="D62">
        <f t="shared" si="0"/>
        <v>100</v>
      </c>
      <c r="E62" t="str">
        <f t="shared" si="1"/>
        <v>Sample</v>
      </c>
      <c r="G62" t="str">
        <f t="shared" si="2"/>
        <v>Fusion</v>
      </c>
      <c r="H62" t="str">
        <f t="shared" si="3"/>
        <v>PowerPlex_Fusion_Panels_IDX_v2.0</v>
      </c>
      <c r="J62" t="str">
        <f t="shared" si="4"/>
        <v>CC5_ILS_500_IDX</v>
      </c>
      <c r="M62" t="str">
        <f t="shared" si="5"/>
        <v>Paternidade</v>
      </c>
      <c r="N62" t="str">
        <f t="shared" si="6"/>
        <v>Fusion</v>
      </c>
      <c r="P62" t="s">
        <v>51</v>
      </c>
      <c r="Q62" t="s">
        <v>51</v>
      </c>
      <c r="R62" t="s">
        <v>51</v>
      </c>
      <c r="S62" t="s">
        <v>51</v>
      </c>
    </row>
    <row r="63" spans="1:19">
      <c r="A63" t="s">
        <v>134</v>
      </c>
      <c r="B63">
        <f>IF((IPCMS!$I14)="",0,IPCMS!$I14)</f>
        <v>0</v>
      </c>
      <c r="D63">
        <f t="shared" si="0"/>
        <v>100</v>
      </c>
      <c r="E63" t="str">
        <f t="shared" si="1"/>
        <v>Sample</v>
      </c>
      <c r="G63" t="str">
        <f t="shared" si="2"/>
        <v>Fusion</v>
      </c>
      <c r="H63" t="str">
        <f t="shared" si="3"/>
        <v>PowerPlex_Fusion_Panels_IDX_v2.0</v>
      </c>
      <c r="J63" t="str">
        <f t="shared" si="4"/>
        <v>CC5_ILS_500_IDX</v>
      </c>
      <c r="M63" t="str">
        <f t="shared" si="5"/>
        <v>Paternidade</v>
      </c>
      <c r="N63" t="str">
        <f t="shared" si="6"/>
        <v>Fusion</v>
      </c>
      <c r="P63" t="s">
        <v>51</v>
      </c>
      <c r="Q63" t="s">
        <v>51</v>
      </c>
      <c r="R63" t="s">
        <v>51</v>
      </c>
      <c r="S63" t="s">
        <v>51</v>
      </c>
    </row>
    <row r="64" spans="1:19">
      <c r="A64" t="s">
        <v>135</v>
      </c>
      <c r="B64">
        <f>IF((IPCMS!$I15)="",0,IPCMS!$I15)</f>
        <v>0</v>
      </c>
      <c r="D64">
        <f t="shared" si="0"/>
        <v>100</v>
      </c>
      <c r="E64" t="str">
        <f t="shared" si="1"/>
        <v>Sample</v>
      </c>
      <c r="G64" t="str">
        <f t="shared" si="2"/>
        <v>Fusion</v>
      </c>
      <c r="H64" t="str">
        <f t="shared" si="3"/>
        <v>PowerPlex_Fusion_Panels_IDX_v2.0</v>
      </c>
      <c r="J64" t="str">
        <f t="shared" si="4"/>
        <v>CC5_ILS_500_IDX</v>
      </c>
      <c r="M64" t="str">
        <f t="shared" si="5"/>
        <v>Paternidade</v>
      </c>
      <c r="N64" t="str">
        <f t="shared" si="6"/>
        <v>Fusion</v>
      </c>
      <c r="P64" t="s">
        <v>51</v>
      </c>
      <c r="Q64" t="s">
        <v>51</v>
      </c>
      <c r="R64" t="s">
        <v>51</v>
      </c>
      <c r="S64" t="s">
        <v>51</v>
      </c>
    </row>
    <row r="65" spans="1:19">
      <c r="A65" t="s">
        <v>136</v>
      </c>
      <c r="B65">
        <f>IF((IPCMS!$I16)="",0,IPCMS!$I16)</f>
        <v>0</v>
      </c>
      <c r="D65">
        <f t="shared" si="0"/>
        <v>100</v>
      </c>
      <c r="E65" t="str">
        <f t="shared" si="1"/>
        <v>Sample</v>
      </c>
      <c r="G65" t="str">
        <f t="shared" si="2"/>
        <v>Fusion</v>
      </c>
      <c r="H65" t="str">
        <f t="shared" si="3"/>
        <v>PowerPlex_Fusion_Panels_IDX_v2.0</v>
      </c>
      <c r="J65" t="str">
        <f t="shared" si="4"/>
        <v>CC5_ILS_500_IDX</v>
      </c>
      <c r="M65" t="str">
        <f t="shared" si="5"/>
        <v>Paternidade</v>
      </c>
      <c r="N65" t="str">
        <f t="shared" si="6"/>
        <v>Fusion</v>
      </c>
      <c r="P65" t="s">
        <v>51</v>
      </c>
      <c r="Q65" t="s">
        <v>51</v>
      </c>
      <c r="R65" t="s">
        <v>51</v>
      </c>
      <c r="S65" t="s">
        <v>51</v>
      </c>
    </row>
    <row r="66" spans="1:19">
      <c r="A66" t="s">
        <v>137</v>
      </c>
      <c r="B66">
        <f>IF((IPCMS!$I17)="",0,IPCMS!$I17)</f>
        <v>0</v>
      </c>
      <c r="D66">
        <f t="shared" si="0"/>
        <v>100</v>
      </c>
      <c r="E66" t="str">
        <f t="shared" si="1"/>
        <v>Sample</v>
      </c>
      <c r="G66" t="str">
        <f t="shared" si="2"/>
        <v>Fusion</v>
      </c>
      <c r="H66" t="str">
        <f t="shared" si="3"/>
        <v>PowerPlex_Fusion_Panels_IDX_v2.0</v>
      </c>
      <c r="J66" t="str">
        <f t="shared" si="4"/>
        <v>CC5_ILS_500_IDX</v>
      </c>
      <c r="M66" t="str">
        <f t="shared" si="5"/>
        <v>Paternidade</v>
      </c>
      <c r="N66" t="str">
        <f t="shared" si="6"/>
        <v>Fusion</v>
      </c>
      <c r="P66" t="s">
        <v>51</v>
      </c>
      <c r="Q66" t="s">
        <v>51</v>
      </c>
      <c r="R66" t="s">
        <v>51</v>
      </c>
      <c r="S66" t="s">
        <v>51</v>
      </c>
    </row>
    <row r="67" spans="1:19">
      <c r="A67" t="s">
        <v>138</v>
      </c>
      <c r="B67">
        <f>IF((IPCMS!$I18)="",0,IPCMS!$I18)</f>
        <v>0</v>
      </c>
      <c r="D67">
        <f t="shared" si="0"/>
        <v>100</v>
      </c>
      <c r="E67" t="str">
        <f t="shared" si="1"/>
        <v>Sample</v>
      </c>
      <c r="G67" t="str">
        <f t="shared" si="2"/>
        <v>Fusion</v>
      </c>
      <c r="H67" t="str">
        <f t="shared" si="3"/>
        <v>PowerPlex_Fusion_Panels_IDX_v2.0</v>
      </c>
      <c r="J67" t="str">
        <f t="shared" si="4"/>
        <v>CC5_ILS_500_IDX</v>
      </c>
      <c r="M67" t="str">
        <f t="shared" si="5"/>
        <v>Paternidade</v>
      </c>
      <c r="N67" t="str">
        <f t="shared" si="6"/>
        <v>Fusion</v>
      </c>
      <c r="P67" t="s">
        <v>51</v>
      </c>
      <c r="Q67" t="s">
        <v>51</v>
      </c>
      <c r="R67" t="s">
        <v>51</v>
      </c>
      <c r="S67" t="s">
        <v>51</v>
      </c>
    </row>
    <row r="68" spans="1:19">
      <c r="A68" t="s">
        <v>139</v>
      </c>
      <c r="B68">
        <f>IF((IPCMS!$I19)="",0,IPCMS!$I19)</f>
        <v>0</v>
      </c>
      <c r="D68">
        <f t="shared" si="0"/>
        <v>100</v>
      </c>
      <c r="E68" t="str">
        <f t="shared" si="1"/>
        <v>Sample</v>
      </c>
      <c r="G68" t="str">
        <f t="shared" si="2"/>
        <v>Fusion</v>
      </c>
      <c r="H68" t="str">
        <f t="shared" si="3"/>
        <v>PowerPlex_Fusion_Panels_IDX_v2.0</v>
      </c>
      <c r="J68" t="str">
        <f t="shared" si="4"/>
        <v>CC5_ILS_500_IDX</v>
      </c>
      <c r="M68" t="str">
        <f t="shared" si="5"/>
        <v>Paternidade</v>
      </c>
      <c r="N68" t="str">
        <f t="shared" si="6"/>
        <v>Fusion</v>
      </c>
      <c r="P68" t="s">
        <v>51</v>
      </c>
      <c r="Q68" t="s">
        <v>51</v>
      </c>
      <c r="R68" t="s">
        <v>51</v>
      </c>
      <c r="S68" t="s">
        <v>51</v>
      </c>
    </row>
    <row r="69" spans="1:19">
      <c r="A69" t="s">
        <v>140</v>
      </c>
      <c r="B69">
        <f>IF((IPCMS!$I20)="",0,IPCMS!$I20)</f>
        <v>0</v>
      </c>
      <c r="D69">
        <f t="shared" si="0"/>
        <v>100</v>
      </c>
      <c r="E69" t="str">
        <f t="shared" si="1"/>
        <v>Sample</v>
      </c>
      <c r="G69" t="str">
        <f t="shared" si="2"/>
        <v>Fusion</v>
      </c>
      <c r="H69" t="str">
        <f t="shared" si="3"/>
        <v>PowerPlex_Fusion_Panels_IDX_v2.0</v>
      </c>
      <c r="J69" t="str">
        <f t="shared" si="4"/>
        <v>CC5_ILS_500_IDX</v>
      </c>
      <c r="M69" t="str">
        <f t="shared" si="5"/>
        <v>Paternidade</v>
      </c>
      <c r="N69" t="str">
        <f t="shared" si="6"/>
        <v>Fusion</v>
      </c>
      <c r="P69" t="s">
        <v>51</v>
      </c>
      <c r="Q69" t="s">
        <v>51</v>
      </c>
      <c r="R69" t="s">
        <v>51</v>
      </c>
      <c r="S69" t="s">
        <v>51</v>
      </c>
    </row>
    <row r="70" spans="1:19">
      <c r="A70" t="s">
        <v>141</v>
      </c>
      <c r="B70">
        <f>IF((IPCMS!$J13)="",0,IPCMS!$J13)</f>
        <v>0</v>
      </c>
      <c r="D70">
        <f t="shared" si="0"/>
        <v>100</v>
      </c>
      <c r="E70" t="str">
        <f t="shared" si="1"/>
        <v>Sample</v>
      </c>
      <c r="G70" t="str">
        <f t="shared" si="2"/>
        <v>Fusion</v>
      </c>
      <c r="H70" t="str">
        <f t="shared" si="3"/>
        <v>PowerPlex_Fusion_Panels_IDX_v2.0</v>
      </c>
      <c r="J70" t="str">
        <f t="shared" si="4"/>
        <v>CC5_ILS_500_IDX</v>
      </c>
      <c r="M70" t="str">
        <f t="shared" si="5"/>
        <v>Paternidade</v>
      </c>
      <c r="N70" t="str">
        <f t="shared" si="6"/>
        <v>Fusion</v>
      </c>
      <c r="P70" t="s">
        <v>51</v>
      </c>
      <c r="Q70" t="s">
        <v>51</v>
      </c>
      <c r="R70" t="s">
        <v>51</v>
      </c>
      <c r="S70" t="s">
        <v>51</v>
      </c>
    </row>
    <row r="71" spans="1:19">
      <c r="A71" t="s">
        <v>142</v>
      </c>
      <c r="B71">
        <f>IF((IPCMS!$J14)="",0,IPCMS!$J14)</f>
        <v>0</v>
      </c>
      <c r="D71">
        <f t="shared" ref="D71:D101" si="7">IF($B71="","",100)</f>
        <v>100</v>
      </c>
      <c r="E71" t="str">
        <f t="shared" ref="E71:E101" si="8">IF($B71="FUSION","Allelic Ladder","Sample")</f>
        <v>Sample</v>
      </c>
      <c r="G71" t="str">
        <f t="shared" ref="G71:G101" si="9">IF($B71="","","Fusion")</f>
        <v>Fusion</v>
      </c>
      <c r="H71" t="str">
        <f t="shared" ref="H71:H101" si="10">IF($B71="","","PowerPlex_Fusion_Panels_IDX_v2.0")</f>
        <v>PowerPlex_Fusion_Panels_IDX_v2.0</v>
      </c>
      <c r="J71" t="str">
        <f t="shared" ref="J71:J101" si="11">IF($B71="","","CC5_ILS_500_IDX")</f>
        <v>CC5_ILS_500_IDX</v>
      </c>
      <c r="M71" t="str">
        <f t="shared" ref="M71:M101" si="12">IF($B71="","","Paternidade")</f>
        <v>Paternidade</v>
      </c>
      <c r="N71" t="str">
        <f t="shared" ref="N71:N101" si="13">IF($B71="","","Fusion")</f>
        <v>Fusion</v>
      </c>
      <c r="P71" t="s">
        <v>51</v>
      </c>
      <c r="Q71" t="s">
        <v>51</v>
      </c>
      <c r="R71" t="s">
        <v>51</v>
      </c>
      <c r="S71" t="s">
        <v>51</v>
      </c>
    </row>
    <row r="72" spans="1:19">
      <c r="A72" t="s">
        <v>143</v>
      </c>
      <c r="B72">
        <f>IF((IPCMS!$J15)="",0,IPCMS!$J15)</f>
        <v>0</v>
      </c>
      <c r="D72">
        <f t="shared" si="7"/>
        <v>100</v>
      </c>
      <c r="E72" t="str">
        <f t="shared" si="8"/>
        <v>Sample</v>
      </c>
      <c r="G72" t="str">
        <f t="shared" si="9"/>
        <v>Fusion</v>
      </c>
      <c r="H72" t="str">
        <f t="shared" si="10"/>
        <v>PowerPlex_Fusion_Panels_IDX_v2.0</v>
      </c>
      <c r="J72" t="str">
        <f t="shared" si="11"/>
        <v>CC5_ILS_500_IDX</v>
      </c>
      <c r="M72" t="str">
        <f t="shared" si="12"/>
        <v>Paternidade</v>
      </c>
      <c r="N72" t="str">
        <f t="shared" si="13"/>
        <v>Fusion</v>
      </c>
      <c r="P72" t="s">
        <v>51</v>
      </c>
      <c r="Q72" t="s">
        <v>51</v>
      </c>
      <c r="R72" t="s">
        <v>51</v>
      </c>
      <c r="S72" t="s">
        <v>51</v>
      </c>
    </row>
    <row r="73" spans="1:19">
      <c r="A73" t="s">
        <v>144</v>
      </c>
      <c r="B73">
        <f>IF((IPCMS!$J16)="",0,IPCMS!$J16)</f>
        <v>0</v>
      </c>
      <c r="D73">
        <f t="shared" si="7"/>
        <v>100</v>
      </c>
      <c r="E73" t="str">
        <f t="shared" si="8"/>
        <v>Sample</v>
      </c>
      <c r="G73" t="str">
        <f t="shared" si="9"/>
        <v>Fusion</v>
      </c>
      <c r="H73" t="str">
        <f t="shared" si="10"/>
        <v>PowerPlex_Fusion_Panels_IDX_v2.0</v>
      </c>
      <c r="J73" t="str">
        <f t="shared" si="11"/>
        <v>CC5_ILS_500_IDX</v>
      </c>
      <c r="M73" t="str">
        <f t="shared" si="12"/>
        <v>Paternidade</v>
      </c>
      <c r="N73" t="str">
        <f t="shared" si="13"/>
        <v>Fusion</v>
      </c>
      <c r="P73" t="s">
        <v>51</v>
      </c>
      <c r="Q73" t="s">
        <v>51</v>
      </c>
      <c r="R73" t="s">
        <v>51</v>
      </c>
      <c r="S73" t="s">
        <v>51</v>
      </c>
    </row>
    <row r="74" spans="1:19">
      <c r="A74" t="s">
        <v>145</v>
      </c>
      <c r="B74">
        <f>IF((IPCMS!$J17)="",0,IPCMS!$J17)</f>
        <v>0</v>
      </c>
      <c r="D74">
        <f t="shared" si="7"/>
        <v>100</v>
      </c>
      <c r="E74" t="str">
        <f t="shared" si="8"/>
        <v>Sample</v>
      </c>
      <c r="G74" t="str">
        <f t="shared" si="9"/>
        <v>Fusion</v>
      </c>
      <c r="H74" t="str">
        <f t="shared" si="10"/>
        <v>PowerPlex_Fusion_Panels_IDX_v2.0</v>
      </c>
      <c r="J74" t="str">
        <f t="shared" si="11"/>
        <v>CC5_ILS_500_IDX</v>
      </c>
      <c r="M74" t="str">
        <f t="shared" si="12"/>
        <v>Paternidade</v>
      </c>
      <c r="N74" t="str">
        <f t="shared" si="13"/>
        <v>Fusion</v>
      </c>
      <c r="P74" t="s">
        <v>51</v>
      </c>
      <c r="Q74" t="s">
        <v>51</v>
      </c>
      <c r="R74" t="s">
        <v>51</v>
      </c>
      <c r="S74" t="s">
        <v>51</v>
      </c>
    </row>
    <row r="75" spans="1:19">
      <c r="A75" t="s">
        <v>146</v>
      </c>
      <c r="B75">
        <f>IF((IPCMS!$J18)="",0,IPCMS!$J18)</f>
        <v>0</v>
      </c>
      <c r="D75">
        <f t="shared" si="7"/>
        <v>100</v>
      </c>
      <c r="E75" t="str">
        <f t="shared" si="8"/>
        <v>Sample</v>
      </c>
      <c r="G75" t="str">
        <f t="shared" si="9"/>
        <v>Fusion</v>
      </c>
      <c r="H75" t="str">
        <f t="shared" si="10"/>
        <v>PowerPlex_Fusion_Panels_IDX_v2.0</v>
      </c>
      <c r="J75" t="str">
        <f t="shared" si="11"/>
        <v>CC5_ILS_500_IDX</v>
      </c>
      <c r="M75" t="str">
        <f t="shared" si="12"/>
        <v>Paternidade</v>
      </c>
      <c r="N75" t="str">
        <f t="shared" si="13"/>
        <v>Fusion</v>
      </c>
      <c r="P75" t="s">
        <v>51</v>
      </c>
      <c r="Q75" t="s">
        <v>51</v>
      </c>
      <c r="R75" t="s">
        <v>51</v>
      </c>
      <c r="S75" t="s">
        <v>51</v>
      </c>
    </row>
    <row r="76" spans="1:19">
      <c r="A76" t="s">
        <v>147</v>
      </c>
      <c r="B76">
        <f>IF((IPCMS!$J19)="",0,IPCMS!$J19)</f>
        <v>0</v>
      </c>
      <c r="D76">
        <f t="shared" si="7"/>
        <v>100</v>
      </c>
      <c r="E76" t="str">
        <f t="shared" si="8"/>
        <v>Sample</v>
      </c>
      <c r="G76" t="str">
        <f t="shared" si="9"/>
        <v>Fusion</v>
      </c>
      <c r="H76" t="str">
        <f t="shared" si="10"/>
        <v>PowerPlex_Fusion_Panels_IDX_v2.0</v>
      </c>
      <c r="J76" t="str">
        <f t="shared" si="11"/>
        <v>CC5_ILS_500_IDX</v>
      </c>
      <c r="M76" t="str">
        <f t="shared" si="12"/>
        <v>Paternidade</v>
      </c>
      <c r="N76" t="str">
        <f t="shared" si="13"/>
        <v>Fusion</v>
      </c>
      <c r="P76" t="s">
        <v>51</v>
      </c>
      <c r="Q76" t="s">
        <v>51</v>
      </c>
      <c r="R76" t="s">
        <v>51</v>
      </c>
      <c r="S76" t="s">
        <v>51</v>
      </c>
    </row>
    <row r="77" spans="1:19">
      <c r="A77" t="s">
        <v>148</v>
      </c>
      <c r="B77">
        <f>IF((IPCMS!$J20)="",0,IPCMS!$J20)</f>
        <v>0</v>
      </c>
      <c r="D77">
        <f t="shared" si="7"/>
        <v>100</v>
      </c>
      <c r="E77" t="str">
        <f t="shared" si="8"/>
        <v>Sample</v>
      </c>
      <c r="G77" t="str">
        <f t="shared" si="9"/>
        <v>Fusion</v>
      </c>
      <c r="H77" t="str">
        <f t="shared" si="10"/>
        <v>PowerPlex_Fusion_Panels_IDX_v2.0</v>
      </c>
      <c r="J77" t="str">
        <f t="shared" si="11"/>
        <v>CC5_ILS_500_IDX</v>
      </c>
      <c r="M77" t="str">
        <f t="shared" si="12"/>
        <v>Paternidade</v>
      </c>
      <c r="N77" t="str">
        <f t="shared" si="13"/>
        <v>Fusion</v>
      </c>
      <c r="P77" t="s">
        <v>51</v>
      </c>
      <c r="Q77" t="s">
        <v>51</v>
      </c>
      <c r="R77" t="s">
        <v>51</v>
      </c>
      <c r="S77" t="s">
        <v>51</v>
      </c>
    </row>
    <row r="78" spans="1:19">
      <c r="A78" t="s">
        <v>32</v>
      </c>
      <c r="B78">
        <f>IF((IPCMS!$K13)="",0,IPCMS!$K13)</f>
        <v>0</v>
      </c>
      <c r="D78">
        <f t="shared" si="7"/>
        <v>100</v>
      </c>
      <c r="E78" t="str">
        <f t="shared" si="8"/>
        <v>Sample</v>
      </c>
      <c r="G78" t="str">
        <f t="shared" si="9"/>
        <v>Fusion</v>
      </c>
      <c r="H78" t="str">
        <f t="shared" si="10"/>
        <v>PowerPlex_Fusion_Panels_IDX_v2.0</v>
      </c>
      <c r="J78" t="str">
        <f t="shared" si="11"/>
        <v>CC5_ILS_500_IDX</v>
      </c>
      <c r="M78" t="str">
        <f t="shared" si="12"/>
        <v>Paternidade</v>
      </c>
      <c r="N78" t="str">
        <f t="shared" si="13"/>
        <v>Fusion</v>
      </c>
      <c r="P78" t="s">
        <v>51</v>
      </c>
      <c r="Q78" t="s">
        <v>51</v>
      </c>
      <c r="R78" t="s">
        <v>51</v>
      </c>
      <c r="S78" t="s">
        <v>51</v>
      </c>
    </row>
    <row r="79" spans="1:19">
      <c r="A79" t="s">
        <v>34</v>
      </c>
      <c r="B79">
        <f>IF((IPCMS!$K14)="",0,IPCMS!$K14)</f>
        <v>0</v>
      </c>
      <c r="D79">
        <f t="shared" si="7"/>
        <v>100</v>
      </c>
      <c r="E79" t="str">
        <f t="shared" si="8"/>
        <v>Sample</v>
      </c>
      <c r="G79" t="str">
        <f t="shared" si="9"/>
        <v>Fusion</v>
      </c>
      <c r="H79" t="str">
        <f t="shared" si="10"/>
        <v>PowerPlex_Fusion_Panels_IDX_v2.0</v>
      </c>
      <c r="J79" t="str">
        <f t="shared" si="11"/>
        <v>CC5_ILS_500_IDX</v>
      </c>
      <c r="M79" t="str">
        <f t="shared" si="12"/>
        <v>Paternidade</v>
      </c>
      <c r="N79" t="str">
        <f t="shared" si="13"/>
        <v>Fusion</v>
      </c>
      <c r="P79" t="s">
        <v>51</v>
      </c>
      <c r="Q79" t="s">
        <v>51</v>
      </c>
      <c r="R79" t="s">
        <v>51</v>
      </c>
      <c r="S79" t="s">
        <v>51</v>
      </c>
    </row>
    <row r="80" spans="1:19">
      <c r="A80" t="s">
        <v>35</v>
      </c>
      <c r="B80">
        <f>IF((IPCMS!$K15)="",0,IPCMS!$K15)</f>
        <v>0</v>
      </c>
      <c r="D80">
        <f t="shared" si="7"/>
        <v>100</v>
      </c>
      <c r="E80" t="str">
        <f t="shared" si="8"/>
        <v>Sample</v>
      </c>
      <c r="G80" t="str">
        <f t="shared" si="9"/>
        <v>Fusion</v>
      </c>
      <c r="H80" t="str">
        <f t="shared" si="10"/>
        <v>PowerPlex_Fusion_Panels_IDX_v2.0</v>
      </c>
      <c r="J80" t="str">
        <f t="shared" si="11"/>
        <v>CC5_ILS_500_IDX</v>
      </c>
      <c r="M80" t="str">
        <f t="shared" si="12"/>
        <v>Paternidade</v>
      </c>
      <c r="N80" t="str">
        <f t="shared" si="13"/>
        <v>Fusion</v>
      </c>
      <c r="P80" t="s">
        <v>51</v>
      </c>
      <c r="Q80" t="s">
        <v>51</v>
      </c>
      <c r="R80" t="s">
        <v>51</v>
      </c>
      <c r="S80" t="s">
        <v>51</v>
      </c>
    </row>
    <row r="81" spans="1:19">
      <c r="A81" t="s">
        <v>36</v>
      </c>
      <c r="B81">
        <f>IF((IPCMS!$K16)="",0,IPCMS!$K16)</f>
        <v>0</v>
      </c>
      <c r="D81">
        <f t="shared" si="7"/>
        <v>100</v>
      </c>
      <c r="E81" t="str">
        <f t="shared" si="8"/>
        <v>Sample</v>
      </c>
      <c r="G81" t="str">
        <f t="shared" si="9"/>
        <v>Fusion</v>
      </c>
      <c r="H81" t="str">
        <f t="shared" si="10"/>
        <v>PowerPlex_Fusion_Panels_IDX_v2.0</v>
      </c>
      <c r="J81" t="str">
        <f t="shared" si="11"/>
        <v>CC5_ILS_500_IDX</v>
      </c>
      <c r="M81" t="str">
        <f t="shared" si="12"/>
        <v>Paternidade</v>
      </c>
      <c r="N81" t="str">
        <f t="shared" si="13"/>
        <v>Fusion</v>
      </c>
      <c r="P81" t="s">
        <v>51</v>
      </c>
      <c r="Q81" t="s">
        <v>51</v>
      </c>
      <c r="R81" t="s">
        <v>51</v>
      </c>
      <c r="S81" t="s">
        <v>51</v>
      </c>
    </row>
    <row r="82" spans="1:19">
      <c r="A82" t="s">
        <v>37</v>
      </c>
      <c r="B82">
        <f>IF((IPCMS!$K17)="",0,IPCMS!$K17)</f>
        <v>0</v>
      </c>
      <c r="D82">
        <f t="shared" si="7"/>
        <v>100</v>
      </c>
      <c r="E82" t="str">
        <f t="shared" si="8"/>
        <v>Sample</v>
      </c>
      <c r="G82" t="str">
        <f t="shared" si="9"/>
        <v>Fusion</v>
      </c>
      <c r="H82" t="str">
        <f t="shared" si="10"/>
        <v>PowerPlex_Fusion_Panels_IDX_v2.0</v>
      </c>
      <c r="J82" t="str">
        <f t="shared" si="11"/>
        <v>CC5_ILS_500_IDX</v>
      </c>
      <c r="M82" t="str">
        <f t="shared" si="12"/>
        <v>Paternidade</v>
      </c>
      <c r="N82" t="str">
        <f t="shared" si="13"/>
        <v>Fusion</v>
      </c>
      <c r="P82" t="s">
        <v>51</v>
      </c>
      <c r="Q82" t="s">
        <v>51</v>
      </c>
      <c r="R82" t="s">
        <v>51</v>
      </c>
      <c r="S82" t="s">
        <v>51</v>
      </c>
    </row>
    <row r="83" spans="1:19">
      <c r="A83" t="s">
        <v>38</v>
      </c>
      <c r="B83">
        <f>IF((IPCMS!$K18)="",0,IPCMS!$K18)</f>
        <v>0</v>
      </c>
      <c r="D83">
        <f t="shared" si="7"/>
        <v>100</v>
      </c>
      <c r="E83" t="str">
        <f t="shared" si="8"/>
        <v>Sample</v>
      </c>
      <c r="G83" t="str">
        <f t="shared" si="9"/>
        <v>Fusion</v>
      </c>
      <c r="H83" t="str">
        <f t="shared" si="10"/>
        <v>PowerPlex_Fusion_Panels_IDX_v2.0</v>
      </c>
      <c r="J83" t="str">
        <f t="shared" si="11"/>
        <v>CC5_ILS_500_IDX</v>
      </c>
      <c r="M83" t="str">
        <f t="shared" si="12"/>
        <v>Paternidade</v>
      </c>
      <c r="N83" t="str">
        <f t="shared" si="13"/>
        <v>Fusion</v>
      </c>
      <c r="P83" t="s">
        <v>51</v>
      </c>
      <c r="Q83" t="s">
        <v>51</v>
      </c>
      <c r="R83" t="s">
        <v>51</v>
      </c>
      <c r="S83" t="s">
        <v>51</v>
      </c>
    </row>
    <row r="84" spans="1:19">
      <c r="A84" t="s">
        <v>39</v>
      </c>
      <c r="B84">
        <f>IF((IPCMS!$K19)="",0,IPCMS!$K19)</f>
        <v>0</v>
      </c>
      <c r="D84">
        <f t="shared" si="7"/>
        <v>100</v>
      </c>
      <c r="E84" t="str">
        <f t="shared" si="8"/>
        <v>Sample</v>
      </c>
      <c r="G84" t="str">
        <f t="shared" si="9"/>
        <v>Fusion</v>
      </c>
      <c r="H84" t="str">
        <f t="shared" si="10"/>
        <v>PowerPlex_Fusion_Panels_IDX_v2.0</v>
      </c>
      <c r="J84" t="str">
        <f t="shared" si="11"/>
        <v>CC5_ILS_500_IDX</v>
      </c>
      <c r="M84" t="str">
        <f t="shared" si="12"/>
        <v>Paternidade</v>
      </c>
      <c r="N84" t="str">
        <f t="shared" si="13"/>
        <v>Fusion</v>
      </c>
      <c r="P84" t="s">
        <v>51</v>
      </c>
      <c r="Q84" t="s">
        <v>51</v>
      </c>
      <c r="R84" t="s">
        <v>51</v>
      </c>
      <c r="S84" t="s">
        <v>51</v>
      </c>
    </row>
    <row r="85" spans="1:19">
      <c r="A85" t="s">
        <v>40</v>
      </c>
      <c r="B85">
        <f>IF((IPCMS!$K20)="",0,IPCMS!$K20)</f>
        <v>0</v>
      </c>
      <c r="D85">
        <f t="shared" si="7"/>
        <v>100</v>
      </c>
      <c r="E85" t="str">
        <f t="shared" si="8"/>
        <v>Sample</v>
      </c>
      <c r="G85" t="str">
        <f t="shared" si="9"/>
        <v>Fusion</v>
      </c>
      <c r="H85" t="str">
        <f t="shared" si="10"/>
        <v>PowerPlex_Fusion_Panels_IDX_v2.0</v>
      </c>
      <c r="J85" t="str">
        <f t="shared" si="11"/>
        <v>CC5_ILS_500_IDX</v>
      </c>
      <c r="M85" t="str">
        <f t="shared" si="12"/>
        <v>Paternidade</v>
      </c>
      <c r="N85" t="str">
        <f t="shared" si="13"/>
        <v>Fusion</v>
      </c>
      <c r="P85" t="s">
        <v>51</v>
      </c>
      <c r="Q85" t="s">
        <v>51</v>
      </c>
      <c r="R85" t="s">
        <v>51</v>
      </c>
      <c r="S85" t="s">
        <v>51</v>
      </c>
    </row>
    <row r="86" spans="1:19">
      <c r="A86" t="s">
        <v>33</v>
      </c>
      <c r="B86">
        <f>IF((IPCMS!$L13)="",0,IPCMS!$L13)</f>
        <v>0</v>
      </c>
      <c r="D86">
        <f t="shared" si="7"/>
        <v>100</v>
      </c>
      <c r="E86" t="str">
        <f t="shared" si="8"/>
        <v>Sample</v>
      </c>
      <c r="G86" t="str">
        <f t="shared" si="9"/>
        <v>Fusion</v>
      </c>
      <c r="H86" t="str">
        <f t="shared" si="10"/>
        <v>PowerPlex_Fusion_Panels_IDX_v2.0</v>
      </c>
      <c r="J86" t="str">
        <f t="shared" si="11"/>
        <v>CC5_ILS_500_IDX</v>
      </c>
      <c r="M86" t="str">
        <f t="shared" si="12"/>
        <v>Paternidade</v>
      </c>
      <c r="N86" t="str">
        <f t="shared" si="13"/>
        <v>Fusion</v>
      </c>
      <c r="P86" t="s">
        <v>51</v>
      </c>
      <c r="Q86" t="s">
        <v>51</v>
      </c>
      <c r="R86" t="s">
        <v>51</v>
      </c>
      <c r="S86" t="s">
        <v>51</v>
      </c>
    </row>
    <row r="87" spans="1:19">
      <c r="A87" t="s">
        <v>41</v>
      </c>
      <c r="B87">
        <f>IF((IPCMS!$L14)="",0,IPCMS!$L14)</f>
        <v>0</v>
      </c>
      <c r="D87">
        <f t="shared" si="7"/>
        <v>100</v>
      </c>
      <c r="E87" t="str">
        <f t="shared" si="8"/>
        <v>Sample</v>
      </c>
      <c r="G87" t="str">
        <f t="shared" si="9"/>
        <v>Fusion</v>
      </c>
      <c r="H87" t="str">
        <f t="shared" si="10"/>
        <v>PowerPlex_Fusion_Panels_IDX_v2.0</v>
      </c>
      <c r="J87" t="str">
        <f t="shared" si="11"/>
        <v>CC5_ILS_500_IDX</v>
      </c>
      <c r="M87" t="str">
        <f t="shared" si="12"/>
        <v>Paternidade</v>
      </c>
      <c r="N87" t="str">
        <f t="shared" si="13"/>
        <v>Fusion</v>
      </c>
      <c r="P87" t="s">
        <v>51</v>
      </c>
      <c r="Q87" t="s">
        <v>51</v>
      </c>
      <c r="R87" t="s">
        <v>51</v>
      </c>
      <c r="S87" t="s">
        <v>51</v>
      </c>
    </row>
    <row r="88" spans="1:19">
      <c r="A88" t="s">
        <v>42</v>
      </c>
      <c r="B88">
        <f>IF((IPCMS!$L15)="",0,IPCMS!$L15)</f>
        <v>0</v>
      </c>
      <c r="D88">
        <f t="shared" si="7"/>
        <v>100</v>
      </c>
      <c r="E88" t="str">
        <f t="shared" si="8"/>
        <v>Sample</v>
      </c>
      <c r="G88" t="str">
        <f t="shared" si="9"/>
        <v>Fusion</v>
      </c>
      <c r="H88" t="str">
        <f t="shared" si="10"/>
        <v>PowerPlex_Fusion_Panels_IDX_v2.0</v>
      </c>
      <c r="J88" t="str">
        <f t="shared" si="11"/>
        <v>CC5_ILS_500_IDX</v>
      </c>
      <c r="M88" t="str">
        <f t="shared" si="12"/>
        <v>Paternidade</v>
      </c>
      <c r="N88" t="str">
        <f t="shared" si="13"/>
        <v>Fusion</v>
      </c>
      <c r="P88" t="s">
        <v>51</v>
      </c>
      <c r="Q88" t="s">
        <v>51</v>
      </c>
      <c r="R88" t="s">
        <v>51</v>
      </c>
      <c r="S88" t="s">
        <v>51</v>
      </c>
    </row>
    <row r="89" spans="1:19">
      <c r="A89" t="s">
        <v>43</v>
      </c>
      <c r="B89">
        <f>IF((IPCMS!$L16)="",0,IPCMS!$L16)</f>
        <v>0</v>
      </c>
      <c r="D89">
        <f t="shared" si="7"/>
        <v>100</v>
      </c>
      <c r="E89" t="str">
        <f t="shared" si="8"/>
        <v>Sample</v>
      </c>
      <c r="G89" t="str">
        <f t="shared" si="9"/>
        <v>Fusion</v>
      </c>
      <c r="H89" t="str">
        <f t="shared" si="10"/>
        <v>PowerPlex_Fusion_Panels_IDX_v2.0</v>
      </c>
      <c r="J89" t="str">
        <f t="shared" si="11"/>
        <v>CC5_ILS_500_IDX</v>
      </c>
      <c r="M89" t="str">
        <f t="shared" si="12"/>
        <v>Paternidade</v>
      </c>
      <c r="N89" t="str">
        <f t="shared" si="13"/>
        <v>Fusion</v>
      </c>
      <c r="P89" t="s">
        <v>51</v>
      </c>
      <c r="Q89" t="s">
        <v>51</v>
      </c>
      <c r="R89" t="s">
        <v>51</v>
      </c>
      <c r="S89" t="s">
        <v>51</v>
      </c>
    </row>
    <row r="90" spans="1:19">
      <c r="A90" t="s">
        <v>44</v>
      </c>
      <c r="B90">
        <f>IF((IPCMS!$L17)="",0,IPCMS!$L17)</f>
        <v>0</v>
      </c>
      <c r="D90">
        <f t="shared" si="7"/>
        <v>100</v>
      </c>
      <c r="E90" t="str">
        <f t="shared" si="8"/>
        <v>Sample</v>
      </c>
      <c r="G90" t="str">
        <f t="shared" si="9"/>
        <v>Fusion</v>
      </c>
      <c r="H90" t="str">
        <f t="shared" si="10"/>
        <v>PowerPlex_Fusion_Panels_IDX_v2.0</v>
      </c>
      <c r="J90" t="str">
        <f t="shared" si="11"/>
        <v>CC5_ILS_500_IDX</v>
      </c>
      <c r="M90" t="str">
        <f t="shared" si="12"/>
        <v>Paternidade</v>
      </c>
      <c r="N90" t="str">
        <f t="shared" si="13"/>
        <v>Fusion</v>
      </c>
      <c r="P90" t="s">
        <v>51</v>
      </c>
      <c r="Q90" t="s">
        <v>51</v>
      </c>
      <c r="R90" t="s">
        <v>51</v>
      </c>
      <c r="S90" t="s">
        <v>51</v>
      </c>
    </row>
    <row r="91" spans="1:19">
      <c r="A91" t="s">
        <v>45</v>
      </c>
      <c r="B91">
        <f>IF((IPCMS!$L18)="",0,IPCMS!$L18)</f>
        <v>0</v>
      </c>
      <c r="D91">
        <f t="shared" si="7"/>
        <v>100</v>
      </c>
      <c r="E91" t="str">
        <f t="shared" si="8"/>
        <v>Sample</v>
      </c>
      <c r="G91" t="str">
        <f t="shared" si="9"/>
        <v>Fusion</v>
      </c>
      <c r="H91" t="str">
        <f t="shared" si="10"/>
        <v>PowerPlex_Fusion_Panels_IDX_v2.0</v>
      </c>
      <c r="J91" t="str">
        <f t="shared" si="11"/>
        <v>CC5_ILS_500_IDX</v>
      </c>
      <c r="M91" t="str">
        <f t="shared" si="12"/>
        <v>Paternidade</v>
      </c>
      <c r="N91" t="str">
        <f t="shared" si="13"/>
        <v>Fusion</v>
      </c>
      <c r="P91" t="s">
        <v>51</v>
      </c>
      <c r="Q91" t="s">
        <v>51</v>
      </c>
      <c r="R91" t="s">
        <v>51</v>
      </c>
      <c r="S91" t="s">
        <v>51</v>
      </c>
    </row>
    <row r="92" spans="1:19">
      <c r="A92" t="s">
        <v>46</v>
      </c>
      <c r="B92">
        <f>IF((IPCMS!$L19)="",0,IPCMS!$L19)</f>
        <v>0</v>
      </c>
      <c r="D92">
        <f t="shared" si="7"/>
        <v>100</v>
      </c>
      <c r="E92" t="str">
        <f t="shared" si="8"/>
        <v>Sample</v>
      </c>
      <c r="G92" t="str">
        <f t="shared" si="9"/>
        <v>Fusion</v>
      </c>
      <c r="H92" t="str">
        <f t="shared" si="10"/>
        <v>PowerPlex_Fusion_Panels_IDX_v2.0</v>
      </c>
      <c r="J92" t="str">
        <f t="shared" si="11"/>
        <v>CC5_ILS_500_IDX</v>
      </c>
      <c r="M92" t="str">
        <f t="shared" si="12"/>
        <v>Paternidade</v>
      </c>
      <c r="N92" t="str">
        <f t="shared" si="13"/>
        <v>Fusion</v>
      </c>
      <c r="P92" t="s">
        <v>51</v>
      </c>
      <c r="Q92" t="s">
        <v>51</v>
      </c>
      <c r="R92" t="s">
        <v>51</v>
      </c>
      <c r="S92" t="s">
        <v>51</v>
      </c>
    </row>
    <row r="93" spans="1:19">
      <c r="A93" t="s">
        <v>47</v>
      </c>
      <c r="B93">
        <f>IF((IPCMS!$L20)="",0,IPCMS!$L20)</f>
        <v>0</v>
      </c>
      <c r="D93">
        <f t="shared" si="7"/>
        <v>100</v>
      </c>
      <c r="E93" t="str">
        <f t="shared" si="8"/>
        <v>Sample</v>
      </c>
      <c r="G93" t="str">
        <f t="shared" si="9"/>
        <v>Fusion</v>
      </c>
      <c r="H93" t="str">
        <f t="shared" si="10"/>
        <v>PowerPlex_Fusion_Panels_IDX_v2.0</v>
      </c>
      <c r="J93" t="str">
        <f t="shared" si="11"/>
        <v>CC5_ILS_500_IDX</v>
      </c>
      <c r="M93" t="str">
        <f t="shared" si="12"/>
        <v>Paternidade</v>
      </c>
      <c r="N93" t="str">
        <f t="shared" si="13"/>
        <v>Fusion</v>
      </c>
      <c r="P93" t="s">
        <v>51</v>
      </c>
      <c r="Q93" t="s">
        <v>51</v>
      </c>
      <c r="R93" t="s">
        <v>51</v>
      </c>
      <c r="S93" t="s">
        <v>51</v>
      </c>
    </row>
    <row r="94" spans="1:19">
      <c r="A94" t="s">
        <v>149</v>
      </c>
      <c r="B94">
        <f>IF((IPCMS!$M13)="",0,IPCMS!$M13)</f>
        <v>0</v>
      </c>
      <c r="D94">
        <f t="shared" si="7"/>
        <v>100</v>
      </c>
      <c r="E94" t="str">
        <f t="shared" si="8"/>
        <v>Sample</v>
      </c>
      <c r="G94" t="str">
        <f t="shared" si="9"/>
        <v>Fusion</v>
      </c>
      <c r="H94" t="str">
        <f t="shared" si="10"/>
        <v>PowerPlex_Fusion_Panels_IDX_v2.0</v>
      </c>
      <c r="J94" t="str">
        <f t="shared" si="11"/>
        <v>CC5_ILS_500_IDX</v>
      </c>
      <c r="M94" t="str">
        <f t="shared" si="12"/>
        <v>Paternidade</v>
      </c>
      <c r="N94" t="str">
        <f t="shared" si="13"/>
        <v>Fusion</v>
      </c>
      <c r="P94" t="s">
        <v>51</v>
      </c>
      <c r="Q94" t="s">
        <v>51</v>
      </c>
      <c r="R94" t="s">
        <v>51</v>
      </c>
      <c r="S94" t="s">
        <v>51</v>
      </c>
    </row>
    <row r="95" spans="1:19">
      <c r="A95" t="s">
        <v>150</v>
      </c>
      <c r="B95">
        <f>IF((IPCMS!$M14)="",0,IPCMS!$M14)</f>
        <v>0</v>
      </c>
      <c r="D95">
        <f t="shared" si="7"/>
        <v>100</v>
      </c>
      <c r="E95" t="str">
        <f t="shared" si="8"/>
        <v>Sample</v>
      </c>
      <c r="G95" t="str">
        <f t="shared" si="9"/>
        <v>Fusion</v>
      </c>
      <c r="H95" t="str">
        <f t="shared" si="10"/>
        <v>PowerPlex_Fusion_Panels_IDX_v2.0</v>
      </c>
      <c r="J95" t="str">
        <f t="shared" si="11"/>
        <v>CC5_ILS_500_IDX</v>
      </c>
      <c r="M95" t="str">
        <f t="shared" si="12"/>
        <v>Paternidade</v>
      </c>
      <c r="N95" t="str">
        <f t="shared" si="13"/>
        <v>Fusion</v>
      </c>
      <c r="P95" t="s">
        <v>51</v>
      </c>
      <c r="Q95" t="s">
        <v>51</v>
      </c>
      <c r="R95" t="s">
        <v>51</v>
      </c>
      <c r="S95" t="s">
        <v>51</v>
      </c>
    </row>
    <row r="96" spans="1:19">
      <c r="A96" t="s">
        <v>151</v>
      </c>
      <c r="B96">
        <f>IF((IPCMS!$M15)="",0,IPCMS!$M15)</f>
        <v>0</v>
      </c>
      <c r="D96">
        <f t="shared" si="7"/>
        <v>100</v>
      </c>
      <c r="E96" t="str">
        <f t="shared" si="8"/>
        <v>Sample</v>
      </c>
      <c r="G96" t="str">
        <f t="shared" si="9"/>
        <v>Fusion</v>
      </c>
      <c r="H96" t="str">
        <f t="shared" si="10"/>
        <v>PowerPlex_Fusion_Panels_IDX_v2.0</v>
      </c>
      <c r="J96" t="str">
        <f t="shared" si="11"/>
        <v>CC5_ILS_500_IDX</v>
      </c>
      <c r="M96" t="str">
        <f t="shared" si="12"/>
        <v>Paternidade</v>
      </c>
      <c r="N96" t="str">
        <f t="shared" si="13"/>
        <v>Fusion</v>
      </c>
      <c r="P96" t="s">
        <v>51</v>
      </c>
      <c r="Q96" t="s">
        <v>51</v>
      </c>
      <c r="R96" t="s">
        <v>51</v>
      </c>
      <c r="S96" t="s">
        <v>51</v>
      </c>
    </row>
    <row r="97" spans="1:19">
      <c r="A97" t="s">
        <v>152</v>
      </c>
      <c r="B97">
        <f>IF((IPCMS!$M16)="",0,IPCMS!$M16)</f>
        <v>0</v>
      </c>
      <c r="D97">
        <f t="shared" si="7"/>
        <v>100</v>
      </c>
      <c r="E97" t="str">
        <f t="shared" si="8"/>
        <v>Sample</v>
      </c>
      <c r="G97" t="str">
        <f t="shared" si="9"/>
        <v>Fusion</v>
      </c>
      <c r="H97" t="str">
        <f t="shared" si="10"/>
        <v>PowerPlex_Fusion_Panels_IDX_v2.0</v>
      </c>
      <c r="J97" t="str">
        <f t="shared" si="11"/>
        <v>CC5_ILS_500_IDX</v>
      </c>
      <c r="M97" t="str">
        <f t="shared" si="12"/>
        <v>Paternidade</v>
      </c>
      <c r="N97" t="str">
        <f t="shared" si="13"/>
        <v>Fusion</v>
      </c>
      <c r="P97" t="s">
        <v>51</v>
      </c>
      <c r="Q97" t="s">
        <v>51</v>
      </c>
      <c r="R97" t="s">
        <v>51</v>
      </c>
      <c r="S97" t="s">
        <v>51</v>
      </c>
    </row>
    <row r="98" spans="1:19">
      <c r="A98" t="s">
        <v>153</v>
      </c>
      <c r="B98">
        <f>IF((IPCMS!$M17)="",0,IPCMS!$M17)</f>
        <v>0</v>
      </c>
      <c r="D98">
        <f t="shared" si="7"/>
        <v>100</v>
      </c>
      <c r="E98" t="str">
        <f t="shared" si="8"/>
        <v>Sample</v>
      </c>
      <c r="G98" t="str">
        <f t="shared" si="9"/>
        <v>Fusion</v>
      </c>
      <c r="H98" t="str">
        <f t="shared" si="10"/>
        <v>PowerPlex_Fusion_Panels_IDX_v2.0</v>
      </c>
      <c r="J98" t="str">
        <f t="shared" si="11"/>
        <v>CC5_ILS_500_IDX</v>
      </c>
      <c r="M98" t="str">
        <f t="shared" si="12"/>
        <v>Paternidade</v>
      </c>
      <c r="N98" t="str">
        <f t="shared" si="13"/>
        <v>Fusion</v>
      </c>
      <c r="P98" t="s">
        <v>51</v>
      </c>
      <c r="Q98" t="s">
        <v>51</v>
      </c>
      <c r="R98" t="s">
        <v>51</v>
      </c>
      <c r="S98" t="s">
        <v>51</v>
      </c>
    </row>
    <row r="99" spans="1:19">
      <c r="A99" t="s">
        <v>154</v>
      </c>
      <c r="B99">
        <f>IF((IPCMS!$M18)="",0,IPCMS!$M18)</f>
        <v>0</v>
      </c>
      <c r="D99">
        <f t="shared" si="7"/>
        <v>100</v>
      </c>
      <c r="E99" t="str">
        <f t="shared" si="8"/>
        <v>Sample</v>
      </c>
      <c r="G99" t="str">
        <f t="shared" si="9"/>
        <v>Fusion</v>
      </c>
      <c r="H99" t="str">
        <f t="shared" si="10"/>
        <v>PowerPlex_Fusion_Panels_IDX_v2.0</v>
      </c>
      <c r="J99" t="str">
        <f t="shared" si="11"/>
        <v>CC5_ILS_500_IDX</v>
      </c>
      <c r="M99" t="str">
        <f t="shared" si="12"/>
        <v>Paternidade</v>
      </c>
      <c r="N99" t="str">
        <f t="shared" si="13"/>
        <v>Fusion</v>
      </c>
      <c r="P99" t="s">
        <v>51</v>
      </c>
      <c r="Q99" t="s">
        <v>51</v>
      </c>
      <c r="R99" t="s">
        <v>51</v>
      </c>
      <c r="S99" t="s">
        <v>51</v>
      </c>
    </row>
    <row r="100" spans="1:19">
      <c r="A100" t="s">
        <v>155</v>
      </c>
      <c r="B100">
        <f>IF((IPCMS!$M19)="",0,IPCMS!$M19)</f>
        <v>0</v>
      </c>
      <c r="D100">
        <f t="shared" si="7"/>
        <v>100</v>
      </c>
      <c r="E100" t="str">
        <f t="shared" si="8"/>
        <v>Sample</v>
      </c>
      <c r="G100" t="str">
        <f t="shared" si="9"/>
        <v>Fusion</v>
      </c>
      <c r="H100" t="str">
        <f t="shared" si="10"/>
        <v>PowerPlex_Fusion_Panels_IDX_v2.0</v>
      </c>
      <c r="J100" t="str">
        <f t="shared" si="11"/>
        <v>CC5_ILS_500_IDX</v>
      </c>
      <c r="M100" t="str">
        <f t="shared" si="12"/>
        <v>Paternidade</v>
      </c>
      <c r="N100" t="str">
        <f t="shared" si="13"/>
        <v>Fusion</v>
      </c>
      <c r="P100" t="s">
        <v>51</v>
      </c>
      <c r="Q100" t="s">
        <v>51</v>
      </c>
      <c r="R100" t="s">
        <v>51</v>
      </c>
      <c r="S100" t="s">
        <v>51</v>
      </c>
    </row>
    <row r="101" spans="1:19">
      <c r="A101" t="s">
        <v>156</v>
      </c>
      <c r="B101">
        <f>IF((IPCMS!$M20)="",0,IPCMS!$M20)</f>
        <v>0</v>
      </c>
      <c r="D101">
        <f t="shared" si="7"/>
        <v>100</v>
      </c>
      <c r="E101" t="str">
        <f t="shared" si="8"/>
        <v>Sample</v>
      </c>
      <c r="G101" t="str">
        <f t="shared" si="9"/>
        <v>Fusion</v>
      </c>
      <c r="H101" t="str">
        <f t="shared" si="10"/>
        <v>PowerPlex_Fusion_Panels_IDX_v2.0</v>
      </c>
      <c r="J101" t="str">
        <f t="shared" si="11"/>
        <v>CC5_ILS_500_IDX</v>
      </c>
      <c r="M101" t="str">
        <f t="shared" si="12"/>
        <v>Paternidade</v>
      </c>
      <c r="N101" t="str">
        <f t="shared" si="13"/>
        <v>Fusion</v>
      </c>
      <c r="P101" t="s">
        <v>51</v>
      </c>
      <c r="Q101" t="s">
        <v>51</v>
      </c>
      <c r="R101" t="s">
        <v>51</v>
      </c>
      <c r="S101" t="s">
        <v>51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opLeftCell="A9" workbookViewId="0">
      <selection activeCell="E15" sqref="B15:E15"/>
    </sheetView>
  </sheetViews>
  <sheetFormatPr defaultRowHeight="12.75"/>
  <cols>
    <col min="1" max="9" width="9.28515625" customWidth="1"/>
  </cols>
  <sheetData>
    <row r="1" spans="1:10">
      <c r="C1" s="38" t="s">
        <v>159</v>
      </c>
      <c r="D1" s="38"/>
      <c r="E1" s="38"/>
      <c r="F1" s="38"/>
      <c r="G1" s="38"/>
      <c r="H1" s="39" t="s">
        <v>160</v>
      </c>
      <c r="I1" s="40" t="str">
        <f>EXPORTAR!B2</f>
        <v>10_09_20</v>
      </c>
    </row>
    <row r="2" spans="1:10">
      <c r="C2" s="38"/>
      <c r="D2" s="38"/>
      <c r="E2" s="38"/>
      <c r="F2" s="38"/>
      <c r="G2" s="38"/>
      <c r="H2" s="39"/>
      <c r="I2" s="41"/>
    </row>
    <row r="4" spans="1:10" ht="23.25">
      <c r="A4" s="30"/>
      <c r="B4" s="32" t="s">
        <v>7</v>
      </c>
      <c r="C4" s="32" t="s">
        <v>6</v>
      </c>
      <c r="D4" s="32" t="s">
        <v>5</v>
      </c>
      <c r="E4" s="32" t="s">
        <v>4</v>
      </c>
      <c r="F4" s="32" t="s">
        <v>3</v>
      </c>
      <c r="G4" s="32" t="s">
        <v>2</v>
      </c>
      <c r="H4" s="32" t="s">
        <v>1</v>
      </c>
      <c r="I4" s="32" t="s">
        <v>0</v>
      </c>
    </row>
    <row r="5" spans="1:10" ht="45" customHeight="1">
      <c r="A5" s="31">
        <v>1</v>
      </c>
      <c r="B5" s="34"/>
      <c r="C5" s="34"/>
      <c r="D5" s="34"/>
      <c r="E5" s="34"/>
      <c r="F5" s="34"/>
      <c r="G5" s="34"/>
      <c r="H5" s="34"/>
      <c r="I5" s="34"/>
      <c r="J5" s="31">
        <v>1</v>
      </c>
    </row>
    <row r="6" spans="1:10" ht="45" customHeight="1">
      <c r="A6" s="31">
        <v>2</v>
      </c>
      <c r="B6" s="34"/>
      <c r="C6" s="34"/>
      <c r="D6" s="34"/>
      <c r="E6" s="34"/>
      <c r="F6" s="34"/>
      <c r="G6" s="34"/>
      <c r="H6" s="34"/>
      <c r="I6" s="34"/>
      <c r="J6" s="31">
        <v>2</v>
      </c>
    </row>
    <row r="7" spans="1:10" ht="45" customHeight="1">
      <c r="A7" s="31">
        <v>3</v>
      </c>
      <c r="B7" s="34"/>
      <c r="C7" s="34"/>
      <c r="D7" s="34"/>
      <c r="E7" s="34"/>
      <c r="F7" s="34"/>
      <c r="G7" s="34"/>
      <c r="H7" s="34"/>
      <c r="I7" s="34"/>
      <c r="J7" s="31">
        <v>3</v>
      </c>
    </row>
    <row r="8" spans="1:10" ht="45" customHeight="1">
      <c r="A8" s="31">
        <v>4</v>
      </c>
      <c r="B8" s="34"/>
      <c r="C8" s="34"/>
      <c r="D8" s="34"/>
      <c r="E8" s="34"/>
      <c r="F8" s="34"/>
      <c r="G8" s="34"/>
      <c r="H8" s="34"/>
      <c r="I8" s="34"/>
      <c r="J8" s="31">
        <v>4</v>
      </c>
    </row>
    <row r="9" spans="1:10" ht="45" customHeight="1">
      <c r="A9" s="31">
        <v>5</v>
      </c>
      <c r="B9" s="34"/>
      <c r="C9" s="34"/>
      <c r="D9" s="34"/>
      <c r="E9" s="34"/>
      <c r="F9" s="34"/>
      <c r="G9" s="34"/>
      <c r="H9" s="34"/>
      <c r="I9" s="34"/>
      <c r="J9" s="31">
        <v>5</v>
      </c>
    </row>
    <row r="10" spans="1:10" ht="45" customHeight="1">
      <c r="A10" s="31">
        <v>6</v>
      </c>
      <c r="B10" s="34"/>
      <c r="C10" s="34"/>
      <c r="D10" s="34"/>
      <c r="E10" s="34"/>
      <c r="F10" s="34"/>
      <c r="G10" s="34"/>
      <c r="H10" s="34"/>
      <c r="I10" s="34"/>
      <c r="J10" s="31">
        <v>6</v>
      </c>
    </row>
    <row r="11" spans="1:10" ht="45" customHeight="1">
      <c r="A11" s="31">
        <v>7</v>
      </c>
      <c r="B11" s="34">
        <f>IPCMS!H20</f>
        <v>0</v>
      </c>
      <c r="C11" s="34">
        <f>IPCMS!H19</f>
        <v>0</v>
      </c>
      <c r="D11" s="34">
        <f>IPCMS!H18</f>
        <v>0</v>
      </c>
      <c r="E11" s="34">
        <f>IPCMS!H17</f>
        <v>0</v>
      </c>
      <c r="F11" s="34">
        <f>IPCMS!H16</f>
        <v>0</v>
      </c>
      <c r="G11" s="34">
        <f>IPCMS!H15</f>
        <v>0</v>
      </c>
      <c r="H11" s="34">
        <f>IPCMS!H14</f>
        <v>0</v>
      </c>
      <c r="I11" s="34">
        <f>IPCMS!H13</f>
        <v>0</v>
      </c>
      <c r="J11" s="31">
        <v>7</v>
      </c>
    </row>
    <row r="12" spans="1:10" ht="45" customHeight="1">
      <c r="A12" s="31">
        <v>8</v>
      </c>
      <c r="B12" s="34">
        <f>IPCMS!I20</f>
        <v>0</v>
      </c>
      <c r="C12" s="34">
        <f>IPCMS!I19</f>
        <v>0</v>
      </c>
      <c r="D12" s="34">
        <f>IPCMS!I18</f>
        <v>0</v>
      </c>
      <c r="E12" s="34">
        <f>IPCMS!I17</f>
        <v>0</v>
      </c>
      <c r="F12" s="34">
        <f>IPCMS!I16</f>
        <v>0</v>
      </c>
      <c r="G12" s="34">
        <f>IPCMS!I15</f>
        <v>0</v>
      </c>
      <c r="H12" s="34">
        <f>IPCMS!I14</f>
        <v>0</v>
      </c>
      <c r="I12" s="34">
        <f>IPCMS!I13</f>
        <v>0</v>
      </c>
      <c r="J12" s="31">
        <v>8</v>
      </c>
    </row>
    <row r="13" spans="1:10" ht="45" customHeight="1">
      <c r="A13" s="31">
        <v>9</v>
      </c>
      <c r="B13" s="34">
        <f>IPCMS!J20</f>
        <v>0</v>
      </c>
      <c r="C13" s="34">
        <f>IPCMS!J19</f>
        <v>0</v>
      </c>
      <c r="D13" s="34">
        <f>IPCMS!J18</f>
        <v>0</v>
      </c>
      <c r="E13" s="34">
        <f>IPCMS!J17</f>
        <v>0</v>
      </c>
      <c r="F13" s="34">
        <f>IPCMS!J16</f>
        <v>0</v>
      </c>
      <c r="G13" s="34">
        <f>IPCMS!J15</f>
        <v>0</v>
      </c>
      <c r="H13" s="34">
        <f>IPCMS!J14</f>
        <v>0</v>
      </c>
      <c r="I13" s="34">
        <f>IPCMS!J13</f>
        <v>0</v>
      </c>
      <c r="J13" s="31">
        <v>9</v>
      </c>
    </row>
    <row r="14" spans="1:10" ht="45" customHeight="1">
      <c r="A14" s="31">
        <v>10</v>
      </c>
      <c r="B14" s="34">
        <f>IPCMS!K20</f>
        <v>0</v>
      </c>
      <c r="C14" s="34">
        <f>IPCMS!K19</f>
        <v>0</v>
      </c>
      <c r="D14" s="34">
        <f>IPCMS!K18</f>
        <v>0</v>
      </c>
      <c r="E14" s="34">
        <f>IPCMS!K17</f>
        <v>0</v>
      </c>
      <c r="F14" s="34">
        <f>IPCMS!K16</f>
        <v>0</v>
      </c>
      <c r="G14" s="34">
        <f>IPCMS!K15</f>
        <v>0</v>
      </c>
      <c r="H14" s="34">
        <f>IPCMS!K14</f>
        <v>0</v>
      </c>
      <c r="I14" s="34">
        <f>IPCMS!K13</f>
        <v>0</v>
      </c>
      <c r="J14" s="31">
        <v>10</v>
      </c>
    </row>
    <row r="15" spans="1:10" ht="45" customHeight="1">
      <c r="A15" s="31">
        <v>11</v>
      </c>
      <c r="B15" s="34"/>
      <c r="C15" s="34"/>
      <c r="D15" s="34"/>
      <c r="E15" s="34"/>
      <c r="F15" s="34">
        <f>IPCMS!L16</f>
        <v>0</v>
      </c>
      <c r="G15" s="34">
        <f>IPCMS!L15</f>
        <v>0</v>
      </c>
      <c r="H15" s="34">
        <f>IPCMS!L14</f>
        <v>0</v>
      </c>
      <c r="I15" s="34">
        <f>IPCMS!L13</f>
        <v>0</v>
      </c>
      <c r="J15" s="31">
        <v>11</v>
      </c>
    </row>
    <row r="16" spans="1:10" ht="45" customHeight="1">
      <c r="A16" s="31">
        <v>12</v>
      </c>
      <c r="B16" s="34"/>
      <c r="C16" s="34"/>
      <c r="D16" s="34"/>
      <c r="E16" s="34"/>
      <c r="F16" s="34"/>
      <c r="G16" s="34"/>
      <c r="H16" s="34"/>
      <c r="I16" s="34"/>
      <c r="J16" s="31">
        <v>12</v>
      </c>
    </row>
    <row r="18" spans="1:1" ht="20.100000000000001" customHeight="1">
      <c r="A18" s="33" t="s">
        <v>164</v>
      </c>
    </row>
    <row r="19" spans="1:1" ht="20.100000000000001" customHeight="1">
      <c r="A19" s="33" t="s">
        <v>165</v>
      </c>
    </row>
    <row r="20" spans="1:1" ht="20.100000000000001" customHeight="1">
      <c r="A20" s="33" t="s">
        <v>161</v>
      </c>
    </row>
    <row r="21" spans="1:1" ht="20.100000000000001" customHeight="1">
      <c r="A21" s="33" t="s">
        <v>163</v>
      </c>
    </row>
    <row r="22" spans="1:1" ht="20.100000000000001" customHeight="1">
      <c r="A22" s="33" t="s">
        <v>162</v>
      </c>
    </row>
  </sheetData>
  <mergeCells count="3">
    <mergeCell ref="C1:G2"/>
    <mergeCell ref="H1:H2"/>
    <mergeCell ref="I1:I2"/>
  </mergeCells>
  <pageMargins left="0.6692913385826772" right="0.19685039370078741" top="0.39370078740157483" bottom="0.3937007874015748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IPCMS</vt:lpstr>
      <vt:lpstr>EXPORTAR</vt:lpstr>
      <vt:lpstr>IMPRIMIR</vt:lpstr>
    </vt:vector>
  </TitlesOfParts>
  <Company>Applied Biosystems do Brasil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Applied Biosystems</dc:creator>
  <cp:lastModifiedBy>Raphael Domingos Cavalari Barbosa</cp:lastModifiedBy>
  <cp:lastPrinted>2020-09-10T14:12:50Z</cp:lastPrinted>
  <dcterms:created xsi:type="dcterms:W3CDTF">2003-11-17T17:56:01Z</dcterms:created>
  <dcterms:modified xsi:type="dcterms:W3CDTF">2020-09-15T13:07:11Z</dcterms:modified>
</cp:coreProperties>
</file>