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CPG\Modelos\Planilhas\"/>
    </mc:Choice>
  </mc:AlternateContent>
  <xr:revisionPtr revIDLastSave="0" documentId="13_ncr:1_{0A079ACE-2D35-4831-84FA-6FEED1C76A72}" xr6:coauthVersionLast="47" xr6:coauthVersionMax="47" xr10:uidLastSave="{00000000-0000-0000-0000-000000000000}"/>
  <bookViews>
    <workbookView xWindow="-108" yWindow="-108" windowWidth="23256" windowHeight="12456" tabRatio="703" activeTab="3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state="hidden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PD0201'!$A$1:$N$69</definedName>
    <definedName name="_xlnm.Print_Area" localSheetId="3">'LAUDO RD0301'!$A$1:$Q$69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9" l="1"/>
  <c r="A17" i="20"/>
  <c r="F31" i="18"/>
  <c r="G31" i="18"/>
  <c r="H31" i="18"/>
  <c r="I31" i="18"/>
  <c r="F32" i="18"/>
  <c r="G32" i="18"/>
  <c r="H32" i="18"/>
  <c r="I32" i="18"/>
  <c r="F33" i="18"/>
  <c r="G33" i="18"/>
  <c r="H33" i="18"/>
  <c r="I33" i="18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BB22" i="18"/>
  <c r="BB29" i="18" l="1"/>
  <c r="BB28" i="18"/>
  <c r="BB27" i="18"/>
  <c r="BB26" i="18"/>
  <c r="BB25" i="18"/>
  <c r="BB24" i="18"/>
  <c r="BB23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N19" i="20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BB33" i="18"/>
  <c r="BA33" i="18"/>
  <c r="A33" i="18"/>
  <c r="A32" i="18"/>
  <c r="BA31" i="18"/>
  <c r="A31" i="18"/>
  <c r="AS7" i="18"/>
  <c r="AS6" i="18"/>
  <c r="AO6" i="18"/>
  <c r="AS5" i="18"/>
  <c r="AO5" i="18"/>
  <c r="AS4" i="18"/>
  <c r="AO4" i="18"/>
  <c r="AS3" i="18"/>
  <c r="AO3" i="18"/>
  <c r="AN34" i="18" l="1"/>
  <c r="AO34" i="18" s="1"/>
  <c r="AW34" i="18"/>
  <c r="BH35" i="18"/>
  <c r="BG35" i="18"/>
  <c r="CH31" i="18"/>
  <c r="BB31" i="18"/>
  <c r="CG32" i="18"/>
  <c r="BA32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BH33" i="18"/>
  <c r="BG33" i="18"/>
  <c r="CG35" i="18"/>
  <c r="BA35" i="18"/>
  <c r="BH40" i="18"/>
  <c r="BG40" i="18"/>
  <c r="AM36" i="18"/>
  <c r="BD36" i="18" s="1"/>
  <c r="AW36" i="18"/>
  <c r="CH32" i="18"/>
  <c r="BB32" i="18"/>
  <c r="N40" i="18"/>
  <c r="N33" i="18"/>
  <c r="CE37" i="18"/>
  <c r="CE41" i="18"/>
  <c r="CE42" i="18"/>
  <c r="O36" i="18"/>
  <c r="AT40" i="18"/>
  <c r="AN36" i="18"/>
  <c r="AO36" i="18" s="1"/>
  <c r="J34" i="18"/>
  <c r="P34" i="18" s="1"/>
  <c r="AT36" i="18"/>
  <c r="M38" i="18"/>
  <c r="O33" i="18"/>
  <c r="CC36" i="18"/>
  <c r="O39" i="18"/>
  <c r="BJ36" i="18"/>
  <c r="L35" i="18"/>
  <c r="CD36" i="18"/>
  <c r="BJ40" i="18"/>
  <c r="AN39" i="18"/>
  <c r="AO39" i="18" s="1"/>
  <c r="AT41" i="18"/>
  <c r="AM35" i="18"/>
  <c r="BD35" i="18" s="1"/>
  <c r="N36" i="18"/>
  <c r="CF37" i="18"/>
  <c r="CE38" i="18"/>
  <c r="AN35" i="18"/>
  <c r="AO35" i="18" s="1"/>
  <c r="BJ39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K34" i="18"/>
  <c r="Q34" i="18" s="1"/>
  <c r="BN36" i="18"/>
  <c r="AM39" i="18"/>
  <c r="BD39" i="18" s="1"/>
  <c r="AN40" i="18"/>
  <c r="AO40" i="18" s="1"/>
  <c r="CG31" i="18"/>
  <c r="N31" i="18"/>
  <c r="O41" i="18"/>
  <c r="N32" i="18"/>
  <c r="CF39" i="18"/>
  <c r="K39" i="18"/>
  <c r="CF42" i="18"/>
  <c r="M42" i="18"/>
  <c r="K42" i="18"/>
  <c r="O32" i="18"/>
  <c r="CG33" i="18"/>
  <c r="AT38" i="18"/>
  <c r="CC38" i="18"/>
  <c r="BN38" i="18"/>
  <c r="AM38" i="18"/>
  <c r="BD38" i="18" s="1"/>
  <c r="AN38" i="18"/>
  <c r="AO38" i="18" s="1"/>
  <c r="J38" i="18"/>
  <c r="BN41" i="18"/>
  <c r="K41" i="18"/>
  <c r="CH33" i="18"/>
  <c r="CH35" i="18"/>
  <c r="O35" i="18"/>
  <c r="CD38" i="18"/>
  <c r="K38" i="18"/>
  <c r="O31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V33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W33" i="18"/>
  <c r="Y34" i="18"/>
  <c r="W36" i="18"/>
  <c r="BI36" i="18"/>
  <c r="T38" i="18"/>
  <c r="BI39" i="18"/>
  <c r="W31" i="18"/>
  <c r="W35" i="18"/>
  <c r="R34" i="18"/>
  <c r="S34" i="18"/>
  <c r="U34" i="18"/>
  <c r="BI40" i="18"/>
  <c r="BE40" i="18"/>
  <c r="W32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V3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V31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 l="1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5" i="18"/>
  <c r="AB34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 l="1"/>
  <c r="CR42" i="18"/>
  <c r="CR39" i="18"/>
  <c r="CR41" i="18"/>
  <c r="CR37" i="18"/>
  <c r="CR36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M4" i="9" l="1"/>
  <c r="CE4" i="9"/>
  <c r="BW4" i="9"/>
  <c r="CL38" i="9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M25" i="9" s="1"/>
  <c r="I29" i="18" s="1"/>
  <c r="N40" i="19" s="1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M18" i="9" s="1"/>
  <c r="I22" i="18" s="1"/>
  <c r="N33" i="19" s="1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 s="1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O17" i="9" s="1"/>
  <c r="F21" i="18" s="1"/>
  <c r="BA21" i="18" s="1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O9" i="9" s="1"/>
  <c r="F13" i="18" s="1"/>
  <c r="BA13" i="18" s="1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 s="1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BO18" i="9" l="1"/>
  <c r="F22" i="18" s="1"/>
  <c r="BA22" i="18" s="1"/>
  <c r="BO23" i="9"/>
  <c r="F27" i="18" s="1"/>
  <c r="BA27" i="18" s="1"/>
  <c r="CM33" i="9"/>
  <c r="BO26" i="9"/>
  <c r="F30" i="18" s="1"/>
  <c r="BA30" i="18" s="1"/>
  <c r="BO30" i="9"/>
  <c r="BO38" i="9"/>
  <c r="BO33" i="9"/>
  <c r="BO32" i="9"/>
  <c r="CM31" i="9"/>
  <c r="BO28" i="9"/>
  <c r="BO29" i="9"/>
  <c r="BO31" i="9"/>
  <c r="BO36" i="9"/>
  <c r="BO37" i="9"/>
  <c r="CM29" i="9"/>
  <c r="CM37" i="9"/>
  <c r="BO34" i="9"/>
  <c r="CM28" i="9"/>
  <c r="CM36" i="9"/>
  <c r="BO22" i="9"/>
  <c r="F26" i="18" s="1"/>
  <c r="BA26" i="18" s="1"/>
  <c r="BW21" i="9"/>
  <c r="G25" i="18" s="1"/>
  <c r="L36" i="19" s="1"/>
  <c r="CM24" i="9"/>
  <c r="I28" i="18" s="1"/>
  <c r="N39" i="19" s="1"/>
  <c r="CM26" i="9"/>
  <c r="I30" i="18" s="1"/>
  <c r="N41" i="19" s="1"/>
  <c r="BO20" i="9"/>
  <c r="F24" i="18" s="1"/>
  <c r="BA24" i="18" s="1"/>
  <c r="BO21" i="9"/>
  <c r="F25" i="18" s="1"/>
  <c r="BA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BA23" i="18" s="1"/>
  <c r="CM22" i="9"/>
  <c r="I26" i="18" s="1"/>
  <c r="N37" i="19" s="1"/>
  <c r="CM21" i="9"/>
  <c r="I25" i="18" s="1"/>
  <c r="N36" i="19" s="1"/>
  <c r="BO25" i="9"/>
  <c r="F29" i="18" s="1"/>
  <c r="BA29" i="18" s="1"/>
  <c r="BO24" i="9"/>
  <c r="F28" i="18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B30" i="18" s="1"/>
  <c r="BW25" i="9"/>
  <c r="G29" i="18" s="1"/>
  <c r="BW24" i="9"/>
  <c r="G28" i="18" s="1"/>
  <c r="BW9" i="9"/>
  <c r="G13" i="18" s="1"/>
  <c r="BW17" i="9"/>
  <c r="G21" i="18" s="1"/>
  <c r="BW18" i="9"/>
  <c r="G22" i="18" s="1"/>
  <c r="BW23" i="9"/>
  <c r="G27" i="18" s="1"/>
  <c r="O25" i="18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8" i="19"/>
  <c r="CG27" i="18"/>
  <c r="CG26" i="18"/>
  <c r="K33" i="19"/>
  <c r="N22" i="18"/>
  <c r="K36" i="19"/>
  <c r="CG25" i="18"/>
  <c r="K34" i="19"/>
  <c r="K40" i="19"/>
  <c r="K35" i="19"/>
  <c r="N28" i="18"/>
  <c r="K32" i="19"/>
  <c r="K24" i="19"/>
  <c r="N13" i="18"/>
  <c r="BO6" i="9"/>
  <c r="F10" i="18" s="1"/>
  <c r="BA10" i="18" s="1"/>
  <c r="BO10" i="9"/>
  <c r="F14" i="18" s="1"/>
  <c r="BA14" i="18" s="1"/>
  <c r="K41" i="19"/>
  <c r="CG30" i="18"/>
  <c r="BW29" i="9"/>
  <c r="CE27" i="9"/>
  <c r="BW27" i="9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CE36" i="9"/>
  <c r="BW28" i="9"/>
  <c r="BW36" i="9"/>
  <c r="CE34" i="9"/>
  <c r="CM5" i="9"/>
  <c r="I9" i="18" s="1"/>
  <c r="N20" i="19" s="1"/>
  <c r="BO14" i="9"/>
  <c r="F18" i="18" s="1"/>
  <c r="BA18" i="18" s="1"/>
  <c r="CM8" i="9"/>
  <c r="I12" i="18" s="1"/>
  <c r="N23" i="19" s="1"/>
  <c r="BO15" i="9"/>
  <c r="F19" i="18" s="1"/>
  <c r="BA19" i="18" s="1"/>
  <c r="BO16" i="9"/>
  <c r="F20" i="18" s="1"/>
  <c r="BA20" i="18" s="1"/>
  <c r="BW7" i="9"/>
  <c r="G11" i="18" s="1"/>
  <c r="CM11" i="9"/>
  <c r="I15" i="18" s="1"/>
  <c r="N26" i="19" s="1"/>
  <c r="CM15" i="9"/>
  <c r="I19" i="18" s="1"/>
  <c r="N30" i="19" s="1"/>
  <c r="BO13" i="9"/>
  <c r="F17" i="18" s="1"/>
  <c r="BA17" i="18" s="1"/>
  <c r="BO8" i="9"/>
  <c r="F12" i="18" s="1"/>
  <c r="BA12" i="18" s="1"/>
  <c r="CE11" i="9"/>
  <c r="H15" i="18" s="1"/>
  <c r="M26" i="19" s="1"/>
  <c r="CM12" i="9"/>
  <c r="I16" i="18" s="1"/>
  <c r="N27" i="19" s="1"/>
  <c r="BO7" i="9"/>
  <c r="F11" i="18" s="1"/>
  <c r="BA11" i="18" s="1"/>
  <c r="BO12" i="9"/>
  <c r="F16" i="18" s="1"/>
  <c r="BA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BA15" i="18" s="1"/>
  <c r="CE10" i="9"/>
  <c r="H14" i="18" s="1"/>
  <c r="M25" i="19" s="1"/>
  <c r="CM14" i="9"/>
  <c r="I18" i="18" s="1"/>
  <c r="N29" i="19" s="1"/>
  <c r="BW14" i="9"/>
  <c r="G18" i="18" s="1"/>
  <c r="CE14" i="9"/>
  <c r="H18" i="18" s="1"/>
  <c r="M29" i="19" s="1"/>
  <c r="BW16" i="9"/>
  <c r="G20" i="18" s="1"/>
  <c r="BW13" i="9"/>
  <c r="G17" i="18" s="1"/>
  <c r="CE13" i="9"/>
  <c r="H17" i="18" s="1"/>
  <c r="M28" i="19" s="1"/>
  <c r="BW15" i="9"/>
  <c r="G19" i="18" s="1"/>
  <c r="CE15" i="9"/>
  <c r="H19" i="18" s="1"/>
  <c r="M30" i="19" s="1"/>
  <c r="BW10" i="9"/>
  <c r="G14" i="18" s="1"/>
  <c r="BW12" i="9"/>
  <c r="G16" i="18" s="1"/>
  <c r="CE12" i="9"/>
  <c r="H16" i="18" s="1"/>
  <c r="M27" i="19" s="1"/>
  <c r="BW11" i="9"/>
  <c r="G15" i="18" s="1"/>
  <c r="CE7" i="9"/>
  <c r="H11" i="18" s="1"/>
  <c r="M22" i="19" s="1"/>
  <c r="BO5" i="9"/>
  <c r="F9" i="18" s="1"/>
  <c r="BA9" i="18" s="1"/>
  <c r="CE8" i="9"/>
  <c r="H12" i="18" s="1"/>
  <c r="M23" i="19" s="1"/>
  <c r="BW6" i="9"/>
  <c r="G10" i="18" s="1"/>
  <c r="CE6" i="9"/>
  <c r="H10" i="18" s="1"/>
  <c r="M21" i="19" s="1"/>
  <c r="BW8" i="9"/>
  <c r="G12" i="18" s="1"/>
  <c r="CE5" i="9"/>
  <c r="H9" i="18" s="1"/>
  <c r="M20" i="19" s="1"/>
  <c r="BW5" i="9"/>
  <c r="G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CG23" i="18" l="1"/>
  <c r="N23" i="18"/>
  <c r="K39" i="19"/>
  <c r="BA28" i="18"/>
  <c r="CG24" i="18"/>
  <c r="K37" i="19"/>
  <c r="N29" i="18"/>
  <c r="CG29" i="18"/>
  <c r="N21" i="18"/>
  <c r="W21" i="18" s="1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 s="1"/>
  <c r="CH28" i="18"/>
  <c r="L39" i="19"/>
  <c r="O28" i="18"/>
  <c r="W28" i="18" s="1"/>
  <c r="L28" i="19"/>
  <c r="O17" i="18"/>
  <c r="L29" i="19"/>
  <c r="O18" i="18"/>
  <c r="L40" i="19"/>
  <c r="O29" i="18"/>
  <c r="CH29" i="18"/>
  <c r="L23" i="19"/>
  <c r="O12" i="18"/>
  <c r="CH30" i="18"/>
  <c r="L41" i="19"/>
  <c r="O30" i="18"/>
  <c r="L33" i="19"/>
  <c r="O22" i="18"/>
  <c r="V22" i="18" s="1"/>
  <c r="L27" i="19"/>
  <c r="O16" i="18"/>
  <c r="L25" i="19"/>
  <c r="O14" i="18"/>
  <c r="L30" i="19"/>
  <c r="O19" i="18"/>
  <c r="L34" i="19"/>
  <c r="O23" i="18"/>
  <c r="W23" i="18" s="1"/>
  <c r="CH23" i="18"/>
  <c r="L20" i="19"/>
  <c r="O9" i="18"/>
  <c r="CH10" i="18"/>
  <c r="L21" i="19"/>
  <c r="O10" i="18"/>
  <c r="L38" i="19"/>
  <c r="CH27" i="18"/>
  <c r="O27" i="18"/>
  <c r="V27" i="18" s="1"/>
  <c r="L35" i="19"/>
  <c r="CH24" i="18"/>
  <c r="O24" i="18"/>
  <c r="N24" i="18"/>
  <c r="V24" i="18" s="1"/>
  <c r="N26" i="18"/>
  <c r="N30" i="18"/>
  <c r="K25" i="19"/>
  <c r="N14" i="18"/>
  <c r="K30" i="19"/>
  <c r="N19" i="18"/>
  <c r="K27" i="19"/>
  <c r="N16" i="18"/>
  <c r="K31" i="19"/>
  <c r="N20" i="18"/>
  <c r="W22" i="18"/>
  <c r="K21" i="19"/>
  <c r="N10" i="18"/>
  <c r="CG10" i="18"/>
  <c r="K26" i="19"/>
  <c r="N15" i="18"/>
  <c r="K23" i="19"/>
  <c r="N12" i="18"/>
  <c r="K29" i="19"/>
  <c r="N18" i="18"/>
  <c r="V23" i="18"/>
  <c r="W25" i="18"/>
  <c r="V25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W29" i="18" l="1"/>
  <c r="W24" i="18"/>
  <c r="V21" i="18"/>
  <c r="B33" i="12"/>
  <c r="B33" i="18"/>
  <c r="V30" i="18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AA28" i="9"/>
  <c r="AQ28" i="9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AA29" i="9"/>
  <c r="BG27" i="9"/>
  <c r="AA27" i="9"/>
  <c r="C31" i="18" s="1"/>
  <c r="AI27" i="9"/>
  <c r="D31" i="18" s="1"/>
  <c r="AQ27" i="9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C33" i="12" l="1"/>
  <c r="C33" i="18"/>
  <c r="AW33" i="18"/>
  <c r="AN33" i="18"/>
  <c r="AO33" i="18" s="1"/>
  <c r="AM33" i="18"/>
  <c r="BD33" i="18" s="1"/>
  <c r="BI33" i="18" s="1"/>
  <c r="CC33" i="18"/>
  <c r="BJ33" i="18"/>
  <c r="AT33" i="18"/>
  <c r="C32" i="12"/>
  <c r="I32" i="12" s="1"/>
  <c r="C32" i="18"/>
  <c r="CD31" i="18"/>
  <c r="AX31" i="18"/>
  <c r="E33" i="12"/>
  <c r="E33" i="18"/>
  <c r="D33" i="12"/>
  <c r="D33" i="18"/>
  <c r="E32" i="12"/>
  <c r="E32" i="18"/>
  <c r="D32" i="12"/>
  <c r="AS32" i="12" s="1"/>
  <c r="D32" i="18"/>
  <c r="E31" i="12"/>
  <c r="AT31" i="12" s="1"/>
  <c r="E31" i="18"/>
  <c r="AY31" i="18"/>
  <c r="CE31" i="18"/>
  <c r="L31" i="18"/>
  <c r="BH23" i="18"/>
  <c r="BE23" i="18" s="1"/>
  <c r="BG23" i="18"/>
  <c r="F34" i="19"/>
  <c r="BH22" i="18"/>
  <c r="BG22" i="18"/>
  <c r="F33" i="19"/>
  <c r="BG21" i="18"/>
  <c r="BH21" i="18"/>
  <c r="F32" i="19"/>
  <c r="BH28" i="18"/>
  <c r="BE28" i="18" s="1"/>
  <c r="BG28" i="18"/>
  <c r="F39" i="19"/>
  <c r="BH26" i="18"/>
  <c r="BG26" i="18"/>
  <c r="F37" i="19"/>
  <c r="BG15" i="18"/>
  <c r="BH15" i="18"/>
  <c r="BE15" i="18" s="1"/>
  <c r="F26" i="19"/>
  <c r="BG14" i="18"/>
  <c r="BH14" i="18"/>
  <c r="BE14" i="18" s="1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BE12" i="18" s="1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E25" i="18" s="1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AY24" i="12" s="1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32" i="12"/>
  <c r="K32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K31" i="12"/>
  <c r="J3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K39" i="20" l="1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 s="1"/>
  <c r="B32" i="18"/>
  <c r="B31" i="12"/>
  <c r="H31" i="12" s="1"/>
  <c r="B31" i="18"/>
  <c r="AZ33" i="18"/>
  <c r="CF33" i="18"/>
  <c r="M33" i="18"/>
  <c r="K33" i="18"/>
  <c r="Q33" i="18" s="1"/>
  <c r="AY33" i="18"/>
  <c r="CE33" i="18"/>
  <c r="J33" i="18"/>
  <c r="L33" i="18"/>
  <c r="BN33" i="18"/>
  <c r="AZ32" i="18"/>
  <c r="M32" i="18"/>
  <c r="CF32" i="18"/>
  <c r="K32" i="18"/>
  <c r="Q32" i="18" s="1"/>
  <c r="AY32" i="18"/>
  <c r="BN32" i="18"/>
  <c r="CE32" i="18"/>
  <c r="J32" i="18"/>
  <c r="L32" i="18"/>
  <c r="AZ31" i="18"/>
  <c r="CF31" i="18"/>
  <c r="K31" i="18"/>
  <c r="Q31" i="18" s="1"/>
  <c r="M31" i="18"/>
  <c r="T31" i="18" s="1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 s="1"/>
  <c r="AV26" i="15" s="1"/>
  <c r="C26" i="18"/>
  <c r="C14" i="12"/>
  <c r="H25" i="17" s="1"/>
  <c r="C14" i="18"/>
  <c r="AX14" i="18" s="1"/>
  <c r="C9" i="12"/>
  <c r="AR9" i="12" s="1"/>
  <c r="C9" i="18"/>
  <c r="AX9" i="18" s="1"/>
  <c r="C21" i="12"/>
  <c r="C21" i="16" s="1"/>
  <c r="C21" i="18"/>
  <c r="AX21" i="18" s="1"/>
  <c r="C29" i="12"/>
  <c r="C29" i="18"/>
  <c r="C15" i="12"/>
  <c r="I15" i="12" s="1"/>
  <c r="C15" i="18"/>
  <c r="AX15" i="18" s="1"/>
  <c r="C30" i="12"/>
  <c r="H41" i="17" s="1"/>
  <c r="C30" i="18"/>
  <c r="C19" i="12"/>
  <c r="G19" i="15" s="1"/>
  <c r="AV19" i="15" s="1"/>
  <c r="C19" i="18"/>
  <c r="AX19" i="18" s="1"/>
  <c r="C12" i="12"/>
  <c r="C12" i="18"/>
  <c r="AX12" i="18" s="1"/>
  <c r="C24" i="12"/>
  <c r="H35" i="17" s="1"/>
  <c r="C24" i="18"/>
  <c r="C18" i="12"/>
  <c r="AR18" i="12" s="1"/>
  <c r="C18" i="18"/>
  <c r="AX18" i="18" s="1"/>
  <c r="C16" i="12"/>
  <c r="AR16" i="12" s="1"/>
  <c r="C16" i="18"/>
  <c r="AX16" i="18" s="1"/>
  <c r="C27" i="12"/>
  <c r="G27" i="15" s="1"/>
  <c r="AV27" i="15" s="1"/>
  <c r="C27" i="18"/>
  <c r="C22" i="12"/>
  <c r="G22" i="15" s="1"/>
  <c r="M22" i="15" s="1"/>
  <c r="C22" i="18"/>
  <c r="AX22" i="18" s="1"/>
  <c r="C13" i="12"/>
  <c r="H24" i="17" s="1"/>
  <c r="C13" i="18"/>
  <c r="AX13" i="18" s="1"/>
  <c r="C25" i="12"/>
  <c r="BX25" i="12" s="1"/>
  <c r="C25" i="18"/>
  <c r="C20" i="12"/>
  <c r="H31" i="17" s="1"/>
  <c r="C20" i="18"/>
  <c r="AX20" i="18" s="1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AX17" i="18" s="1"/>
  <c r="C11" i="12"/>
  <c r="E11" i="13" s="1"/>
  <c r="K11" i="13" s="1"/>
  <c r="C11" i="18"/>
  <c r="AX11" i="18" s="1"/>
  <c r="B28" i="12"/>
  <c r="F28" i="15" s="1"/>
  <c r="L28" i="15" s="1"/>
  <c r="B28" i="18"/>
  <c r="B23" i="12"/>
  <c r="D23" i="13" s="1"/>
  <c r="AS23" i="13" s="1"/>
  <c r="B23" i="18"/>
  <c r="B17" i="12"/>
  <c r="G28" i="17" s="1"/>
  <c r="B17" i="18"/>
  <c r="AW17" i="18" s="1"/>
  <c r="B26" i="12"/>
  <c r="G37" i="17" s="1"/>
  <c r="B26" i="18"/>
  <c r="B14" i="12"/>
  <c r="G25" i="17" s="1"/>
  <c r="B14" i="18"/>
  <c r="AW14" i="18" s="1"/>
  <c r="B9" i="12"/>
  <c r="B9" i="18"/>
  <c r="AW9" i="18" s="1"/>
  <c r="B21" i="12"/>
  <c r="B21" i="18"/>
  <c r="AW21" i="18" s="1"/>
  <c r="B18" i="12"/>
  <c r="G29" i="17" s="1"/>
  <c r="B18" i="18"/>
  <c r="AW18" i="18" s="1"/>
  <c r="B29" i="12"/>
  <c r="D29" i="13" s="1"/>
  <c r="J29" i="13" s="1"/>
  <c r="B29" i="18"/>
  <c r="B15" i="12"/>
  <c r="B15" i="18"/>
  <c r="AW15" i="18" s="1"/>
  <c r="B24" i="12"/>
  <c r="F24" i="15" s="1"/>
  <c r="L24" i="15" s="1"/>
  <c r="B24" i="18"/>
  <c r="B19" i="12"/>
  <c r="G30" i="17" s="1"/>
  <c r="B19" i="18"/>
  <c r="AW19" i="18" s="1"/>
  <c r="B12" i="12"/>
  <c r="B12" i="16" s="1"/>
  <c r="B12" i="18"/>
  <c r="AW12" i="18" s="1"/>
  <c r="B11" i="12"/>
  <c r="H11" i="12" s="1"/>
  <c r="B11" i="18"/>
  <c r="AW11" i="18" s="1"/>
  <c r="B16" i="12"/>
  <c r="G27" i="17" s="1"/>
  <c r="B16" i="18"/>
  <c r="AW16" i="18" s="1"/>
  <c r="B30" i="12"/>
  <c r="G41" i="17" s="1"/>
  <c r="AW31" i="18"/>
  <c r="B30" i="18"/>
  <c r="B25" i="12"/>
  <c r="B25" i="18"/>
  <c r="B22" i="12"/>
  <c r="AQ22" i="12" s="1"/>
  <c r="B22" i="18"/>
  <c r="B13" i="12"/>
  <c r="B13" i="16" s="1"/>
  <c r="B13" i="18"/>
  <c r="AW13" i="18" s="1"/>
  <c r="B10" i="12"/>
  <c r="G21" i="17" s="1"/>
  <c r="B10" i="18"/>
  <c r="B20" i="12"/>
  <c r="H20" i="12" s="1"/>
  <c r="B20" i="18"/>
  <c r="AW20" i="18" s="1"/>
  <c r="B27" i="12"/>
  <c r="G38" i="17" s="1"/>
  <c r="B27" i="18"/>
  <c r="BB33" i="21"/>
  <c r="F24" i="12"/>
  <c r="K35" i="17" s="1"/>
  <c r="D27" i="2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AY9" i="18" s="1"/>
  <c r="E30" i="12"/>
  <c r="C30" i="13" s="1"/>
  <c r="C33" i="21"/>
  <c r="E30" i="18"/>
  <c r="AZ30" i="18" s="1"/>
  <c r="E24" i="12"/>
  <c r="G24" i="14" s="1"/>
  <c r="C27" i="21"/>
  <c r="E24" i="18"/>
  <c r="E19" i="12"/>
  <c r="K19" i="12" s="1"/>
  <c r="C22" i="21"/>
  <c r="E19" i="18"/>
  <c r="AZ19" i="18" s="1"/>
  <c r="G16" i="13"/>
  <c r="M16" i="13" s="1"/>
  <c r="E19" i="21"/>
  <c r="D15" i="12"/>
  <c r="AS15" i="12" s="1"/>
  <c r="B18" i="21"/>
  <c r="D15" i="18"/>
  <c r="AY15" i="18" s="1"/>
  <c r="E12" i="12"/>
  <c r="K12" i="12" s="1"/>
  <c r="C15" i="21"/>
  <c r="E12" i="18"/>
  <c r="AZ12" i="18" s="1"/>
  <c r="G9" i="13"/>
  <c r="AV9" i="13" s="1"/>
  <c r="E12" i="21"/>
  <c r="D18" i="12"/>
  <c r="AS18" i="12" s="1"/>
  <c r="B21" i="21"/>
  <c r="D18" i="18"/>
  <c r="AY18" i="18" s="1"/>
  <c r="F12" i="13"/>
  <c r="L12" i="13" s="1"/>
  <c r="D15" i="21"/>
  <c r="E29" i="12"/>
  <c r="E29" i="16" s="1"/>
  <c r="C32" i="21"/>
  <c r="E29" i="18"/>
  <c r="BC30" i="21"/>
  <c r="D30" i="12"/>
  <c r="B33" i="21"/>
  <c r="D30" i="18"/>
  <c r="F27" i="12"/>
  <c r="K38" i="17" s="1"/>
  <c r="D30" i="21"/>
  <c r="G25" i="13"/>
  <c r="CB25" i="13" s="1"/>
  <c r="E28" i="21"/>
  <c r="D24" i="12"/>
  <c r="F24" i="14" s="1"/>
  <c r="L24" i="14" s="1"/>
  <c r="B27" i="21"/>
  <c r="D24" i="18"/>
  <c r="F22" i="12"/>
  <c r="K33" i="17" s="1"/>
  <c r="D25" i="21"/>
  <c r="D19" i="12"/>
  <c r="B19" i="13" s="1"/>
  <c r="H19" i="13" s="1"/>
  <c r="B22" i="21"/>
  <c r="D19" i="18"/>
  <c r="AY19" i="18" s="1"/>
  <c r="F16" i="13"/>
  <c r="AU16" i="13" s="1"/>
  <c r="D19" i="21"/>
  <c r="F13" i="13"/>
  <c r="D16" i="21"/>
  <c r="D12" i="12"/>
  <c r="I23" i="17" s="1"/>
  <c r="B15" i="21"/>
  <c r="D12" i="18"/>
  <c r="AY12" i="18" s="1"/>
  <c r="G11" i="12"/>
  <c r="L22" i="17" s="1"/>
  <c r="E14" i="21"/>
  <c r="F19" i="13"/>
  <c r="D22" i="21"/>
  <c r="BC26" i="21"/>
  <c r="F25" i="13"/>
  <c r="L25" i="13" s="1"/>
  <c r="D28" i="21"/>
  <c r="E22" i="12"/>
  <c r="C22" i="13" s="1"/>
  <c r="I22" i="13" s="1"/>
  <c r="C25" i="21"/>
  <c r="E22" i="18"/>
  <c r="AZ22" i="18" s="1"/>
  <c r="F20" i="13"/>
  <c r="D23" i="21"/>
  <c r="G17" i="12"/>
  <c r="L28" i="17" s="1"/>
  <c r="E20" i="21"/>
  <c r="E16" i="12"/>
  <c r="E16" i="16" s="1"/>
  <c r="C19" i="21"/>
  <c r="E16" i="18"/>
  <c r="AZ16" i="18" s="1"/>
  <c r="E13" i="12"/>
  <c r="G13" i="14" s="1"/>
  <c r="M13" i="14" s="1"/>
  <c r="C16" i="21"/>
  <c r="E13" i="18"/>
  <c r="AZ13" i="18" s="1"/>
  <c r="E11" i="12"/>
  <c r="AT11" i="12" s="1"/>
  <c r="C14" i="21"/>
  <c r="E11" i="18"/>
  <c r="AZ11" i="18" s="1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AY22" i="18" s="1"/>
  <c r="E20" i="12"/>
  <c r="C20" i="13" s="1"/>
  <c r="I20" i="13" s="1"/>
  <c r="C23" i="21"/>
  <c r="E20" i="18"/>
  <c r="AZ20" i="18" s="1"/>
  <c r="F17" i="13"/>
  <c r="L17" i="13" s="1"/>
  <c r="D20" i="21"/>
  <c r="D16" i="12"/>
  <c r="D16" i="15" s="1"/>
  <c r="AS16" i="15" s="1"/>
  <c r="B19" i="21"/>
  <c r="D16" i="18"/>
  <c r="AY16" i="18" s="1"/>
  <c r="G14" i="12"/>
  <c r="L25" i="17" s="1"/>
  <c r="E17" i="21"/>
  <c r="D13" i="12"/>
  <c r="D13" i="16" s="1"/>
  <c r="B16" i="21"/>
  <c r="D13" i="18"/>
  <c r="AY13" i="18" s="1"/>
  <c r="F26" i="12"/>
  <c r="K37" i="17" s="1"/>
  <c r="D29" i="21"/>
  <c r="F21" i="12"/>
  <c r="K32" i="17" s="1"/>
  <c r="D24" i="21"/>
  <c r="F28" i="12"/>
  <c r="K39" i="17" s="1"/>
  <c r="D31" i="2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AY20" i="18" s="1"/>
  <c r="G18" i="13"/>
  <c r="AV18" i="13" s="1"/>
  <c r="E21" i="21"/>
  <c r="E17" i="12"/>
  <c r="G17" i="14" s="1"/>
  <c r="M17" i="14" s="1"/>
  <c r="C20" i="21"/>
  <c r="E17" i="18"/>
  <c r="AZ17" i="18" s="1"/>
  <c r="F14" i="13"/>
  <c r="L14" i="13" s="1"/>
  <c r="D17" i="21"/>
  <c r="F11" i="13"/>
  <c r="D14" i="21"/>
  <c r="G10" i="13"/>
  <c r="M10" i="13" s="1"/>
  <c r="E13" i="21"/>
  <c r="E26" i="12"/>
  <c r="G26" i="14" s="1"/>
  <c r="C29" i="21"/>
  <c r="E26" i="18"/>
  <c r="D17" i="12"/>
  <c r="F17" i="14" s="1"/>
  <c r="L17" i="14" s="1"/>
  <c r="B20" i="21"/>
  <c r="D17" i="18"/>
  <c r="AY17" i="18" s="1"/>
  <c r="G15" i="13"/>
  <c r="AV15" i="13" s="1"/>
  <c r="E18" i="21"/>
  <c r="E14" i="12"/>
  <c r="E14" i="15" s="1"/>
  <c r="AT14" i="15" s="1"/>
  <c r="C17" i="21"/>
  <c r="E14" i="18"/>
  <c r="AZ14" i="18" s="1"/>
  <c r="D11" i="12"/>
  <c r="AS11" i="12" s="1"/>
  <c r="B14" i="21"/>
  <c r="D11" i="18"/>
  <c r="AY11" i="18" s="1"/>
  <c r="G29" i="13"/>
  <c r="M29" i="13" s="1"/>
  <c r="E32" i="21"/>
  <c r="E21" i="12"/>
  <c r="J32" i="17" s="1"/>
  <c r="C24" i="21"/>
  <c r="E21" i="18"/>
  <c r="AZ21" i="18" s="1"/>
  <c r="G19" i="13"/>
  <c r="M19" i="13" s="1"/>
  <c r="E22" i="21"/>
  <c r="E15" i="12"/>
  <c r="J26" i="17" s="1"/>
  <c r="C18" i="21"/>
  <c r="E15" i="18"/>
  <c r="AZ15" i="18" s="1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AV21" i="13" s="1"/>
  <c r="E24" i="21"/>
  <c r="E18" i="12"/>
  <c r="C21" i="21"/>
  <c r="E18" i="18"/>
  <c r="AZ18" i="18" s="1"/>
  <c r="F15" i="13"/>
  <c r="D18" i="21"/>
  <c r="D14" i="12"/>
  <c r="D14" i="16" s="1"/>
  <c r="B17" i="21"/>
  <c r="D14" i="18"/>
  <c r="AY14" i="18" s="1"/>
  <c r="G12" i="12"/>
  <c r="L23" i="17" s="1"/>
  <c r="E15" i="21"/>
  <c r="E9" i="12"/>
  <c r="J20" i="17" s="1"/>
  <c r="C12" i="21"/>
  <c r="E9" i="18"/>
  <c r="AZ9" i="18" s="1"/>
  <c r="F29" i="12"/>
  <c r="K40" i="17" s="1"/>
  <c r="D32" i="21"/>
  <c r="D21" i="12"/>
  <c r="D21" i="15" s="1"/>
  <c r="B24" i="21"/>
  <c r="D21" i="18"/>
  <c r="AY21" i="18" s="1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G20" i="17"/>
  <c r="AR22" i="12"/>
  <c r="H33" i="17"/>
  <c r="C13" i="14"/>
  <c r="AR13" i="14" s="1"/>
  <c r="I22" i="17"/>
  <c r="E25" i="15"/>
  <c r="AT25" i="15" s="1"/>
  <c r="G23" i="15"/>
  <c r="M23" i="15" s="1"/>
  <c r="G18" i="14"/>
  <c r="AV18" i="14" s="1"/>
  <c r="J29" i="17"/>
  <c r="H22" i="17"/>
  <c r="F10" i="14"/>
  <c r="L10" i="14" s="1"/>
  <c r="AR17" i="12"/>
  <c r="E14" i="13"/>
  <c r="K14" i="13" s="1"/>
  <c r="D22" i="15"/>
  <c r="AS22" i="15" s="1"/>
  <c r="D9" i="16"/>
  <c r="H32" i="17"/>
  <c r="J23" i="17"/>
  <c r="E29" i="13"/>
  <c r="AT29" i="13" s="1"/>
  <c r="H40" i="17"/>
  <c r="E20" i="13"/>
  <c r="AT20" i="13" s="1"/>
  <c r="I18" i="12"/>
  <c r="H29" i="17"/>
  <c r="J30" i="12"/>
  <c r="I41" i="17"/>
  <c r="I35" i="17"/>
  <c r="E15" i="13"/>
  <c r="K15" i="13" s="1"/>
  <c r="H26" i="17"/>
  <c r="B12" i="13"/>
  <c r="AQ12" i="13" s="1"/>
  <c r="C19" i="14"/>
  <c r="I19" i="14" s="1"/>
  <c r="C12" i="16"/>
  <c r="H23" i="17"/>
  <c r="D12" i="13"/>
  <c r="J12" i="13" s="1"/>
  <c r="G23" i="17"/>
  <c r="F30" i="15"/>
  <c r="AU30" i="15" s="1"/>
  <c r="H13" i="12"/>
  <c r="G24" i="17"/>
  <c r="H16" i="12"/>
  <c r="D20" i="13"/>
  <c r="J20" i="13" s="1"/>
  <c r="G35" i="17"/>
  <c r="B25" i="16"/>
  <c r="G36" i="17"/>
  <c r="H28" i="12"/>
  <c r="B26" i="16"/>
  <c r="F21" i="15"/>
  <c r="AU21" i="15" s="1"/>
  <c r="G32" i="17"/>
  <c r="B18" i="16"/>
  <c r="F15" i="15"/>
  <c r="AU15" i="15" s="1"/>
  <c r="G26" i="17"/>
  <c r="F26" i="13"/>
  <c r="L26" i="13" s="1"/>
  <c r="G11" i="13"/>
  <c r="AV11" i="13" s="1"/>
  <c r="AQ31" i="12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BH31" i="12"/>
  <c r="AS31" i="12"/>
  <c r="F29" i="13"/>
  <c r="AU29" i="13" s="1"/>
  <c r="N31" i="12"/>
  <c r="BH37" i="12"/>
  <c r="AR31" i="12"/>
  <c r="BH32" i="12"/>
  <c r="AT37" i="12"/>
  <c r="Q36" i="12"/>
  <c r="U36" i="12" s="1"/>
  <c r="P37" i="12"/>
  <c r="H32" i="12"/>
  <c r="N32" i="12" s="1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 s="1"/>
  <c r="J20" i="12"/>
  <c r="D26" i="13"/>
  <c r="J26" i="13" s="1"/>
  <c r="I13" i="12"/>
  <c r="B26" i="14"/>
  <c r="H26" i="14" s="1"/>
  <c r="E22" i="13"/>
  <c r="K22" i="13" s="1"/>
  <c r="AR13" i="12"/>
  <c r="AQ15" i="12"/>
  <c r="M18" i="13"/>
  <c r="AT30" i="12"/>
  <c r="F25" i="15"/>
  <c r="AU25" i="15" s="1"/>
  <c r="C13" i="16"/>
  <c r="AQ26" i="12"/>
  <c r="E30" i="16"/>
  <c r="I22" i="12"/>
  <c r="G13" i="15"/>
  <c r="AV13" i="15" s="1"/>
  <c r="H26" i="12"/>
  <c r="F15" i="14"/>
  <c r="AU15" i="14" s="1"/>
  <c r="C22" i="14"/>
  <c r="I22" i="14" s="1"/>
  <c r="G9" i="15"/>
  <c r="AV9" i="15" s="1"/>
  <c r="F28" i="14"/>
  <c r="L28" i="14" s="1"/>
  <c r="B24" i="14"/>
  <c r="AQ24" i="14" s="1"/>
  <c r="AS28" i="12"/>
  <c r="I9" i="12"/>
  <c r="B28" i="14"/>
  <c r="AQ28" i="14" s="1"/>
  <c r="B25" i="14"/>
  <c r="H25" i="14" s="1"/>
  <c r="D25" i="13"/>
  <c r="AS25" i="13" s="1"/>
  <c r="C28" i="14"/>
  <c r="I28" i="14" s="1"/>
  <c r="AT22" i="12"/>
  <c r="AQ25" i="12"/>
  <c r="BW25" i="12"/>
  <c r="E22" i="16"/>
  <c r="AS14" i="12"/>
  <c r="H25" i="12"/>
  <c r="C18" i="13"/>
  <c r="I18" i="13" s="1"/>
  <c r="F14" i="14"/>
  <c r="L14" i="14" s="1"/>
  <c r="G24" i="15"/>
  <c r="M24" i="15" s="1"/>
  <c r="C29" i="14"/>
  <c r="I29" i="14" s="1"/>
  <c r="BX10" i="12"/>
  <c r="C20" i="16"/>
  <c r="AT18" i="12"/>
  <c r="I29" i="12"/>
  <c r="B30" i="14"/>
  <c r="H30" i="14" s="1"/>
  <c r="F12" i="12"/>
  <c r="G29" i="15"/>
  <c r="AV29" i="15" s="1"/>
  <c r="AQ30" i="12"/>
  <c r="J21" i="12"/>
  <c r="F24" i="13"/>
  <c r="L24" i="13" s="1"/>
  <c r="F17" i="12"/>
  <c r="AI5" i="14"/>
  <c r="AI5" i="12"/>
  <c r="C14" i="16"/>
  <c r="D28" i="13"/>
  <c r="J28" i="13" s="1"/>
  <c r="C29" i="16"/>
  <c r="B18" i="13"/>
  <c r="H18" i="13" s="1"/>
  <c r="BW23" i="12"/>
  <c r="F19" i="12"/>
  <c r="AI6" i="12"/>
  <c r="AI6" i="15"/>
  <c r="F12" i="15"/>
  <c r="AU12" i="15" s="1"/>
  <c r="B15" i="14"/>
  <c r="AQ15" i="14" s="1"/>
  <c r="AR24" i="12"/>
  <c r="AQ28" i="12"/>
  <c r="AR29" i="12"/>
  <c r="B30" i="16"/>
  <c r="D30" i="13"/>
  <c r="AS30" i="13" s="1"/>
  <c r="AS9" i="12"/>
  <c r="E15" i="16"/>
  <c r="D18" i="16"/>
  <c r="E18" i="16"/>
  <c r="B21" i="13"/>
  <c r="AQ21" i="13" s="1"/>
  <c r="H23" i="12"/>
  <c r="I19" i="12"/>
  <c r="B19" i="16"/>
  <c r="I12" i="12"/>
  <c r="B9" i="13"/>
  <c r="AQ9" i="13" s="1"/>
  <c r="J22" i="12"/>
  <c r="I14" i="12"/>
  <c r="C14" i="14"/>
  <c r="I14" i="14" s="1"/>
  <c r="B20" i="16"/>
  <c r="H24" i="12"/>
  <c r="H30" i="12"/>
  <c r="D9" i="15"/>
  <c r="AS9" i="15" s="1"/>
  <c r="K15" i="12"/>
  <c r="E18" i="15"/>
  <c r="K18" i="15" s="1"/>
  <c r="B14" i="13"/>
  <c r="G11" i="15"/>
  <c r="AV11" i="15" s="1"/>
  <c r="F26" i="16"/>
  <c r="AU26" i="12"/>
  <c r="D26" i="14"/>
  <c r="AS26" i="14" s="1"/>
  <c r="L26" i="12"/>
  <c r="B26" i="15"/>
  <c r="H26" i="15" s="1"/>
  <c r="M21" i="13"/>
  <c r="G21" i="12"/>
  <c r="F21" i="13"/>
  <c r="AU17" i="13"/>
  <c r="G14" i="13"/>
  <c r="AV14" i="13" s="1"/>
  <c r="G12" i="13"/>
  <c r="B30" i="13"/>
  <c r="H30" i="13" s="1"/>
  <c r="F29" i="14"/>
  <c r="L29" i="14" s="1"/>
  <c r="D26" i="15"/>
  <c r="J26" i="15" s="1"/>
  <c r="AS22" i="12"/>
  <c r="B22" i="13"/>
  <c r="H22" i="13" s="1"/>
  <c r="F22" i="14"/>
  <c r="L22" i="14" s="1"/>
  <c r="D22" i="16"/>
  <c r="E20" i="15"/>
  <c r="AT20" i="15" s="1"/>
  <c r="K18" i="12"/>
  <c r="E16" i="15"/>
  <c r="K16" i="15" s="1"/>
  <c r="F16" i="14"/>
  <c r="L16" i="14" s="1"/>
  <c r="C15" i="13"/>
  <c r="I15" i="13" s="1"/>
  <c r="E15" i="15"/>
  <c r="K15" i="15" s="1"/>
  <c r="AT15" i="12"/>
  <c r="J15" i="12"/>
  <c r="D15" i="16"/>
  <c r="D15" i="15"/>
  <c r="J15" i="15" s="1"/>
  <c r="D14" i="15"/>
  <c r="J14" i="15" s="1"/>
  <c r="J14" i="12"/>
  <c r="G11" i="14"/>
  <c r="AV11" i="14" s="1"/>
  <c r="K11" i="12"/>
  <c r="E11" i="16"/>
  <c r="C11" i="13"/>
  <c r="AR11" i="13" s="1"/>
  <c r="E11" i="15"/>
  <c r="K11" i="15" s="1"/>
  <c r="BY10" i="12"/>
  <c r="F9" i="14"/>
  <c r="L9" i="14" s="1"/>
  <c r="J9" i="12"/>
  <c r="C24" i="16"/>
  <c r="B24" i="16"/>
  <c r="D24" i="13"/>
  <c r="J24" i="13" s="1"/>
  <c r="AQ24" i="12"/>
  <c r="AR20" i="12"/>
  <c r="AQ19" i="12"/>
  <c r="D19" i="13"/>
  <c r="AS19" i="13" s="1"/>
  <c r="E17" i="13"/>
  <c r="AT17" i="13" s="1"/>
  <c r="C17" i="14"/>
  <c r="I17" i="14" s="1"/>
  <c r="C17" i="16"/>
  <c r="I17" i="12"/>
  <c r="G17" i="15"/>
  <c r="M17" i="15" s="1"/>
  <c r="AR15" i="12"/>
  <c r="B15" i="16"/>
  <c r="D15" i="13"/>
  <c r="J15" i="13" s="1"/>
  <c r="H15" i="12"/>
  <c r="AR12" i="12"/>
  <c r="C12" i="14"/>
  <c r="I12" i="14" s="1"/>
  <c r="G12" i="15"/>
  <c r="AV12" i="15" s="1"/>
  <c r="E12" i="13"/>
  <c r="K12" i="13" s="1"/>
  <c r="H12" i="12"/>
  <c r="AQ12" i="12"/>
  <c r="C11" i="14"/>
  <c r="I11" i="14" s="1"/>
  <c r="AR11" i="12"/>
  <c r="AR10" i="12"/>
  <c r="E10" i="13"/>
  <c r="BZ10" i="13" s="1"/>
  <c r="B21" i="14"/>
  <c r="AQ21" i="14" s="1"/>
  <c r="D23" i="15"/>
  <c r="AS23" i="15" s="1"/>
  <c r="F10" i="12"/>
  <c r="G10" i="12"/>
  <c r="J12" i="12"/>
  <c r="B23" i="13"/>
  <c r="H23" i="13" s="1"/>
  <c r="AT28" i="12"/>
  <c r="F27" i="13"/>
  <c r="L27" i="13" s="1"/>
  <c r="F13" i="12"/>
  <c r="AS24" i="12"/>
  <c r="D30" i="15"/>
  <c r="AS30" i="15" s="1"/>
  <c r="G15" i="12"/>
  <c r="F27" i="16"/>
  <c r="D27" i="14"/>
  <c r="AS27" i="14" s="1"/>
  <c r="B27" i="15"/>
  <c r="AU27" i="12"/>
  <c r="B13" i="14"/>
  <c r="AQ13" i="14" s="1"/>
  <c r="F13" i="15"/>
  <c r="L13" i="15" s="1"/>
  <c r="C15" i="16"/>
  <c r="D18" i="13"/>
  <c r="AS18" i="13" s="1"/>
  <c r="B18" i="14"/>
  <c r="AQ18" i="14" s="1"/>
  <c r="I20" i="12"/>
  <c r="B21" i="16"/>
  <c r="D21" i="13"/>
  <c r="AS21" i="13" s="1"/>
  <c r="F12" i="14"/>
  <c r="AU12" i="14" s="1"/>
  <c r="F23" i="14"/>
  <c r="AU23" i="14" s="1"/>
  <c r="J24" i="12"/>
  <c r="K28" i="12"/>
  <c r="J29" i="12"/>
  <c r="D29" i="16"/>
  <c r="AS30" i="12"/>
  <c r="D30" i="16"/>
  <c r="G26" i="13"/>
  <c r="M26" i="13" s="1"/>
  <c r="F22" i="13"/>
  <c r="AU22" i="13" s="1"/>
  <c r="G27" i="13"/>
  <c r="G27" i="12"/>
  <c r="L38" i="17" s="1"/>
  <c r="G22" i="13"/>
  <c r="G22" i="12"/>
  <c r="I21" i="12"/>
  <c r="F18" i="13"/>
  <c r="F18" i="12"/>
  <c r="K29" i="17" s="1"/>
  <c r="G20" i="15"/>
  <c r="M20" i="15" s="1"/>
  <c r="C20" i="14"/>
  <c r="AR20" i="14" s="1"/>
  <c r="H21" i="12"/>
  <c r="G25" i="15"/>
  <c r="M25" i="15" s="1"/>
  <c r="D10" i="16"/>
  <c r="AS12" i="12"/>
  <c r="D12" i="16"/>
  <c r="D24" i="16"/>
  <c r="D24" i="15"/>
  <c r="AS24" i="15" s="1"/>
  <c r="C28" i="13"/>
  <c r="I28" i="13" s="1"/>
  <c r="E28" i="15"/>
  <c r="AT28" i="15" s="1"/>
  <c r="D29" i="15"/>
  <c r="J29" i="15" s="1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C11" i="16"/>
  <c r="H22" i="12"/>
  <c r="D22" i="13"/>
  <c r="AQ21" i="12"/>
  <c r="D12" i="15"/>
  <c r="J12" i="15" s="1"/>
  <c r="BY23" i="12"/>
  <c r="B24" i="13"/>
  <c r="H24" i="13" s="1"/>
  <c r="E28" i="16"/>
  <c r="AV29" i="13"/>
  <c r="F30" i="13"/>
  <c r="F30" i="12"/>
  <c r="K41" i="17" s="1"/>
  <c r="G28" i="13"/>
  <c r="G28" i="12"/>
  <c r="L39" i="17" s="1"/>
  <c r="AI4" i="14"/>
  <c r="AI4" i="12"/>
  <c r="AI4" i="13"/>
  <c r="L29" i="12"/>
  <c r="D29" i="14"/>
  <c r="B29" i="15"/>
  <c r="L19" i="13"/>
  <c r="R19" i="13" s="1"/>
  <c r="AU19" i="13"/>
  <c r="E11" i="14"/>
  <c r="G11" i="16"/>
  <c r="C11" i="15"/>
  <c r="AV11" i="12"/>
  <c r="M11" i="12"/>
  <c r="CB10" i="13"/>
  <c r="AV10" i="13"/>
  <c r="F9" i="13"/>
  <c r="F9" i="12"/>
  <c r="K20" i="17" s="1"/>
  <c r="G23" i="13"/>
  <c r="G23" i="12"/>
  <c r="L34" i="17" s="1"/>
  <c r="AU14" i="13"/>
  <c r="M15" i="13"/>
  <c r="M30" i="13"/>
  <c r="AV30" i="13"/>
  <c r="C17" i="15"/>
  <c r="G17" i="16"/>
  <c r="M17" i="12"/>
  <c r="E17" i="14"/>
  <c r="AV17" i="12"/>
  <c r="C14" i="15"/>
  <c r="AV14" i="12"/>
  <c r="E14" i="14"/>
  <c r="G14" i="16"/>
  <c r="M14" i="12"/>
  <c r="C12" i="15"/>
  <c r="E12" i="14"/>
  <c r="G12" i="16"/>
  <c r="M12" i="12"/>
  <c r="AV12" i="12"/>
  <c r="AU22" i="12"/>
  <c r="F22" i="16"/>
  <c r="B22" i="15"/>
  <c r="G20" i="13"/>
  <c r="G20" i="12"/>
  <c r="L31" i="17" s="1"/>
  <c r="AU13" i="13"/>
  <c r="L13" i="13"/>
  <c r="D9" i="13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CA10" i="14"/>
  <c r="AU29" i="12" l="1"/>
  <c r="AS23" i="12"/>
  <c r="D23" i="16"/>
  <c r="G20" i="14"/>
  <c r="M20" i="14" s="1"/>
  <c r="D16" i="16"/>
  <c r="G12" i="14"/>
  <c r="AV12" i="14" s="1"/>
  <c r="F29" i="16"/>
  <c r="AU28" i="12"/>
  <c r="D25" i="16"/>
  <c r="E17" i="15"/>
  <c r="AT17" i="15" s="1"/>
  <c r="J25" i="12"/>
  <c r="AS26" i="12"/>
  <c r="AT20" i="12"/>
  <c r="B16" i="13"/>
  <c r="H16" i="13" s="1"/>
  <c r="BY25" i="12"/>
  <c r="G22" i="17"/>
  <c r="I36" i="17"/>
  <c r="D26" i="16"/>
  <c r="L16" i="13"/>
  <c r="B26" i="13"/>
  <c r="H26" i="13" s="1"/>
  <c r="C25" i="16"/>
  <c r="F25" i="14"/>
  <c r="L25" i="14" s="1"/>
  <c r="AU10" i="14"/>
  <c r="J26" i="12"/>
  <c r="D25" i="15"/>
  <c r="AS25" i="15" s="1"/>
  <c r="K20" i="12"/>
  <c r="K40" i="20"/>
  <c r="AY32" i="21"/>
  <c r="J40" i="20"/>
  <c r="AX32" i="21"/>
  <c r="B28" i="15"/>
  <c r="I31" i="21"/>
  <c r="J39" i="20"/>
  <c r="AX31" i="21"/>
  <c r="L28" i="12"/>
  <c r="D28" i="14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 s="1"/>
  <c r="BJ32" i="18"/>
  <c r="AN32" i="18"/>
  <c r="AO32" i="18" s="1"/>
  <c r="AT32" i="18"/>
  <c r="CC32" i="18"/>
  <c r="C30" i="16"/>
  <c r="AR30" i="12"/>
  <c r="G30" i="15"/>
  <c r="M30" i="15" s="1"/>
  <c r="C30" i="14"/>
  <c r="AR30" i="14" s="1"/>
  <c r="AX30" i="18"/>
  <c r="E30" i="13"/>
  <c r="K30" i="13" s="1"/>
  <c r="I30" i="12"/>
  <c r="B29" i="14"/>
  <c r="AQ29" i="14" s="1"/>
  <c r="AQ29" i="12"/>
  <c r="F29" i="15"/>
  <c r="AU29" i="15" s="1"/>
  <c r="B29" i="16"/>
  <c r="H29" i="12"/>
  <c r="AR28" i="12"/>
  <c r="C28" i="16"/>
  <c r="G28" i="15"/>
  <c r="M28" i="15" s="1"/>
  <c r="I28" i="12"/>
  <c r="C27" i="14"/>
  <c r="I27" i="14" s="1"/>
  <c r="C27" i="16"/>
  <c r="AR27" i="12"/>
  <c r="E27" i="13"/>
  <c r="AT27" i="13" s="1"/>
  <c r="I27" i="12"/>
  <c r="AR26" i="12"/>
  <c r="H37" i="17"/>
  <c r="C26" i="16"/>
  <c r="E26" i="13"/>
  <c r="K26" i="13" s="1"/>
  <c r="C26" i="14"/>
  <c r="I26" i="14" s="1"/>
  <c r="I26" i="12"/>
  <c r="N26" i="12" s="1"/>
  <c r="AX26" i="18"/>
  <c r="B23" i="16"/>
  <c r="G34" i="17"/>
  <c r="AQ23" i="12"/>
  <c r="B23" i="14"/>
  <c r="BW23" i="14" s="1"/>
  <c r="F23" i="15"/>
  <c r="CA23" i="15" s="1"/>
  <c r="AW22" i="18"/>
  <c r="F22" i="15"/>
  <c r="L22" i="15" s="1"/>
  <c r="B20" i="14"/>
  <c r="H20" i="14" s="1"/>
  <c r="AQ20" i="12"/>
  <c r="F20" i="15"/>
  <c r="L20" i="15" s="1"/>
  <c r="AS20" i="13"/>
  <c r="G31" i="17"/>
  <c r="F18" i="15"/>
  <c r="L18" i="15" s="1"/>
  <c r="H18" i="12"/>
  <c r="AQ18" i="12"/>
  <c r="H17" i="12"/>
  <c r="B17" i="14"/>
  <c r="H17" i="14" s="1"/>
  <c r="B17" i="16"/>
  <c r="H17" i="16" s="1"/>
  <c r="D17" i="13"/>
  <c r="AS17" i="13" s="1"/>
  <c r="AQ17" i="12"/>
  <c r="F17" i="15"/>
  <c r="AU17" i="15" s="1"/>
  <c r="D16" i="13"/>
  <c r="AS16" i="13" s="1"/>
  <c r="AQ16" i="12"/>
  <c r="B16" i="16"/>
  <c r="F16" i="15"/>
  <c r="AU16" i="15" s="1"/>
  <c r="B16" i="14"/>
  <c r="H16" i="14" s="1"/>
  <c r="C15" i="14"/>
  <c r="I15" i="14" s="1"/>
  <c r="G15" i="15"/>
  <c r="AV15" i="15" s="1"/>
  <c r="D13" i="13"/>
  <c r="AS13" i="13" s="1"/>
  <c r="AQ11" i="12"/>
  <c r="D11" i="13"/>
  <c r="J11" i="13" s="1"/>
  <c r="B11" i="14"/>
  <c r="AQ11" i="14" s="1"/>
  <c r="F11" i="15"/>
  <c r="L11" i="15" s="1"/>
  <c r="B11" i="16"/>
  <c r="H21" i="17"/>
  <c r="G10" i="15"/>
  <c r="CB10" i="15" s="1"/>
  <c r="I10" i="12"/>
  <c r="B10" i="14"/>
  <c r="BW10" i="14" s="1"/>
  <c r="F10" i="15"/>
  <c r="L10" i="15" s="1"/>
  <c r="BW10" i="12"/>
  <c r="H10" i="12"/>
  <c r="C9" i="16"/>
  <c r="H9" i="16" s="1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 s="1"/>
  <c r="I40" i="20"/>
  <c r="AW32" i="21"/>
  <c r="AL32" i="21"/>
  <c r="AO32" i="21" s="1"/>
  <c r="H40" i="20"/>
  <c r="AH32" i="21"/>
  <c r="AK32" i="21" s="1"/>
  <c r="AV32" i="21"/>
  <c r="I39" i="20"/>
  <c r="AW31" i="21"/>
  <c r="AL31" i="21"/>
  <c r="AO31" i="21" s="1"/>
  <c r="AH31" i="21"/>
  <c r="H39" i="20"/>
  <c r="AV31" i="21"/>
  <c r="I38" i="20"/>
  <c r="AW30" i="21"/>
  <c r="AL30" i="21"/>
  <c r="AO30" i="21" s="1"/>
  <c r="AH30" i="21"/>
  <c r="AV30" i="21"/>
  <c r="H38" i="20"/>
  <c r="D27" i="15"/>
  <c r="J27" i="15" s="1"/>
  <c r="AL29" i="21"/>
  <c r="AW29" i="21"/>
  <c r="I37" i="20"/>
  <c r="AH29" i="21"/>
  <c r="H37" i="20"/>
  <c r="AV29" i="21"/>
  <c r="AW28" i="21"/>
  <c r="I36" i="20"/>
  <c r="AL28" i="21"/>
  <c r="BZ25" i="15"/>
  <c r="H36" i="20"/>
  <c r="AV28" i="21"/>
  <c r="AH28" i="21"/>
  <c r="AK28" i="21" s="1"/>
  <c r="I35" i="20"/>
  <c r="AW27" i="21"/>
  <c r="AL27" i="21"/>
  <c r="H35" i="20"/>
  <c r="AH27" i="21"/>
  <c r="AK27" i="21" s="1"/>
  <c r="AV27" i="21"/>
  <c r="G23" i="14"/>
  <c r="K23" i="12"/>
  <c r="AT23" i="12"/>
  <c r="E23" i="15"/>
  <c r="BZ23" i="12"/>
  <c r="E23" i="16"/>
  <c r="C23" i="13"/>
  <c r="I34" i="20"/>
  <c r="AL26" i="21"/>
  <c r="AO26" i="21" s="1"/>
  <c r="AW26" i="21"/>
  <c r="AH26" i="21"/>
  <c r="AK26" i="21" s="1"/>
  <c r="H34" i="20"/>
  <c r="AV26" i="21"/>
  <c r="I33" i="20"/>
  <c r="AW25" i="21"/>
  <c r="AL25" i="21"/>
  <c r="AO25" i="21" s="1"/>
  <c r="H33" i="20"/>
  <c r="AV25" i="21"/>
  <c r="AH25" i="21"/>
  <c r="AW24" i="21"/>
  <c r="AL24" i="21"/>
  <c r="I32" i="20"/>
  <c r="AH24" i="21"/>
  <c r="H32" i="20"/>
  <c r="AV24" i="21"/>
  <c r="AW23" i="21"/>
  <c r="AL23" i="21"/>
  <c r="I31" i="20"/>
  <c r="AV23" i="21"/>
  <c r="H31" i="20"/>
  <c r="AH23" i="21"/>
  <c r="C19" i="13"/>
  <c r="I19" i="13" s="1"/>
  <c r="E19" i="15"/>
  <c r="AT19" i="15" s="1"/>
  <c r="G19" i="14"/>
  <c r="M19" i="14" s="1"/>
  <c r="J30" i="17"/>
  <c r="AT19" i="12"/>
  <c r="E19" i="16"/>
  <c r="I30" i="20"/>
  <c r="AW22" i="21"/>
  <c r="AL22" i="21"/>
  <c r="H30" i="20"/>
  <c r="AV22" i="21"/>
  <c r="AH22" i="21"/>
  <c r="AK22" i="21" s="1"/>
  <c r="AF22" i="21" s="1"/>
  <c r="AW21" i="21"/>
  <c r="I29" i="20"/>
  <c r="AL21" i="21"/>
  <c r="AO21" i="21" s="1"/>
  <c r="AH21" i="21"/>
  <c r="H29" i="20"/>
  <c r="AV21" i="21"/>
  <c r="E17" i="16"/>
  <c r="J28" i="17"/>
  <c r="C17" i="13"/>
  <c r="I17" i="13" s="1"/>
  <c r="K17" i="12"/>
  <c r="AT17" i="12"/>
  <c r="I28" i="20"/>
  <c r="AW20" i="21"/>
  <c r="AL20" i="21"/>
  <c r="AO20" i="21" s="1"/>
  <c r="D17" i="16"/>
  <c r="K17" i="16" s="1"/>
  <c r="I28" i="17"/>
  <c r="D17" i="15"/>
  <c r="AS17" i="15" s="1"/>
  <c r="J17" i="12"/>
  <c r="AS17" i="12"/>
  <c r="B17" i="13"/>
  <c r="AQ17" i="13" s="1"/>
  <c r="AV20" i="21"/>
  <c r="AH20" i="21"/>
  <c r="AK20" i="21" s="1"/>
  <c r="AF20" i="21" s="1"/>
  <c r="H28" i="20"/>
  <c r="I27" i="20"/>
  <c r="AW19" i="21"/>
  <c r="AL19" i="21"/>
  <c r="AO19" i="21" s="1"/>
  <c r="AS16" i="12"/>
  <c r="J16" i="12"/>
  <c r="AH19" i="21"/>
  <c r="AK19" i="21" s="1"/>
  <c r="H27" i="20"/>
  <c r="AV19" i="21"/>
  <c r="AW18" i="21"/>
  <c r="AL18" i="21"/>
  <c r="I26" i="20"/>
  <c r="G15" i="14"/>
  <c r="M15" i="14" s="1"/>
  <c r="AH18" i="21"/>
  <c r="H26" i="20"/>
  <c r="AV18" i="21"/>
  <c r="AL17" i="21"/>
  <c r="AO17" i="21" s="1"/>
  <c r="AW17" i="21"/>
  <c r="I25" i="20"/>
  <c r="C14" i="13"/>
  <c r="I14" i="13" s="1"/>
  <c r="AH17" i="21"/>
  <c r="AV17" i="21"/>
  <c r="H25" i="20"/>
  <c r="C13" i="13"/>
  <c r="I13" i="13" s="1"/>
  <c r="AT13" i="12"/>
  <c r="E13" i="15"/>
  <c r="AT13" i="15" s="1"/>
  <c r="E13" i="16"/>
  <c r="K13" i="16" s="1"/>
  <c r="J24" i="17"/>
  <c r="K13" i="12"/>
  <c r="AL16" i="21"/>
  <c r="AW16" i="21"/>
  <c r="I24" i="20"/>
  <c r="H24" i="20"/>
  <c r="AH16" i="21"/>
  <c r="AV16" i="21"/>
  <c r="I23" i="20"/>
  <c r="AL15" i="21"/>
  <c r="AW15" i="21"/>
  <c r="AT12" i="12"/>
  <c r="E12" i="16"/>
  <c r="AH15" i="21"/>
  <c r="AK15" i="21" s="1"/>
  <c r="AF15" i="21" s="1"/>
  <c r="H23" i="20"/>
  <c r="AV15" i="21"/>
  <c r="AW14" i="21"/>
  <c r="I22" i="20"/>
  <c r="AL14" i="21"/>
  <c r="J11" i="12"/>
  <c r="H22" i="20"/>
  <c r="AV14" i="21"/>
  <c r="AH14" i="21"/>
  <c r="AK14" i="21" s="1"/>
  <c r="D11" i="16"/>
  <c r="J11" i="16" s="1"/>
  <c r="D11" i="15"/>
  <c r="AS11" i="15" s="1"/>
  <c r="B11" i="13"/>
  <c r="H11" i="13" s="1"/>
  <c r="F11" i="14"/>
  <c r="L11" i="14" s="1"/>
  <c r="AW13" i="21"/>
  <c r="I21" i="20"/>
  <c r="AL13" i="21"/>
  <c r="AO13" i="21" s="1"/>
  <c r="K10" i="12"/>
  <c r="E10" i="15"/>
  <c r="AT10" i="15" s="1"/>
  <c r="AT10" i="12"/>
  <c r="C10" i="13"/>
  <c r="AR10" i="13" s="1"/>
  <c r="BZ10" i="12"/>
  <c r="J21" i="17"/>
  <c r="E10" i="16"/>
  <c r="J10" i="16" s="1"/>
  <c r="H21" i="20"/>
  <c r="AH13" i="21"/>
  <c r="AK13" i="21" s="1"/>
  <c r="AV13" i="21"/>
  <c r="B10" i="13"/>
  <c r="AQ10" i="13" s="1"/>
  <c r="AS10" i="12"/>
  <c r="J10" i="12"/>
  <c r="P10" i="12" s="1"/>
  <c r="D10" i="15"/>
  <c r="J10" i="15" s="1"/>
  <c r="AW12" i="21"/>
  <c r="I20" i="20"/>
  <c r="AL12" i="21"/>
  <c r="K9" i="12"/>
  <c r="AH12" i="21"/>
  <c r="AK12" i="21" s="1"/>
  <c r="AV12" i="21"/>
  <c r="H20" i="20"/>
  <c r="AH33" i="21"/>
  <c r="H41" i="20"/>
  <c r="AV33" i="21"/>
  <c r="K30" i="12"/>
  <c r="G30" i="14"/>
  <c r="M30" i="14" s="1"/>
  <c r="K41" i="20"/>
  <c r="AY33" i="21"/>
  <c r="AL33" i="21"/>
  <c r="AO33" i="21" s="1"/>
  <c r="I41" i="20"/>
  <c r="AW33" i="21"/>
  <c r="AR30" i="13"/>
  <c r="I30" i="13"/>
  <c r="R16" i="13"/>
  <c r="AS19" i="12"/>
  <c r="B25" i="13"/>
  <c r="BW25" i="13" s="1"/>
  <c r="AQ14" i="12"/>
  <c r="G39" i="17"/>
  <c r="G33" i="17"/>
  <c r="B28" i="13"/>
  <c r="H38" i="17"/>
  <c r="D21" i="14"/>
  <c r="J21" i="14" s="1"/>
  <c r="F19" i="14"/>
  <c r="AU19" i="14" s="1"/>
  <c r="B27" i="14"/>
  <c r="AQ27" i="14" s="1"/>
  <c r="B22" i="16"/>
  <c r="D27" i="16"/>
  <c r="B22" i="14"/>
  <c r="H22" i="14" s="1"/>
  <c r="N22" i="14" s="1"/>
  <c r="AV16" i="13"/>
  <c r="B27" i="16"/>
  <c r="AU25" i="13"/>
  <c r="AU26" i="13"/>
  <c r="J19" i="12"/>
  <c r="D19" i="15"/>
  <c r="G14" i="14"/>
  <c r="AV14" i="14" s="1"/>
  <c r="C12" i="13"/>
  <c r="AR12" i="13" s="1"/>
  <c r="E12" i="15"/>
  <c r="K12" i="15" s="1"/>
  <c r="Q12" i="15" s="1"/>
  <c r="H14" i="12"/>
  <c r="I30" i="17"/>
  <c r="J41" i="17"/>
  <c r="I26" i="17"/>
  <c r="H20" i="17"/>
  <c r="CA25" i="13"/>
  <c r="M26" i="12"/>
  <c r="R26" i="12" s="1"/>
  <c r="D19" i="16"/>
  <c r="K19" i="16" s="1"/>
  <c r="M9" i="13"/>
  <c r="B15" i="13"/>
  <c r="H15" i="13" s="1"/>
  <c r="H39" i="17"/>
  <c r="E9" i="13"/>
  <c r="BH9" i="13" s="1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H28" i="16" s="1"/>
  <c r="G14" i="15"/>
  <c r="AV14" i="15" s="1"/>
  <c r="H19" i="12"/>
  <c r="N19" i="12" s="1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B10" i="16"/>
  <c r="I24" i="12"/>
  <c r="O24" i="12" s="1"/>
  <c r="C18" i="14"/>
  <c r="I18" i="14" s="1"/>
  <c r="AQ10" i="12"/>
  <c r="C18" i="16"/>
  <c r="H27" i="12"/>
  <c r="O27" i="12" s="1"/>
  <c r="F27" i="15"/>
  <c r="AU27" i="15" s="1"/>
  <c r="C16" i="16"/>
  <c r="H16" i="16" s="1"/>
  <c r="H30" i="17"/>
  <c r="H36" i="17"/>
  <c r="H34" i="17"/>
  <c r="H34" i="19"/>
  <c r="CD23" i="18"/>
  <c r="AX23" i="18" s="1"/>
  <c r="H36" i="19"/>
  <c r="CD25" i="18"/>
  <c r="AX25" i="18" s="1"/>
  <c r="H27" i="19"/>
  <c r="H30" i="19"/>
  <c r="H32" i="19"/>
  <c r="AV23" i="15"/>
  <c r="C25" i="14"/>
  <c r="AR25" i="14" s="1"/>
  <c r="G21" i="15"/>
  <c r="AV21" i="15" s="1"/>
  <c r="E25" i="13"/>
  <c r="BZ25" i="13" s="1"/>
  <c r="I25" i="12"/>
  <c r="O25" i="12" s="1"/>
  <c r="C21" i="14"/>
  <c r="AR21" i="14" s="1"/>
  <c r="H39" i="19"/>
  <c r="CD28" i="18"/>
  <c r="AX28" i="18" s="1"/>
  <c r="H24" i="19"/>
  <c r="H29" i="19"/>
  <c r="H41" i="19"/>
  <c r="CD30" i="18"/>
  <c r="H20" i="19"/>
  <c r="CB23" i="15"/>
  <c r="AR25" i="12"/>
  <c r="C23" i="16"/>
  <c r="C19" i="16"/>
  <c r="AR21" i="12"/>
  <c r="H22" i="19"/>
  <c r="CD10" i="18"/>
  <c r="AX10" i="18" s="1"/>
  <c r="H21" i="19"/>
  <c r="H33" i="19"/>
  <c r="CD24" i="18"/>
  <c r="AX24" i="18" s="1"/>
  <c r="H35" i="19"/>
  <c r="H26" i="19"/>
  <c r="H25" i="19"/>
  <c r="G16" i="15"/>
  <c r="AV16" i="15" s="1"/>
  <c r="E21" i="13"/>
  <c r="AT21" i="13" s="1"/>
  <c r="I16" i="12"/>
  <c r="O16" i="12" s="1"/>
  <c r="C23" i="14"/>
  <c r="AR23" i="14" s="1"/>
  <c r="H27" i="17"/>
  <c r="H28" i="19"/>
  <c r="H31" i="19"/>
  <c r="H38" i="19"/>
  <c r="CD27" i="18"/>
  <c r="AX27" i="18" s="1"/>
  <c r="H23" i="19"/>
  <c r="H40" i="19"/>
  <c r="CD29" i="18"/>
  <c r="AX29" i="18" s="1"/>
  <c r="CD26" i="18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AW26" i="18" s="1"/>
  <c r="G24" i="19"/>
  <c r="G27" i="19"/>
  <c r="G35" i="19"/>
  <c r="CC24" i="18"/>
  <c r="AW24" i="18" s="1"/>
  <c r="G32" i="19"/>
  <c r="G28" i="19"/>
  <c r="G38" i="19"/>
  <c r="CC27" i="18"/>
  <c r="AW27" i="18" s="1"/>
  <c r="G33" i="19"/>
  <c r="G22" i="19"/>
  <c r="G26" i="19"/>
  <c r="G20" i="19"/>
  <c r="G34" i="19"/>
  <c r="CC23" i="18"/>
  <c r="AW23" i="18" s="1"/>
  <c r="H25" i="16"/>
  <c r="G31" i="19"/>
  <c r="G36" i="19"/>
  <c r="CC25" i="18"/>
  <c r="AW25" i="18" s="1"/>
  <c r="G23" i="19"/>
  <c r="G40" i="19"/>
  <c r="CC29" i="18"/>
  <c r="AW29" i="18" s="1"/>
  <c r="G25" i="19"/>
  <c r="G39" i="19"/>
  <c r="CC28" i="18"/>
  <c r="AW28" i="18" s="1"/>
  <c r="G21" i="19"/>
  <c r="CC10" i="18"/>
  <c r="AW10" i="18" s="1"/>
  <c r="G41" i="19"/>
  <c r="CC30" i="18"/>
  <c r="AW30" i="18" s="1"/>
  <c r="M26" i="14"/>
  <c r="AV26" i="14"/>
  <c r="AU26" i="14"/>
  <c r="L26" i="14"/>
  <c r="AV26" i="12"/>
  <c r="C16" i="13"/>
  <c r="AR16" i="13" s="1"/>
  <c r="J27" i="12"/>
  <c r="E27" i="16"/>
  <c r="E26" i="16"/>
  <c r="J26" i="16" s="1"/>
  <c r="B29" i="13"/>
  <c r="AQ29" i="13" s="1"/>
  <c r="I39" i="17"/>
  <c r="J27" i="17"/>
  <c r="J38" i="17"/>
  <c r="J31" i="17"/>
  <c r="K16" i="12"/>
  <c r="Q16" i="12" s="1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I26" i="15" s="1"/>
  <c r="M25" i="13"/>
  <c r="R25" i="13" s="1"/>
  <c r="F27" i="14"/>
  <c r="AU27" i="14" s="1"/>
  <c r="E22" i="15"/>
  <c r="K22" i="15" s="1"/>
  <c r="AT26" i="12"/>
  <c r="J18" i="12"/>
  <c r="Q18" i="12" s="1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S10" i="13" s="1"/>
  <c r="E26" i="14"/>
  <c r="K26" i="14" s="1"/>
  <c r="AU23" i="13"/>
  <c r="AV25" i="13"/>
  <c r="E20" i="16"/>
  <c r="K27" i="12"/>
  <c r="D21" i="16"/>
  <c r="G22" i="14"/>
  <c r="M22" i="14" s="1"/>
  <c r="D18" i="15"/>
  <c r="J18" i="15" s="1"/>
  <c r="K26" i="12"/>
  <c r="J28" i="12"/>
  <c r="Q28" i="12" s="1"/>
  <c r="AT24" i="12"/>
  <c r="K14" i="12"/>
  <c r="P14" i="12" s="1"/>
  <c r="BH26" i="12"/>
  <c r="L21" i="12"/>
  <c r="L23" i="13"/>
  <c r="G21" i="14"/>
  <c r="M21" i="14" s="1"/>
  <c r="C26" i="13"/>
  <c r="AR26" i="13" s="1"/>
  <c r="K22" i="12"/>
  <c r="Q22" i="12" s="1"/>
  <c r="C24" i="13"/>
  <c r="I24" i="13" s="1"/>
  <c r="O24" i="13" s="1"/>
  <c r="C27" i="13"/>
  <c r="AR27" i="13" s="1"/>
  <c r="J33" i="17"/>
  <c r="I29" i="17"/>
  <c r="AS29" i="12"/>
  <c r="B21" i="15"/>
  <c r="H21" i="15" s="1"/>
  <c r="AT14" i="12"/>
  <c r="E14" i="16"/>
  <c r="K14" i="16" s="1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AS21" i="15"/>
  <c r="M24" i="14"/>
  <c r="R24" i="14" s="1"/>
  <c r="AV24" i="14"/>
  <c r="K20" i="18"/>
  <c r="Q20" i="18" s="1"/>
  <c r="J31" i="19"/>
  <c r="M20" i="18"/>
  <c r="K19" i="18"/>
  <c r="J30" i="19"/>
  <c r="M19" i="18"/>
  <c r="J17" i="15"/>
  <c r="D22" i="14"/>
  <c r="AS22" i="14" s="1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G21" i="21"/>
  <c r="AZ29" i="21"/>
  <c r="AK29" i="21"/>
  <c r="F29" i="21"/>
  <c r="G30" i="21"/>
  <c r="BA30" i="21"/>
  <c r="AO24" i="21"/>
  <c r="G24" i="21"/>
  <c r="G17" i="21"/>
  <c r="AO29" i="21"/>
  <c r="BA29" i="21"/>
  <c r="G29" i="21"/>
  <c r="K17" i="18"/>
  <c r="J28" i="19"/>
  <c r="M17" i="18"/>
  <c r="H26" i="21"/>
  <c r="BB26" i="21"/>
  <c r="I17" i="21"/>
  <c r="AO23" i="2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H22" i="21"/>
  <c r="I35" i="19"/>
  <c r="J24" i="18"/>
  <c r="P24" i="18" s="1"/>
  <c r="BN24" i="18"/>
  <c r="CE24" i="18"/>
  <c r="AY24" i="18" s="1"/>
  <c r="L24" i="18"/>
  <c r="AZ33" i="21"/>
  <c r="AK33" i="21"/>
  <c r="H15" i="21"/>
  <c r="G15" i="21"/>
  <c r="AO15" i="21"/>
  <c r="AO22" i="21"/>
  <c r="G22" i="21"/>
  <c r="J41" i="19"/>
  <c r="K30" i="18"/>
  <c r="Q30" i="18" s="1"/>
  <c r="M30" i="18"/>
  <c r="CF30" i="18"/>
  <c r="J21" i="19"/>
  <c r="M10" i="18"/>
  <c r="K10" i="18"/>
  <c r="CF10" i="18"/>
  <c r="AZ10" i="18" s="1"/>
  <c r="AO16" i="21"/>
  <c r="G16" i="21"/>
  <c r="H16" i="21"/>
  <c r="I41" i="19"/>
  <c r="CE30" i="18"/>
  <c r="AY30" i="18" s="1"/>
  <c r="BN30" i="18"/>
  <c r="J30" i="18"/>
  <c r="L30" i="18"/>
  <c r="J23" i="19"/>
  <c r="M12" i="18"/>
  <c r="K12" i="18"/>
  <c r="E9" i="16"/>
  <c r="K9" i="16" s="1"/>
  <c r="K29" i="12"/>
  <c r="P29" i="12" s="1"/>
  <c r="J13" i="12"/>
  <c r="B13" i="13"/>
  <c r="AQ13" i="13" s="1"/>
  <c r="G9" i="14"/>
  <c r="M9" i="14" s="1"/>
  <c r="S9" i="14" s="1"/>
  <c r="D13" i="15"/>
  <c r="J13" i="15" s="1"/>
  <c r="D20" i="16"/>
  <c r="F24" i="21"/>
  <c r="AK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G20" i="21"/>
  <c r="I24" i="21"/>
  <c r="H24" i="21"/>
  <c r="AK30" i="21"/>
  <c r="AF30" i="21" s="1"/>
  <c r="AZ30" i="21"/>
  <c r="F30" i="21"/>
  <c r="AK31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 s="1"/>
  <c r="F13" i="14"/>
  <c r="AU13" i="14" s="1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 s="1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 s="1"/>
  <c r="I37" i="19"/>
  <c r="BN26" i="18"/>
  <c r="J26" i="18"/>
  <c r="L26" i="18"/>
  <c r="F13" i="21"/>
  <c r="AZ13" i="21"/>
  <c r="J38" i="19"/>
  <c r="CF27" i="18"/>
  <c r="AZ27" i="18" s="1"/>
  <c r="K27" i="18"/>
  <c r="M27" i="18"/>
  <c r="J32" i="19"/>
  <c r="K21" i="18"/>
  <c r="M21" i="18"/>
  <c r="G29" i="14"/>
  <c r="M29" i="14" s="1"/>
  <c r="R29" i="14" s="1"/>
  <c r="C25" i="13"/>
  <c r="I25" i="13" s="1"/>
  <c r="K24" i="12"/>
  <c r="B20" i="13"/>
  <c r="BH20" i="13" s="1"/>
  <c r="BB32" i="21"/>
  <c r="H32" i="21"/>
  <c r="F17" i="21"/>
  <c r="AK17" i="21"/>
  <c r="AF17" i="21" s="1"/>
  <c r="G18" i="21"/>
  <c r="AO18" i="21"/>
  <c r="H21" i="21"/>
  <c r="I21" i="21"/>
  <c r="F28" i="21"/>
  <c r="AZ28" i="21"/>
  <c r="BB29" i="21"/>
  <c r="H29" i="21"/>
  <c r="F19" i="21"/>
  <c r="AK25" i="21"/>
  <c r="AF25" i="21" s="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AK21" i="21"/>
  <c r="AF21" i="21" s="1"/>
  <c r="F21" i="21"/>
  <c r="AK18" i="21"/>
  <c r="F18" i="21"/>
  <c r="I20" i="19"/>
  <c r="L9" i="18"/>
  <c r="J9" i="18"/>
  <c r="BN9" i="18"/>
  <c r="BB27" i="21"/>
  <c r="H27" i="21"/>
  <c r="E25" i="16"/>
  <c r="J25" i="16" s="1"/>
  <c r="N25" i="16" s="1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I22" i="19"/>
  <c r="J11" i="18"/>
  <c r="L11" i="18"/>
  <c r="BN11" i="18"/>
  <c r="I28" i="19"/>
  <c r="L17" i="18"/>
  <c r="BN17" i="18"/>
  <c r="J17" i="18"/>
  <c r="H14" i="21"/>
  <c r="AO14" i="21"/>
  <c r="G14" i="21"/>
  <c r="I23" i="19"/>
  <c r="BN12" i="18"/>
  <c r="L12" i="18"/>
  <c r="J12" i="18"/>
  <c r="F22" i="21"/>
  <c r="H25" i="21"/>
  <c r="F12" i="21"/>
  <c r="J25" i="19"/>
  <c r="K14" i="18"/>
  <c r="Q14" i="18" s="1"/>
  <c r="M14" i="18"/>
  <c r="U14" i="18" s="1"/>
  <c r="L22" i="12"/>
  <c r="E9" i="15"/>
  <c r="AT9" i="15" s="1"/>
  <c r="BZ25" i="12"/>
  <c r="G25" i="14"/>
  <c r="M25" i="14" s="1"/>
  <c r="R25" i="14" s="1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 s="1"/>
  <c r="J36" i="19"/>
  <c r="K25" i="18"/>
  <c r="Q25" i="18" s="1"/>
  <c r="M25" i="18"/>
  <c r="I26" i="21"/>
  <c r="F15" i="21"/>
  <c r="BB30" i="21"/>
  <c r="H30" i="21"/>
  <c r="J40" i="19"/>
  <c r="CF29" i="18"/>
  <c r="AZ29" i="18" s="1"/>
  <c r="M29" i="18"/>
  <c r="K29" i="18"/>
  <c r="I12" i="21"/>
  <c r="I19" i="21"/>
  <c r="J35" i="19"/>
  <c r="CF24" i="18"/>
  <c r="AZ24" i="18" s="1"/>
  <c r="K24" i="18"/>
  <c r="M24" i="18"/>
  <c r="J37" i="19"/>
  <c r="K26" i="18"/>
  <c r="CF26" i="18"/>
  <c r="AZ26" i="18" s="1"/>
  <c r="M26" i="18"/>
  <c r="U26" i="18" s="1"/>
  <c r="C9" i="13"/>
  <c r="AR9" i="13" s="1"/>
  <c r="K25" i="12"/>
  <c r="Q25" i="12" s="1"/>
  <c r="AT25" i="12"/>
  <c r="E24" i="16"/>
  <c r="K24" i="16" s="1"/>
  <c r="G12" i="21"/>
  <c r="AO12" i="21"/>
  <c r="CE10" i="18"/>
  <c r="AY10" i="18" s="1"/>
  <c r="I21" i="19"/>
  <c r="L10" i="18"/>
  <c r="J10" i="18"/>
  <c r="BN10" i="18"/>
  <c r="H17" i="21"/>
  <c r="AK23" i="21"/>
  <c r="F23" i="21"/>
  <c r="AK16" i="21"/>
  <c r="F16" i="21"/>
  <c r="AO28" i="21"/>
  <c r="BA28" i="21"/>
  <c r="G28" i="21"/>
  <c r="J24" i="19"/>
  <c r="K13" i="18"/>
  <c r="M13" i="18"/>
  <c r="H23" i="21"/>
  <c r="BA32" i="21"/>
  <c r="G32" i="21"/>
  <c r="G27" i="21"/>
  <c r="AO27" i="21"/>
  <c r="BA27" i="21"/>
  <c r="H13" i="21"/>
  <c r="BB13" i="21"/>
  <c r="J10" i="13"/>
  <c r="K20" i="13"/>
  <c r="P20" i="13" s="1"/>
  <c r="AT11" i="13"/>
  <c r="AQ15" i="13"/>
  <c r="I25" i="16"/>
  <c r="H12" i="13"/>
  <c r="K27" i="15"/>
  <c r="Q27" i="15" s="1"/>
  <c r="M18" i="12"/>
  <c r="AU24" i="14"/>
  <c r="AT14" i="13"/>
  <c r="AV17" i="14"/>
  <c r="M27" i="15"/>
  <c r="E18" i="14"/>
  <c r="K18" i="14" s="1"/>
  <c r="L15" i="15"/>
  <c r="N17" i="12"/>
  <c r="J16" i="15"/>
  <c r="P16" i="15" s="1"/>
  <c r="AV18" i="12"/>
  <c r="C18" i="15"/>
  <c r="I18" i="15" s="1"/>
  <c r="Q23" i="12"/>
  <c r="L29" i="13"/>
  <c r="R29" i="13" s="1"/>
  <c r="K24" i="13"/>
  <c r="Q24" i="13" s="1"/>
  <c r="AU24" i="15"/>
  <c r="BY10" i="13"/>
  <c r="I10" i="14"/>
  <c r="AV28" i="14"/>
  <c r="CB10" i="14"/>
  <c r="N9" i="12"/>
  <c r="AV10" i="14"/>
  <c r="I13" i="14"/>
  <c r="CA25" i="14"/>
  <c r="CA23" i="12"/>
  <c r="AT26" i="13"/>
  <c r="AU25" i="14"/>
  <c r="K25" i="15"/>
  <c r="G18" i="16"/>
  <c r="AR19" i="14"/>
  <c r="AQ19" i="13"/>
  <c r="H26" i="16"/>
  <c r="P9" i="12"/>
  <c r="C9" i="15"/>
  <c r="I9" i="15" s="1"/>
  <c r="AV9" i="12"/>
  <c r="E9" i="14"/>
  <c r="K9" i="14" s="1"/>
  <c r="K29" i="13"/>
  <c r="AT30" i="13"/>
  <c r="I21" i="14"/>
  <c r="M11" i="13"/>
  <c r="S11" i="13" s="1"/>
  <c r="J29" i="16"/>
  <c r="O28" i="12"/>
  <c r="H27" i="16"/>
  <c r="L21" i="15"/>
  <c r="O13" i="12"/>
  <c r="AR22" i="13"/>
  <c r="M12" i="14"/>
  <c r="AS12" i="13"/>
  <c r="H22" i="16"/>
  <c r="I12" i="16"/>
  <c r="G9" i="16"/>
  <c r="E10" i="14"/>
  <c r="BZ10" i="14" s="1"/>
  <c r="L21" i="17"/>
  <c r="L20" i="12"/>
  <c r="K31" i="17"/>
  <c r="B14" i="15"/>
  <c r="K25" i="17"/>
  <c r="AU11" i="12"/>
  <c r="K22" i="17"/>
  <c r="AV15" i="14"/>
  <c r="J22" i="15"/>
  <c r="P22" i="15" s="1"/>
  <c r="B10" i="15"/>
  <c r="AQ10" i="15" s="1"/>
  <c r="K21" i="17"/>
  <c r="P30" i="12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N18" i="12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L40" i="17"/>
  <c r="B15" i="15"/>
  <c r="K26" i="17"/>
  <c r="M9" i="12"/>
  <c r="H18" i="16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AS27" i="13"/>
  <c r="I22" i="16"/>
  <c r="U38" i="12"/>
  <c r="Y38" i="12" s="1"/>
  <c r="AC38" i="12" s="1"/>
  <c r="T31" i="12"/>
  <c r="K24" i="15"/>
  <c r="L15" i="12"/>
  <c r="H11" i="16"/>
  <c r="AR17" i="13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U37" i="12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M29" i="16" s="1"/>
  <c r="BH29" i="12"/>
  <c r="I27" i="16"/>
  <c r="V36" i="12"/>
  <c r="W36" i="12"/>
  <c r="X36" i="12"/>
  <c r="AB36" i="12" s="1"/>
  <c r="Y36" i="12"/>
  <c r="AC36" i="12" s="1"/>
  <c r="U41" i="12"/>
  <c r="V41" i="12" s="1"/>
  <c r="T33" i="12"/>
  <c r="AV19" i="14"/>
  <c r="Q20" i="12"/>
  <c r="N13" i="12"/>
  <c r="K17" i="15"/>
  <c r="AR19" i="13"/>
  <c r="AU28" i="14"/>
  <c r="K19" i="15"/>
  <c r="AU24" i="13"/>
  <c r="N10" i="12"/>
  <c r="AV15" i="12"/>
  <c r="J13" i="13"/>
  <c r="AQ30" i="13"/>
  <c r="AQ26" i="14"/>
  <c r="AT22" i="13"/>
  <c r="L15" i="14"/>
  <c r="S15" i="14" s="1"/>
  <c r="O14" i="12"/>
  <c r="I26" i="16"/>
  <c r="H28" i="14"/>
  <c r="O28" i="14" s="1"/>
  <c r="J24" i="15"/>
  <c r="AU11" i="15"/>
  <c r="M27" i="14"/>
  <c r="N27" i="12"/>
  <c r="AR22" i="14"/>
  <c r="AV26" i="13"/>
  <c r="K27" i="13"/>
  <c r="Q27" i="13" s="1"/>
  <c r="I30" i="14"/>
  <c r="N30" i="14" s="1"/>
  <c r="AS11" i="13"/>
  <c r="J17" i="13"/>
  <c r="AS26" i="13"/>
  <c r="AR27" i="14"/>
  <c r="AQ16" i="14"/>
  <c r="L16" i="15"/>
  <c r="J28" i="16"/>
  <c r="K30" i="16"/>
  <c r="I18" i="16"/>
  <c r="AR24" i="13"/>
  <c r="AV30" i="14"/>
  <c r="CB10" i="12"/>
  <c r="CA25" i="15"/>
  <c r="L25" i="15"/>
  <c r="S25" i="15" s="1"/>
  <c r="P24" i="12"/>
  <c r="AR29" i="14"/>
  <c r="J17" i="16"/>
  <c r="J20" i="15"/>
  <c r="AT21" i="15"/>
  <c r="AV22" i="15"/>
  <c r="M14" i="13"/>
  <c r="S14" i="13" s="1"/>
  <c r="BY23" i="13"/>
  <c r="M14" i="15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AR18" i="13"/>
  <c r="I13" i="16"/>
  <c r="M9" i="15"/>
  <c r="M13" i="15"/>
  <c r="S13" i="15" s="1"/>
  <c r="CB25" i="15"/>
  <c r="AS18" i="15"/>
  <c r="L20" i="14"/>
  <c r="S20" i="14" s="1"/>
  <c r="J30" i="16"/>
  <c r="Q17" i="12"/>
  <c r="AR15" i="14"/>
  <c r="L30" i="14"/>
  <c r="R30" i="14" s="1"/>
  <c r="AQ22" i="13"/>
  <c r="L16" i="12"/>
  <c r="J14" i="13"/>
  <c r="Q14" i="13" s="1"/>
  <c r="Q30" i="12"/>
  <c r="J24" i="16"/>
  <c r="P17" i="12"/>
  <c r="I10" i="16"/>
  <c r="N11" i="12"/>
  <c r="J16" i="13"/>
  <c r="K12" i="16"/>
  <c r="H10" i="14"/>
  <c r="AR28" i="14"/>
  <c r="AQ24" i="13"/>
  <c r="H19" i="14"/>
  <c r="N19" i="14" s="1"/>
  <c r="I21" i="16"/>
  <c r="L12" i="15"/>
  <c r="J30" i="15"/>
  <c r="B19" i="15"/>
  <c r="AQ19" i="15" s="1"/>
  <c r="N16" i="12"/>
  <c r="J25" i="13"/>
  <c r="AS29" i="13"/>
  <c r="K10" i="13"/>
  <c r="M11" i="15"/>
  <c r="R11" i="15" s="1"/>
  <c r="J9" i="15"/>
  <c r="L21" i="14"/>
  <c r="R21" i="14" s="1"/>
  <c r="M12" i="15"/>
  <c r="J18" i="16"/>
  <c r="H11" i="14"/>
  <c r="O11" i="14" s="1"/>
  <c r="AS15" i="13"/>
  <c r="J13" i="16"/>
  <c r="AU10" i="15"/>
  <c r="AT10" i="13"/>
  <c r="AU29" i="14"/>
  <c r="G21" i="16"/>
  <c r="L21" i="16" s="1"/>
  <c r="BH19" i="12"/>
  <c r="AQ25" i="14"/>
  <c r="AU9" i="14"/>
  <c r="AR15" i="13"/>
  <c r="AT18" i="15"/>
  <c r="BH21" i="12"/>
  <c r="I17" i="16"/>
  <c r="AQ10" i="14"/>
  <c r="M16" i="15"/>
  <c r="AR26" i="14"/>
  <c r="H9" i="13"/>
  <c r="AV20" i="14"/>
  <c r="AT11" i="15"/>
  <c r="I10" i="13"/>
  <c r="F12" i="16"/>
  <c r="M12" i="16" s="1"/>
  <c r="H13" i="16"/>
  <c r="AR14" i="14"/>
  <c r="O17" i="12"/>
  <c r="AQ20" i="14"/>
  <c r="H24" i="14"/>
  <c r="M29" i="15"/>
  <c r="J30" i="13"/>
  <c r="P30" i="13" s="1"/>
  <c r="AR14" i="13"/>
  <c r="K21" i="16"/>
  <c r="B12" i="15"/>
  <c r="H12" i="15" s="1"/>
  <c r="I29" i="16"/>
  <c r="BH14" i="13"/>
  <c r="H13" i="14"/>
  <c r="AT29" i="15"/>
  <c r="AR11" i="14"/>
  <c r="AU12" i="12"/>
  <c r="D12" i="14"/>
  <c r="AS12" i="14" s="1"/>
  <c r="AT12" i="13"/>
  <c r="I19" i="16"/>
  <c r="P26" i="12"/>
  <c r="K18" i="16"/>
  <c r="N14" i="12"/>
  <c r="H21" i="16"/>
  <c r="BW25" i="14"/>
  <c r="BY25" i="13"/>
  <c r="AS28" i="13"/>
  <c r="AU28" i="15"/>
  <c r="AQ23" i="13"/>
  <c r="AQ26" i="13"/>
  <c r="AV10" i="12"/>
  <c r="G10" i="16"/>
  <c r="L19" i="12"/>
  <c r="D19" i="14"/>
  <c r="J19" i="14" s="1"/>
  <c r="AV21" i="12"/>
  <c r="C21" i="15"/>
  <c r="AR21" i="15" s="1"/>
  <c r="M19" i="15"/>
  <c r="L23" i="15"/>
  <c r="R23" i="15" s="1"/>
  <c r="G15" i="16"/>
  <c r="O12" i="12"/>
  <c r="H24" i="16"/>
  <c r="O30" i="12"/>
  <c r="J16" i="16"/>
  <c r="K22" i="16"/>
  <c r="AQ30" i="14"/>
  <c r="AV30" i="15"/>
  <c r="BY10" i="15"/>
  <c r="H21" i="13"/>
  <c r="H29" i="13"/>
  <c r="AV29" i="14"/>
  <c r="M10" i="12"/>
  <c r="F19" i="16"/>
  <c r="M21" i="12"/>
  <c r="AU23" i="15"/>
  <c r="I11" i="13"/>
  <c r="O11" i="13" s="1"/>
  <c r="M15" i="12"/>
  <c r="E15" i="14"/>
  <c r="BH15" i="12"/>
  <c r="H30" i="16"/>
  <c r="CA10" i="15"/>
  <c r="AV24" i="15"/>
  <c r="H12" i="16"/>
  <c r="BH15" i="13"/>
  <c r="I20" i="14"/>
  <c r="O20" i="14" s="1"/>
  <c r="H29" i="16"/>
  <c r="J12" i="16"/>
  <c r="J22" i="16"/>
  <c r="L10" i="12"/>
  <c r="F13" i="16"/>
  <c r="Q11" i="12"/>
  <c r="BH26" i="14"/>
  <c r="AR28" i="13"/>
  <c r="AU14" i="14"/>
  <c r="M15" i="15"/>
  <c r="BX25" i="14"/>
  <c r="AT28" i="13"/>
  <c r="H29" i="14"/>
  <c r="O29" i="14" s="1"/>
  <c r="I30" i="16"/>
  <c r="I26" i="13"/>
  <c r="O26" i="13" s="1"/>
  <c r="AQ16" i="13"/>
  <c r="AU13" i="15"/>
  <c r="H15" i="14"/>
  <c r="O15" i="14" s="1"/>
  <c r="AU20" i="15"/>
  <c r="N28" i="12"/>
  <c r="AU11" i="14"/>
  <c r="K13" i="15"/>
  <c r="AS28" i="15"/>
  <c r="I9" i="13"/>
  <c r="AS14" i="15"/>
  <c r="J21" i="13"/>
  <c r="P23" i="12"/>
  <c r="K10" i="16"/>
  <c r="I20" i="16"/>
  <c r="K15" i="16"/>
  <c r="O29" i="12"/>
  <c r="AQ18" i="13"/>
  <c r="B17" i="15"/>
  <c r="BH17" i="15" s="1"/>
  <c r="K16" i="16"/>
  <c r="J15" i="16"/>
  <c r="Q15" i="12"/>
  <c r="H18" i="14"/>
  <c r="N12" i="12"/>
  <c r="K17" i="13"/>
  <c r="O18" i="12"/>
  <c r="I28" i="16"/>
  <c r="K14" i="15"/>
  <c r="Q14" i="15" s="1"/>
  <c r="AR20" i="13"/>
  <c r="K29" i="16"/>
  <c r="AU16" i="14"/>
  <c r="H23" i="14"/>
  <c r="BH25" i="12"/>
  <c r="E25" i="14"/>
  <c r="AT25" i="14" s="1"/>
  <c r="AV10" i="15"/>
  <c r="I14" i="16"/>
  <c r="AQ17" i="14"/>
  <c r="O22" i="12"/>
  <c r="O20" i="12"/>
  <c r="O10" i="12"/>
  <c r="M10" i="15"/>
  <c r="S10" i="15" s="1"/>
  <c r="H21" i="14"/>
  <c r="I24" i="16"/>
  <c r="N25" i="12"/>
  <c r="O26" i="12"/>
  <c r="N29" i="12"/>
  <c r="N30" i="12"/>
  <c r="K20" i="16"/>
  <c r="CA23" i="14"/>
  <c r="AS26" i="15"/>
  <c r="K28" i="15"/>
  <c r="P28" i="15" s="1"/>
  <c r="K10" i="15"/>
  <c r="F17" i="16"/>
  <c r="L17" i="16" s="1"/>
  <c r="AQ14" i="13"/>
  <c r="AQ23" i="14"/>
  <c r="AT16" i="15"/>
  <c r="J26" i="14"/>
  <c r="BH17" i="12"/>
  <c r="O23" i="12"/>
  <c r="AV17" i="15"/>
  <c r="J18" i="13"/>
  <c r="I9" i="16"/>
  <c r="L17" i="15"/>
  <c r="S17" i="15" s="1"/>
  <c r="H20" i="16"/>
  <c r="AS10" i="15"/>
  <c r="AS12" i="15"/>
  <c r="M14" i="14"/>
  <c r="S14" i="14" s="1"/>
  <c r="H27" i="13"/>
  <c r="S19" i="13"/>
  <c r="L17" i="12"/>
  <c r="R17" i="12" s="1"/>
  <c r="AU27" i="13"/>
  <c r="K9" i="15"/>
  <c r="H14" i="13"/>
  <c r="O14" i="13" s="1"/>
  <c r="AU22" i="14"/>
  <c r="F16" i="16"/>
  <c r="H19" i="16"/>
  <c r="BH17" i="13"/>
  <c r="BH26" i="13"/>
  <c r="AU17" i="12"/>
  <c r="N21" i="12"/>
  <c r="J23" i="16"/>
  <c r="N15" i="12"/>
  <c r="I11" i="16"/>
  <c r="I16" i="14"/>
  <c r="AU18" i="15"/>
  <c r="O21" i="12"/>
  <c r="AS24" i="13"/>
  <c r="AT25" i="13"/>
  <c r="BH28" i="13"/>
  <c r="L12" i="14"/>
  <c r="P12" i="12"/>
  <c r="AR13" i="13"/>
  <c r="K20" i="15"/>
  <c r="AV21" i="14"/>
  <c r="AT22" i="15"/>
  <c r="AS29" i="15"/>
  <c r="J19" i="13"/>
  <c r="R15" i="13"/>
  <c r="M11" i="14"/>
  <c r="CA10" i="12"/>
  <c r="D10" i="14"/>
  <c r="BH10" i="14" s="1"/>
  <c r="D13" i="14"/>
  <c r="J13" i="14" s="1"/>
  <c r="AS15" i="15"/>
  <c r="D16" i="14"/>
  <c r="AS16" i="14" s="1"/>
  <c r="B16" i="15"/>
  <c r="AV25" i="12"/>
  <c r="N23" i="12"/>
  <c r="Q9" i="12"/>
  <c r="J23" i="15"/>
  <c r="BX10" i="13"/>
  <c r="AU10" i="12"/>
  <c r="L13" i="12"/>
  <c r="G25" i="16"/>
  <c r="AR17" i="14"/>
  <c r="BH30" i="13"/>
  <c r="K28" i="16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R10" i="13"/>
  <c r="K23" i="16"/>
  <c r="BY23" i="15"/>
  <c r="P19" i="12"/>
  <c r="O19" i="13"/>
  <c r="AT15" i="15"/>
  <c r="BZ10" i="15"/>
  <c r="O15" i="12"/>
  <c r="BH22" i="13"/>
  <c r="AV24" i="13"/>
  <c r="M24" i="13"/>
  <c r="S24" i="13" s="1"/>
  <c r="Q19" i="12"/>
  <c r="S16" i="13"/>
  <c r="AU22" i="15"/>
  <c r="BH23" i="13"/>
  <c r="L30" i="13"/>
  <c r="R30" i="13" s="1"/>
  <c r="AU30" i="13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BH19" i="13"/>
  <c r="M22" i="13"/>
  <c r="AV22" i="13"/>
  <c r="I15" i="16"/>
  <c r="N20" i="12"/>
  <c r="AV20" i="15"/>
  <c r="AV25" i="15"/>
  <c r="AU17" i="14"/>
  <c r="Q24" i="12"/>
  <c r="S22" i="15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J28" i="14"/>
  <c r="BH27" i="12"/>
  <c r="AV28" i="12"/>
  <c r="M28" i="12"/>
  <c r="E28" i="14"/>
  <c r="BH28" i="12"/>
  <c r="C28" i="15"/>
  <c r="G28" i="16"/>
  <c r="F30" i="16"/>
  <c r="L30" i="12"/>
  <c r="S30" i="12" s="1"/>
  <c r="B30" i="15"/>
  <c r="AU30" i="12"/>
  <c r="D30" i="14"/>
  <c r="BZ23" i="13"/>
  <c r="AT23" i="13"/>
  <c r="K23" i="13"/>
  <c r="L18" i="13"/>
  <c r="AU18" i="13"/>
  <c r="M27" i="13"/>
  <c r="S27" i="13" s="1"/>
  <c r="AV27" i="13"/>
  <c r="AQ27" i="15"/>
  <c r="H27" i="15"/>
  <c r="AQ24" i="15"/>
  <c r="H24" i="15"/>
  <c r="AQ9" i="14"/>
  <c r="H9" i="14"/>
  <c r="H22" i="15"/>
  <c r="AQ22" i="15"/>
  <c r="AR12" i="15"/>
  <c r="I12" i="15"/>
  <c r="AT17" i="14"/>
  <c r="K17" i="14"/>
  <c r="S26" i="13"/>
  <c r="R26" i="13"/>
  <c r="S15" i="13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 s="1"/>
  <c r="E20" i="14"/>
  <c r="BH20" i="12"/>
  <c r="AT14" i="14"/>
  <c r="K14" i="14"/>
  <c r="AV23" i="13"/>
  <c r="M23" i="13"/>
  <c r="CB23" i="13"/>
  <c r="AR23" i="13"/>
  <c r="I23" i="13"/>
  <c r="N23" i="13" s="1"/>
  <c r="BX23" i="13"/>
  <c r="O9" i="12"/>
  <c r="C13" i="15"/>
  <c r="M13" i="12"/>
  <c r="E13" i="14"/>
  <c r="AV13" i="12"/>
  <c r="G13" i="16"/>
  <c r="BH13" i="12"/>
  <c r="M20" i="13"/>
  <c r="S20" i="13" s="1"/>
  <c r="AV20" i="13"/>
  <c r="J20" i="14"/>
  <c r="AS20" i="14"/>
  <c r="BW23" i="15"/>
  <c r="R22" i="15"/>
  <c r="AR11" i="15"/>
  <c r="I11" i="15"/>
  <c r="AT23" i="15"/>
  <c r="BZ23" i="15"/>
  <c r="K23" i="15"/>
  <c r="H29" i="15"/>
  <c r="AQ29" i="15"/>
  <c r="J24" i="14"/>
  <c r="AS24" i="14"/>
  <c r="I2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2"/>
  <c r="AU9" i="12"/>
  <c r="BH9" i="12"/>
  <c r="M11" i="16"/>
  <c r="AQ14" i="15"/>
  <c r="N19" i="13"/>
  <c r="M23" i="14"/>
  <c r="AV23" i="14"/>
  <c r="CB23" i="14"/>
  <c r="O30" i="13"/>
  <c r="N30" i="13"/>
  <c r="Q29" i="15"/>
  <c r="P29" i="15"/>
  <c r="R28" i="14"/>
  <c r="S28" i="14"/>
  <c r="Q26" i="15"/>
  <c r="S26" i="14"/>
  <c r="R26" i="14"/>
  <c r="S25" i="14"/>
  <c r="N24" i="13"/>
  <c r="R22" i="14"/>
  <c r="S22" i="14"/>
  <c r="Q22" i="15"/>
  <c r="N22" i="13"/>
  <c r="O22" i="13"/>
  <c r="Q21" i="15"/>
  <c r="P21" i="15"/>
  <c r="O18" i="13"/>
  <c r="N18" i="13"/>
  <c r="P18" i="15"/>
  <c r="Q18" i="15"/>
  <c r="S17" i="14"/>
  <c r="R17" i="14"/>
  <c r="P15" i="15"/>
  <c r="Q15" i="15"/>
  <c r="O15" i="13"/>
  <c r="N15" i="13"/>
  <c r="R10" i="14"/>
  <c r="S10" i="14"/>
  <c r="S30" i="15"/>
  <c r="P29" i="13"/>
  <c r="Q29" i="13"/>
  <c r="S28" i="15"/>
  <c r="R28" i="15"/>
  <c r="Q28" i="13"/>
  <c r="P28" i="13"/>
  <c r="Q26" i="13"/>
  <c r="P26" i="13"/>
  <c r="N26" i="14"/>
  <c r="O26" i="14"/>
  <c r="S24" i="15"/>
  <c r="R24" i="15"/>
  <c r="S20" i="15"/>
  <c r="R20" i="15"/>
  <c r="S18" i="15"/>
  <c r="R18" i="15"/>
  <c r="O17" i="14"/>
  <c r="N17" i="14"/>
  <c r="P15" i="13"/>
  <c r="Q15" i="13"/>
  <c r="Q12" i="13"/>
  <c r="P12" i="13"/>
  <c r="Q11" i="13"/>
  <c r="P11" i="13"/>
  <c r="P28" i="12" l="1"/>
  <c r="K26" i="16"/>
  <c r="U25" i="18"/>
  <c r="U21" i="18"/>
  <c r="AQ11" i="13"/>
  <c r="L27" i="14"/>
  <c r="K25" i="16"/>
  <c r="AR21" i="13"/>
  <c r="H27" i="14"/>
  <c r="N27" i="14" s="1"/>
  <c r="S29" i="14"/>
  <c r="M16" i="14"/>
  <c r="S16" i="14" s="1"/>
  <c r="U27" i="18"/>
  <c r="BH29" i="15"/>
  <c r="Q26" i="12"/>
  <c r="AU14" i="15"/>
  <c r="P13" i="12"/>
  <c r="Q10" i="12"/>
  <c r="AT18" i="14"/>
  <c r="BH14" i="15"/>
  <c r="AV22" i="14"/>
  <c r="AT26" i="14"/>
  <c r="BH24" i="13"/>
  <c r="P18" i="12"/>
  <c r="L29" i="15"/>
  <c r="P27" i="12"/>
  <c r="AV9" i="14"/>
  <c r="S14" i="15"/>
  <c r="AV18" i="15"/>
  <c r="AS27" i="15"/>
  <c r="I23" i="16"/>
  <c r="S28" i="12"/>
  <c r="H28" i="15"/>
  <c r="AQ28" i="15"/>
  <c r="AR26" i="15"/>
  <c r="O29" i="21"/>
  <c r="Q29" i="21" s="1"/>
  <c r="U29" i="21" s="1"/>
  <c r="S25" i="13"/>
  <c r="J22" i="14"/>
  <c r="AQ21" i="15"/>
  <c r="AS21" i="14"/>
  <c r="I19" i="15"/>
  <c r="AR16" i="15"/>
  <c r="O19" i="21"/>
  <c r="Q19" i="21" s="1"/>
  <c r="U19" i="21" s="1"/>
  <c r="BH15" i="15"/>
  <c r="AQ11" i="15"/>
  <c r="BW10" i="15"/>
  <c r="H10" i="15"/>
  <c r="L9" i="16"/>
  <c r="BI32" i="18"/>
  <c r="R30" i="15"/>
  <c r="L27" i="15"/>
  <c r="L26" i="15"/>
  <c r="S26" i="15" s="1"/>
  <c r="K25" i="13"/>
  <c r="I24" i="14"/>
  <c r="N24" i="12"/>
  <c r="BX23" i="14"/>
  <c r="I23" i="14"/>
  <c r="H23" i="16"/>
  <c r="M21" i="15"/>
  <c r="Q20" i="13"/>
  <c r="O19" i="12"/>
  <c r="AT18" i="13"/>
  <c r="P18" i="13"/>
  <c r="AR18" i="14"/>
  <c r="O18" i="14"/>
  <c r="BH18" i="13"/>
  <c r="K16" i="13"/>
  <c r="P16" i="13" s="1"/>
  <c r="O16" i="14"/>
  <c r="H14" i="14"/>
  <c r="BH13" i="13"/>
  <c r="AT13" i="13"/>
  <c r="P13" i="13"/>
  <c r="H12" i="14"/>
  <c r="O12" i="14" s="1"/>
  <c r="H10" i="16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8"/>
  <c r="Q27" i="12"/>
  <c r="P27" i="15"/>
  <c r="K27" i="16"/>
  <c r="AR25" i="13"/>
  <c r="BX25" i="13"/>
  <c r="BH25" i="13"/>
  <c r="H25" i="13"/>
  <c r="N25" i="13" s="1"/>
  <c r="AQ25" i="13"/>
  <c r="P22" i="12"/>
  <c r="AF24" i="21"/>
  <c r="J20" i="16"/>
  <c r="J19" i="16"/>
  <c r="L19" i="14"/>
  <c r="S19" i="14" s="1"/>
  <c r="H17" i="13"/>
  <c r="N17" i="13" s="1"/>
  <c r="P16" i="12"/>
  <c r="J14" i="16"/>
  <c r="N14" i="16" s="1"/>
  <c r="AF16" i="21"/>
  <c r="L13" i="14"/>
  <c r="S13" i="14" s="1"/>
  <c r="H13" i="13"/>
  <c r="O13" i="13" s="1"/>
  <c r="P12" i="15"/>
  <c r="AT12" i="15"/>
  <c r="BH11" i="14"/>
  <c r="BH11" i="13"/>
  <c r="S11" i="14"/>
  <c r="K11" i="16"/>
  <c r="AA11" i="16" s="1"/>
  <c r="AE11" i="16" s="1"/>
  <c r="J11" i="15"/>
  <c r="P11" i="15" s="1"/>
  <c r="BH10" i="13"/>
  <c r="Q10" i="15"/>
  <c r="BW10" i="13"/>
  <c r="H10" i="13"/>
  <c r="J9" i="16"/>
  <c r="Y37" i="12"/>
  <c r="AC37" i="12" s="1"/>
  <c r="R9" i="14"/>
  <c r="O22" i="14"/>
  <c r="S26" i="12"/>
  <c r="I16" i="16"/>
  <c r="N16" i="16" s="1"/>
  <c r="BH12" i="13"/>
  <c r="Q14" i="12"/>
  <c r="U14" i="12" s="1"/>
  <c r="S24" i="14"/>
  <c r="AT29" i="14"/>
  <c r="I29" i="13"/>
  <c r="O29" i="13" s="1"/>
  <c r="I16" i="13"/>
  <c r="O16" i="13" s="1"/>
  <c r="BH16" i="13"/>
  <c r="AT26" i="15"/>
  <c r="I27" i="13"/>
  <c r="O27" i="13" s="1"/>
  <c r="P21" i="12"/>
  <c r="T21" i="12" s="1"/>
  <c r="K9" i="13"/>
  <c r="Q9" i="13" s="1"/>
  <c r="AT9" i="13"/>
  <c r="AR18" i="15"/>
  <c r="AQ22" i="14"/>
  <c r="T19" i="18"/>
  <c r="I12" i="13"/>
  <c r="O12" i="13" s="1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P25" i="21" s="1"/>
  <c r="T25" i="21" s="1"/>
  <c r="R18" i="12"/>
  <c r="AS13" i="15"/>
  <c r="P25" i="12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AA27" i="16" s="1"/>
  <c r="AE27" i="16" s="1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N22" i="21"/>
  <c r="P22" i="21" s="1"/>
  <c r="T22" i="21" s="1"/>
  <c r="AQ25" i="15"/>
  <c r="U30" i="18"/>
  <c r="U11" i="18"/>
  <c r="O18" i="21"/>
  <c r="Q18" i="21" s="1"/>
  <c r="U18" i="21" s="1"/>
  <c r="N18" i="21"/>
  <c r="P18" i="21" s="1"/>
  <c r="T18" i="21" s="1"/>
  <c r="P19" i="18"/>
  <c r="R19" i="18"/>
  <c r="Q13" i="12"/>
  <c r="U13" i="12" s="1"/>
  <c r="Q26" i="18"/>
  <c r="S26" i="18"/>
  <c r="N30" i="21"/>
  <c r="P30" i="21" s="1"/>
  <c r="T30" i="21" s="1"/>
  <c r="O30" i="21"/>
  <c r="Q30" i="21" s="1"/>
  <c r="U30" i="21" s="1"/>
  <c r="O20" i="21"/>
  <c r="Q20" i="21" s="1"/>
  <c r="U20" i="21" s="1"/>
  <c r="N20" i="21"/>
  <c r="P20" i="21" s="1"/>
  <c r="T20" i="21" s="1"/>
  <c r="O31" i="21"/>
  <c r="Q31" i="21" s="1"/>
  <c r="U31" i="21" s="1"/>
  <c r="N31" i="21"/>
  <c r="P31" i="21" s="1"/>
  <c r="T31" i="21" s="1"/>
  <c r="AF12" i="21"/>
  <c r="AE18" i="21"/>
  <c r="BD18" i="21"/>
  <c r="BD32" i="21"/>
  <c r="N32" i="21"/>
  <c r="P32" i="21" s="1"/>
  <c r="T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U17" i="21" s="1"/>
  <c r="N17" i="21"/>
  <c r="P17" i="21" s="1"/>
  <c r="T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U15" i="21" s="1"/>
  <c r="N15" i="21"/>
  <c r="P15" i="21" s="1"/>
  <c r="T15" i="21" s="1"/>
  <c r="T24" i="18"/>
  <c r="U22" i="18"/>
  <c r="U17" i="18"/>
  <c r="T21" i="18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T27" i="21" s="1"/>
  <c r="O27" i="21"/>
  <c r="Q27" i="21" s="1"/>
  <c r="U27" i="21" s="1"/>
  <c r="BD19" i="21"/>
  <c r="AE19" i="21"/>
  <c r="P26" i="18"/>
  <c r="R26" i="18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T14" i="21" s="1"/>
  <c r="P11" i="18"/>
  <c r="R11" i="18"/>
  <c r="P9" i="18"/>
  <c r="R9" i="18"/>
  <c r="O28" i="21"/>
  <c r="Q28" i="21" s="1"/>
  <c r="U28" i="21" s="1"/>
  <c r="N28" i="21"/>
  <c r="P28" i="21" s="1"/>
  <c r="T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 s="1"/>
  <c r="T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T16" i="21" s="1"/>
  <c r="O13" i="21"/>
  <c r="Q13" i="21" s="1"/>
  <c r="U13" i="21" s="1"/>
  <c r="N13" i="21"/>
  <c r="P13" i="21" s="1"/>
  <c r="T13" i="21" s="1"/>
  <c r="N12" i="21"/>
  <c r="P12" i="21" s="1"/>
  <c r="T12" i="21" s="1"/>
  <c r="AE15" i="21"/>
  <c r="BD15" i="21"/>
  <c r="AE14" i="21"/>
  <c r="BD14" i="21"/>
  <c r="BD22" i="21"/>
  <c r="AE22" i="21"/>
  <c r="S11" i="18"/>
  <c r="Q11" i="18"/>
  <c r="AE25" i="21"/>
  <c r="BD25" i="21"/>
  <c r="O21" i="21"/>
  <c r="Q21" i="21" s="1"/>
  <c r="U21" i="21" s="1"/>
  <c r="T18" i="18"/>
  <c r="U18" i="18"/>
  <c r="P16" i="18"/>
  <c r="R16" i="18"/>
  <c r="N23" i="21"/>
  <c r="P23" i="21" s="1"/>
  <c r="T23" i="21" s="1"/>
  <c r="O23" i="21"/>
  <c r="Q23" i="21" s="1"/>
  <c r="U23" i="21" s="1"/>
  <c r="AV25" i="14"/>
  <c r="AF26" i="21"/>
  <c r="U23" i="18"/>
  <c r="AE21" i="21"/>
  <c r="BD21" i="21"/>
  <c r="T26" i="18"/>
  <c r="P18" i="18"/>
  <c r="R18" i="18"/>
  <c r="N19" i="21"/>
  <c r="P19" i="21" s="1"/>
  <c r="T19" i="21" s="1"/>
  <c r="T25" i="18"/>
  <c r="BD33" i="21"/>
  <c r="O24" i="21"/>
  <c r="Q24" i="21" s="1"/>
  <c r="U24" i="21" s="1"/>
  <c r="N24" i="21"/>
  <c r="P24" i="21" s="1"/>
  <c r="T24" i="21" s="1"/>
  <c r="T29" i="18"/>
  <c r="T30" i="18"/>
  <c r="T27" i="18"/>
  <c r="U19" i="18"/>
  <c r="BH25" i="15"/>
  <c r="S15" i="15"/>
  <c r="R29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O14" i="15" s="1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T13" i="12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9" i="13"/>
  <c r="W34" i="12"/>
  <c r="BK34" i="12" s="1"/>
  <c r="L15" i="16"/>
  <c r="S15" i="12"/>
  <c r="M15" i="16"/>
  <c r="W31" i="12"/>
  <c r="Y31" i="12" s="1"/>
  <c r="AC31" i="12" s="1"/>
  <c r="T30" i="12"/>
  <c r="O22" i="16"/>
  <c r="T17" i="12"/>
  <c r="N10" i="16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T18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R26" i="15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O25" i="13"/>
  <c r="P17" i="15"/>
  <c r="S30" i="14"/>
  <c r="S23" i="14"/>
  <c r="U27" i="12"/>
  <c r="T27" i="12"/>
  <c r="R15" i="14"/>
  <c r="R14" i="13"/>
  <c r="N28" i="14"/>
  <c r="N11" i="14"/>
  <c r="O26" i="16"/>
  <c r="P17" i="13"/>
  <c r="R22" i="13"/>
  <c r="P27" i="13"/>
  <c r="Q13" i="13"/>
  <c r="K15" i="14"/>
  <c r="R15" i="15"/>
  <c r="R27" i="14"/>
  <c r="AA25" i="16"/>
  <c r="AE25" i="16" s="1"/>
  <c r="R25" i="15"/>
  <c r="BX10" i="15"/>
  <c r="BH10" i="15"/>
  <c r="R19" i="12"/>
  <c r="P20" i="15"/>
  <c r="R16" i="15"/>
  <c r="R12" i="12"/>
  <c r="R28" i="13"/>
  <c r="O10" i="14"/>
  <c r="P14" i="13"/>
  <c r="R14" i="15"/>
  <c r="R13" i="15"/>
  <c r="U11" i="12"/>
  <c r="U28" i="12"/>
  <c r="O29" i="16"/>
  <c r="N13" i="13"/>
  <c r="P25" i="13"/>
  <c r="AA16" i="16"/>
  <c r="AE16" i="16" s="1"/>
  <c r="N24" i="14"/>
  <c r="O13" i="16"/>
  <c r="U17" i="12"/>
  <c r="O10" i="13"/>
  <c r="S16" i="15"/>
  <c r="T24" i="12"/>
  <c r="R16" i="12"/>
  <c r="R24" i="13"/>
  <c r="U12" i="12"/>
  <c r="N10" i="13"/>
  <c r="AA26" i="16"/>
  <c r="AE26" i="16" s="1"/>
  <c r="O12" i="16"/>
  <c r="BH12" i="15"/>
  <c r="R20" i="14"/>
  <c r="O10" i="16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N24" i="16"/>
  <c r="T28" i="12"/>
  <c r="M21" i="16"/>
  <c r="Q10" i="13"/>
  <c r="AA13" i="16"/>
  <c r="AE13" i="16" s="1"/>
  <c r="H19" i="15"/>
  <c r="N19" i="15" s="1"/>
  <c r="O24" i="14"/>
  <c r="BH19" i="15"/>
  <c r="O28" i="16"/>
  <c r="O30" i="16"/>
  <c r="S12" i="15"/>
  <c r="O19" i="14"/>
  <c r="U25" i="12"/>
  <c r="R12" i="15"/>
  <c r="BH21" i="15"/>
  <c r="T19" i="12"/>
  <c r="N20" i="16"/>
  <c r="U29" i="12"/>
  <c r="S27" i="14"/>
  <c r="T11" i="12"/>
  <c r="Q25" i="13"/>
  <c r="Q9" i="15"/>
  <c r="U19" i="12"/>
  <c r="AA18" i="16"/>
  <c r="AE18" i="16" s="1"/>
  <c r="U16" i="12"/>
  <c r="M17" i="16"/>
  <c r="AC17" i="16" s="1"/>
  <c r="R30" i="12"/>
  <c r="T16" i="12"/>
  <c r="J12" i="14"/>
  <c r="P12" i="14" s="1"/>
  <c r="R10" i="12"/>
  <c r="R13" i="14"/>
  <c r="BH12" i="14"/>
  <c r="S11" i="15"/>
  <c r="N14" i="13"/>
  <c r="U14" i="13" s="1"/>
  <c r="N13" i="14"/>
  <c r="N18" i="16"/>
  <c r="S29" i="15"/>
  <c r="S12" i="14"/>
  <c r="AA22" i="16"/>
  <c r="AE22" i="16" s="1"/>
  <c r="R19" i="14"/>
  <c r="AQ12" i="15"/>
  <c r="T15" i="12"/>
  <c r="N11" i="16"/>
  <c r="O21" i="16"/>
  <c r="N9" i="13"/>
  <c r="N12" i="14"/>
  <c r="Q17" i="13"/>
  <c r="N20" i="14"/>
  <c r="N11" i="13"/>
  <c r="U11" i="13" s="1"/>
  <c r="Q13" i="15"/>
  <c r="N16" i="13"/>
  <c r="T16" i="13" s="1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U24" i="12"/>
  <c r="O20" i="16"/>
  <c r="O16" i="16"/>
  <c r="AA12" i="16"/>
  <c r="AE12" i="16" s="1"/>
  <c r="AA30" i="16"/>
  <c r="AE30" i="16" s="1"/>
  <c r="M10" i="16"/>
  <c r="Q16" i="13"/>
  <c r="N15" i="14"/>
  <c r="U30" i="12"/>
  <c r="Q20" i="15"/>
  <c r="O15" i="16"/>
  <c r="R10" i="15"/>
  <c r="N12" i="16"/>
  <c r="R21" i="15"/>
  <c r="O25" i="16"/>
  <c r="P25" i="16" s="1"/>
  <c r="N30" i="16"/>
  <c r="N27" i="13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AA23" i="16"/>
  <c r="AE23" i="16" s="1"/>
  <c r="N28" i="16"/>
  <c r="AA20" i="16"/>
  <c r="AE20" i="16" s="1"/>
  <c r="T22" i="12"/>
  <c r="L13" i="16"/>
  <c r="U23" i="12"/>
  <c r="BH16" i="14"/>
  <c r="P19" i="15"/>
  <c r="R23" i="12"/>
  <c r="O19" i="16"/>
  <c r="U26" i="12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O17" i="13"/>
  <c r="P23" i="15"/>
  <c r="AQ16" i="15"/>
  <c r="J10" i="14"/>
  <c r="O11" i="16"/>
  <c r="AA15" i="16"/>
  <c r="AE15" i="16" s="1"/>
  <c r="O23" i="16"/>
  <c r="AA17" i="16"/>
  <c r="BY10" i="14"/>
  <c r="K25" i="14"/>
  <c r="H17" i="15"/>
  <c r="O17" i="15" s="1"/>
  <c r="S17" i="12"/>
  <c r="AQ17" i="15"/>
  <c r="T29" i="12"/>
  <c r="N23" i="16"/>
  <c r="AA10" i="16"/>
  <c r="U10" i="12"/>
  <c r="O24" i="16"/>
  <c r="O14" i="16"/>
  <c r="N23" i="14"/>
  <c r="AB11" i="16"/>
  <c r="U15" i="12"/>
  <c r="T23" i="12"/>
  <c r="BH25" i="14"/>
  <c r="AA9" i="16"/>
  <c r="AE9" i="16" s="1"/>
  <c r="O17" i="16"/>
  <c r="U24" i="13"/>
  <c r="AA24" i="16"/>
  <c r="AE24" i="16" s="1"/>
  <c r="T25" i="12"/>
  <c r="O23" i="14"/>
  <c r="Q19" i="13"/>
  <c r="U19" i="13" s="1"/>
  <c r="P9" i="15"/>
  <c r="S22" i="12"/>
  <c r="AC26" i="16"/>
  <c r="N9" i="14"/>
  <c r="P11" i="14"/>
  <c r="AA14" i="16"/>
  <c r="AE14" i="16" s="1"/>
  <c r="Q29" i="14"/>
  <c r="S27" i="12"/>
  <c r="AA19" i="16"/>
  <c r="AE19" i="16" s="1"/>
  <c r="U15" i="13"/>
  <c r="AB26" i="16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9" i="16"/>
  <c r="N15" i="16"/>
  <c r="O29" i="15"/>
  <c r="O10" i="15"/>
  <c r="L23" i="16"/>
  <c r="AC23" i="16" s="1"/>
  <c r="R28" i="12"/>
  <c r="S18" i="12"/>
  <c r="AQ18" i="15"/>
  <c r="H18" i="15"/>
  <c r="N18" i="15" s="1"/>
  <c r="BH18" i="15"/>
  <c r="Q14" i="14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T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8" i="13"/>
  <c r="T15" i="13"/>
  <c r="Q21" i="13" l="1"/>
  <c r="O27" i="14"/>
  <c r="P10" i="14"/>
  <c r="N14" i="14"/>
  <c r="O14" i="14"/>
  <c r="AB33" i="18"/>
  <c r="AB32" i="18"/>
  <c r="AC33" i="18"/>
  <c r="AC32" i="18"/>
  <c r="N29" i="13"/>
  <c r="N27" i="16"/>
  <c r="Q27" i="16" s="1"/>
  <c r="R27" i="16" s="1"/>
  <c r="AA26" i="18"/>
  <c r="AA23" i="18"/>
  <c r="Z23" i="18"/>
  <c r="AB25" i="21"/>
  <c r="R18" i="14"/>
  <c r="N12" i="13"/>
  <c r="U12" i="13"/>
  <c r="Y12" i="18"/>
  <c r="AC11" i="16"/>
  <c r="AG11" i="16" s="1"/>
  <c r="Q11" i="15"/>
  <c r="X26" i="18"/>
  <c r="Y28" i="18"/>
  <c r="Z19" i="18"/>
  <c r="Z20" i="18"/>
  <c r="P19" i="14"/>
  <c r="T19" i="14" s="1"/>
  <c r="P9" i="13"/>
  <c r="T9" i="13" s="1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AC29" i="16"/>
  <c r="AG29" i="16" s="1"/>
  <c r="V30" i="12"/>
  <c r="U23" i="13"/>
  <c r="W18" i="12"/>
  <c r="Y18" i="12" s="1"/>
  <c r="AC18" i="12" s="1"/>
  <c r="V18" i="12"/>
  <c r="U29" i="13"/>
  <c r="T25" i="13"/>
  <c r="T12" i="13"/>
  <c r="V12" i="13" s="1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P28" i="16"/>
  <c r="W19" i="12"/>
  <c r="Y19" i="12" s="1"/>
  <c r="AC19" i="12" s="1"/>
  <c r="P18" i="16"/>
  <c r="T18" i="14"/>
  <c r="U19" i="14"/>
  <c r="V11" i="12"/>
  <c r="P16" i="14"/>
  <c r="T16" i="14" s="1"/>
  <c r="AG26" i="16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T29" i="13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AG21" i="16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X20" i="12" s="1"/>
  <c r="T27" i="13"/>
  <c r="U14" i="15"/>
  <c r="P16" i="16"/>
  <c r="W23" i="12"/>
  <c r="BK23" i="12" s="1"/>
  <c r="AG14" i="16"/>
  <c r="AC25" i="16"/>
  <c r="AG25" i="16" s="1"/>
  <c r="N25" i="15"/>
  <c r="T25" i="15" s="1"/>
  <c r="AB10" i="16"/>
  <c r="W21" i="12"/>
  <c r="Y21" i="12" s="1"/>
  <c r="AC21" i="12" s="1"/>
  <c r="AA34" i="16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BD20" i="12"/>
  <c r="W18" i="13"/>
  <c r="V17" i="14"/>
  <c r="W17" i="14"/>
  <c r="Y17" i="14" s="1"/>
  <c r="AC17" i="14" s="1"/>
  <c r="W15" i="13"/>
  <c r="AC26" i="18" l="1"/>
  <c r="BJ26" i="18" s="1"/>
  <c r="U14" i="14"/>
  <c r="T14" i="14"/>
  <c r="X14" i="14" s="1"/>
  <c r="AB14" i="14" s="1"/>
  <c r="AC23" i="18"/>
  <c r="BJ23" i="18" s="1"/>
  <c r="AB23" i="18"/>
  <c r="BP33" i="18"/>
  <c r="AE33" i="18"/>
  <c r="AG33" i="18" s="1"/>
  <c r="AD33" i="18"/>
  <c r="AF33" i="18" s="1"/>
  <c r="BO33" i="18"/>
  <c r="BQ33" i="18"/>
  <c r="BO32" i="18"/>
  <c r="AE32" i="18"/>
  <c r="AG32" i="18" s="1"/>
  <c r="BP32" i="18"/>
  <c r="BQ32" i="18"/>
  <c r="AD32" i="18"/>
  <c r="AF32" i="18" s="1"/>
  <c r="W25" i="13"/>
  <c r="Y25" i="13" s="1"/>
  <c r="AC25" i="13" s="1"/>
  <c r="BI20" i="12"/>
  <c r="BK20" i="12" s="1"/>
  <c r="BI13" i="12"/>
  <c r="AA37" i="12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Y31" i="21" s="1"/>
  <c r="BP26" i="18"/>
  <c r="BO26" i="18"/>
  <c r="AD26" i="18"/>
  <c r="AF26" i="18" s="1"/>
  <c r="AH26" i="18" s="1"/>
  <c r="AE26" i="18"/>
  <c r="BQ26" i="18"/>
  <c r="L35" i="20"/>
  <c r="AC27" i="21"/>
  <c r="Y27" i="21" s="1"/>
  <c r="AC27" i="18"/>
  <c r="BJ27" i="18" s="1"/>
  <c r="AB9" i="18"/>
  <c r="AC15" i="18"/>
  <c r="BJ15" i="18" s="1"/>
  <c r="BP23" i="18"/>
  <c r="BQ23" i="18"/>
  <c r="AD23" i="18"/>
  <c r="AF23" i="18" s="1"/>
  <c r="AH23" i="18" s="1"/>
  <c r="AC25" i="18"/>
  <c r="BJ25" i="18" s="1"/>
  <c r="T20" i="13"/>
  <c r="U20" i="13"/>
  <c r="L30" i="20"/>
  <c r="AC22" i="21"/>
  <c r="Y22" i="21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X25" i="13" s="1"/>
  <c r="AB25" i="13" s="1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AB20" i="12"/>
  <c r="X26" i="12"/>
  <c r="BI25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U18" i="16"/>
  <c r="Y15" i="13"/>
  <c r="AC15" i="13" s="1"/>
  <c r="X24" i="13"/>
  <c r="AB24" i="13" s="1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BK25" i="13"/>
  <c r="BI25" i="13"/>
  <c r="BD25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X29" i="14" l="1"/>
  <c r="AB29" i="14" s="1"/>
  <c r="Z31" i="21"/>
  <c r="N39" i="20" s="1"/>
  <c r="BF31" i="21"/>
  <c r="BE31" i="21"/>
  <c r="M39" i="20"/>
  <c r="BK27" i="12"/>
  <c r="BJ25" i="13"/>
  <c r="BD23" i="13"/>
  <c r="AE23" i="18"/>
  <c r="AG23" i="18" s="1"/>
  <c r="BW23" i="18" s="1"/>
  <c r="BO23" i="18"/>
  <c r="W14" i="14"/>
  <c r="V14" i="14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 s="1"/>
  <c r="BP22" i="12" s="1"/>
  <c r="Z13" i="12"/>
  <c r="AA13" i="12" s="1"/>
  <c r="BP13" i="12" s="1"/>
  <c r="AE12" i="18"/>
  <c r="AG12" i="18" s="1"/>
  <c r="AI12" i="18" s="1"/>
  <c r="BP34" i="12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BP11" i="18"/>
  <c r="AD9" i="18"/>
  <c r="AF9" i="18" s="1"/>
  <c r="AH9" i="18" s="1"/>
  <c r="BQ30" i="18"/>
  <c r="BO9" i="18"/>
  <c r="AE16" i="18"/>
  <c r="AG16" i="18" s="1"/>
  <c r="AI16" i="18" s="1"/>
  <c r="BO30" i="18"/>
  <c r="BO16" i="18"/>
  <c r="AD16" i="18"/>
  <c r="AF16" i="18" s="1"/>
  <c r="CM16" i="18" s="1"/>
  <c r="BP24" i="18"/>
  <c r="AD19" i="18"/>
  <c r="AF19" i="18" s="1"/>
  <c r="BR19" i="18" s="1"/>
  <c r="BQ19" i="18"/>
  <c r="BQ16" i="18"/>
  <c r="BO19" i="18"/>
  <c r="BP16" i="18"/>
  <c r="AE19" i="18"/>
  <c r="AG19" i="18" s="1"/>
  <c r="W28" i="13"/>
  <c r="V28" i="13"/>
  <c r="X28" i="13" s="1"/>
  <c r="Z28" i="13" s="1"/>
  <c r="BL28" i="13" s="1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G30" i="18" s="1"/>
  <c r="AI30" i="18" s="1"/>
  <c r="AE11" i="18"/>
  <c r="AG11" i="18" s="1"/>
  <c r="AD11" i="18"/>
  <c r="AF11" i="18" s="1"/>
  <c r="AH11" i="18" s="1"/>
  <c r="AE20" i="18"/>
  <c r="X21" i="14"/>
  <c r="AB21" i="14" s="1"/>
  <c r="BO21" i="18"/>
  <c r="BI23" i="13"/>
  <c r="BP21" i="18"/>
  <c r="BQ20" i="18"/>
  <c r="AD20" i="18"/>
  <c r="AF20" i="18" s="1"/>
  <c r="AH20" i="18" s="1"/>
  <c r="AG26" i="18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CK26" i="18"/>
  <c r="CL26" i="18"/>
  <c r="CM26" i="18"/>
  <c r="BS26" i="18"/>
  <c r="BT26" i="18"/>
  <c r="CJ26" i="18"/>
  <c r="BR26" i="18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M41" i="20"/>
  <c r="BF33" i="21"/>
  <c r="BE33" i="21"/>
  <c r="Z33" i="21"/>
  <c r="N41" i="20" s="1"/>
  <c r="V15" i="15"/>
  <c r="X15" i="15" s="1"/>
  <c r="AB15" i="15" s="1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M40" i="20"/>
  <c r="BE32" i="21"/>
  <c r="BF32" i="21"/>
  <c r="Z32" i="21"/>
  <c r="N40" i="20" s="1"/>
  <c r="BE17" i="21"/>
  <c r="M25" i="20"/>
  <c r="BF17" i="21"/>
  <c r="Z17" i="21"/>
  <c r="N25" i="20" s="1"/>
  <c r="V20" i="13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CJ23" i="18"/>
  <c r="CL23" i="18"/>
  <c r="CK23" i="18"/>
  <c r="CM23" i="18"/>
  <c r="BS23" i="18"/>
  <c r="BT23" i="18"/>
  <c r="BR23" i="18"/>
  <c r="BP22" i="18"/>
  <c r="BQ22" i="18"/>
  <c r="AE22" i="18"/>
  <c r="BO22" i="18"/>
  <c r="AD22" i="18"/>
  <c r="AF22" i="18" s="1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K27" i="13" s="1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Z29" i="14"/>
  <c r="AA29" i="14" s="1"/>
  <c r="BO29" i="14" s="1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BM13" i="12" l="1"/>
  <c r="BN13" i="12" s="1"/>
  <c r="BM28" i="13"/>
  <c r="BN28" i="13"/>
  <c r="AB28" i="13"/>
  <c r="BL22" i="12"/>
  <c r="BN22" i="12"/>
  <c r="BM22" i="12"/>
  <c r="AH22" i="18"/>
  <c r="X20" i="13"/>
  <c r="Z20" i="13" s="1"/>
  <c r="AG9" i="18"/>
  <c r="AI9" i="18" s="1"/>
  <c r="Y14" i="14"/>
  <c r="AC14" i="14" s="1"/>
  <c r="BJ14" i="14"/>
  <c r="BK14" i="14"/>
  <c r="BD14" i="14"/>
  <c r="BI14" i="14"/>
  <c r="BL13" i="12"/>
  <c r="CO12" i="18"/>
  <c r="BW12" i="18"/>
  <c r="CR33" i="18"/>
  <c r="CR32" i="18"/>
  <c r="CQ12" i="18"/>
  <c r="BU12" i="18"/>
  <c r="BL27" i="13"/>
  <c r="BN27" i="13" s="1"/>
  <c r="Z21" i="14"/>
  <c r="AA21" i="14" s="1"/>
  <c r="BO21" i="14" s="1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AI18" i="18"/>
  <c r="BU18" i="18"/>
  <c r="CO18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CQ17" i="18"/>
  <c r="BW14" i="18"/>
  <c r="CK30" i="18"/>
  <c r="CL11" i="18"/>
  <c r="CO17" i="18"/>
  <c r="BS16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CO26" i="18"/>
  <c r="AI26" i="18"/>
  <c r="CK16" i="18"/>
  <c r="AH16" i="18"/>
  <c r="BW13" i="18"/>
  <c r="AI13" i="18"/>
  <c r="CQ21" i="18"/>
  <c r="AI21" i="18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30" i="18"/>
  <c r="AM19" i="18"/>
  <c r="AM12" i="18"/>
  <c r="AM21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P27" i="13" s="1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BK19" i="15" s="1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AG27" i="12"/>
  <c r="Z16" i="14"/>
  <c r="BN16" i="14" s="1"/>
  <c r="BQ29" i="14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M29" i="14"/>
  <c r="BM29" i="12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D31" i="14"/>
  <c r="AN20" i="14" s="1"/>
  <c r="BM30" i="12"/>
  <c r="AA18" i="13"/>
  <c r="AG18" i="13" s="1"/>
  <c r="AK18" i="13" s="1"/>
  <c r="AA24" i="13"/>
  <c r="AM24" i="13" s="1"/>
  <c r="BO30" i="14"/>
  <c r="BM30" i="14"/>
  <c r="BQ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Z25" i="15"/>
  <c r="BM25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 s="1"/>
  <c r="BL14" i="15"/>
  <c r="BN14" i="15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M19" i="14"/>
  <c r="BL19" i="14"/>
  <c r="AA19" i="14"/>
  <c r="AM19" i="14" s="1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BN21" i="14" l="1"/>
  <c r="AM21" i="14"/>
  <c r="AG21" i="14"/>
  <c r="AH21" i="14" s="1"/>
  <c r="AI21" i="14" s="1"/>
  <c r="BQ21" i="14"/>
  <c r="BP21" i="14"/>
  <c r="BL21" i="14"/>
  <c r="BM21" i="14"/>
  <c r="AB20" i="13"/>
  <c r="BN19" i="14"/>
  <c r="BP9" i="12"/>
  <c r="AN28" i="13"/>
  <c r="CO9" i="18"/>
  <c r="AM9" i="18"/>
  <c r="BU9" i="18"/>
  <c r="BV9" i="18"/>
  <c r="CP9" i="18"/>
  <c r="BW9" i="18"/>
  <c r="CQ9" i="18"/>
  <c r="AM22" i="18"/>
  <c r="CN9" i="18"/>
  <c r="AA14" i="14"/>
  <c r="BQ27" i="13"/>
  <c r="AM27" i="13"/>
  <c r="AG27" i="13"/>
  <c r="AH27" i="13" s="1"/>
  <c r="AI27" i="13" s="1"/>
  <c r="BO27" i="13"/>
  <c r="BM21" i="13"/>
  <c r="AA21" i="13"/>
  <c r="AM21" i="13" s="1"/>
  <c r="BN21" i="13"/>
  <c r="BQ11" i="14"/>
  <c r="CR12" i="18"/>
  <c r="CR28" i="18"/>
  <c r="CR21" i="18"/>
  <c r="CR14" i="18"/>
  <c r="CR29" i="18"/>
  <c r="CR16" i="18"/>
  <c r="CR23" i="18"/>
  <c r="CR17" i="18"/>
  <c r="CR30" i="18"/>
  <c r="CR24" i="18"/>
  <c r="CR19" i="18"/>
  <c r="BU22" i="18"/>
  <c r="BW25" i="18"/>
  <c r="AI25" i="18"/>
  <c r="BV20" i="18"/>
  <c r="AI20" i="18"/>
  <c r="BU15" i="18"/>
  <c r="AI15" i="18"/>
  <c r="BU25" i="18"/>
  <c r="BD21" i="18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9" i="18"/>
  <c r="O20" i="19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AM15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 s="1"/>
  <c r="AK11" i="12"/>
  <c r="BQ9" i="13"/>
  <c r="BM20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 s="1"/>
  <c r="AX18" i="14"/>
  <c r="BC18" i="14" s="1"/>
  <c r="AX18" i="13"/>
  <c r="AX21" i="14"/>
  <c r="BC21" i="14" s="1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BQ21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P27" i="15"/>
  <c r="BQ27" i="15" s="1"/>
  <c r="AB22" i="15"/>
  <c r="BO21" i="13"/>
  <c r="BP21" i="13"/>
  <c r="Z13" i="15"/>
  <c r="AB13" i="15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O19" i="14"/>
  <c r="BQ19" i="14" s="1"/>
  <c r="BP19" i="14"/>
  <c r="AK9" i="12"/>
  <c r="AX9" i="12"/>
  <c r="AG19" i="13"/>
  <c r="BQ22" i="13"/>
  <c r="BP22" i="13"/>
  <c r="BO22" i="13"/>
  <c r="AM22" i="13"/>
  <c r="AG22" i="13"/>
  <c r="AH22" i="13" s="1"/>
  <c r="AI22" i="13" s="1"/>
  <c r="BC15" i="13"/>
  <c r="AK11" i="13"/>
  <c r="AX11" i="13"/>
  <c r="BC11" i="13" s="1"/>
  <c r="CR9" i="18" l="1"/>
  <c r="AK27" i="13"/>
  <c r="BN27" i="15"/>
  <c r="AX27" i="13"/>
  <c r="BC27" i="13" s="1"/>
  <c r="AG21" i="13"/>
  <c r="AH21" i="13" s="1"/>
  <c r="AI21" i="13" s="1"/>
  <c r="BQ14" i="14"/>
  <c r="AG14" i="14"/>
  <c r="BO14" i="14"/>
  <c r="AM14" i="14"/>
  <c r="BP14" i="14"/>
  <c r="AX11" i="14"/>
  <c r="BC11" i="14" s="1"/>
  <c r="AK11" i="14"/>
  <c r="AK12" i="13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AX21" i="13"/>
  <c r="BC21" i="13" s="1"/>
  <c r="AK21" i="13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H14" i="14" l="1"/>
  <c r="AI14" i="14" s="1"/>
  <c r="AK14" i="14"/>
  <c r="AX14" i="14"/>
  <c r="BC14" i="14" s="1"/>
  <c r="BC25" i="13"/>
  <c r="AH28" i="13"/>
  <c r="AI28" i="13" s="1"/>
  <c r="AK28" i="13"/>
  <c r="AX28" i="13"/>
  <c r="BD20" i="18"/>
  <c r="O31" i="19"/>
  <c r="BD25" i="18"/>
  <c r="O36" i="19"/>
  <c r="BD22" i="18"/>
  <c r="O33" i="19"/>
  <c r="AN31" i="18"/>
  <c r="AO31" i="18" s="1"/>
  <c r="AH20" i="13"/>
  <c r="AI20" i="13" s="1"/>
  <c r="AX20" i="13"/>
  <c r="AK20" i="13"/>
  <c r="AH10" i="13"/>
  <c r="AI10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AK31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AK31" i="13" l="1"/>
  <c r="BC28" i="13"/>
  <c r="BI31" i="18"/>
  <c r="BD43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BC35" i="12" s="1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N29" i="18" l="1"/>
  <c r="P40" i="19" s="1"/>
  <c r="AN30" i="18"/>
  <c r="AO29" i="18"/>
  <c r="Q40" i="19" s="1"/>
  <c r="BI29" i="18"/>
  <c r="AN27" i="18"/>
  <c r="P38" i="19" s="1"/>
  <c r="AN28" i="18"/>
  <c r="AN24" i="18"/>
  <c r="BI24" i="18" s="1"/>
  <c r="AN26" i="18"/>
  <c r="AN25" i="18"/>
  <c r="AN22" i="18"/>
  <c r="AO22" i="18" s="1"/>
  <c r="Q33" i="19" s="1"/>
  <c r="AN23" i="18"/>
  <c r="AN19" i="18"/>
  <c r="P30" i="19" s="1"/>
  <c r="AN21" i="18"/>
  <c r="AN20" i="18"/>
  <c r="AN17" i="18"/>
  <c r="P28" i="19" s="1"/>
  <c r="AN18" i="18"/>
  <c r="AN15" i="18"/>
  <c r="AN16" i="18"/>
  <c r="AN13" i="18"/>
  <c r="P24" i="19" s="1"/>
  <c r="AN14" i="18"/>
  <c r="AN11" i="18"/>
  <c r="BI11" i="18" s="1"/>
  <c r="AN12" i="18"/>
  <c r="AN9" i="18"/>
  <c r="P20" i="19" s="1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P35" i="19" l="1"/>
  <c r="AO27" i="18"/>
  <c r="Q38" i="19" s="1"/>
  <c r="BI27" i="18"/>
  <c r="P41" i="19"/>
  <c r="BI30" i="18"/>
  <c r="AO30" i="18"/>
  <c r="Q41" i="19" s="1"/>
  <c r="P39" i="19"/>
  <c r="BI28" i="18"/>
  <c r="AO28" i="18"/>
  <c r="Q39" i="19" s="1"/>
  <c r="BI19" i="18"/>
  <c r="AO24" i="18"/>
  <c r="Q35" i="19" s="1"/>
  <c r="AO19" i="18"/>
  <c r="Q30" i="19" s="1"/>
  <c r="P37" i="19"/>
  <c r="AO26" i="18"/>
  <c r="Q37" i="19" s="1"/>
  <c r="BI26" i="18"/>
  <c r="P33" i="19"/>
  <c r="BI22" i="18"/>
  <c r="P36" i="19"/>
  <c r="AO25" i="18"/>
  <c r="Q36" i="19" s="1"/>
  <c r="BI25" i="18"/>
  <c r="AO23" i="18"/>
  <c r="Q34" i="19" s="1"/>
  <c r="BI23" i="18"/>
  <c r="P34" i="19"/>
  <c r="AO17" i="18"/>
  <c r="Q28" i="19" s="1"/>
  <c r="P32" i="19"/>
  <c r="AO21" i="18"/>
  <c r="Q32" i="19" s="1"/>
  <c r="BI21" i="18"/>
  <c r="BI17" i="18"/>
  <c r="P31" i="19"/>
  <c r="AO20" i="18"/>
  <c r="Q31" i="19" s="1"/>
  <c r="BI20" i="18"/>
  <c r="H43" i="18"/>
  <c r="M42" i="19" s="1"/>
  <c r="P29" i="19"/>
  <c r="BI18" i="18"/>
  <c r="AO18" i="18"/>
  <c r="Q29" i="19" s="1"/>
  <c r="AO13" i="18"/>
  <c r="Q24" i="19" s="1"/>
  <c r="BI13" i="18"/>
  <c r="AO9" i="18"/>
  <c r="Q20" i="19" s="1"/>
  <c r="P27" i="19"/>
  <c r="AO16" i="18"/>
  <c r="Q27" i="19" s="1"/>
  <c r="BI16" i="18"/>
  <c r="P26" i="19"/>
  <c r="AO15" i="18"/>
  <c r="Q26" i="19" s="1"/>
  <c r="BI15" i="18"/>
  <c r="P25" i="19"/>
  <c r="AO14" i="18"/>
  <c r="Q25" i="19" s="1"/>
  <c r="BI14" i="18"/>
  <c r="BI9" i="18"/>
  <c r="P23" i="19"/>
  <c r="AO12" i="18"/>
  <c r="Q23" i="19" s="1"/>
  <c r="BI12" i="18"/>
  <c r="P22" i="19"/>
  <c r="AO11" i="18"/>
  <c r="Q22" i="19" s="1"/>
  <c r="AO10" i="18"/>
  <c r="Q21" i="19" s="1"/>
  <c r="P21" i="19"/>
  <c r="BI10" i="18"/>
  <c r="H44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AQ43" i="18" l="1"/>
  <c r="H45" i="18" s="1"/>
  <c r="M44" i="19" s="1"/>
  <c r="H46" i="18"/>
  <c r="J45" i="19" s="1"/>
  <c r="M43" i="19"/>
  <c r="AG46" i="12"/>
  <c r="M43" i="17"/>
  <c r="CD44" i="12"/>
  <c r="J45" i="17" l="1"/>
  <c r="D4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<sst xmlns="http://schemas.openxmlformats.org/spreadsheetml/2006/main" count="1059" uniqueCount="365">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</sst>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2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28" fillId="0" borderId="44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34" xfId="0" applyFont="1" applyBorder="1" applyAlignment="1">
      <alignment horizontal="left"/>
    </xf>
    <xf numFmtId="14" fontId="19" fillId="0" borderId="0" xfId="0" applyNumberFormat="1" applyFont="1" applyAlignment="1">
      <alignment horizontal="left"/>
    </xf>
    <xf numFmtId="0" fontId="19" fillId="0" borderId="40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59" xfId="0" applyFont="1" applyBorder="1" applyAlignment="1">
      <alignment horizontal="center" vertical="center" wrapText="1"/>
    </xf>
    <xf numFmtId="0" fontId="53" fillId="0" borderId="26" xfId="0" applyFont="1" applyBorder="1" applyAlignment="1">
      <alignment horizontal="center" vertical="center" wrapText="1"/>
    </xf>
    <xf numFmtId="0" fontId="53" fillId="0" borderId="60" xfId="0" applyFont="1" applyBorder="1" applyAlignment="1">
      <alignment horizontal="center" vertical="center"/>
    </xf>
    <xf numFmtId="0" fontId="53" fillId="0" borderId="61" xfId="0" applyFont="1" applyBorder="1" applyAlignment="1">
      <alignment horizontal="center" vertical="center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2" xfId="0" applyFont="1" applyBorder="1" applyAlignment="1">
      <alignment horizontal="center" vertical="center"/>
    </xf>
    <xf numFmtId="0" fontId="53" fillId="0" borderId="63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60</xdr:row>
      <xdr:rowOff>64293</xdr:rowOff>
    </xdr:from>
    <xdr:to>
      <xdr:col>14</xdr:col>
      <xdr:colOff>127393</xdr:colOff>
      <xdr:row>67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345281</xdr:colOff>
      <xdr:row>48</xdr:row>
      <xdr:rowOff>11908</xdr:rowOff>
    </xdr:from>
    <xdr:to>
      <xdr:col>8</xdr:col>
      <xdr:colOff>52055</xdr:colOff>
      <xdr:row>53</xdr:row>
      <xdr:rowOff>35552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88225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60</xdr:row>
      <xdr:rowOff>41672</xdr:rowOff>
    </xdr:from>
    <xdr:to>
      <xdr:col>17</xdr:col>
      <xdr:colOff>15478</xdr:colOff>
      <xdr:row>66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77391</xdr:colOff>
      <xdr:row>49</xdr:row>
      <xdr:rowOff>35719</xdr:rowOff>
    </xdr:from>
    <xdr:to>
      <xdr:col>8</xdr:col>
      <xdr:colOff>159211</xdr:colOff>
      <xdr:row>53</xdr:row>
      <xdr:rowOff>59363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6969" y="916781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topLeftCell="A8" zoomScale="110" zoomScaleNormal="110" workbookViewId="0">
      <selection activeCell="G24" sqref="G24"/>
    </sheetView>
  </sheetViews>
  <sheetFormatPr defaultColWidth="8.88671875" defaultRowHeight="13.2"/>
  <cols>
    <col min="1" max="1" width="10.5546875" style="328" customWidth="1"/>
    <col min="2" max="7" width="5.6640625" style="328" customWidth="1"/>
    <col min="8" max="11" width="6.6640625" style="1" customWidth="1"/>
    <col min="12" max="12" width="5.5546875" style="328" hidden="1" customWidth="1"/>
    <col min="13" max="16" width="6.6640625" style="328" hidden="1" customWidth="1"/>
    <col min="17" max="18" width="5.44140625" style="328" hidden="1" customWidth="1"/>
    <col min="19" max="19" width="5.6640625" style="328" customWidth="1"/>
    <col min="20" max="26" width="5.6640625" style="328" hidden="1" customWidth="1"/>
    <col min="27" max="27" width="5.6640625" style="328" customWidth="1"/>
    <col min="28" max="33" width="5.6640625" style="362" hidden="1" customWidth="1"/>
    <col min="34" max="34" width="5.6640625" style="328" hidden="1" customWidth="1"/>
    <col min="35" max="35" width="5.6640625" style="362" customWidth="1"/>
    <col min="36" max="42" width="5.6640625" style="328" hidden="1" customWidth="1"/>
    <col min="43" max="43" width="5.6640625" style="328" customWidth="1"/>
    <col min="44" max="50" width="5.6640625" style="328" hidden="1" customWidth="1"/>
    <col min="51" max="51" width="5.6640625" style="328" customWidth="1"/>
    <col min="52" max="58" width="5.6640625" style="328" hidden="1" customWidth="1"/>
    <col min="59" max="59" width="5.6640625" style="328" customWidth="1"/>
    <col min="60" max="66" width="5.6640625" style="1" hidden="1" customWidth="1"/>
    <col min="67" max="67" width="5.6640625" style="1" customWidth="1"/>
    <col min="68" max="74" width="10.6640625" style="1" hidden="1" customWidth="1"/>
    <col min="75" max="75" width="5.6640625" style="1" customWidth="1"/>
    <col min="76" max="82" width="5.6640625" style="1" hidden="1" customWidth="1"/>
    <col min="83" max="83" width="5.6640625" style="1" customWidth="1"/>
    <col min="84" max="90" width="5.6640625" style="1" hidden="1" customWidth="1"/>
    <col min="91" max="91" width="5.6640625" style="1" customWidth="1"/>
    <col min="92" max="93" width="8.88671875" style="328"/>
    <col min="94" max="94" width="12.6640625" style="328" bestFit="1" customWidth="1"/>
    <col min="95" max="16384" width="8.88671875" style="328"/>
  </cols>
  <sheetData>
    <row r="1" spans="1:99" ht="15" customHeight="1" thickBot="1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99" ht="15" customHeight="1" thickTop="1" thickBot="1">
      <c r="A2" s="329">
        <v>1</v>
      </c>
      <c r="B2" s="696" t="str">
        <f>IF(OR(($S$17="ERRO"),($AA$17="ERRO"),($AY$17="ERRO"),($BG$17="ERRO")),"VERIFICAR ERRO NA AMELOGENINA","DADOS IMPORTADOS")</f>
        <v>DADOS IMPORTADOS</v>
      </c>
      <c r="C2" s="697"/>
      <c r="D2" s="697"/>
      <c r="E2" s="697"/>
      <c r="F2" s="697"/>
      <c r="G2" s="697"/>
      <c r="H2" s="697"/>
      <c r="I2" s="697"/>
      <c r="J2" s="697"/>
      <c r="K2" s="697"/>
      <c r="L2" s="330"/>
      <c r="M2" s="330"/>
      <c r="N2" s="330"/>
      <c r="O2" s="330"/>
      <c r="P2" s="330"/>
      <c r="Q2" s="330"/>
      <c r="R2" s="330"/>
      <c r="S2" s="698" t="s">
        <v>42</v>
      </c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699"/>
      <c r="BC2" s="699"/>
      <c r="BD2" s="699"/>
      <c r="BE2" s="699"/>
      <c r="BF2" s="699"/>
      <c r="BG2" s="699"/>
      <c r="BH2" s="699"/>
      <c r="BI2" s="699"/>
      <c r="BJ2" s="699"/>
      <c r="BK2" s="699"/>
      <c r="BL2" s="699"/>
      <c r="BM2" s="699"/>
      <c r="BN2" s="699"/>
      <c r="BO2" s="699"/>
      <c r="BP2" s="699"/>
      <c r="BQ2" s="699"/>
      <c r="BR2" s="699"/>
      <c r="BS2" s="699"/>
      <c r="BT2" s="699"/>
      <c r="BU2" s="699"/>
      <c r="BV2" s="699"/>
      <c r="BW2" s="699"/>
      <c r="BX2" s="699"/>
      <c r="BY2" s="699"/>
      <c r="BZ2" s="699"/>
      <c r="CA2" s="699"/>
      <c r="CB2" s="699"/>
      <c r="CC2" s="699"/>
      <c r="CD2" s="699"/>
      <c r="CE2" s="699"/>
      <c r="CF2" s="699"/>
      <c r="CG2" s="699"/>
      <c r="CH2" s="699"/>
      <c r="CI2" s="699"/>
      <c r="CJ2" s="699"/>
      <c r="CK2" s="699"/>
      <c r="CL2" s="699"/>
      <c r="CM2" s="699"/>
    </row>
    <row r="3" spans="1:99" ht="15" customHeight="1" thickTop="1" thickBot="1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PD0201</v>
      </c>
      <c r="CQ3" s="35" t="str">
        <v>PD0201</v>
      </c>
      <c r="CR3" s="35"/>
      <c r="CS3" s="35"/>
      <c r="CT3" s="35"/>
      <c r="CU3" s="35"/>
    </row>
    <row r="4" spans="1:99" ht="15" customHeight="1" thickTop="1" thickBot="1">
      <c r="A4" s="339" t="s">
        <v>71</v>
      </c>
      <c r="B4" s="380"/>
      <c r="C4" s="381"/>
      <c r="D4" s="381"/>
      <c r="E4" s="381"/>
      <c r="F4" s="381"/>
      <c r="G4" s="381"/>
      <c r="H4" s="381"/>
      <c r="I4" s="381"/>
      <c r="J4" s="381"/>
      <c r="K4" s="381"/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>
        <f>(IF(AND(($B$4=0),($C$4=0)),0,(IF(OR(($B$4&lt;&gt;"X"),($C$4&lt;&gt;"X")),"ERRO",(IF((SUM($T4:$Z4)&lt;&gt;0),(SUM($T4:$Z4)),$B4))))))</f>
        <v>0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>
        <f>(IF(AND(($B$4=0),($C$4=0)),0,(IF(OR(($B$4&lt;&gt;"X"),($C$4&lt;&gt;"X")),"ERRO",(IF((SUM($T4:$Z4)&lt;&gt;0),(SUM($T4:$Z4)),$C4))))))</f>
        <v>0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>
        <f>(IF((SUM(AB4:AH4)&lt;&gt;0),(SUM(AB4:AH4)),$D4))</f>
        <v>0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>
        <f>(IF((SUM(AJ4:AP4)&lt;&gt;0),(SUM(AJ4:AP4)),$E4))</f>
        <v>0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>
        <f>(IF(AND(($F$4=0),($G$4=0)),0,(IF(OR(($F$4&lt;&gt;"X"),($G$4&lt;&gt;"Y")),"ERRO",(IF((SUM($AR4:$AX4)&lt;&gt;0),(SUM($AR4:$AX4)),$F4))))))</f>
        <v>0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>
        <f>(IF(AND(($F$4=0),($G$4=0)),0,(IF(OR(($F$4&lt;&gt;"X"),($G$4&lt;&gt;"Y")),"ERRO",(IF((SUM($AR4:$AX4)&lt;&gt;0),(SUM($AR4:$AX4)),$G4))))))</f>
        <v>0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>
        <f t="shared" ref="BO4:BO38" si="9">(IF((SUM(BH4:BN4)&lt;&gt;0),(SUM(BH4:BN4)),$H4))</f>
        <v>0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>
        <f t="shared" ref="BW4:BW38" si="14">(IF((SUM(BP4:BV4)&lt;&gt;0),(SUM(BP4:BV4)),$I4))</f>
        <v>0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>
        <f t="shared" ref="CE4:CE38" si="19">(IF((SUM(BX4:CD4)&lt;&gt;0),(SUM(BX4:CD4)),$J4))</f>
        <v>0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>
        <f t="shared" ref="CM4:CM38" si="24">(IF((SUM(CF4:CL4)&lt;&gt;0),(SUM(CF4:CL4)),$K4))</f>
        <v>0</v>
      </c>
      <c r="CO4" s="328" t="s">
        <v>292</v>
      </c>
      <c r="CP4" s="353" t="str">
        <v>PD0201</v>
      </c>
      <c r="CQ4" s="353" t="str">
        <v>PD0201</v>
      </c>
      <c r="CR4" s="353"/>
      <c r="CS4" s="353"/>
      <c r="CT4" s="353"/>
      <c r="CU4" s="353"/>
    </row>
    <row r="5" spans="1:99" ht="15" customHeight="1" thickTop="1" thickBot="1">
      <c r="A5" s="354" t="str">
        <f>FREQUENCIAS!B$1</f>
        <v>D3S1358</v>
      </c>
      <c r="B5" s="382"/>
      <c r="C5" s="383"/>
      <c r="D5" s="383"/>
      <c r="E5" s="383"/>
      <c r="F5" s="383"/>
      <c r="G5" s="383"/>
      <c r="H5" s="383"/>
      <c r="I5" s="383"/>
      <c r="J5" s="383"/>
      <c r="K5" s="383"/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26">(IF((SUM(L5:R5)&lt;&gt;0),(SUM(L5:R5)),$B5))</f>
        <v>0</v>
      </c>
      <c r="T5" s="343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2">(IF((SUM(T5:Z5)&lt;&gt;0),(SUM(T5:Z5)),$C5))</f>
        <v>0</v>
      </c>
      <c r="AB5" s="345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38">(IF((SUM(AB5:AH5)&lt;&gt;0),(SUM(AB5:AH5)),$D5))</f>
        <v>0</v>
      </c>
      <c r="AJ5" s="347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44">(IF((SUM(AJ5:AP5)&lt;&gt;0),(SUM(AJ5:AP5)),$E5))</f>
        <v>0</v>
      </c>
      <c r="AR5" s="349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0">(IF((SUM(AR5:AX5)&lt;&gt;0),(SUM(AR5:AX5)),$F5))</f>
        <v>0</v>
      </c>
      <c r="AZ5" s="351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56">(IF((SUM(AZ5:BF5)&lt;&gt;0),(SUM(AZ5:BF5)),$G5))</f>
        <v>0</v>
      </c>
      <c r="BH5" s="367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0</v>
      </c>
      <c r="BP5" s="369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0</v>
      </c>
      <c r="BX5" s="375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0</v>
      </c>
      <c r="CF5" s="373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0</v>
      </c>
      <c r="CP5" s="353" t="str">
        <v>PD0201</v>
      </c>
      <c r="CQ5" s="353" t="str">
        <v>PD0201</v>
      </c>
      <c r="CR5" s="353"/>
      <c r="CS5" s="353"/>
      <c r="CT5" s="353"/>
      <c r="CU5" s="353"/>
    </row>
    <row r="6" spans="1:99" ht="15" customHeight="1" thickTop="1" thickBot="1">
      <c r="A6" s="354" t="str">
        <f>FREQUENCIAS!C$1</f>
        <v>D1S1656</v>
      </c>
      <c r="B6" s="382"/>
      <c r="C6" s="383"/>
      <c r="D6" s="383"/>
      <c r="E6" s="383"/>
      <c r="F6" s="383"/>
      <c r="G6" s="383"/>
      <c r="H6" s="383"/>
      <c r="I6" s="383"/>
      <c r="J6" s="383"/>
      <c r="K6" s="383"/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26"/>
        <v>0</v>
      </c>
      <c r="T6" s="343">
        <f t="shared" si="27"/>
        <v>0</v>
      </c>
      <c r="U6" s="343">
        <f t="shared" si="28"/>
        <v>0</v>
      </c>
      <c r="V6" s="343">
        <f t="shared" si="29"/>
        <v>0</v>
      </c>
      <c r="W6" s="343">
        <f t="shared" si="30"/>
        <v>0</v>
      </c>
      <c r="X6" s="343">
        <f t="shared" si="31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2"/>
        <v>0</v>
      </c>
      <c r="AB6" s="345">
        <f t="shared" si="33"/>
        <v>0</v>
      </c>
      <c r="AC6" s="345">
        <f t="shared" si="34"/>
        <v>0</v>
      </c>
      <c r="AD6" s="345">
        <f t="shared" si="35"/>
        <v>0</v>
      </c>
      <c r="AE6" s="345">
        <f t="shared" si="36"/>
        <v>0</v>
      </c>
      <c r="AF6" s="345">
        <f t="shared" si="37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38"/>
        <v>0</v>
      </c>
      <c r="AJ6" s="347">
        <f t="shared" si="39"/>
        <v>0</v>
      </c>
      <c r="AK6" s="347">
        <f t="shared" si="40"/>
        <v>0</v>
      </c>
      <c r="AL6" s="347">
        <f t="shared" si="41"/>
        <v>0</v>
      </c>
      <c r="AM6" s="347">
        <f t="shared" si="42"/>
        <v>0</v>
      </c>
      <c r="AN6" s="347">
        <f t="shared" si="43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44"/>
        <v>0</v>
      </c>
      <c r="AR6" s="349">
        <f t="shared" si="45"/>
        <v>0</v>
      </c>
      <c r="AS6" s="349">
        <f t="shared" si="46"/>
        <v>0</v>
      </c>
      <c r="AT6" s="349">
        <f t="shared" si="47"/>
        <v>0</v>
      </c>
      <c r="AU6" s="349">
        <f t="shared" si="48"/>
        <v>0</v>
      </c>
      <c r="AV6" s="349">
        <f t="shared" si="49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0"/>
        <v>0</v>
      </c>
      <c r="AZ6" s="351">
        <f t="shared" si="51"/>
        <v>0</v>
      </c>
      <c r="BA6" s="351">
        <f t="shared" si="52"/>
        <v>0</v>
      </c>
      <c r="BB6" s="351">
        <f t="shared" si="53"/>
        <v>0</v>
      </c>
      <c r="BC6" s="351">
        <f t="shared" si="54"/>
        <v>0</v>
      </c>
      <c r="BD6" s="351">
        <f t="shared" si="55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56"/>
        <v>0</v>
      </c>
      <c r="BH6" s="367">
        <f t="shared" si="57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0</v>
      </c>
      <c r="BP6" s="369">
        <f t="shared" si="58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0</v>
      </c>
      <c r="BX6" s="375">
        <f t="shared" si="59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0</v>
      </c>
      <c r="CF6" s="373">
        <f t="shared" si="60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0</v>
      </c>
      <c r="CP6" s="353" t="str">
        <v>PD0201</v>
      </c>
      <c r="CQ6" s="353" t="str">
        <v>PD0201</v>
      </c>
      <c r="CR6" s="353"/>
      <c r="CS6" s="353"/>
      <c r="CT6" s="353"/>
      <c r="CU6" s="353"/>
    </row>
    <row r="7" spans="1:99" ht="15" customHeight="1" thickTop="1" thickBot="1">
      <c r="A7" s="354" t="str">
        <f>FREQUENCIAS!D$1</f>
        <v>D2S441</v>
      </c>
      <c r="B7" s="382"/>
      <c r="C7" s="383"/>
      <c r="D7" s="383"/>
      <c r="E7" s="383"/>
      <c r="F7" s="383"/>
      <c r="G7" s="383"/>
      <c r="H7" s="383"/>
      <c r="I7" s="383"/>
      <c r="J7" s="383"/>
      <c r="K7" s="383"/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26"/>
        <v>0</v>
      </c>
      <c r="T7" s="343">
        <f t="shared" si="27"/>
        <v>0</v>
      </c>
      <c r="U7" s="343">
        <f t="shared" si="28"/>
        <v>0</v>
      </c>
      <c r="V7" s="343">
        <f t="shared" si="29"/>
        <v>0</v>
      </c>
      <c r="W7" s="343">
        <f t="shared" si="30"/>
        <v>0</v>
      </c>
      <c r="X7" s="343">
        <f t="shared" si="31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2"/>
        <v>0</v>
      </c>
      <c r="AB7" s="345">
        <f t="shared" si="33"/>
        <v>0</v>
      </c>
      <c r="AC7" s="345">
        <f t="shared" si="34"/>
        <v>0</v>
      </c>
      <c r="AD7" s="345">
        <f t="shared" si="35"/>
        <v>0</v>
      </c>
      <c r="AE7" s="345">
        <f t="shared" si="36"/>
        <v>0</v>
      </c>
      <c r="AF7" s="345">
        <f t="shared" si="37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38"/>
        <v>0</v>
      </c>
      <c r="AJ7" s="347">
        <f t="shared" si="39"/>
        <v>0</v>
      </c>
      <c r="AK7" s="347">
        <f t="shared" si="40"/>
        <v>0</v>
      </c>
      <c r="AL7" s="347">
        <f t="shared" si="41"/>
        <v>0</v>
      </c>
      <c r="AM7" s="347">
        <f t="shared" si="42"/>
        <v>0</v>
      </c>
      <c r="AN7" s="347">
        <f t="shared" si="43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44"/>
        <v>0</v>
      </c>
      <c r="AR7" s="349">
        <f t="shared" si="45"/>
        <v>0</v>
      </c>
      <c r="AS7" s="349">
        <f t="shared" si="46"/>
        <v>0</v>
      </c>
      <c r="AT7" s="349">
        <f t="shared" si="47"/>
        <v>0</v>
      </c>
      <c r="AU7" s="349">
        <f t="shared" si="48"/>
        <v>0</v>
      </c>
      <c r="AV7" s="349">
        <f t="shared" si="49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0"/>
        <v>0</v>
      </c>
      <c r="AZ7" s="351">
        <f t="shared" si="51"/>
        <v>0</v>
      </c>
      <c r="BA7" s="351">
        <f t="shared" si="52"/>
        <v>0</v>
      </c>
      <c r="BB7" s="351">
        <f t="shared" si="53"/>
        <v>0</v>
      </c>
      <c r="BC7" s="351">
        <f t="shared" si="54"/>
        <v>0</v>
      </c>
      <c r="BD7" s="351">
        <f t="shared" si="55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56"/>
        <v>0</v>
      </c>
      <c r="BH7" s="367">
        <f t="shared" si="57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0</v>
      </c>
      <c r="BP7" s="369">
        <f t="shared" si="58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0</v>
      </c>
      <c r="BX7" s="375">
        <f t="shared" si="59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0</v>
      </c>
      <c r="CF7" s="373">
        <f t="shared" si="60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0</v>
      </c>
      <c r="CP7" s="353" t="str">
        <v>PD0201</v>
      </c>
      <c r="CQ7" s="353" t="str">
        <v>PD0201</v>
      </c>
      <c r="CR7" s="353"/>
      <c r="CS7" s="353"/>
      <c r="CT7" s="353"/>
      <c r="CU7" s="353"/>
    </row>
    <row r="8" spans="1:99" ht="15" customHeight="1" thickTop="1" thickBot="1">
      <c r="A8" s="354" t="str">
        <f>FREQUENCIAS!E$1</f>
        <v>D10S1248</v>
      </c>
      <c r="B8" s="382"/>
      <c r="C8" s="383"/>
      <c r="D8" s="383"/>
      <c r="E8" s="383"/>
      <c r="F8" s="383"/>
      <c r="G8" s="383"/>
      <c r="H8" s="383"/>
      <c r="I8" s="383"/>
      <c r="J8" s="383"/>
      <c r="K8" s="383"/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26"/>
        <v>0</v>
      </c>
      <c r="T8" s="343">
        <f t="shared" si="27"/>
        <v>0</v>
      </c>
      <c r="U8" s="343">
        <f t="shared" si="28"/>
        <v>0</v>
      </c>
      <c r="V8" s="343">
        <f t="shared" si="29"/>
        <v>0</v>
      </c>
      <c r="W8" s="343">
        <f t="shared" si="30"/>
        <v>0</v>
      </c>
      <c r="X8" s="343">
        <f t="shared" si="31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2"/>
        <v>0</v>
      </c>
      <c r="AB8" s="345">
        <f t="shared" si="33"/>
        <v>0</v>
      </c>
      <c r="AC8" s="345">
        <f t="shared" si="34"/>
        <v>0</v>
      </c>
      <c r="AD8" s="345">
        <f t="shared" si="35"/>
        <v>0</v>
      </c>
      <c r="AE8" s="345">
        <f t="shared" si="36"/>
        <v>0</v>
      </c>
      <c r="AF8" s="345">
        <f t="shared" si="37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38"/>
        <v>0</v>
      </c>
      <c r="AJ8" s="347">
        <f t="shared" si="39"/>
        <v>0</v>
      </c>
      <c r="AK8" s="347">
        <f t="shared" si="40"/>
        <v>0</v>
      </c>
      <c r="AL8" s="347">
        <f t="shared" si="41"/>
        <v>0</v>
      </c>
      <c r="AM8" s="347">
        <f t="shared" si="42"/>
        <v>0</v>
      </c>
      <c r="AN8" s="347">
        <f t="shared" si="43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44"/>
        <v>0</v>
      </c>
      <c r="AR8" s="349">
        <f t="shared" si="45"/>
        <v>0</v>
      </c>
      <c r="AS8" s="349">
        <f t="shared" si="46"/>
        <v>0</v>
      </c>
      <c r="AT8" s="349">
        <f t="shared" si="47"/>
        <v>0</v>
      </c>
      <c r="AU8" s="349">
        <f t="shared" si="48"/>
        <v>0</v>
      </c>
      <c r="AV8" s="349">
        <f t="shared" si="49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0"/>
        <v>0</v>
      </c>
      <c r="AZ8" s="351">
        <f t="shared" si="51"/>
        <v>0</v>
      </c>
      <c r="BA8" s="351">
        <f t="shared" si="52"/>
        <v>0</v>
      </c>
      <c r="BB8" s="351">
        <f t="shared" si="53"/>
        <v>0</v>
      </c>
      <c r="BC8" s="351">
        <f t="shared" si="54"/>
        <v>0</v>
      </c>
      <c r="BD8" s="351">
        <f t="shared" si="55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56"/>
        <v>0</v>
      </c>
      <c r="BH8" s="367">
        <f t="shared" si="57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0</v>
      </c>
      <c r="BP8" s="369">
        <f t="shared" si="58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0</v>
      </c>
      <c r="BX8" s="375">
        <f t="shared" si="59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0</v>
      </c>
      <c r="CF8" s="373">
        <f t="shared" si="60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0</v>
      </c>
      <c r="CN8" s="355"/>
      <c r="CP8" s="353" t="str">
        <v>PD0201</v>
      </c>
      <c r="CQ8" s="353" t="str">
        <v>PD0201</v>
      </c>
      <c r="CR8" s="353"/>
      <c r="CS8" s="353"/>
      <c r="CT8" s="353"/>
      <c r="CU8" s="353"/>
    </row>
    <row r="9" spans="1:99" ht="15" customHeight="1" thickTop="1" thickBot="1">
      <c r="A9" s="354" t="str">
        <f>FREQUENCIAS!F$1</f>
        <v>D13S317</v>
      </c>
      <c r="B9" s="382"/>
      <c r="C9" s="383"/>
      <c r="D9" s="383"/>
      <c r="E9" s="383"/>
      <c r="F9" s="383"/>
      <c r="G9" s="383"/>
      <c r="H9" s="383"/>
      <c r="I9" s="383"/>
      <c r="J9" s="383"/>
      <c r="K9" s="383"/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26"/>
        <v>0</v>
      </c>
      <c r="T9" s="343">
        <f t="shared" si="27"/>
        <v>0</v>
      </c>
      <c r="U9" s="343">
        <f t="shared" si="28"/>
        <v>0</v>
      </c>
      <c r="V9" s="343">
        <f t="shared" si="29"/>
        <v>0</v>
      </c>
      <c r="W9" s="343">
        <f t="shared" si="30"/>
        <v>0</v>
      </c>
      <c r="X9" s="343">
        <f t="shared" si="31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2"/>
        <v>0</v>
      </c>
      <c r="AB9" s="345">
        <f t="shared" si="33"/>
        <v>0</v>
      </c>
      <c r="AC9" s="345">
        <f t="shared" si="34"/>
        <v>0</v>
      </c>
      <c r="AD9" s="345">
        <f t="shared" si="35"/>
        <v>0</v>
      </c>
      <c r="AE9" s="345">
        <f t="shared" si="36"/>
        <v>0</v>
      </c>
      <c r="AF9" s="345">
        <f t="shared" si="37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38"/>
        <v>0</v>
      </c>
      <c r="AJ9" s="347">
        <f t="shared" si="39"/>
        <v>0</v>
      </c>
      <c r="AK9" s="347">
        <f t="shared" si="40"/>
        <v>0</v>
      </c>
      <c r="AL9" s="347">
        <f t="shared" si="41"/>
        <v>0</v>
      </c>
      <c r="AM9" s="347">
        <f t="shared" si="42"/>
        <v>0</v>
      </c>
      <c r="AN9" s="347">
        <f t="shared" si="43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44"/>
        <v>0</v>
      </c>
      <c r="AR9" s="349">
        <f t="shared" si="45"/>
        <v>0</v>
      </c>
      <c r="AS9" s="349">
        <f t="shared" si="46"/>
        <v>0</v>
      </c>
      <c r="AT9" s="349">
        <f t="shared" si="47"/>
        <v>0</v>
      </c>
      <c r="AU9" s="349">
        <f t="shared" si="48"/>
        <v>0</v>
      </c>
      <c r="AV9" s="349">
        <f t="shared" si="49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0"/>
        <v>0</v>
      </c>
      <c r="AZ9" s="351">
        <f t="shared" si="51"/>
        <v>0</v>
      </c>
      <c r="BA9" s="351">
        <f t="shared" si="52"/>
        <v>0</v>
      </c>
      <c r="BB9" s="351">
        <f t="shared" si="53"/>
        <v>0</v>
      </c>
      <c r="BC9" s="351">
        <f t="shared" si="54"/>
        <v>0</v>
      </c>
      <c r="BD9" s="351">
        <f t="shared" si="55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56"/>
        <v>0</v>
      </c>
      <c r="BH9" s="367">
        <f t="shared" si="57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0</v>
      </c>
      <c r="BP9" s="369">
        <f t="shared" si="58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0</v>
      </c>
      <c r="BX9" s="375">
        <f t="shared" si="59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0</v>
      </c>
      <c r="CF9" s="373">
        <f t="shared" si="60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0</v>
      </c>
      <c r="CP9" s="353" t="str">
        <v>PD0201</v>
      </c>
      <c r="CQ9" s="353" t="str">
        <v>PD0201</v>
      </c>
      <c r="CR9" s="353"/>
      <c r="CS9" s="353"/>
      <c r="CT9" s="353"/>
      <c r="CU9" s="353"/>
    </row>
    <row r="10" spans="1:99" ht="15" customHeight="1" thickTop="1" thickBot="1">
      <c r="A10" s="354" t="str">
        <f>FREQUENCIAS!G$1</f>
        <v>Penta_E</v>
      </c>
      <c r="B10" s="382"/>
      <c r="C10" s="383"/>
      <c r="D10" s="383"/>
      <c r="E10" s="383"/>
      <c r="F10" s="383"/>
      <c r="G10" s="383"/>
      <c r="H10" s="383"/>
      <c r="I10" s="383"/>
      <c r="J10" s="383"/>
      <c r="K10" s="383"/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1">((IF(($B10="34.1"),34.1,((IF(($B10="35.1"),35.1,((IF(($B10=38733),16.1,((IF(($B10=38768),20.2,((IF(($B10=38774),26.2,0)))))))))))))))</f>
        <v>0</v>
      </c>
      <c r="R10" s="341"/>
      <c r="S10" s="342">
        <f t="shared" si="26"/>
        <v>0</v>
      </c>
      <c r="T10" s="343">
        <f t="shared" si="27"/>
        <v>0</v>
      </c>
      <c r="U10" s="343">
        <f t="shared" si="28"/>
        <v>0</v>
      </c>
      <c r="V10" s="343">
        <f t="shared" si="29"/>
        <v>0</v>
      </c>
      <c r="W10" s="343">
        <f t="shared" si="30"/>
        <v>0</v>
      </c>
      <c r="X10" s="343">
        <f t="shared" si="31"/>
        <v>0</v>
      </c>
      <c r="Y10" s="343">
        <f t="shared" ref="Y10:Y18" si="62">((IF(($C10="34.1"),34.1,((IF(($C10="35.1"),35.1,((IF(($C10=38733),16.1,((IF(($C10=38768),20.2,((IF(($C10=38774),26.2,((IF(($C10=38771),23.2,0))))))))))))))))))</f>
        <v>0</v>
      </c>
      <c r="Z10" s="343"/>
      <c r="AA10" s="344">
        <f t="shared" si="32"/>
        <v>0</v>
      </c>
      <c r="AB10" s="345">
        <f t="shared" si="33"/>
        <v>0</v>
      </c>
      <c r="AC10" s="345">
        <f t="shared" si="34"/>
        <v>0</v>
      </c>
      <c r="AD10" s="345">
        <f t="shared" si="35"/>
        <v>0</v>
      </c>
      <c r="AE10" s="345">
        <f t="shared" si="36"/>
        <v>0</v>
      </c>
      <c r="AF10" s="345">
        <f t="shared" si="37"/>
        <v>0</v>
      </c>
      <c r="AG10" s="345">
        <f t="shared" ref="AG10:AG18" si="63">((IF(($D10="34.1"),34.1,((IF(($D10="35.1"),35.1,((IF(($D10=38733),16.1,((IF(($D10=38768),20.2,((IF(($D10=38774),26.2,0)))))))))))))))</f>
        <v>0</v>
      </c>
      <c r="AH10" s="345"/>
      <c r="AI10" s="346">
        <f t="shared" si="38"/>
        <v>0</v>
      </c>
      <c r="AJ10" s="347">
        <f t="shared" si="39"/>
        <v>0</v>
      </c>
      <c r="AK10" s="347">
        <f t="shared" si="40"/>
        <v>0</v>
      </c>
      <c r="AL10" s="347">
        <f t="shared" si="41"/>
        <v>0</v>
      </c>
      <c r="AM10" s="347">
        <f t="shared" si="42"/>
        <v>0</v>
      </c>
      <c r="AN10" s="347">
        <f t="shared" si="43"/>
        <v>0</v>
      </c>
      <c r="AO10" s="347">
        <f t="shared" ref="AO10:AO18" si="64">((IF(($E10="34.1"),34.1,((IF(($E10="35.1"),35.1,((IF(($E10=38733),16.1,((IF(($E10=38768),20.2,((IF(($E10=38774),26.2,((IF(($E10=38771),23.2,0))))))))))))))))))</f>
        <v>0</v>
      </c>
      <c r="AP10" s="347"/>
      <c r="AQ10" s="348">
        <f t="shared" si="44"/>
        <v>0</v>
      </c>
      <c r="AR10" s="349">
        <f t="shared" si="45"/>
        <v>0</v>
      </c>
      <c r="AS10" s="349">
        <f t="shared" si="46"/>
        <v>0</v>
      </c>
      <c r="AT10" s="349">
        <f t="shared" si="47"/>
        <v>0</v>
      </c>
      <c r="AU10" s="349">
        <f t="shared" si="48"/>
        <v>0</v>
      </c>
      <c r="AV10" s="349">
        <f t="shared" si="49"/>
        <v>0</v>
      </c>
      <c r="AW10" s="349">
        <f t="shared" ref="AW10:AW18" si="65">((IF(($F10="34.1"),34.1,((IF(($F10="35.1"),35.1,((IF(($F10=38733),16.1,((IF(($F10=38768),20.2,((IF(($F10=38774),26.2,0)))))))))))))))</f>
        <v>0</v>
      </c>
      <c r="AX10" s="349"/>
      <c r="AY10" s="350">
        <f t="shared" si="50"/>
        <v>0</v>
      </c>
      <c r="AZ10" s="351">
        <f t="shared" si="51"/>
        <v>0</v>
      </c>
      <c r="BA10" s="351">
        <f t="shared" si="52"/>
        <v>0</v>
      </c>
      <c r="BB10" s="351">
        <f t="shared" si="53"/>
        <v>0</v>
      </c>
      <c r="BC10" s="351">
        <f t="shared" si="54"/>
        <v>0</v>
      </c>
      <c r="BD10" s="351">
        <f t="shared" si="55"/>
        <v>0</v>
      </c>
      <c r="BE10" s="351">
        <f t="shared" ref="BE10:BE18" si="66">((IF(($G10="34.1"),34.1,((IF(($G10="35.1"),35.1,((IF(($G10=38733),16.1,((IF(($G10=38768),20.2,((IF(($G10=38774),26.2,((IF(($G10=38771),23.2,0))))))))))))))))))</f>
        <v>0</v>
      </c>
      <c r="BF10" s="351"/>
      <c r="BG10" s="352">
        <f t="shared" si="56"/>
        <v>0</v>
      </c>
      <c r="BH10" s="367">
        <f t="shared" si="57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67">((IF(($H10="34.1"),34.1,((IF(($H10="35.1"),35.1,((IF(($H10=38733),16.1,((IF(($H10=38768),20.2,((IF(($H10=38774),26.2,0)))))))))))))))</f>
        <v>0</v>
      </c>
      <c r="BN10" s="367"/>
      <c r="BO10" s="368">
        <f t="shared" si="9"/>
        <v>0</v>
      </c>
      <c r="BP10" s="369">
        <f t="shared" si="58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68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0</v>
      </c>
      <c r="BX10" s="375">
        <f t="shared" si="59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69">((IF(($J10="34.1"),34.1,((IF(($J10="35.1"),35.1,((IF(($J10=38733),16.1,((IF(($J10=38768),20.2,((IF(($J10=38774),26.2,0)))))))))))))))</f>
        <v>0</v>
      </c>
      <c r="CD10" s="375"/>
      <c r="CE10" s="372">
        <f t="shared" si="19"/>
        <v>0</v>
      </c>
      <c r="CF10" s="373">
        <f t="shared" si="60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0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0</v>
      </c>
      <c r="CP10" s="353" t="str">
        <v>PD0201</v>
      </c>
      <c r="CQ10" s="353" t="str">
        <v>PD0201</v>
      </c>
      <c r="CR10" s="353"/>
      <c r="CS10" s="353"/>
      <c r="CT10" s="353"/>
      <c r="CU10" s="353"/>
    </row>
    <row r="11" spans="1:99" ht="15" customHeight="1" thickTop="1" thickBot="1">
      <c r="A11" s="354" t="str">
        <f>FREQUENCIAS!H$1</f>
        <v>D16S539</v>
      </c>
      <c r="B11" s="382"/>
      <c r="C11" s="383"/>
      <c r="D11" s="383"/>
      <c r="E11" s="383"/>
      <c r="F11" s="383"/>
      <c r="G11" s="383"/>
      <c r="H11" s="383"/>
      <c r="I11" s="383"/>
      <c r="J11" s="383"/>
      <c r="K11" s="383"/>
      <c r="L11" s="341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1"/>
        <v>0</v>
      </c>
      <c r="R11" s="341"/>
      <c r="S11" s="342">
        <f t="shared" si="26"/>
        <v>0</v>
      </c>
      <c r="T11" s="343">
        <f t="shared" si="27"/>
        <v>0</v>
      </c>
      <c r="U11" s="343">
        <f t="shared" si="28"/>
        <v>0</v>
      </c>
      <c r="V11" s="343">
        <f t="shared" si="29"/>
        <v>0</v>
      </c>
      <c r="W11" s="343">
        <f t="shared" si="30"/>
        <v>0</v>
      </c>
      <c r="X11" s="343">
        <f t="shared" si="31"/>
        <v>0</v>
      </c>
      <c r="Y11" s="343">
        <f t="shared" si="62"/>
        <v>0</v>
      </c>
      <c r="Z11" s="343"/>
      <c r="AA11" s="344">
        <f t="shared" si="32"/>
        <v>0</v>
      </c>
      <c r="AB11" s="345">
        <f t="shared" si="33"/>
        <v>0</v>
      </c>
      <c r="AC11" s="345">
        <f t="shared" si="34"/>
        <v>0</v>
      </c>
      <c r="AD11" s="345">
        <f t="shared" si="35"/>
        <v>0</v>
      </c>
      <c r="AE11" s="345">
        <f t="shared" si="36"/>
        <v>0</v>
      </c>
      <c r="AF11" s="345">
        <f t="shared" si="37"/>
        <v>0</v>
      </c>
      <c r="AG11" s="345">
        <f t="shared" si="63"/>
        <v>0</v>
      </c>
      <c r="AH11" s="345"/>
      <c r="AI11" s="346">
        <f t="shared" si="38"/>
        <v>0</v>
      </c>
      <c r="AJ11" s="347">
        <f t="shared" si="39"/>
        <v>0</v>
      </c>
      <c r="AK11" s="347">
        <f t="shared" si="40"/>
        <v>0</v>
      </c>
      <c r="AL11" s="347">
        <f t="shared" si="41"/>
        <v>0</v>
      </c>
      <c r="AM11" s="347">
        <f t="shared" si="42"/>
        <v>0</v>
      </c>
      <c r="AN11" s="347">
        <f t="shared" si="43"/>
        <v>0</v>
      </c>
      <c r="AO11" s="347">
        <f t="shared" si="64"/>
        <v>0</v>
      </c>
      <c r="AP11" s="347"/>
      <c r="AQ11" s="348">
        <f t="shared" si="44"/>
        <v>0</v>
      </c>
      <c r="AR11" s="349">
        <f t="shared" si="45"/>
        <v>0</v>
      </c>
      <c r="AS11" s="349">
        <f t="shared" si="46"/>
        <v>0</v>
      </c>
      <c r="AT11" s="349">
        <f t="shared" si="47"/>
        <v>0</v>
      </c>
      <c r="AU11" s="349">
        <f t="shared" si="48"/>
        <v>0</v>
      </c>
      <c r="AV11" s="349">
        <f t="shared" si="49"/>
        <v>0</v>
      </c>
      <c r="AW11" s="349">
        <f t="shared" si="65"/>
        <v>0</v>
      </c>
      <c r="AX11" s="349"/>
      <c r="AY11" s="350">
        <f t="shared" si="50"/>
        <v>0</v>
      </c>
      <c r="AZ11" s="351">
        <f t="shared" si="51"/>
        <v>0</v>
      </c>
      <c r="BA11" s="351">
        <f t="shared" si="52"/>
        <v>0</v>
      </c>
      <c r="BB11" s="351">
        <f t="shared" si="53"/>
        <v>0</v>
      </c>
      <c r="BC11" s="351">
        <f t="shared" si="54"/>
        <v>0</v>
      </c>
      <c r="BD11" s="351">
        <f t="shared" si="55"/>
        <v>0</v>
      </c>
      <c r="BE11" s="351">
        <f t="shared" si="66"/>
        <v>0</v>
      </c>
      <c r="BF11" s="351"/>
      <c r="BG11" s="352">
        <f t="shared" si="56"/>
        <v>0</v>
      </c>
      <c r="BH11" s="367">
        <f t="shared" si="57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67"/>
        <v>0</v>
      </c>
      <c r="BN11" s="367"/>
      <c r="BO11" s="368">
        <f t="shared" si="9"/>
        <v>0</v>
      </c>
      <c r="BP11" s="369">
        <f t="shared" si="58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68"/>
        <v>0</v>
      </c>
      <c r="BV11" s="369"/>
      <c r="BW11" s="370">
        <f t="shared" si="14"/>
        <v>0</v>
      </c>
      <c r="BX11" s="375">
        <f t="shared" si="59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69"/>
        <v>0</v>
      </c>
      <c r="CD11" s="375"/>
      <c r="CE11" s="372">
        <f t="shared" si="19"/>
        <v>0</v>
      </c>
      <c r="CF11" s="373">
        <f t="shared" si="60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0"/>
        <v>0</v>
      </c>
      <c r="CL11" s="373"/>
      <c r="CM11" s="374">
        <f t="shared" si="24"/>
        <v>0</v>
      </c>
      <c r="CP11" s="353" t="str">
        <v>PD0201</v>
      </c>
      <c r="CQ11" s="353" t="str">
        <v>PD0201</v>
      </c>
      <c r="CR11" s="353"/>
      <c r="CS11" s="353"/>
      <c r="CT11" s="353"/>
      <c r="CU11" s="353"/>
    </row>
    <row r="12" spans="1:99" ht="15" customHeight="1" thickTop="1" thickBot="1">
      <c r="A12" s="354" t="str">
        <f>FREQUENCIAS!I$1</f>
        <v>D18S51</v>
      </c>
      <c r="B12" s="382"/>
      <c r="C12" s="383"/>
      <c r="D12" s="383"/>
      <c r="E12" s="383"/>
      <c r="F12" s="383"/>
      <c r="G12" s="383"/>
      <c r="H12" s="383"/>
      <c r="I12" s="383"/>
      <c r="J12" s="383"/>
      <c r="K12" s="383"/>
      <c r="L12" s="341">
        <f t="shared" si="71"/>
        <v>0</v>
      </c>
      <c r="M12" s="341">
        <f t="shared" si="72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1"/>
        <v>0</v>
      </c>
      <c r="R12" s="341"/>
      <c r="S12" s="342">
        <f t="shared" si="26"/>
        <v>0</v>
      </c>
      <c r="T12" s="343">
        <f t="shared" si="27"/>
        <v>0</v>
      </c>
      <c r="U12" s="343">
        <f t="shared" si="28"/>
        <v>0</v>
      </c>
      <c r="V12" s="343">
        <f t="shared" si="29"/>
        <v>0</v>
      </c>
      <c r="W12" s="343">
        <f t="shared" si="30"/>
        <v>0</v>
      </c>
      <c r="X12" s="343">
        <f t="shared" si="31"/>
        <v>0</v>
      </c>
      <c r="Y12" s="343">
        <f t="shared" si="62"/>
        <v>0</v>
      </c>
      <c r="Z12" s="343"/>
      <c r="AA12" s="344">
        <f t="shared" si="32"/>
        <v>0</v>
      </c>
      <c r="AB12" s="345">
        <f t="shared" si="33"/>
        <v>0</v>
      </c>
      <c r="AC12" s="345">
        <f t="shared" si="34"/>
        <v>0</v>
      </c>
      <c r="AD12" s="345">
        <f t="shared" si="35"/>
        <v>0</v>
      </c>
      <c r="AE12" s="345">
        <f t="shared" si="36"/>
        <v>0</v>
      </c>
      <c r="AF12" s="345">
        <f t="shared" si="37"/>
        <v>0</v>
      </c>
      <c r="AG12" s="345">
        <f t="shared" si="63"/>
        <v>0</v>
      </c>
      <c r="AH12" s="345"/>
      <c r="AI12" s="346">
        <f t="shared" si="38"/>
        <v>0</v>
      </c>
      <c r="AJ12" s="347">
        <f t="shared" si="39"/>
        <v>0</v>
      </c>
      <c r="AK12" s="347">
        <f t="shared" si="40"/>
        <v>0</v>
      </c>
      <c r="AL12" s="347">
        <f t="shared" si="41"/>
        <v>0</v>
      </c>
      <c r="AM12" s="347">
        <f t="shared" si="42"/>
        <v>0</v>
      </c>
      <c r="AN12" s="347">
        <f t="shared" si="43"/>
        <v>0</v>
      </c>
      <c r="AO12" s="347">
        <f t="shared" si="64"/>
        <v>0</v>
      </c>
      <c r="AP12" s="347"/>
      <c r="AQ12" s="348">
        <f t="shared" si="44"/>
        <v>0</v>
      </c>
      <c r="AR12" s="349">
        <f t="shared" si="45"/>
        <v>0</v>
      </c>
      <c r="AS12" s="349">
        <f t="shared" si="46"/>
        <v>0</v>
      </c>
      <c r="AT12" s="349">
        <f t="shared" si="47"/>
        <v>0</v>
      </c>
      <c r="AU12" s="349">
        <f t="shared" si="48"/>
        <v>0</v>
      </c>
      <c r="AV12" s="349">
        <f t="shared" si="49"/>
        <v>0</v>
      </c>
      <c r="AW12" s="349">
        <f t="shared" si="65"/>
        <v>0</v>
      </c>
      <c r="AX12" s="349"/>
      <c r="AY12" s="350">
        <f t="shared" si="50"/>
        <v>0</v>
      </c>
      <c r="AZ12" s="351">
        <f t="shared" si="51"/>
        <v>0</v>
      </c>
      <c r="BA12" s="351">
        <f t="shared" si="52"/>
        <v>0</v>
      </c>
      <c r="BB12" s="351">
        <f t="shared" si="53"/>
        <v>0</v>
      </c>
      <c r="BC12" s="351">
        <f t="shared" si="54"/>
        <v>0</v>
      </c>
      <c r="BD12" s="351">
        <f t="shared" si="55"/>
        <v>0</v>
      </c>
      <c r="BE12" s="351">
        <f t="shared" si="66"/>
        <v>0</v>
      </c>
      <c r="BF12" s="351"/>
      <c r="BG12" s="352">
        <f t="shared" si="56"/>
        <v>0</v>
      </c>
      <c r="BH12" s="367">
        <f t="shared" si="57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67"/>
        <v>0</v>
      </c>
      <c r="BN12" s="367"/>
      <c r="BO12" s="368">
        <f t="shared" si="9"/>
        <v>0</v>
      </c>
      <c r="BP12" s="369">
        <f t="shared" si="58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68"/>
        <v>0</v>
      </c>
      <c r="BV12" s="369"/>
      <c r="BW12" s="370">
        <f t="shared" si="14"/>
        <v>0</v>
      </c>
      <c r="BX12" s="375">
        <f t="shared" si="59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69"/>
        <v>0</v>
      </c>
      <c r="CD12" s="375"/>
      <c r="CE12" s="372">
        <f t="shared" si="19"/>
        <v>0</v>
      </c>
      <c r="CF12" s="373">
        <f t="shared" si="60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0"/>
        <v>0</v>
      </c>
      <c r="CL12" s="373"/>
      <c r="CM12" s="374">
        <f t="shared" si="24"/>
        <v>0</v>
      </c>
      <c r="CP12" s="353" t="str">
        <v>PD0201</v>
      </c>
      <c r="CQ12" s="353" t="str">
        <v>PD0201</v>
      </c>
      <c r="CR12" s="353"/>
      <c r="CS12" s="353"/>
      <c r="CT12" s="353"/>
      <c r="CU12" s="353"/>
    </row>
    <row r="13" spans="1:99" ht="15" customHeight="1" thickTop="1" thickBot="1">
      <c r="A13" s="354" t="str">
        <f>FREQUENCIAS!J$1</f>
        <v>D2S1338</v>
      </c>
      <c r="B13" s="382"/>
      <c r="C13" s="383"/>
      <c r="D13" s="383"/>
      <c r="E13" s="383"/>
      <c r="F13" s="383"/>
      <c r="G13" s="383"/>
      <c r="H13" s="383"/>
      <c r="I13" s="383"/>
      <c r="J13" s="383"/>
      <c r="K13" s="383"/>
      <c r="L13" s="341">
        <f t="shared" si="71"/>
        <v>0</v>
      </c>
      <c r="M13" s="341">
        <f t="shared" si="72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1"/>
        <v>0</v>
      </c>
      <c r="R13" s="341"/>
      <c r="S13" s="342">
        <f t="shared" si="26"/>
        <v>0</v>
      </c>
      <c r="T13" s="343">
        <f t="shared" si="27"/>
        <v>0</v>
      </c>
      <c r="U13" s="343">
        <f t="shared" si="28"/>
        <v>0</v>
      </c>
      <c r="V13" s="343">
        <f t="shared" si="29"/>
        <v>0</v>
      </c>
      <c r="W13" s="343">
        <f t="shared" si="30"/>
        <v>0</v>
      </c>
      <c r="X13" s="343">
        <f t="shared" si="31"/>
        <v>0</v>
      </c>
      <c r="Y13" s="343">
        <f t="shared" si="62"/>
        <v>0</v>
      </c>
      <c r="Z13" s="343"/>
      <c r="AA13" s="344">
        <f t="shared" si="32"/>
        <v>0</v>
      </c>
      <c r="AB13" s="345">
        <f t="shared" si="33"/>
        <v>0</v>
      </c>
      <c r="AC13" s="345">
        <f t="shared" si="34"/>
        <v>0</v>
      </c>
      <c r="AD13" s="345">
        <f t="shared" si="35"/>
        <v>0</v>
      </c>
      <c r="AE13" s="345">
        <f t="shared" si="36"/>
        <v>0</v>
      </c>
      <c r="AF13" s="345">
        <f t="shared" si="37"/>
        <v>0</v>
      </c>
      <c r="AG13" s="345">
        <f t="shared" si="63"/>
        <v>0</v>
      </c>
      <c r="AH13" s="345"/>
      <c r="AI13" s="346">
        <f t="shared" si="38"/>
        <v>0</v>
      </c>
      <c r="AJ13" s="347">
        <f t="shared" si="39"/>
        <v>0</v>
      </c>
      <c r="AK13" s="347">
        <f t="shared" si="40"/>
        <v>0</v>
      </c>
      <c r="AL13" s="347">
        <f t="shared" si="41"/>
        <v>0</v>
      </c>
      <c r="AM13" s="347">
        <f t="shared" si="42"/>
        <v>0</v>
      </c>
      <c r="AN13" s="347">
        <f t="shared" si="43"/>
        <v>0</v>
      </c>
      <c r="AO13" s="347">
        <f t="shared" si="64"/>
        <v>0</v>
      </c>
      <c r="AP13" s="347"/>
      <c r="AQ13" s="348">
        <f t="shared" si="44"/>
        <v>0</v>
      </c>
      <c r="AR13" s="349">
        <f t="shared" si="45"/>
        <v>0</v>
      </c>
      <c r="AS13" s="349">
        <f t="shared" si="46"/>
        <v>0</v>
      </c>
      <c r="AT13" s="349">
        <f t="shared" si="47"/>
        <v>0</v>
      </c>
      <c r="AU13" s="349">
        <f t="shared" si="48"/>
        <v>0</v>
      </c>
      <c r="AV13" s="349">
        <f t="shared" si="49"/>
        <v>0</v>
      </c>
      <c r="AW13" s="349">
        <f t="shared" si="65"/>
        <v>0</v>
      </c>
      <c r="AX13" s="349"/>
      <c r="AY13" s="350">
        <f t="shared" si="50"/>
        <v>0</v>
      </c>
      <c r="AZ13" s="351">
        <f t="shared" si="51"/>
        <v>0</v>
      </c>
      <c r="BA13" s="351">
        <f t="shared" si="52"/>
        <v>0</v>
      </c>
      <c r="BB13" s="351">
        <f t="shared" si="53"/>
        <v>0</v>
      </c>
      <c r="BC13" s="351">
        <f t="shared" si="54"/>
        <v>0</v>
      </c>
      <c r="BD13" s="351">
        <f t="shared" si="55"/>
        <v>0</v>
      </c>
      <c r="BE13" s="351">
        <f t="shared" si="66"/>
        <v>0</v>
      </c>
      <c r="BF13" s="351"/>
      <c r="BG13" s="352">
        <f t="shared" si="56"/>
        <v>0</v>
      </c>
      <c r="BH13" s="367">
        <f t="shared" si="57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67"/>
        <v>0</v>
      </c>
      <c r="BN13" s="367"/>
      <c r="BO13" s="368">
        <f t="shared" si="9"/>
        <v>0</v>
      </c>
      <c r="BP13" s="369">
        <f t="shared" si="58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68"/>
        <v>0</v>
      </c>
      <c r="BV13" s="369"/>
      <c r="BW13" s="370">
        <f t="shared" si="14"/>
        <v>0</v>
      </c>
      <c r="BX13" s="375">
        <f t="shared" si="59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69"/>
        <v>0</v>
      </c>
      <c r="CD13" s="375"/>
      <c r="CE13" s="372">
        <f t="shared" si="19"/>
        <v>0</v>
      </c>
      <c r="CF13" s="373">
        <f t="shared" si="60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0"/>
        <v>0</v>
      </c>
      <c r="CL13" s="373"/>
      <c r="CM13" s="374">
        <f t="shared" si="24"/>
        <v>0</v>
      </c>
      <c r="CP13" s="353" t="str">
        <v>PD0201</v>
      </c>
      <c r="CQ13" s="353" t="str">
        <v>PD0201</v>
      </c>
      <c r="CR13" s="353"/>
      <c r="CS13" s="353"/>
      <c r="CT13" s="353"/>
      <c r="CU13" s="353"/>
    </row>
    <row r="14" spans="1:99" ht="15" customHeight="1" thickTop="1" thickBot="1">
      <c r="A14" s="354" t="str">
        <f>FREQUENCIAS!K$1</f>
        <v>CSF1PO</v>
      </c>
      <c r="B14" s="382"/>
      <c r="C14" s="383"/>
      <c r="D14" s="383"/>
      <c r="E14" s="383"/>
      <c r="F14" s="383"/>
      <c r="G14" s="383"/>
      <c r="H14" s="383"/>
      <c r="I14" s="383"/>
      <c r="J14" s="383"/>
      <c r="K14" s="383"/>
      <c r="L14" s="341">
        <f t="shared" si="71"/>
        <v>0</v>
      </c>
      <c r="M14" s="341">
        <f t="shared" si="72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1"/>
        <v>0</v>
      </c>
      <c r="R14" s="341"/>
      <c r="S14" s="342">
        <f t="shared" si="26"/>
        <v>0</v>
      </c>
      <c r="T14" s="343">
        <f t="shared" si="27"/>
        <v>0</v>
      </c>
      <c r="U14" s="343">
        <f t="shared" si="28"/>
        <v>0</v>
      </c>
      <c r="V14" s="343">
        <f t="shared" si="29"/>
        <v>0</v>
      </c>
      <c r="W14" s="343">
        <f t="shared" si="30"/>
        <v>0</v>
      </c>
      <c r="X14" s="343">
        <f t="shared" si="31"/>
        <v>0</v>
      </c>
      <c r="Y14" s="343">
        <f t="shared" si="62"/>
        <v>0</v>
      </c>
      <c r="Z14" s="343"/>
      <c r="AA14" s="344">
        <f t="shared" si="32"/>
        <v>0</v>
      </c>
      <c r="AB14" s="345">
        <f t="shared" si="33"/>
        <v>0</v>
      </c>
      <c r="AC14" s="345">
        <f t="shared" si="34"/>
        <v>0</v>
      </c>
      <c r="AD14" s="345">
        <f t="shared" si="35"/>
        <v>0</v>
      </c>
      <c r="AE14" s="345">
        <f t="shared" si="36"/>
        <v>0</v>
      </c>
      <c r="AF14" s="345">
        <f t="shared" si="37"/>
        <v>0</v>
      </c>
      <c r="AG14" s="345">
        <f t="shared" si="63"/>
        <v>0</v>
      </c>
      <c r="AH14" s="345"/>
      <c r="AI14" s="346">
        <f t="shared" si="38"/>
        <v>0</v>
      </c>
      <c r="AJ14" s="347">
        <f t="shared" si="39"/>
        <v>0</v>
      </c>
      <c r="AK14" s="347">
        <f t="shared" si="40"/>
        <v>0</v>
      </c>
      <c r="AL14" s="347">
        <f t="shared" si="41"/>
        <v>0</v>
      </c>
      <c r="AM14" s="347">
        <f t="shared" si="42"/>
        <v>0</v>
      </c>
      <c r="AN14" s="347">
        <f t="shared" si="43"/>
        <v>0</v>
      </c>
      <c r="AO14" s="347">
        <f t="shared" si="64"/>
        <v>0</v>
      </c>
      <c r="AP14" s="347"/>
      <c r="AQ14" s="348">
        <f t="shared" si="44"/>
        <v>0</v>
      </c>
      <c r="AR14" s="349">
        <f t="shared" si="45"/>
        <v>0</v>
      </c>
      <c r="AS14" s="349">
        <f t="shared" si="46"/>
        <v>0</v>
      </c>
      <c r="AT14" s="349">
        <f t="shared" si="47"/>
        <v>0</v>
      </c>
      <c r="AU14" s="349">
        <f t="shared" si="48"/>
        <v>0</v>
      </c>
      <c r="AV14" s="349">
        <f t="shared" si="49"/>
        <v>0</v>
      </c>
      <c r="AW14" s="349">
        <f t="shared" si="65"/>
        <v>0</v>
      </c>
      <c r="AX14" s="349"/>
      <c r="AY14" s="350">
        <f t="shared" si="50"/>
        <v>0</v>
      </c>
      <c r="AZ14" s="351">
        <f t="shared" si="51"/>
        <v>0</v>
      </c>
      <c r="BA14" s="351">
        <f t="shared" si="52"/>
        <v>0</v>
      </c>
      <c r="BB14" s="351">
        <f t="shared" si="53"/>
        <v>0</v>
      </c>
      <c r="BC14" s="351">
        <f t="shared" si="54"/>
        <v>0</v>
      </c>
      <c r="BD14" s="351">
        <f t="shared" si="55"/>
        <v>0</v>
      </c>
      <c r="BE14" s="351">
        <f t="shared" si="66"/>
        <v>0</v>
      </c>
      <c r="BF14" s="351"/>
      <c r="BG14" s="352">
        <f t="shared" si="56"/>
        <v>0</v>
      </c>
      <c r="BH14" s="367">
        <f t="shared" si="57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67"/>
        <v>0</v>
      </c>
      <c r="BN14" s="367"/>
      <c r="BO14" s="368">
        <f t="shared" si="9"/>
        <v>0</v>
      </c>
      <c r="BP14" s="369">
        <f t="shared" si="58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68"/>
        <v>0</v>
      </c>
      <c r="BV14" s="369"/>
      <c r="BW14" s="370">
        <f t="shared" si="14"/>
        <v>0</v>
      </c>
      <c r="BX14" s="375">
        <f t="shared" si="59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69"/>
        <v>0</v>
      </c>
      <c r="CD14" s="375"/>
      <c r="CE14" s="372">
        <f t="shared" si="19"/>
        <v>0</v>
      </c>
      <c r="CF14" s="373">
        <f t="shared" si="60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0"/>
        <v>0</v>
      </c>
      <c r="CL14" s="373"/>
      <c r="CM14" s="374">
        <f t="shared" si="24"/>
        <v>0</v>
      </c>
      <c r="CP14" s="353" t="str">
        <v>PD0201</v>
      </c>
      <c r="CQ14" s="353" t="str">
        <v>PD0201</v>
      </c>
      <c r="CR14" s="353"/>
      <c r="CS14" s="353"/>
      <c r="CT14" s="353"/>
      <c r="CU14" s="353"/>
    </row>
    <row r="15" spans="1:99" ht="15" customHeight="1" thickTop="1" thickBot="1">
      <c r="A15" s="354" t="str">
        <f>FREQUENCIAS!L$1</f>
        <v>Penta_D</v>
      </c>
      <c r="B15" s="382"/>
      <c r="C15" s="383"/>
      <c r="D15" s="383"/>
      <c r="E15" s="383"/>
      <c r="F15" s="383"/>
      <c r="G15" s="383"/>
      <c r="H15" s="383"/>
      <c r="I15" s="383"/>
      <c r="J15" s="383"/>
      <c r="K15" s="383"/>
      <c r="L15" s="341">
        <f t="shared" si="71"/>
        <v>0</v>
      </c>
      <c r="M15" s="341">
        <f t="shared" si="72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1"/>
        <v>0</v>
      </c>
      <c r="R15" s="341"/>
      <c r="S15" s="342">
        <f t="shared" si="26"/>
        <v>0</v>
      </c>
      <c r="T15" s="343">
        <f t="shared" si="27"/>
        <v>0</v>
      </c>
      <c r="U15" s="343">
        <f t="shared" si="28"/>
        <v>0</v>
      </c>
      <c r="V15" s="343">
        <f t="shared" si="29"/>
        <v>0</v>
      </c>
      <c r="W15" s="343">
        <f t="shared" si="30"/>
        <v>0</v>
      </c>
      <c r="X15" s="343">
        <f t="shared" si="31"/>
        <v>0</v>
      </c>
      <c r="Y15" s="343">
        <f t="shared" si="62"/>
        <v>0</v>
      </c>
      <c r="Z15" s="343"/>
      <c r="AA15" s="344">
        <f t="shared" si="32"/>
        <v>0</v>
      </c>
      <c r="AB15" s="345">
        <f t="shared" si="33"/>
        <v>0</v>
      </c>
      <c r="AC15" s="345">
        <f t="shared" si="34"/>
        <v>0</v>
      </c>
      <c r="AD15" s="345">
        <f t="shared" si="35"/>
        <v>0</v>
      </c>
      <c r="AE15" s="345">
        <f t="shared" si="36"/>
        <v>0</v>
      </c>
      <c r="AF15" s="345">
        <f t="shared" si="37"/>
        <v>0</v>
      </c>
      <c r="AG15" s="345">
        <f t="shared" si="63"/>
        <v>0</v>
      </c>
      <c r="AH15" s="345"/>
      <c r="AI15" s="346">
        <f t="shared" si="38"/>
        <v>0</v>
      </c>
      <c r="AJ15" s="347">
        <f t="shared" si="39"/>
        <v>0</v>
      </c>
      <c r="AK15" s="347">
        <f t="shared" si="40"/>
        <v>0</v>
      </c>
      <c r="AL15" s="347">
        <f t="shared" si="41"/>
        <v>0</v>
      </c>
      <c r="AM15" s="347">
        <f t="shared" si="42"/>
        <v>0</v>
      </c>
      <c r="AN15" s="347">
        <f t="shared" si="43"/>
        <v>0</v>
      </c>
      <c r="AO15" s="347">
        <f t="shared" si="64"/>
        <v>0</v>
      </c>
      <c r="AP15" s="347"/>
      <c r="AQ15" s="348">
        <f t="shared" si="44"/>
        <v>0</v>
      </c>
      <c r="AR15" s="349">
        <f t="shared" si="45"/>
        <v>0</v>
      </c>
      <c r="AS15" s="349">
        <f t="shared" si="46"/>
        <v>0</v>
      </c>
      <c r="AT15" s="349">
        <f t="shared" si="47"/>
        <v>0</v>
      </c>
      <c r="AU15" s="349">
        <f t="shared" si="48"/>
        <v>0</v>
      </c>
      <c r="AV15" s="349">
        <f t="shared" si="49"/>
        <v>0</v>
      </c>
      <c r="AW15" s="349">
        <f t="shared" si="65"/>
        <v>0</v>
      </c>
      <c r="AX15" s="349"/>
      <c r="AY15" s="350">
        <f t="shared" si="50"/>
        <v>0</v>
      </c>
      <c r="AZ15" s="351">
        <f t="shared" si="51"/>
        <v>0</v>
      </c>
      <c r="BA15" s="351">
        <f t="shared" si="52"/>
        <v>0</v>
      </c>
      <c r="BB15" s="351">
        <f t="shared" si="53"/>
        <v>0</v>
      </c>
      <c r="BC15" s="351">
        <f t="shared" si="54"/>
        <v>0</v>
      </c>
      <c r="BD15" s="351">
        <f t="shared" si="55"/>
        <v>0</v>
      </c>
      <c r="BE15" s="351">
        <f t="shared" si="66"/>
        <v>0</v>
      </c>
      <c r="BF15" s="351"/>
      <c r="BG15" s="352">
        <f t="shared" si="56"/>
        <v>0</v>
      </c>
      <c r="BH15" s="367">
        <f t="shared" si="57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67"/>
        <v>0</v>
      </c>
      <c r="BN15" s="367"/>
      <c r="BO15" s="368">
        <f t="shared" si="9"/>
        <v>0</v>
      </c>
      <c r="BP15" s="369">
        <f t="shared" si="58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68"/>
        <v>0</v>
      </c>
      <c r="BV15" s="369"/>
      <c r="BW15" s="370">
        <f t="shared" si="14"/>
        <v>0</v>
      </c>
      <c r="BX15" s="375">
        <f t="shared" si="59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69"/>
        <v>0</v>
      </c>
      <c r="CD15" s="375"/>
      <c r="CE15" s="372">
        <f t="shared" si="19"/>
        <v>0</v>
      </c>
      <c r="CF15" s="373">
        <f t="shared" si="60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0"/>
        <v>0</v>
      </c>
      <c r="CL15" s="373"/>
      <c r="CM15" s="374">
        <f t="shared" si="24"/>
        <v>0</v>
      </c>
      <c r="CP15" s="353" t="str">
        <v>PD0201</v>
      </c>
      <c r="CQ15" s="353" t="str">
        <v>PD0201</v>
      </c>
      <c r="CR15" s="353"/>
      <c r="CS15" s="353"/>
      <c r="CT15" s="353"/>
      <c r="CU15" s="353"/>
    </row>
    <row r="16" spans="1:99" ht="15" customHeight="1" thickTop="1" thickBot="1">
      <c r="A16" s="354" t="str">
        <f>FREQUENCIAS!M$1</f>
        <v>TH01</v>
      </c>
      <c r="B16" s="382"/>
      <c r="C16" s="383"/>
      <c r="D16" s="383"/>
      <c r="E16" s="383"/>
      <c r="F16" s="383"/>
      <c r="G16" s="383"/>
      <c r="H16" s="383"/>
      <c r="I16" s="383"/>
      <c r="J16" s="383"/>
      <c r="K16" s="383"/>
      <c r="L16" s="341">
        <f t="shared" si="71"/>
        <v>0</v>
      </c>
      <c r="M16" s="341">
        <f t="shared" si="72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1"/>
        <v>0</v>
      </c>
      <c r="R16" s="341"/>
      <c r="S16" s="342">
        <f t="shared" si="26"/>
        <v>0</v>
      </c>
      <c r="T16" s="343">
        <f t="shared" si="27"/>
        <v>0</v>
      </c>
      <c r="U16" s="343">
        <f t="shared" si="28"/>
        <v>0</v>
      </c>
      <c r="V16" s="343">
        <f t="shared" si="29"/>
        <v>0</v>
      </c>
      <c r="W16" s="343">
        <f t="shared" si="30"/>
        <v>0</v>
      </c>
      <c r="X16" s="343">
        <f t="shared" si="31"/>
        <v>0</v>
      </c>
      <c r="Y16" s="343">
        <f t="shared" si="62"/>
        <v>0</v>
      </c>
      <c r="Z16" s="343"/>
      <c r="AA16" s="344">
        <f t="shared" si="32"/>
        <v>0</v>
      </c>
      <c r="AB16" s="345">
        <f t="shared" si="33"/>
        <v>0</v>
      </c>
      <c r="AC16" s="345">
        <f t="shared" si="34"/>
        <v>0</v>
      </c>
      <c r="AD16" s="345">
        <f t="shared" si="35"/>
        <v>0</v>
      </c>
      <c r="AE16" s="345">
        <f t="shared" si="36"/>
        <v>0</v>
      </c>
      <c r="AF16" s="345">
        <f t="shared" si="37"/>
        <v>0</v>
      </c>
      <c r="AG16" s="345">
        <f t="shared" si="63"/>
        <v>0</v>
      </c>
      <c r="AH16" s="345"/>
      <c r="AI16" s="346">
        <f t="shared" si="38"/>
        <v>0</v>
      </c>
      <c r="AJ16" s="347">
        <f t="shared" si="39"/>
        <v>0</v>
      </c>
      <c r="AK16" s="347">
        <f t="shared" si="40"/>
        <v>0</v>
      </c>
      <c r="AL16" s="347">
        <f t="shared" si="41"/>
        <v>0</v>
      </c>
      <c r="AM16" s="347">
        <f t="shared" si="42"/>
        <v>0</v>
      </c>
      <c r="AN16" s="347">
        <f t="shared" si="43"/>
        <v>0</v>
      </c>
      <c r="AO16" s="347">
        <f t="shared" si="64"/>
        <v>0</v>
      </c>
      <c r="AP16" s="347"/>
      <c r="AQ16" s="348">
        <f t="shared" si="44"/>
        <v>0</v>
      </c>
      <c r="AR16" s="349">
        <f t="shared" si="45"/>
        <v>0</v>
      </c>
      <c r="AS16" s="349">
        <f t="shared" si="46"/>
        <v>0</v>
      </c>
      <c r="AT16" s="349">
        <f t="shared" si="47"/>
        <v>0</v>
      </c>
      <c r="AU16" s="349">
        <f t="shared" si="48"/>
        <v>0</v>
      </c>
      <c r="AV16" s="349">
        <f t="shared" si="49"/>
        <v>0</v>
      </c>
      <c r="AW16" s="349">
        <f t="shared" si="65"/>
        <v>0</v>
      </c>
      <c r="AX16" s="349"/>
      <c r="AY16" s="350">
        <f t="shared" si="50"/>
        <v>0</v>
      </c>
      <c r="AZ16" s="351">
        <f t="shared" si="51"/>
        <v>0</v>
      </c>
      <c r="BA16" s="351">
        <f t="shared" si="52"/>
        <v>0</v>
      </c>
      <c r="BB16" s="351">
        <f t="shared" si="53"/>
        <v>0</v>
      </c>
      <c r="BC16" s="351">
        <f t="shared" si="54"/>
        <v>0</v>
      </c>
      <c r="BD16" s="351">
        <f t="shared" si="55"/>
        <v>0</v>
      </c>
      <c r="BE16" s="351">
        <f t="shared" si="66"/>
        <v>0</v>
      </c>
      <c r="BF16" s="351"/>
      <c r="BG16" s="352">
        <f t="shared" si="56"/>
        <v>0</v>
      </c>
      <c r="BH16" s="367">
        <f t="shared" si="57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67"/>
        <v>0</v>
      </c>
      <c r="BN16" s="367"/>
      <c r="BO16" s="368">
        <f t="shared" si="9"/>
        <v>0</v>
      </c>
      <c r="BP16" s="369">
        <f t="shared" si="58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68"/>
        <v>0</v>
      </c>
      <c r="BV16" s="369"/>
      <c r="BW16" s="370">
        <f t="shared" si="14"/>
        <v>0</v>
      </c>
      <c r="BX16" s="375">
        <f t="shared" si="59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69"/>
        <v>0</v>
      </c>
      <c r="CD16" s="375"/>
      <c r="CE16" s="372">
        <f t="shared" si="19"/>
        <v>0</v>
      </c>
      <c r="CF16" s="373">
        <f t="shared" si="60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0"/>
        <v>0</v>
      </c>
      <c r="CL16" s="373"/>
      <c r="CM16" s="374">
        <f t="shared" si="24"/>
        <v>0</v>
      </c>
      <c r="CP16" s="353" t="str">
        <v>PD0201</v>
      </c>
      <c r="CQ16" s="353" t="str">
        <v>PD0201</v>
      </c>
      <c r="CR16" s="353"/>
      <c r="CS16" s="353"/>
      <c r="CT16" s="353"/>
      <c r="CU16" s="353"/>
    </row>
    <row r="17" spans="1:99" ht="15" customHeight="1" thickTop="1" thickBot="1">
      <c r="A17" s="354" t="str">
        <f>FREQUENCIAS!N$1</f>
        <v>vWA</v>
      </c>
      <c r="B17" s="382"/>
      <c r="C17" s="383"/>
      <c r="D17" s="383"/>
      <c r="E17" s="383"/>
      <c r="F17" s="383"/>
      <c r="G17" s="383"/>
      <c r="H17" s="383"/>
      <c r="I17" s="383"/>
      <c r="J17" s="383"/>
      <c r="K17" s="383"/>
      <c r="L17" s="378">
        <f t="shared" si="71"/>
        <v>0</v>
      </c>
      <c r="M17" s="356">
        <f t="shared" si="72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1"/>
        <v>0</v>
      </c>
      <c r="R17" s="356"/>
      <c r="S17" s="342">
        <f>(IF((SUM(L17:R17)&lt;&gt;0),(SUM(L17:R17)),$B17))</f>
        <v>0</v>
      </c>
      <c r="T17" s="343">
        <f t="shared" si="27"/>
        <v>0</v>
      </c>
      <c r="U17" s="343">
        <f t="shared" si="28"/>
        <v>0</v>
      </c>
      <c r="V17" s="343">
        <f t="shared" si="29"/>
        <v>0</v>
      </c>
      <c r="W17" s="343">
        <f t="shared" si="30"/>
        <v>0</v>
      </c>
      <c r="X17" s="343">
        <f t="shared" si="31"/>
        <v>0</v>
      </c>
      <c r="Y17" s="343">
        <f t="shared" si="62"/>
        <v>0</v>
      </c>
      <c r="Z17" s="343"/>
      <c r="AA17" s="344">
        <f>(IF((SUM(T17:Z17)&lt;&gt;0),(SUM(T17:Z17)),$C17))</f>
        <v>0</v>
      </c>
      <c r="AB17" s="345">
        <f t="shared" si="33"/>
        <v>0</v>
      </c>
      <c r="AC17" s="345">
        <f t="shared" si="34"/>
        <v>0</v>
      </c>
      <c r="AD17" s="345">
        <f t="shared" si="35"/>
        <v>0</v>
      </c>
      <c r="AE17" s="345">
        <f t="shared" si="36"/>
        <v>0</v>
      </c>
      <c r="AF17" s="345">
        <f t="shared" si="37"/>
        <v>0</v>
      </c>
      <c r="AG17" s="345">
        <f t="shared" si="63"/>
        <v>0</v>
      </c>
      <c r="AH17" s="345"/>
      <c r="AI17" s="346">
        <f>(IF((SUM(AB17:AH17)&lt;&gt;0),(SUM(AB17:AH17)),$D17))</f>
        <v>0</v>
      </c>
      <c r="AJ17" s="347">
        <f t="shared" si="39"/>
        <v>0</v>
      </c>
      <c r="AK17" s="347">
        <f t="shared" si="40"/>
        <v>0</v>
      </c>
      <c r="AL17" s="347">
        <f t="shared" si="41"/>
        <v>0</v>
      </c>
      <c r="AM17" s="347">
        <f t="shared" si="42"/>
        <v>0</v>
      </c>
      <c r="AN17" s="347">
        <f t="shared" si="43"/>
        <v>0</v>
      </c>
      <c r="AO17" s="347">
        <f t="shared" si="64"/>
        <v>0</v>
      </c>
      <c r="AP17" s="347"/>
      <c r="AQ17" s="348">
        <f>(IF((SUM(AJ17:AP17)&lt;&gt;0),(SUM(AJ17:AP17)),$E17))</f>
        <v>0</v>
      </c>
      <c r="AR17" s="349">
        <f t="shared" si="45"/>
        <v>0</v>
      </c>
      <c r="AS17" s="349">
        <f t="shared" si="46"/>
        <v>0</v>
      </c>
      <c r="AT17" s="349">
        <f t="shared" si="47"/>
        <v>0</v>
      </c>
      <c r="AU17" s="349">
        <f t="shared" si="48"/>
        <v>0</v>
      </c>
      <c r="AV17" s="349">
        <f t="shared" si="49"/>
        <v>0</v>
      </c>
      <c r="AW17" s="349">
        <f t="shared" si="65"/>
        <v>0</v>
      </c>
      <c r="AX17" s="349"/>
      <c r="AY17" s="350">
        <f>(IF((SUM(AR17:AX17)&lt;&gt;0),(SUM(AR17:AX17)),$F17))</f>
        <v>0</v>
      </c>
      <c r="AZ17" s="351">
        <f t="shared" si="51"/>
        <v>0</v>
      </c>
      <c r="BA17" s="351">
        <f t="shared" si="52"/>
        <v>0</v>
      </c>
      <c r="BB17" s="351">
        <f t="shared" si="53"/>
        <v>0</v>
      </c>
      <c r="BC17" s="351">
        <f t="shared" si="54"/>
        <v>0</v>
      </c>
      <c r="BD17" s="351">
        <f t="shared" si="55"/>
        <v>0</v>
      </c>
      <c r="BE17" s="351">
        <f t="shared" si="66"/>
        <v>0</v>
      </c>
      <c r="BF17" s="351"/>
      <c r="BG17" s="352">
        <f>(IF((SUM(AZ17:BF17)&lt;&gt;0),(SUM(AZ17:BF17)),$G17))</f>
        <v>0</v>
      </c>
      <c r="BH17" s="367">
        <f t="shared" si="57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67"/>
        <v>0</v>
      </c>
      <c r="BN17" s="367"/>
      <c r="BO17" s="368">
        <f t="shared" si="9"/>
        <v>0</v>
      </c>
      <c r="BP17" s="369">
        <f t="shared" si="58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68"/>
        <v>0</v>
      </c>
      <c r="BV17" s="369"/>
      <c r="BW17" s="370">
        <f t="shared" si="14"/>
        <v>0</v>
      </c>
      <c r="BX17" s="375">
        <f t="shared" si="59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69"/>
        <v>0</v>
      </c>
      <c r="CD17" s="375"/>
      <c r="CE17" s="372">
        <f t="shared" si="19"/>
        <v>0</v>
      </c>
      <c r="CF17" s="373">
        <f t="shared" si="60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0"/>
        <v>0</v>
      </c>
      <c r="CL17" s="373"/>
      <c r="CM17" s="374">
        <f t="shared" si="24"/>
        <v>0</v>
      </c>
      <c r="CP17" s="353" t="str">
        <v>PD0201</v>
      </c>
      <c r="CQ17" s="353" t="str">
        <v>PD0201</v>
      </c>
      <c r="CR17" s="353"/>
      <c r="CS17" s="353"/>
      <c r="CT17" s="353"/>
      <c r="CU17" s="353"/>
    </row>
    <row r="18" spans="1:99" ht="15" customHeight="1" thickTop="1" thickBot="1">
      <c r="A18" s="354" t="str">
        <f>FREQUENCIAS!O$1</f>
        <v>D21S11</v>
      </c>
      <c r="B18" s="382"/>
      <c r="C18" s="383"/>
      <c r="D18" s="383"/>
      <c r="E18" s="383"/>
      <c r="F18" s="383"/>
      <c r="G18" s="383"/>
      <c r="H18" s="383"/>
      <c r="I18" s="383"/>
      <c r="J18" s="383"/>
      <c r="K18" s="383"/>
      <c r="L18" s="341">
        <f t="shared" si="71"/>
        <v>0</v>
      </c>
      <c r="M18" s="341">
        <f t="shared" si="72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1"/>
        <v>0</v>
      </c>
      <c r="R18" s="341"/>
      <c r="S18" s="342">
        <f t="shared" si="26"/>
        <v>0</v>
      </c>
      <c r="T18" s="343">
        <f t="shared" si="27"/>
        <v>0</v>
      </c>
      <c r="U18" s="343">
        <f t="shared" si="28"/>
        <v>0</v>
      </c>
      <c r="V18" s="343">
        <f t="shared" si="29"/>
        <v>0</v>
      </c>
      <c r="W18" s="343">
        <f t="shared" si="30"/>
        <v>0</v>
      </c>
      <c r="X18" s="343">
        <f t="shared" si="31"/>
        <v>0</v>
      </c>
      <c r="Y18" s="343">
        <f t="shared" si="62"/>
        <v>0</v>
      </c>
      <c r="Z18" s="343"/>
      <c r="AA18" s="344">
        <f t="shared" si="32"/>
        <v>0</v>
      </c>
      <c r="AB18" s="345">
        <f t="shared" si="33"/>
        <v>0</v>
      </c>
      <c r="AC18" s="345">
        <f t="shared" si="34"/>
        <v>0</v>
      </c>
      <c r="AD18" s="345">
        <f t="shared" si="35"/>
        <v>0</v>
      </c>
      <c r="AE18" s="345">
        <f t="shared" si="36"/>
        <v>0</v>
      </c>
      <c r="AF18" s="345">
        <f t="shared" si="37"/>
        <v>0</v>
      </c>
      <c r="AG18" s="345">
        <f t="shared" si="63"/>
        <v>0</v>
      </c>
      <c r="AH18" s="345"/>
      <c r="AI18" s="346">
        <f t="shared" si="38"/>
        <v>0</v>
      </c>
      <c r="AJ18" s="347">
        <f t="shared" si="39"/>
        <v>0</v>
      </c>
      <c r="AK18" s="347">
        <f t="shared" si="40"/>
        <v>0</v>
      </c>
      <c r="AL18" s="347">
        <f t="shared" si="41"/>
        <v>0</v>
      </c>
      <c r="AM18" s="347">
        <f t="shared" si="42"/>
        <v>0</v>
      </c>
      <c r="AN18" s="347">
        <f t="shared" si="43"/>
        <v>0</v>
      </c>
      <c r="AO18" s="347">
        <f t="shared" si="64"/>
        <v>0</v>
      </c>
      <c r="AP18" s="347"/>
      <c r="AQ18" s="348">
        <f t="shared" si="44"/>
        <v>0</v>
      </c>
      <c r="AR18" s="349">
        <f t="shared" si="45"/>
        <v>0</v>
      </c>
      <c r="AS18" s="349">
        <f t="shared" si="46"/>
        <v>0</v>
      </c>
      <c r="AT18" s="349">
        <f t="shared" si="47"/>
        <v>0</v>
      </c>
      <c r="AU18" s="349">
        <f t="shared" si="48"/>
        <v>0</v>
      </c>
      <c r="AV18" s="349">
        <f t="shared" si="49"/>
        <v>0</v>
      </c>
      <c r="AW18" s="349">
        <f t="shared" si="65"/>
        <v>0</v>
      </c>
      <c r="AX18" s="349"/>
      <c r="AY18" s="350">
        <f t="shared" si="50"/>
        <v>0</v>
      </c>
      <c r="AZ18" s="351">
        <f t="shared" si="51"/>
        <v>0</v>
      </c>
      <c r="BA18" s="351">
        <f t="shared" si="52"/>
        <v>0</v>
      </c>
      <c r="BB18" s="351">
        <f t="shared" si="53"/>
        <v>0</v>
      </c>
      <c r="BC18" s="351">
        <f t="shared" si="54"/>
        <v>0</v>
      </c>
      <c r="BD18" s="351">
        <f t="shared" si="55"/>
        <v>0</v>
      </c>
      <c r="BE18" s="351">
        <f t="shared" si="66"/>
        <v>0</v>
      </c>
      <c r="BF18" s="351"/>
      <c r="BG18" s="352">
        <f t="shared" si="56"/>
        <v>0</v>
      </c>
      <c r="BH18" s="367">
        <f t="shared" si="57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67"/>
        <v>0</v>
      </c>
      <c r="BN18" s="367"/>
      <c r="BO18" s="368">
        <f t="shared" si="9"/>
        <v>0</v>
      </c>
      <c r="BP18" s="369">
        <f t="shared" si="58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68"/>
        <v>0</v>
      </c>
      <c r="BV18" s="369"/>
      <c r="BW18" s="370">
        <f t="shared" si="14"/>
        <v>0</v>
      </c>
      <c r="BX18" s="375">
        <f t="shared" si="59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69"/>
        <v>0</v>
      </c>
      <c r="CD18" s="375"/>
      <c r="CE18" s="372">
        <f t="shared" si="19"/>
        <v>0</v>
      </c>
      <c r="CF18" s="373">
        <f t="shared" si="60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0"/>
        <v>0</v>
      </c>
      <c r="CL18" s="373"/>
      <c r="CM18" s="374">
        <f t="shared" si="24"/>
        <v>0</v>
      </c>
      <c r="CP18" s="353" t="str">
        <v>PD0201</v>
      </c>
      <c r="CQ18" s="353" t="str">
        <v>PD0201</v>
      </c>
      <c r="CR18" s="353"/>
      <c r="CS18" s="353"/>
      <c r="CT18" s="353"/>
      <c r="CU18" s="353"/>
    </row>
    <row r="19" spans="1:99" ht="15" customHeight="1" thickTop="1" thickBot="1">
      <c r="A19" s="354" t="str">
        <f>FREQUENCIAS!P$1</f>
        <v>D7S820</v>
      </c>
      <c r="B19" s="382"/>
      <c r="C19" s="383"/>
      <c r="D19" s="383"/>
      <c r="E19" s="383"/>
      <c r="F19" s="383"/>
      <c r="G19" s="383"/>
      <c r="H19" s="383"/>
      <c r="I19" s="383"/>
      <c r="J19" s="383"/>
      <c r="K19" s="383"/>
      <c r="L19" s="341">
        <f t="shared" si="71"/>
        <v>0</v>
      </c>
      <c r="M19" s="341">
        <f t="shared" si="72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0</v>
      </c>
      <c r="T19" s="343">
        <f t="shared" si="27"/>
        <v>0</v>
      </c>
      <c r="U19" s="343">
        <f t="shared" si="28"/>
        <v>0</v>
      </c>
      <c r="V19" s="343">
        <f t="shared" si="29"/>
        <v>0</v>
      </c>
      <c r="W19" s="343">
        <f t="shared" si="30"/>
        <v>0</v>
      </c>
      <c r="X19" s="343">
        <f t="shared" si="31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0</v>
      </c>
      <c r="AB19" s="345">
        <f t="shared" si="33"/>
        <v>0</v>
      </c>
      <c r="AC19" s="345">
        <f t="shared" si="34"/>
        <v>0</v>
      </c>
      <c r="AD19" s="345">
        <f t="shared" si="35"/>
        <v>0</v>
      </c>
      <c r="AE19" s="345">
        <f t="shared" si="36"/>
        <v>0</v>
      </c>
      <c r="AF19" s="345">
        <f t="shared" si="37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0</v>
      </c>
      <c r="AJ19" s="347">
        <f t="shared" si="39"/>
        <v>0</v>
      </c>
      <c r="AK19" s="347">
        <f t="shared" si="40"/>
        <v>0</v>
      </c>
      <c r="AL19" s="347">
        <f t="shared" si="41"/>
        <v>0</v>
      </c>
      <c r="AM19" s="347">
        <f t="shared" si="42"/>
        <v>0</v>
      </c>
      <c r="AN19" s="347">
        <f t="shared" si="43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0</v>
      </c>
      <c r="AR19" s="349">
        <f t="shared" si="45"/>
        <v>0</v>
      </c>
      <c r="AS19" s="349">
        <f t="shared" si="46"/>
        <v>0</v>
      </c>
      <c r="AT19" s="349">
        <f t="shared" si="47"/>
        <v>0</v>
      </c>
      <c r="AU19" s="349">
        <f t="shared" si="48"/>
        <v>0</v>
      </c>
      <c r="AV19" s="349">
        <f t="shared" si="49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0</v>
      </c>
      <c r="AZ19" s="351">
        <f t="shared" si="51"/>
        <v>0</v>
      </c>
      <c r="BA19" s="351">
        <f t="shared" si="52"/>
        <v>0</v>
      </c>
      <c r="BB19" s="351">
        <f t="shared" si="53"/>
        <v>0</v>
      </c>
      <c r="BC19" s="351">
        <f t="shared" si="54"/>
        <v>0</v>
      </c>
      <c r="BD19" s="351">
        <f t="shared" si="55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0</v>
      </c>
      <c r="BH19" s="367">
        <f t="shared" si="57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74">((IF(($H19=38771),23.2,((IF(($H19=38800),24.3,((IF(($H19=38798),22.3,0)))))))))</f>
        <v>0</v>
      </c>
      <c r="BO19" s="368">
        <f t="shared" si="9"/>
        <v>0</v>
      </c>
      <c r="BP19" s="369">
        <f t="shared" si="58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76">((IF(($I19=38771),23.2,((IF(($I19=38800),24.3,((IF(($I19=38798),22.3,0)))))))))</f>
        <v>0</v>
      </c>
      <c r="BW19" s="370">
        <f t="shared" si="14"/>
        <v>0</v>
      </c>
      <c r="BX19" s="376">
        <f t="shared" si="59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78">((IF(($J19=38771),23.2,((IF(($J19=38800),24.3,((IF(($J19=38798),22.3,0)))))))))</f>
        <v>0</v>
      </c>
      <c r="CE19" s="372">
        <f t="shared" si="19"/>
        <v>0</v>
      </c>
      <c r="CF19" s="373">
        <f t="shared" si="60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0">((IF(($K19=38771),23.2,((IF(($K19=38800),24.3,((IF(($K19=38798),22.3,0)))))))))</f>
        <v>0</v>
      </c>
      <c r="CM19" s="374">
        <f t="shared" si="24"/>
        <v>0</v>
      </c>
      <c r="CP19" s="353" t="str">
        <v>PD0201</v>
      </c>
      <c r="CQ19" s="353" t="str">
        <v>PD0201</v>
      </c>
      <c r="CR19" s="353"/>
      <c r="CS19" s="353"/>
      <c r="CT19" s="353"/>
      <c r="CU19" s="353"/>
    </row>
    <row r="20" spans="1:99" ht="15" customHeight="1" thickTop="1" thickBot="1">
      <c r="A20" s="354" t="str">
        <f>FREQUENCIAS!Q$1</f>
        <v>D5S818</v>
      </c>
      <c r="B20" s="382"/>
      <c r="C20" s="383"/>
      <c r="D20" s="383"/>
      <c r="E20" s="383"/>
      <c r="F20" s="383"/>
      <c r="G20" s="383"/>
      <c r="H20" s="383"/>
      <c r="I20" s="383"/>
      <c r="J20" s="383"/>
      <c r="K20" s="383"/>
      <c r="L20" s="341">
        <f t="shared" si="71"/>
        <v>0</v>
      </c>
      <c r="M20" s="341">
        <f t="shared" si="72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1">(IF((SUM(L20:R20)&lt;&gt;0),(SUM(L20:R20)),$B20))</f>
        <v>0</v>
      </c>
      <c r="T20" s="343">
        <f t="shared" si="27"/>
        <v>0</v>
      </c>
      <c r="U20" s="343">
        <f t="shared" si="28"/>
        <v>0</v>
      </c>
      <c r="V20" s="343">
        <f t="shared" si="29"/>
        <v>0</v>
      </c>
      <c r="W20" s="343">
        <f t="shared" si="30"/>
        <v>0</v>
      </c>
      <c r="X20" s="343">
        <f t="shared" si="31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2">(IF((SUM(T20:Z20)&lt;&gt;0),(SUM(T20:Z20)),$C20))</f>
        <v>0</v>
      </c>
      <c r="AB20" s="345">
        <f t="shared" si="33"/>
        <v>0</v>
      </c>
      <c r="AC20" s="345">
        <f t="shared" si="34"/>
        <v>0</v>
      </c>
      <c r="AD20" s="345">
        <f t="shared" si="35"/>
        <v>0</v>
      </c>
      <c r="AE20" s="345">
        <f t="shared" si="36"/>
        <v>0</v>
      </c>
      <c r="AF20" s="345">
        <f t="shared" si="37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3">(IF((SUM(AB20:AH20)&lt;&gt;0),(SUM(AB20:AH20)),$D20))</f>
        <v>0</v>
      </c>
      <c r="AJ20" s="347">
        <f t="shared" si="39"/>
        <v>0</v>
      </c>
      <c r="AK20" s="347">
        <f t="shared" si="40"/>
        <v>0</v>
      </c>
      <c r="AL20" s="347">
        <f t="shared" si="41"/>
        <v>0</v>
      </c>
      <c r="AM20" s="347">
        <f t="shared" si="42"/>
        <v>0</v>
      </c>
      <c r="AN20" s="347">
        <f t="shared" si="43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84">(IF((SUM(AJ20:AP20)&lt;&gt;0),(SUM(AJ20:AP20)),$E20))</f>
        <v>0</v>
      </c>
      <c r="AR20" s="349">
        <f t="shared" si="45"/>
        <v>0</v>
      </c>
      <c r="AS20" s="349">
        <f t="shared" si="46"/>
        <v>0</v>
      </c>
      <c r="AT20" s="349">
        <f t="shared" si="47"/>
        <v>0</v>
      </c>
      <c r="AU20" s="349">
        <f t="shared" si="48"/>
        <v>0</v>
      </c>
      <c r="AV20" s="349">
        <f t="shared" si="49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85">(IF((SUM(AR20:AX20)&lt;&gt;0),(SUM(AR20:AX20)),$F20))</f>
        <v>0</v>
      </c>
      <c r="AZ20" s="351">
        <f t="shared" si="51"/>
        <v>0</v>
      </c>
      <c r="BA20" s="351">
        <f t="shared" si="52"/>
        <v>0</v>
      </c>
      <c r="BB20" s="351">
        <f t="shared" si="53"/>
        <v>0</v>
      </c>
      <c r="BC20" s="351">
        <f t="shared" si="54"/>
        <v>0</v>
      </c>
      <c r="BD20" s="351">
        <f t="shared" si="55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86">(IF((SUM(AZ20:BF20)&lt;&gt;0),(SUM(AZ20:BF20)),$G20))</f>
        <v>0</v>
      </c>
      <c r="BH20" s="367">
        <f t="shared" si="57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3"/>
        <v>0</v>
      </c>
      <c r="BN20" s="367">
        <f t="shared" si="74"/>
        <v>0</v>
      </c>
      <c r="BO20" s="368">
        <f t="shared" si="9"/>
        <v>0</v>
      </c>
      <c r="BP20" s="369">
        <f t="shared" si="58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75"/>
        <v>0</v>
      </c>
      <c r="BV20" s="369">
        <f t="shared" si="76"/>
        <v>0</v>
      </c>
      <c r="BW20" s="370">
        <f t="shared" si="14"/>
        <v>0</v>
      </c>
      <c r="BX20" s="376">
        <f t="shared" si="59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77"/>
        <v>0</v>
      </c>
      <c r="CD20" s="375">
        <f t="shared" si="78"/>
        <v>0</v>
      </c>
      <c r="CE20" s="372">
        <f t="shared" si="19"/>
        <v>0</v>
      </c>
      <c r="CF20" s="373">
        <f t="shared" si="60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79"/>
        <v>0</v>
      </c>
      <c r="CL20" s="373">
        <f t="shared" si="80"/>
        <v>0</v>
      </c>
      <c r="CM20" s="374">
        <f t="shared" si="24"/>
        <v>0</v>
      </c>
      <c r="CP20" s="353" t="str">
        <v>PD0201</v>
      </c>
      <c r="CQ20" s="353" t="str">
        <v>PD0201</v>
      </c>
      <c r="CR20" s="353"/>
      <c r="CS20" s="353"/>
      <c r="CT20" s="353"/>
      <c r="CU20" s="353"/>
    </row>
    <row r="21" spans="1:99" ht="15" customHeight="1" thickTop="1" thickBot="1">
      <c r="A21" s="354" t="str">
        <f>FREQUENCIAS!R$1</f>
        <v>TPOX</v>
      </c>
      <c r="B21" s="382"/>
      <c r="C21" s="383"/>
      <c r="D21" s="383"/>
      <c r="E21" s="383"/>
      <c r="F21" s="383"/>
      <c r="G21" s="383"/>
      <c r="H21" s="383"/>
      <c r="I21" s="383"/>
      <c r="J21" s="383"/>
      <c r="K21" s="383"/>
      <c r="L21" s="341">
        <f t="shared" si="71"/>
        <v>0</v>
      </c>
      <c r="M21" s="341">
        <f t="shared" si="72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1"/>
        <v>0</v>
      </c>
      <c r="T21" s="343">
        <f t="shared" si="27"/>
        <v>0</v>
      </c>
      <c r="U21" s="343">
        <f t="shared" si="28"/>
        <v>0</v>
      </c>
      <c r="V21" s="343">
        <f t="shared" si="29"/>
        <v>0</v>
      </c>
      <c r="W21" s="343">
        <f t="shared" si="30"/>
        <v>0</v>
      </c>
      <c r="X21" s="343">
        <f t="shared" si="31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2"/>
        <v>0</v>
      </c>
      <c r="AB21" s="345">
        <f t="shared" si="33"/>
        <v>0</v>
      </c>
      <c r="AC21" s="345">
        <f t="shared" si="34"/>
        <v>0</v>
      </c>
      <c r="AD21" s="345">
        <f t="shared" si="35"/>
        <v>0</v>
      </c>
      <c r="AE21" s="345">
        <f t="shared" si="36"/>
        <v>0</v>
      </c>
      <c r="AF21" s="345">
        <f t="shared" si="37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3"/>
        <v>0</v>
      </c>
      <c r="AJ21" s="347">
        <f t="shared" si="39"/>
        <v>0</v>
      </c>
      <c r="AK21" s="347">
        <f t="shared" si="40"/>
        <v>0</v>
      </c>
      <c r="AL21" s="347">
        <f t="shared" si="41"/>
        <v>0</v>
      </c>
      <c r="AM21" s="347">
        <f t="shared" si="42"/>
        <v>0</v>
      </c>
      <c r="AN21" s="347">
        <f t="shared" si="43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84"/>
        <v>0</v>
      </c>
      <c r="AR21" s="349">
        <f t="shared" si="45"/>
        <v>0</v>
      </c>
      <c r="AS21" s="349">
        <f t="shared" si="46"/>
        <v>0</v>
      </c>
      <c r="AT21" s="349">
        <f t="shared" si="47"/>
        <v>0</v>
      </c>
      <c r="AU21" s="349">
        <f t="shared" si="48"/>
        <v>0</v>
      </c>
      <c r="AV21" s="349">
        <f t="shared" si="49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85"/>
        <v>0</v>
      </c>
      <c r="AZ21" s="351">
        <f t="shared" si="51"/>
        <v>0</v>
      </c>
      <c r="BA21" s="351">
        <f t="shared" si="52"/>
        <v>0</v>
      </c>
      <c r="BB21" s="351">
        <f t="shared" si="53"/>
        <v>0</v>
      </c>
      <c r="BC21" s="351">
        <f t="shared" si="54"/>
        <v>0</v>
      </c>
      <c r="BD21" s="351">
        <f t="shared" si="55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86"/>
        <v>0</v>
      </c>
      <c r="BH21" s="367">
        <f t="shared" si="57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3"/>
        <v>0</v>
      </c>
      <c r="BN21" s="367">
        <f t="shared" si="74"/>
        <v>0</v>
      </c>
      <c r="BO21" s="368">
        <f t="shared" si="9"/>
        <v>0</v>
      </c>
      <c r="BP21" s="369">
        <f t="shared" si="58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75"/>
        <v>0</v>
      </c>
      <c r="BV21" s="369">
        <f t="shared" si="76"/>
        <v>0</v>
      </c>
      <c r="BW21" s="370">
        <f t="shared" si="14"/>
        <v>0</v>
      </c>
      <c r="BX21" s="376">
        <f t="shared" si="59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77"/>
        <v>0</v>
      </c>
      <c r="CD21" s="375">
        <f t="shared" si="78"/>
        <v>0</v>
      </c>
      <c r="CE21" s="372">
        <f t="shared" si="19"/>
        <v>0</v>
      </c>
      <c r="CF21" s="373">
        <f t="shared" si="60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79"/>
        <v>0</v>
      </c>
      <c r="CL21" s="373">
        <f t="shared" si="80"/>
        <v>0</v>
      </c>
      <c r="CM21" s="374">
        <f t="shared" si="24"/>
        <v>0</v>
      </c>
      <c r="CP21" s="353" t="str">
        <v>PD0201</v>
      </c>
      <c r="CQ21" s="353" t="str">
        <v>PD0201</v>
      </c>
      <c r="CR21" s="353"/>
      <c r="CS21" s="353"/>
      <c r="CT21" s="353"/>
      <c r="CU21" s="353"/>
    </row>
    <row r="22" spans="1:99" ht="15" customHeight="1" thickTop="1" thickBot="1">
      <c r="A22" s="354" t="str">
        <f>FREQUENCIAS!S$1</f>
        <v>D8S1179</v>
      </c>
      <c r="B22" s="382"/>
      <c r="C22" s="383"/>
      <c r="D22" s="383"/>
      <c r="E22" s="383"/>
      <c r="F22" s="383"/>
      <c r="G22" s="383"/>
      <c r="H22" s="383"/>
      <c r="I22" s="383"/>
      <c r="J22" s="383"/>
      <c r="K22" s="383"/>
      <c r="L22" s="341">
        <f t="shared" si="71"/>
        <v>0</v>
      </c>
      <c r="M22" s="341">
        <f t="shared" si="72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1"/>
        <v>0</v>
      </c>
      <c r="T22" s="343">
        <f t="shared" si="27"/>
        <v>0</v>
      </c>
      <c r="U22" s="343">
        <f t="shared" si="28"/>
        <v>0</v>
      </c>
      <c r="V22" s="343">
        <f t="shared" si="29"/>
        <v>0</v>
      </c>
      <c r="W22" s="343">
        <f t="shared" si="30"/>
        <v>0</v>
      </c>
      <c r="X22" s="343">
        <f t="shared" si="31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2"/>
        <v>0</v>
      </c>
      <c r="AB22" s="345">
        <f t="shared" si="33"/>
        <v>0</v>
      </c>
      <c r="AC22" s="345">
        <f t="shared" si="34"/>
        <v>0</v>
      </c>
      <c r="AD22" s="345">
        <f t="shared" si="35"/>
        <v>0</v>
      </c>
      <c r="AE22" s="345">
        <f t="shared" si="36"/>
        <v>0</v>
      </c>
      <c r="AF22" s="345">
        <f t="shared" si="37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3"/>
        <v>0</v>
      </c>
      <c r="AJ22" s="347">
        <f t="shared" si="39"/>
        <v>0</v>
      </c>
      <c r="AK22" s="347">
        <f t="shared" si="40"/>
        <v>0</v>
      </c>
      <c r="AL22" s="347">
        <f t="shared" si="41"/>
        <v>0</v>
      </c>
      <c r="AM22" s="347">
        <f t="shared" si="42"/>
        <v>0</v>
      </c>
      <c r="AN22" s="347">
        <f t="shared" si="43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84"/>
        <v>0</v>
      </c>
      <c r="AR22" s="349">
        <f t="shared" si="45"/>
        <v>0</v>
      </c>
      <c r="AS22" s="349">
        <f t="shared" si="46"/>
        <v>0</v>
      </c>
      <c r="AT22" s="349">
        <f t="shared" si="47"/>
        <v>0</v>
      </c>
      <c r="AU22" s="349">
        <f t="shared" si="48"/>
        <v>0</v>
      </c>
      <c r="AV22" s="349">
        <f t="shared" si="49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85"/>
        <v>0</v>
      </c>
      <c r="AZ22" s="351">
        <f t="shared" si="51"/>
        <v>0</v>
      </c>
      <c r="BA22" s="351">
        <f t="shared" si="52"/>
        <v>0</v>
      </c>
      <c r="BB22" s="351">
        <f t="shared" si="53"/>
        <v>0</v>
      </c>
      <c r="BC22" s="351">
        <f t="shared" si="54"/>
        <v>0</v>
      </c>
      <c r="BD22" s="351">
        <f t="shared" si="55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86"/>
        <v>0</v>
      </c>
      <c r="BH22" s="367">
        <f t="shared" si="57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3"/>
        <v>0</v>
      </c>
      <c r="BN22" s="367">
        <f t="shared" si="74"/>
        <v>0</v>
      </c>
      <c r="BO22" s="368">
        <f t="shared" si="9"/>
        <v>0</v>
      </c>
      <c r="BP22" s="369">
        <f t="shared" si="58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75"/>
        <v>0</v>
      </c>
      <c r="BV22" s="369">
        <f t="shared" si="76"/>
        <v>0</v>
      </c>
      <c r="BW22" s="370">
        <f t="shared" si="14"/>
        <v>0</v>
      </c>
      <c r="BX22" s="376">
        <f t="shared" si="59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77"/>
        <v>0</v>
      </c>
      <c r="CD22" s="375">
        <f t="shared" si="78"/>
        <v>0</v>
      </c>
      <c r="CE22" s="372">
        <f t="shared" si="19"/>
        <v>0</v>
      </c>
      <c r="CF22" s="373">
        <f t="shared" si="60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79"/>
        <v>0</v>
      </c>
      <c r="CL22" s="373">
        <f t="shared" si="80"/>
        <v>0</v>
      </c>
      <c r="CM22" s="374">
        <f t="shared" si="24"/>
        <v>0</v>
      </c>
      <c r="CP22" s="353" t="str">
        <v>PD0201</v>
      </c>
      <c r="CQ22" s="353" t="str">
        <v>PD0201</v>
      </c>
      <c r="CR22" s="353"/>
      <c r="CS22" s="353"/>
      <c r="CT22" s="353"/>
      <c r="CU22" s="353"/>
    </row>
    <row r="23" spans="1:99" ht="15" customHeight="1" thickTop="1" thickBot="1">
      <c r="A23" s="354" t="str">
        <f>FREQUENCIAS!T$1</f>
        <v>D12S391</v>
      </c>
      <c r="B23" s="382"/>
      <c r="C23" s="383"/>
      <c r="D23" s="383"/>
      <c r="E23" s="383"/>
      <c r="F23" s="383"/>
      <c r="G23" s="383"/>
      <c r="H23" s="383"/>
      <c r="I23" s="383"/>
      <c r="J23" s="383"/>
      <c r="K23" s="383"/>
      <c r="L23" s="341">
        <f t="shared" si="71"/>
        <v>0</v>
      </c>
      <c r="M23" s="341">
        <f t="shared" si="72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1"/>
        <v>0</v>
      </c>
      <c r="T23" s="343">
        <f t="shared" si="27"/>
        <v>0</v>
      </c>
      <c r="U23" s="343">
        <f t="shared" si="28"/>
        <v>0</v>
      </c>
      <c r="V23" s="343">
        <f t="shared" si="29"/>
        <v>0</v>
      </c>
      <c r="W23" s="343">
        <f t="shared" si="30"/>
        <v>0</v>
      </c>
      <c r="X23" s="343">
        <f t="shared" si="31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2"/>
        <v>0</v>
      </c>
      <c r="AB23" s="345">
        <f t="shared" si="33"/>
        <v>0</v>
      </c>
      <c r="AC23" s="345">
        <f t="shared" si="34"/>
        <v>0</v>
      </c>
      <c r="AD23" s="345">
        <f t="shared" si="35"/>
        <v>0</v>
      </c>
      <c r="AE23" s="345">
        <f t="shared" si="36"/>
        <v>0</v>
      </c>
      <c r="AF23" s="345">
        <f t="shared" si="37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3"/>
        <v>0</v>
      </c>
      <c r="AJ23" s="347">
        <f t="shared" si="39"/>
        <v>0</v>
      </c>
      <c r="AK23" s="347">
        <f t="shared" si="40"/>
        <v>0</v>
      </c>
      <c r="AL23" s="347">
        <f t="shared" si="41"/>
        <v>0</v>
      </c>
      <c r="AM23" s="347">
        <f t="shared" si="42"/>
        <v>0</v>
      </c>
      <c r="AN23" s="347">
        <f t="shared" si="43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84"/>
        <v>0</v>
      </c>
      <c r="AR23" s="349">
        <f t="shared" si="45"/>
        <v>0</v>
      </c>
      <c r="AS23" s="349">
        <f t="shared" si="46"/>
        <v>0</v>
      </c>
      <c r="AT23" s="349">
        <f t="shared" si="47"/>
        <v>0</v>
      </c>
      <c r="AU23" s="349">
        <f t="shared" si="48"/>
        <v>0</v>
      </c>
      <c r="AV23" s="349">
        <f t="shared" si="49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85"/>
        <v>0</v>
      </c>
      <c r="AZ23" s="351">
        <f t="shared" si="51"/>
        <v>0</v>
      </c>
      <c r="BA23" s="351">
        <f t="shared" si="52"/>
        <v>0</v>
      </c>
      <c r="BB23" s="351">
        <f t="shared" si="53"/>
        <v>0</v>
      </c>
      <c r="BC23" s="351">
        <f t="shared" si="54"/>
        <v>0</v>
      </c>
      <c r="BD23" s="351">
        <f t="shared" si="55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86"/>
        <v>0</v>
      </c>
      <c r="BH23" s="367">
        <f t="shared" si="57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3"/>
        <v>0</v>
      </c>
      <c r="BN23" s="367">
        <f t="shared" si="74"/>
        <v>0</v>
      </c>
      <c r="BO23" s="368">
        <f t="shared" si="9"/>
        <v>0</v>
      </c>
      <c r="BP23" s="369">
        <f t="shared" si="58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75"/>
        <v>0</v>
      </c>
      <c r="BV23" s="369">
        <f t="shared" si="76"/>
        <v>0</v>
      </c>
      <c r="BW23" s="370">
        <f t="shared" si="14"/>
        <v>0</v>
      </c>
      <c r="BX23" s="376">
        <f t="shared" si="59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77"/>
        <v>0</v>
      </c>
      <c r="CD23" s="375">
        <f t="shared" si="78"/>
        <v>0</v>
      </c>
      <c r="CE23" s="372">
        <f t="shared" si="19"/>
        <v>0</v>
      </c>
      <c r="CF23" s="373">
        <f t="shared" si="60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79"/>
        <v>0</v>
      </c>
      <c r="CL23" s="373">
        <f t="shared" si="80"/>
        <v>0</v>
      </c>
      <c r="CM23" s="374">
        <f t="shared" si="24"/>
        <v>0</v>
      </c>
      <c r="CP23" s="353" t="str">
        <v>PD0201</v>
      </c>
      <c r="CQ23" s="353" t="str">
        <v>PD0201</v>
      </c>
      <c r="CR23" s="353"/>
      <c r="CS23" s="353"/>
      <c r="CT23" s="353"/>
      <c r="CU23" s="353"/>
    </row>
    <row r="24" spans="1:99" ht="15" customHeight="1" thickTop="1" thickBot="1">
      <c r="A24" s="354" t="str">
        <f>FREQUENCIAS!U$1</f>
        <v>D19S433</v>
      </c>
      <c r="B24" s="382"/>
      <c r="C24" s="383"/>
      <c r="D24" s="383"/>
      <c r="E24" s="383"/>
      <c r="F24" s="383"/>
      <c r="G24" s="383"/>
      <c r="H24" s="383"/>
      <c r="I24" s="383"/>
      <c r="J24" s="383"/>
      <c r="K24" s="383"/>
      <c r="L24" s="341">
        <f t="shared" si="71"/>
        <v>0</v>
      </c>
      <c r="M24" s="341">
        <f t="shared" si="72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1"/>
        <v>0</v>
      </c>
      <c r="T24" s="343">
        <f t="shared" si="27"/>
        <v>0</v>
      </c>
      <c r="U24" s="343">
        <f t="shared" si="28"/>
        <v>0</v>
      </c>
      <c r="V24" s="343">
        <f t="shared" si="29"/>
        <v>0</v>
      </c>
      <c r="W24" s="343">
        <f t="shared" si="30"/>
        <v>0</v>
      </c>
      <c r="X24" s="343">
        <f t="shared" si="31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2"/>
        <v>0</v>
      </c>
      <c r="AB24" s="345">
        <f t="shared" si="33"/>
        <v>0</v>
      </c>
      <c r="AC24" s="345">
        <f t="shared" si="34"/>
        <v>0</v>
      </c>
      <c r="AD24" s="345">
        <f t="shared" si="35"/>
        <v>0</v>
      </c>
      <c r="AE24" s="345">
        <f t="shared" si="36"/>
        <v>0</v>
      </c>
      <c r="AF24" s="345">
        <f t="shared" si="37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3"/>
        <v>0</v>
      </c>
      <c r="AJ24" s="347">
        <f t="shared" si="39"/>
        <v>0</v>
      </c>
      <c r="AK24" s="347">
        <f t="shared" si="40"/>
        <v>0</v>
      </c>
      <c r="AL24" s="347">
        <f t="shared" si="41"/>
        <v>0</v>
      </c>
      <c r="AM24" s="347">
        <f t="shared" si="42"/>
        <v>0</v>
      </c>
      <c r="AN24" s="347">
        <f t="shared" si="43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84"/>
        <v>0</v>
      </c>
      <c r="AR24" s="349">
        <f t="shared" si="45"/>
        <v>0</v>
      </c>
      <c r="AS24" s="349">
        <f t="shared" si="46"/>
        <v>0</v>
      </c>
      <c r="AT24" s="349">
        <f t="shared" si="47"/>
        <v>0</v>
      </c>
      <c r="AU24" s="349">
        <f t="shared" si="48"/>
        <v>0</v>
      </c>
      <c r="AV24" s="349">
        <f t="shared" si="49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85"/>
        <v>0</v>
      </c>
      <c r="AZ24" s="351">
        <f t="shared" si="51"/>
        <v>0</v>
      </c>
      <c r="BA24" s="351">
        <f t="shared" si="52"/>
        <v>0</v>
      </c>
      <c r="BB24" s="351">
        <f t="shared" si="53"/>
        <v>0</v>
      </c>
      <c r="BC24" s="351">
        <f t="shared" si="54"/>
        <v>0</v>
      </c>
      <c r="BD24" s="351">
        <f t="shared" si="55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86"/>
        <v>0</v>
      </c>
      <c r="BH24" s="367">
        <f t="shared" si="57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3"/>
        <v>0</v>
      </c>
      <c r="BN24" s="367">
        <f t="shared" si="74"/>
        <v>0</v>
      </c>
      <c r="BO24" s="368">
        <f t="shared" si="9"/>
        <v>0</v>
      </c>
      <c r="BP24" s="369">
        <f t="shared" si="58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75"/>
        <v>0</v>
      </c>
      <c r="BV24" s="369">
        <f t="shared" si="76"/>
        <v>0</v>
      </c>
      <c r="BW24" s="370">
        <f t="shared" si="14"/>
        <v>0</v>
      </c>
      <c r="BX24" s="376">
        <f t="shared" si="59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77"/>
        <v>0</v>
      </c>
      <c r="CD24" s="375">
        <f t="shared" si="78"/>
        <v>0</v>
      </c>
      <c r="CE24" s="372">
        <f t="shared" si="19"/>
        <v>0</v>
      </c>
      <c r="CF24" s="373">
        <f t="shared" si="60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79"/>
        <v>0</v>
      </c>
      <c r="CL24" s="373">
        <f t="shared" si="80"/>
        <v>0</v>
      </c>
      <c r="CM24" s="374">
        <f t="shared" si="24"/>
        <v>0</v>
      </c>
      <c r="CP24" s="353" t="str">
        <v>PD0201</v>
      </c>
      <c r="CQ24" s="353" t="str">
        <v>PD0201</v>
      </c>
      <c r="CR24" s="353"/>
      <c r="CS24" s="353"/>
      <c r="CT24" s="353"/>
      <c r="CU24" s="353"/>
    </row>
    <row r="25" spans="1:99" ht="15" customHeight="1" thickTop="1" thickBot="1">
      <c r="A25" s="354" t="str">
        <f>FREQUENCIAS!V$1</f>
        <v>FGA</v>
      </c>
      <c r="B25" s="382"/>
      <c r="C25" s="383"/>
      <c r="D25" s="383"/>
      <c r="E25" s="383"/>
      <c r="F25" s="383"/>
      <c r="G25" s="383"/>
      <c r="H25" s="383"/>
      <c r="I25" s="383"/>
      <c r="J25" s="383"/>
      <c r="K25" s="383"/>
      <c r="L25" s="341">
        <f t="shared" si="71"/>
        <v>0</v>
      </c>
      <c r="M25" s="341">
        <f t="shared" si="72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1"/>
        <v>0</v>
      </c>
      <c r="T25" s="343">
        <f t="shared" si="27"/>
        <v>0</v>
      </c>
      <c r="U25" s="343">
        <f t="shared" si="28"/>
        <v>0</v>
      </c>
      <c r="V25" s="343">
        <f t="shared" si="29"/>
        <v>0</v>
      </c>
      <c r="W25" s="343">
        <f t="shared" si="30"/>
        <v>0</v>
      </c>
      <c r="X25" s="343">
        <f t="shared" si="31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2"/>
        <v>0</v>
      </c>
      <c r="AB25" s="345">
        <f t="shared" si="33"/>
        <v>0</v>
      </c>
      <c r="AC25" s="345">
        <f t="shared" si="34"/>
        <v>0</v>
      </c>
      <c r="AD25" s="345">
        <f t="shared" si="35"/>
        <v>0</v>
      </c>
      <c r="AE25" s="345">
        <f t="shared" si="36"/>
        <v>0</v>
      </c>
      <c r="AF25" s="345">
        <f t="shared" si="37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3"/>
        <v>0</v>
      </c>
      <c r="AJ25" s="347">
        <f t="shared" si="39"/>
        <v>0</v>
      </c>
      <c r="AK25" s="347">
        <f t="shared" si="40"/>
        <v>0</v>
      </c>
      <c r="AL25" s="347">
        <f t="shared" si="41"/>
        <v>0</v>
      </c>
      <c r="AM25" s="347">
        <f t="shared" si="42"/>
        <v>0</v>
      </c>
      <c r="AN25" s="347">
        <f t="shared" si="43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84"/>
        <v>0</v>
      </c>
      <c r="AR25" s="349">
        <f t="shared" si="45"/>
        <v>0</v>
      </c>
      <c r="AS25" s="349">
        <f t="shared" si="46"/>
        <v>0</v>
      </c>
      <c r="AT25" s="349">
        <f t="shared" si="47"/>
        <v>0</v>
      </c>
      <c r="AU25" s="349">
        <f t="shared" si="48"/>
        <v>0</v>
      </c>
      <c r="AV25" s="349">
        <f t="shared" si="49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85"/>
        <v>0</v>
      </c>
      <c r="AZ25" s="351">
        <f t="shared" si="51"/>
        <v>0</v>
      </c>
      <c r="BA25" s="351">
        <f t="shared" si="52"/>
        <v>0</v>
      </c>
      <c r="BB25" s="351">
        <f t="shared" si="53"/>
        <v>0</v>
      </c>
      <c r="BC25" s="351">
        <f t="shared" si="54"/>
        <v>0</v>
      </c>
      <c r="BD25" s="351">
        <f t="shared" si="55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86"/>
        <v>0</v>
      </c>
      <c r="BH25" s="367">
        <f t="shared" si="57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3"/>
        <v>0</v>
      </c>
      <c r="BN25" s="367">
        <f t="shared" si="74"/>
        <v>0</v>
      </c>
      <c r="BO25" s="368">
        <f t="shared" si="9"/>
        <v>0</v>
      </c>
      <c r="BP25" s="369">
        <f t="shared" si="58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75"/>
        <v>0</v>
      </c>
      <c r="BV25" s="369">
        <f t="shared" si="76"/>
        <v>0</v>
      </c>
      <c r="BW25" s="370">
        <f t="shared" si="14"/>
        <v>0</v>
      </c>
      <c r="BX25" s="376">
        <f t="shared" si="59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77"/>
        <v>0</v>
      </c>
      <c r="CD25" s="375">
        <f t="shared" si="78"/>
        <v>0</v>
      </c>
      <c r="CE25" s="372">
        <f t="shared" si="19"/>
        <v>0</v>
      </c>
      <c r="CF25" s="373">
        <f t="shared" si="60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79"/>
        <v>0</v>
      </c>
      <c r="CL25" s="373">
        <f t="shared" si="80"/>
        <v>0</v>
      </c>
      <c r="CM25" s="374">
        <f t="shared" si="24"/>
        <v>0</v>
      </c>
      <c r="CP25" s="353"/>
      <c r="CQ25" s="353"/>
      <c r="CR25" s="353"/>
      <c r="CS25" s="353"/>
      <c r="CT25" s="353"/>
      <c r="CU25" s="353"/>
    </row>
    <row r="26" spans="1:99" ht="15" customHeight="1" thickTop="1" thickBot="1">
      <c r="A26" s="354" t="str">
        <f>FREQUENCIAS!W$1</f>
        <v>D22S1045</v>
      </c>
      <c r="B26" s="382"/>
      <c r="C26" s="383"/>
      <c r="D26" s="383"/>
      <c r="E26" s="383"/>
      <c r="F26" s="383"/>
      <c r="G26" s="383"/>
      <c r="H26" s="383"/>
      <c r="I26" s="383"/>
      <c r="J26" s="383"/>
      <c r="K26" s="383"/>
      <c r="L26" s="341">
        <f t="shared" si="71"/>
        <v>0</v>
      </c>
      <c r="M26" s="341">
        <f t="shared" si="72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1"/>
        <v>0</v>
      </c>
      <c r="T26" s="343">
        <f t="shared" si="27"/>
        <v>0</v>
      </c>
      <c r="U26" s="343">
        <f t="shared" si="28"/>
        <v>0</v>
      </c>
      <c r="V26" s="343">
        <f t="shared" si="29"/>
        <v>0</v>
      </c>
      <c r="W26" s="343">
        <f t="shared" si="30"/>
        <v>0</v>
      </c>
      <c r="X26" s="343">
        <f t="shared" si="31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2"/>
        <v>0</v>
      </c>
      <c r="AB26" s="345">
        <f t="shared" si="33"/>
        <v>0</v>
      </c>
      <c r="AC26" s="345">
        <f t="shared" si="34"/>
        <v>0</v>
      </c>
      <c r="AD26" s="345">
        <f t="shared" si="35"/>
        <v>0</v>
      </c>
      <c r="AE26" s="345">
        <f t="shared" si="36"/>
        <v>0</v>
      </c>
      <c r="AF26" s="345">
        <f t="shared" si="37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3"/>
        <v>0</v>
      </c>
      <c r="AJ26" s="347">
        <f t="shared" si="39"/>
        <v>0</v>
      </c>
      <c r="AK26" s="347">
        <f t="shared" si="40"/>
        <v>0</v>
      </c>
      <c r="AL26" s="347">
        <f t="shared" si="41"/>
        <v>0</v>
      </c>
      <c r="AM26" s="347">
        <f t="shared" si="42"/>
        <v>0</v>
      </c>
      <c r="AN26" s="347">
        <f t="shared" si="43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84"/>
        <v>0</v>
      </c>
      <c r="AR26" s="349">
        <f t="shared" si="45"/>
        <v>0</v>
      </c>
      <c r="AS26" s="349">
        <f t="shared" si="46"/>
        <v>0</v>
      </c>
      <c r="AT26" s="349">
        <f t="shared" si="47"/>
        <v>0</v>
      </c>
      <c r="AU26" s="349">
        <f t="shared" si="48"/>
        <v>0</v>
      </c>
      <c r="AV26" s="349">
        <f t="shared" si="49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85"/>
        <v>0</v>
      </c>
      <c r="AZ26" s="351">
        <f t="shared" si="51"/>
        <v>0</v>
      </c>
      <c r="BA26" s="351">
        <f t="shared" si="52"/>
        <v>0</v>
      </c>
      <c r="BB26" s="351">
        <f t="shared" si="53"/>
        <v>0</v>
      </c>
      <c r="BC26" s="351">
        <f t="shared" si="54"/>
        <v>0</v>
      </c>
      <c r="BD26" s="351">
        <f t="shared" si="55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86"/>
        <v>0</v>
      </c>
      <c r="BH26" s="367">
        <f t="shared" si="57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3"/>
        <v>0</v>
      </c>
      <c r="BN26" s="367">
        <f t="shared" si="74"/>
        <v>0</v>
      </c>
      <c r="BO26" s="368">
        <f t="shared" si="9"/>
        <v>0</v>
      </c>
      <c r="BP26" s="369">
        <f t="shared" si="58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75"/>
        <v>0</v>
      </c>
      <c r="BV26" s="369">
        <f t="shared" si="76"/>
        <v>0</v>
      </c>
      <c r="BW26" s="370">
        <f t="shared" si="14"/>
        <v>0</v>
      </c>
      <c r="BX26" s="376">
        <f t="shared" si="59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77"/>
        <v>0</v>
      </c>
      <c r="CD26" s="375">
        <f t="shared" si="78"/>
        <v>0</v>
      </c>
      <c r="CE26" s="372">
        <f t="shared" si="19"/>
        <v>0</v>
      </c>
      <c r="CF26" s="373">
        <f t="shared" si="60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79"/>
        <v>0</v>
      </c>
      <c r="CL26" s="373">
        <f t="shared" si="80"/>
        <v>0</v>
      </c>
      <c r="CM26" s="374">
        <f t="shared" si="24"/>
        <v>0</v>
      </c>
      <c r="CP26" s="353"/>
      <c r="CQ26" s="353"/>
      <c r="CR26" s="353"/>
      <c r="CS26" s="353"/>
      <c r="CT26" s="353"/>
      <c r="CU26" s="353"/>
    </row>
    <row r="27" spans="1:99" ht="15" customHeight="1" thickTop="1" thickBot="1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1"/>
        <v>0</v>
      </c>
      <c r="M27" s="341">
        <f t="shared" si="72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87">(IF((SUM(L27:R27)&lt;&gt;0),(SUM(L27:R27)),$B27))</f>
        <v>0</v>
      </c>
      <c r="T27" s="343">
        <f t="shared" si="27"/>
        <v>0</v>
      </c>
      <c r="U27" s="343">
        <f t="shared" si="28"/>
        <v>0</v>
      </c>
      <c r="V27" s="343">
        <f t="shared" si="29"/>
        <v>0</v>
      </c>
      <c r="W27" s="343">
        <f t="shared" si="30"/>
        <v>0</v>
      </c>
      <c r="X27" s="343">
        <f t="shared" si="31"/>
        <v>0</v>
      </c>
      <c r="Y27" s="343">
        <f t="shared" ref="Y27:Y38" si="88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89">(IF((SUM(T27:Z27)&lt;&gt;0),(SUM(T27:Z27)),$C27))</f>
        <v>0</v>
      </c>
      <c r="AB27" s="345">
        <f t="shared" si="33"/>
        <v>0</v>
      </c>
      <c r="AC27" s="345">
        <f t="shared" si="34"/>
        <v>0</v>
      </c>
      <c r="AD27" s="345">
        <f t="shared" si="35"/>
        <v>0</v>
      </c>
      <c r="AE27" s="345">
        <f t="shared" si="36"/>
        <v>0</v>
      </c>
      <c r="AF27" s="345">
        <f t="shared" si="37"/>
        <v>0</v>
      </c>
      <c r="AG27" s="345">
        <f t="shared" ref="AG27:AG38" si="90">((IF(($D27="34.1"),34.1,((IF(($D27="35.1"),35.1,((IF(($D27=38733),16.1,((IF(($D27=38768),20.2,((IF(($D27=38774),26.2,0)))))))))))))))</f>
        <v>0</v>
      </c>
      <c r="AH27" s="345"/>
      <c r="AI27" s="346">
        <f t="shared" ref="AI27:AI38" si="91">(IF((SUM(AB27:AH27)&lt;&gt;0),(SUM(AB27:AH27)),$D27))</f>
        <v>0</v>
      </c>
      <c r="AJ27" s="347">
        <f t="shared" si="39"/>
        <v>0</v>
      </c>
      <c r="AK27" s="347">
        <f t="shared" si="40"/>
        <v>0</v>
      </c>
      <c r="AL27" s="347">
        <f t="shared" si="41"/>
        <v>0</v>
      </c>
      <c r="AM27" s="347">
        <f t="shared" si="42"/>
        <v>0</v>
      </c>
      <c r="AN27" s="347">
        <f t="shared" si="43"/>
        <v>0</v>
      </c>
      <c r="AO27" s="347">
        <f t="shared" ref="AO27:AO38" si="92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3">(IF((SUM(AJ27:AP27)&lt;&gt;0),(SUM(AJ27:AP27)),$E27))</f>
        <v>0</v>
      </c>
      <c r="AR27" s="349">
        <f t="shared" si="45"/>
        <v>0</v>
      </c>
      <c r="AS27" s="349">
        <f t="shared" si="46"/>
        <v>0</v>
      </c>
      <c r="AT27" s="349">
        <f t="shared" si="47"/>
        <v>0</v>
      </c>
      <c r="AU27" s="349">
        <f t="shared" si="48"/>
        <v>0</v>
      </c>
      <c r="AV27" s="349">
        <f t="shared" si="49"/>
        <v>0</v>
      </c>
      <c r="AW27" s="349">
        <f t="shared" ref="AW27:AW38" si="94">((IF(($F27="34.1"),34.1,((IF(($F27="35.1"),35.1,((IF(($F27=38733),16.1,((IF(($F27=38768),20.2,((IF(($F27=38774),26.2,0)))))))))))))))</f>
        <v>0</v>
      </c>
      <c r="AX27" s="349"/>
      <c r="AY27" s="350">
        <f t="shared" ref="AY27:AY38" si="95">(IF((SUM(AR27:AX27)&lt;&gt;0),(SUM(AR27:AX27)),$F27))</f>
        <v>0</v>
      </c>
      <c r="AZ27" s="351">
        <f t="shared" si="51"/>
        <v>0</v>
      </c>
      <c r="BA27" s="351">
        <f t="shared" si="52"/>
        <v>0</v>
      </c>
      <c r="BB27" s="351">
        <f t="shared" si="53"/>
        <v>0</v>
      </c>
      <c r="BC27" s="351">
        <f t="shared" si="54"/>
        <v>0</v>
      </c>
      <c r="BD27" s="351">
        <f t="shared" si="55"/>
        <v>0</v>
      </c>
      <c r="BE27" s="351">
        <f t="shared" ref="BE27:BE38" si="96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97">(IF((SUM(AZ27:BF27)&lt;&gt;0),(SUM(AZ27:BF27)),$G27))</f>
        <v>0</v>
      </c>
      <c r="BH27" s="367">
        <f t="shared" si="57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3"/>
        <v>0</v>
      </c>
      <c r="BN27" s="367">
        <f t="shared" si="74"/>
        <v>0</v>
      </c>
      <c r="BO27" s="368">
        <f t="shared" si="9"/>
        <v>0</v>
      </c>
      <c r="BP27" s="369">
        <f t="shared" si="58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75"/>
        <v>0</v>
      </c>
      <c r="BV27" s="369">
        <f t="shared" si="76"/>
        <v>0</v>
      </c>
      <c r="BW27" s="370">
        <f t="shared" si="14"/>
        <v>0</v>
      </c>
      <c r="BX27" s="376">
        <f t="shared" si="59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77"/>
        <v>0</v>
      </c>
      <c r="CD27" s="375">
        <f t="shared" si="78"/>
        <v>0</v>
      </c>
      <c r="CE27" s="372">
        <f t="shared" si="19"/>
        <v>0</v>
      </c>
      <c r="CF27" s="373">
        <f t="shared" si="60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79"/>
        <v>0</v>
      </c>
      <c r="CL27" s="373">
        <f t="shared" si="80"/>
        <v>0</v>
      </c>
      <c r="CM27" s="374">
        <f t="shared" si="24"/>
        <v>0</v>
      </c>
      <c r="CP27" s="353"/>
      <c r="CQ27" s="353"/>
      <c r="CR27" s="353"/>
      <c r="CS27" s="353"/>
      <c r="CT27" s="353"/>
      <c r="CU27" s="353"/>
    </row>
    <row r="28" spans="1:99" ht="15" customHeight="1" thickTop="1" thickBot="1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1"/>
        <v>0</v>
      </c>
      <c r="M28" s="341">
        <f t="shared" si="72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87"/>
        <v>0</v>
      </c>
      <c r="T28" s="343">
        <f t="shared" si="27"/>
        <v>0</v>
      </c>
      <c r="U28" s="343">
        <f t="shared" si="28"/>
        <v>0</v>
      </c>
      <c r="V28" s="343">
        <f t="shared" si="29"/>
        <v>0</v>
      </c>
      <c r="W28" s="343">
        <f t="shared" si="30"/>
        <v>0</v>
      </c>
      <c r="X28" s="343">
        <f t="shared" si="31"/>
        <v>0</v>
      </c>
      <c r="Y28" s="343">
        <f t="shared" si="88"/>
        <v>0</v>
      </c>
      <c r="Z28" s="343"/>
      <c r="AA28" s="344">
        <f t="shared" si="89"/>
        <v>0</v>
      </c>
      <c r="AB28" s="345">
        <f t="shared" si="33"/>
        <v>0</v>
      </c>
      <c r="AC28" s="345">
        <f t="shared" si="34"/>
        <v>0</v>
      </c>
      <c r="AD28" s="345">
        <f t="shared" si="35"/>
        <v>0</v>
      </c>
      <c r="AE28" s="345">
        <f t="shared" si="36"/>
        <v>0</v>
      </c>
      <c r="AF28" s="345">
        <f t="shared" si="37"/>
        <v>0</v>
      </c>
      <c r="AG28" s="345">
        <f t="shared" si="90"/>
        <v>0</v>
      </c>
      <c r="AH28" s="345"/>
      <c r="AI28" s="346">
        <f t="shared" si="91"/>
        <v>0</v>
      </c>
      <c r="AJ28" s="347">
        <f t="shared" si="39"/>
        <v>0</v>
      </c>
      <c r="AK28" s="347">
        <f t="shared" si="40"/>
        <v>0</v>
      </c>
      <c r="AL28" s="347">
        <f t="shared" si="41"/>
        <v>0</v>
      </c>
      <c r="AM28" s="347">
        <f t="shared" si="42"/>
        <v>0</v>
      </c>
      <c r="AN28" s="347">
        <f t="shared" si="43"/>
        <v>0</v>
      </c>
      <c r="AO28" s="347">
        <f t="shared" si="92"/>
        <v>0</v>
      </c>
      <c r="AP28" s="347"/>
      <c r="AQ28" s="348">
        <f t="shared" si="93"/>
        <v>0</v>
      </c>
      <c r="AR28" s="349">
        <f t="shared" si="45"/>
        <v>0</v>
      </c>
      <c r="AS28" s="349">
        <f t="shared" si="46"/>
        <v>0</v>
      </c>
      <c r="AT28" s="349">
        <f t="shared" si="47"/>
        <v>0</v>
      </c>
      <c r="AU28" s="349">
        <f t="shared" si="48"/>
        <v>0</v>
      </c>
      <c r="AV28" s="349">
        <f t="shared" si="49"/>
        <v>0</v>
      </c>
      <c r="AW28" s="349">
        <f t="shared" si="94"/>
        <v>0</v>
      </c>
      <c r="AX28" s="349"/>
      <c r="AY28" s="350">
        <f t="shared" si="95"/>
        <v>0</v>
      </c>
      <c r="AZ28" s="351">
        <f t="shared" si="51"/>
        <v>0</v>
      </c>
      <c r="BA28" s="351">
        <f t="shared" si="52"/>
        <v>0</v>
      </c>
      <c r="BB28" s="351">
        <f t="shared" si="53"/>
        <v>0</v>
      </c>
      <c r="BC28" s="351">
        <f t="shared" si="54"/>
        <v>0</v>
      </c>
      <c r="BD28" s="351">
        <f t="shared" si="55"/>
        <v>0</v>
      </c>
      <c r="BE28" s="351">
        <f t="shared" si="96"/>
        <v>0</v>
      </c>
      <c r="BF28" s="351"/>
      <c r="BG28" s="352">
        <f t="shared" si="97"/>
        <v>0</v>
      </c>
      <c r="BH28" s="367">
        <f t="shared" si="57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3"/>
        <v>0</v>
      </c>
      <c r="BN28" s="367">
        <f t="shared" si="74"/>
        <v>0</v>
      </c>
      <c r="BO28" s="368">
        <f t="shared" si="9"/>
        <v>0</v>
      </c>
      <c r="BP28" s="369">
        <f t="shared" si="58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75"/>
        <v>0</v>
      </c>
      <c r="BV28" s="369">
        <f t="shared" si="76"/>
        <v>0</v>
      </c>
      <c r="BW28" s="370">
        <f t="shared" si="14"/>
        <v>0</v>
      </c>
      <c r="BX28" s="376">
        <f t="shared" si="59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77"/>
        <v>0</v>
      </c>
      <c r="CD28" s="375">
        <f t="shared" si="78"/>
        <v>0</v>
      </c>
      <c r="CE28" s="372">
        <f t="shared" si="19"/>
        <v>0</v>
      </c>
      <c r="CF28" s="373">
        <f t="shared" si="60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79"/>
        <v>0</v>
      </c>
      <c r="CL28" s="373">
        <f t="shared" si="80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99" ht="15" customHeight="1" thickTop="1" thickBot="1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87"/>
        <v>0</v>
      </c>
      <c r="T29" s="343">
        <f t="shared" si="27"/>
        <v>0</v>
      </c>
      <c r="U29" s="343">
        <f t="shared" si="28"/>
        <v>0</v>
      </c>
      <c r="V29" s="343">
        <f t="shared" si="29"/>
        <v>0</v>
      </c>
      <c r="W29" s="343">
        <f t="shared" si="30"/>
        <v>0</v>
      </c>
      <c r="X29" s="343">
        <f t="shared" si="31"/>
        <v>0</v>
      </c>
      <c r="Y29" s="343">
        <f t="shared" si="88"/>
        <v>0</v>
      </c>
      <c r="Z29" s="343"/>
      <c r="AA29" s="344">
        <f t="shared" si="89"/>
        <v>0</v>
      </c>
      <c r="AB29" s="345">
        <f t="shared" si="33"/>
        <v>0</v>
      </c>
      <c r="AC29" s="345">
        <f t="shared" si="34"/>
        <v>0</v>
      </c>
      <c r="AD29" s="345">
        <f t="shared" si="35"/>
        <v>0</v>
      </c>
      <c r="AE29" s="345">
        <f t="shared" si="36"/>
        <v>0</v>
      </c>
      <c r="AF29" s="345">
        <f t="shared" si="37"/>
        <v>0</v>
      </c>
      <c r="AG29" s="345">
        <f t="shared" si="90"/>
        <v>0</v>
      </c>
      <c r="AH29" s="345"/>
      <c r="AI29" s="346">
        <f t="shared" si="91"/>
        <v>0</v>
      </c>
      <c r="AJ29" s="347">
        <f t="shared" si="39"/>
        <v>0</v>
      </c>
      <c r="AK29" s="347">
        <f t="shared" si="40"/>
        <v>0</v>
      </c>
      <c r="AL29" s="347">
        <f t="shared" si="41"/>
        <v>0</v>
      </c>
      <c r="AM29" s="347">
        <f t="shared" si="42"/>
        <v>0</v>
      </c>
      <c r="AN29" s="347">
        <f t="shared" si="43"/>
        <v>0</v>
      </c>
      <c r="AO29" s="347">
        <f t="shared" si="92"/>
        <v>0</v>
      </c>
      <c r="AP29" s="347"/>
      <c r="AQ29" s="348">
        <f t="shared" si="93"/>
        <v>0</v>
      </c>
      <c r="AR29" s="349">
        <f t="shared" si="45"/>
        <v>0</v>
      </c>
      <c r="AS29" s="349">
        <f t="shared" si="46"/>
        <v>0</v>
      </c>
      <c r="AT29" s="349">
        <f t="shared" si="47"/>
        <v>0</v>
      </c>
      <c r="AU29" s="349">
        <f t="shared" si="48"/>
        <v>0</v>
      </c>
      <c r="AV29" s="349">
        <f t="shared" si="49"/>
        <v>0</v>
      </c>
      <c r="AW29" s="349">
        <f t="shared" si="94"/>
        <v>0</v>
      </c>
      <c r="AX29" s="349"/>
      <c r="AY29" s="350">
        <f t="shared" si="95"/>
        <v>0</v>
      </c>
      <c r="AZ29" s="351">
        <f t="shared" si="51"/>
        <v>0</v>
      </c>
      <c r="BA29" s="351">
        <f t="shared" si="52"/>
        <v>0</v>
      </c>
      <c r="BB29" s="351">
        <f t="shared" si="53"/>
        <v>0</v>
      </c>
      <c r="BC29" s="351">
        <f t="shared" si="54"/>
        <v>0</v>
      </c>
      <c r="BD29" s="351">
        <f t="shared" si="55"/>
        <v>0</v>
      </c>
      <c r="BE29" s="351">
        <f t="shared" si="96"/>
        <v>0</v>
      </c>
      <c r="BF29" s="351"/>
      <c r="BG29" s="352">
        <f t="shared" si="97"/>
        <v>0</v>
      </c>
      <c r="BH29" s="367">
        <f t="shared" si="57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3"/>
        <v>0</v>
      </c>
      <c r="BN29" s="367">
        <f t="shared" si="74"/>
        <v>0</v>
      </c>
      <c r="BO29" s="368">
        <f t="shared" si="9"/>
        <v>0</v>
      </c>
      <c r="BP29" s="369">
        <f t="shared" si="58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75"/>
        <v>0</v>
      </c>
      <c r="BV29" s="369">
        <f t="shared" si="76"/>
        <v>0</v>
      </c>
      <c r="BW29" s="370">
        <f t="shared" si="14"/>
        <v>0</v>
      </c>
      <c r="BX29" s="376">
        <f t="shared" si="59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77"/>
        <v>0</v>
      </c>
      <c r="CD29" s="375">
        <f t="shared" si="78"/>
        <v>0</v>
      </c>
      <c r="CE29" s="372">
        <f t="shared" si="19"/>
        <v>0</v>
      </c>
      <c r="CF29" s="373">
        <f t="shared" si="60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79"/>
        <v>0</v>
      </c>
      <c r="CL29" s="373">
        <f t="shared" si="80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99" ht="15" customHeight="1" thickTop="1" thickBot="1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87"/>
        <v>0</v>
      </c>
      <c r="T30" s="343">
        <f t="shared" si="27"/>
        <v>0</v>
      </c>
      <c r="U30" s="343">
        <f t="shared" si="28"/>
        <v>0</v>
      </c>
      <c r="V30" s="343">
        <f t="shared" si="29"/>
        <v>0</v>
      </c>
      <c r="W30" s="343">
        <f t="shared" si="30"/>
        <v>0</v>
      </c>
      <c r="X30" s="343">
        <f t="shared" si="31"/>
        <v>0</v>
      </c>
      <c r="Y30" s="343">
        <f t="shared" si="88"/>
        <v>0</v>
      </c>
      <c r="Z30" s="343"/>
      <c r="AA30" s="344">
        <f t="shared" si="89"/>
        <v>0</v>
      </c>
      <c r="AB30" s="345">
        <f t="shared" si="33"/>
        <v>0</v>
      </c>
      <c r="AC30" s="345">
        <f t="shared" si="34"/>
        <v>0</v>
      </c>
      <c r="AD30" s="345">
        <f t="shared" si="35"/>
        <v>0</v>
      </c>
      <c r="AE30" s="345">
        <f t="shared" si="36"/>
        <v>0</v>
      </c>
      <c r="AF30" s="345">
        <f t="shared" si="37"/>
        <v>0</v>
      </c>
      <c r="AG30" s="345">
        <f t="shared" si="90"/>
        <v>0</v>
      </c>
      <c r="AH30" s="345"/>
      <c r="AI30" s="346">
        <f t="shared" si="91"/>
        <v>0</v>
      </c>
      <c r="AJ30" s="347">
        <f t="shared" si="39"/>
        <v>0</v>
      </c>
      <c r="AK30" s="347">
        <f t="shared" si="40"/>
        <v>0</v>
      </c>
      <c r="AL30" s="347">
        <f t="shared" si="41"/>
        <v>0</v>
      </c>
      <c r="AM30" s="347">
        <f t="shared" si="42"/>
        <v>0</v>
      </c>
      <c r="AN30" s="347">
        <f t="shared" si="43"/>
        <v>0</v>
      </c>
      <c r="AO30" s="347">
        <f t="shared" si="92"/>
        <v>0</v>
      </c>
      <c r="AP30" s="347"/>
      <c r="AQ30" s="348">
        <f t="shared" si="93"/>
        <v>0</v>
      </c>
      <c r="AR30" s="349">
        <f t="shared" si="45"/>
        <v>0</v>
      </c>
      <c r="AS30" s="349">
        <f t="shared" si="46"/>
        <v>0</v>
      </c>
      <c r="AT30" s="349">
        <f t="shared" si="47"/>
        <v>0</v>
      </c>
      <c r="AU30" s="349">
        <f t="shared" si="48"/>
        <v>0</v>
      </c>
      <c r="AV30" s="349">
        <f t="shared" si="49"/>
        <v>0</v>
      </c>
      <c r="AW30" s="349">
        <f t="shared" si="94"/>
        <v>0</v>
      </c>
      <c r="AX30" s="349"/>
      <c r="AY30" s="350">
        <f t="shared" si="95"/>
        <v>0</v>
      </c>
      <c r="AZ30" s="351">
        <f t="shared" si="51"/>
        <v>0</v>
      </c>
      <c r="BA30" s="351">
        <f t="shared" si="52"/>
        <v>0</v>
      </c>
      <c r="BB30" s="351">
        <f t="shared" si="53"/>
        <v>0</v>
      </c>
      <c r="BC30" s="351">
        <f t="shared" si="54"/>
        <v>0</v>
      </c>
      <c r="BD30" s="351">
        <f t="shared" si="55"/>
        <v>0</v>
      </c>
      <c r="BE30" s="351">
        <f t="shared" si="96"/>
        <v>0</v>
      </c>
      <c r="BF30" s="351"/>
      <c r="BG30" s="352">
        <f t="shared" si="97"/>
        <v>0</v>
      </c>
      <c r="BH30" s="367">
        <f t="shared" si="57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3"/>
        <v>0</v>
      </c>
      <c r="BN30" s="367">
        <f t="shared" si="74"/>
        <v>0</v>
      </c>
      <c r="BO30" s="368">
        <f t="shared" si="9"/>
        <v>0</v>
      </c>
      <c r="BP30" s="369">
        <f t="shared" si="58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75"/>
        <v>0</v>
      </c>
      <c r="BV30" s="369">
        <f t="shared" si="76"/>
        <v>0</v>
      </c>
      <c r="BW30" s="370">
        <f t="shared" si="14"/>
        <v>0</v>
      </c>
      <c r="BX30" s="376">
        <f t="shared" si="59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77"/>
        <v>0</v>
      </c>
      <c r="CD30" s="375">
        <f t="shared" si="78"/>
        <v>0</v>
      </c>
      <c r="CE30" s="372">
        <f t="shared" si="19"/>
        <v>0</v>
      </c>
      <c r="CF30" s="373">
        <f t="shared" si="60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79"/>
        <v>0</v>
      </c>
      <c r="CL30" s="373">
        <f t="shared" si="80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99" ht="15" customHeight="1" thickTop="1" thickBot="1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87"/>
        <v>0</v>
      </c>
      <c r="T31" s="343">
        <f t="shared" si="27"/>
        <v>0</v>
      </c>
      <c r="U31" s="343">
        <f t="shared" si="28"/>
        <v>0</v>
      </c>
      <c r="V31" s="343">
        <f t="shared" si="29"/>
        <v>0</v>
      </c>
      <c r="W31" s="343">
        <f t="shared" si="30"/>
        <v>0</v>
      </c>
      <c r="X31" s="343">
        <f t="shared" si="31"/>
        <v>0</v>
      </c>
      <c r="Y31" s="343">
        <f t="shared" si="88"/>
        <v>0</v>
      </c>
      <c r="Z31" s="343"/>
      <c r="AA31" s="344">
        <f t="shared" si="89"/>
        <v>0</v>
      </c>
      <c r="AB31" s="345">
        <f t="shared" si="33"/>
        <v>0</v>
      </c>
      <c r="AC31" s="345">
        <f t="shared" si="34"/>
        <v>0</v>
      </c>
      <c r="AD31" s="345">
        <f t="shared" si="35"/>
        <v>0</v>
      </c>
      <c r="AE31" s="345">
        <f t="shared" si="36"/>
        <v>0</v>
      </c>
      <c r="AF31" s="345">
        <f t="shared" si="37"/>
        <v>0</v>
      </c>
      <c r="AG31" s="345">
        <f t="shared" si="90"/>
        <v>0</v>
      </c>
      <c r="AH31" s="345"/>
      <c r="AI31" s="346">
        <f t="shared" si="91"/>
        <v>0</v>
      </c>
      <c r="AJ31" s="347">
        <f t="shared" si="39"/>
        <v>0</v>
      </c>
      <c r="AK31" s="347">
        <f t="shared" si="40"/>
        <v>0</v>
      </c>
      <c r="AL31" s="347">
        <f t="shared" si="41"/>
        <v>0</v>
      </c>
      <c r="AM31" s="347">
        <f t="shared" si="42"/>
        <v>0</v>
      </c>
      <c r="AN31" s="347">
        <f t="shared" si="43"/>
        <v>0</v>
      </c>
      <c r="AO31" s="347">
        <f t="shared" si="92"/>
        <v>0</v>
      </c>
      <c r="AP31" s="347"/>
      <c r="AQ31" s="348">
        <f t="shared" si="93"/>
        <v>0</v>
      </c>
      <c r="AR31" s="349">
        <f t="shared" si="45"/>
        <v>0</v>
      </c>
      <c r="AS31" s="349">
        <f t="shared" si="46"/>
        <v>0</v>
      </c>
      <c r="AT31" s="349">
        <f t="shared" si="47"/>
        <v>0</v>
      </c>
      <c r="AU31" s="349">
        <f t="shared" si="48"/>
        <v>0</v>
      </c>
      <c r="AV31" s="349">
        <f t="shared" si="49"/>
        <v>0</v>
      </c>
      <c r="AW31" s="349">
        <f t="shared" si="94"/>
        <v>0</v>
      </c>
      <c r="AX31" s="349"/>
      <c r="AY31" s="350">
        <f t="shared" si="95"/>
        <v>0</v>
      </c>
      <c r="AZ31" s="351">
        <f t="shared" si="51"/>
        <v>0</v>
      </c>
      <c r="BA31" s="351">
        <f t="shared" si="52"/>
        <v>0</v>
      </c>
      <c r="BB31" s="351">
        <f t="shared" si="53"/>
        <v>0</v>
      </c>
      <c r="BC31" s="351">
        <f t="shared" si="54"/>
        <v>0</v>
      </c>
      <c r="BD31" s="351">
        <f t="shared" si="55"/>
        <v>0</v>
      </c>
      <c r="BE31" s="351">
        <f t="shared" si="96"/>
        <v>0</v>
      </c>
      <c r="BF31" s="351"/>
      <c r="BG31" s="352">
        <f t="shared" si="97"/>
        <v>0</v>
      </c>
      <c r="BH31" s="367">
        <f t="shared" si="57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3"/>
        <v>0</v>
      </c>
      <c r="BN31" s="367">
        <f t="shared" si="74"/>
        <v>0</v>
      </c>
      <c r="BO31" s="368">
        <f t="shared" si="9"/>
        <v>0</v>
      </c>
      <c r="BP31" s="369">
        <f t="shared" si="58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75"/>
        <v>0</v>
      </c>
      <c r="BV31" s="369">
        <f t="shared" si="76"/>
        <v>0</v>
      </c>
      <c r="BW31" s="370">
        <f t="shared" si="14"/>
        <v>0</v>
      </c>
      <c r="BX31" s="376">
        <f t="shared" si="59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77"/>
        <v>0</v>
      </c>
      <c r="CD31" s="375">
        <f t="shared" si="78"/>
        <v>0</v>
      </c>
      <c r="CE31" s="372">
        <f t="shared" si="19"/>
        <v>0</v>
      </c>
      <c r="CF31" s="373">
        <f t="shared" si="60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79"/>
        <v>0</v>
      </c>
      <c r="CL31" s="373">
        <f t="shared" si="80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99" ht="15" customHeight="1" thickTop="1" thickBot="1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87"/>
        <v>0</v>
      </c>
      <c r="T32" s="343">
        <f t="shared" si="27"/>
        <v>0</v>
      </c>
      <c r="U32" s="343">
        <f t="shared" si="28"/>
        <v>0</v>
      </c>
      <c r="V32" s="343">
        <f t="shared" si="29"/>
        <v>0</v>
      </c>
      <c r="W32" s="343">
        <f t="shared" si="30"/>
        <v>0</v>
      </c>
      <c r="X32" s="343">
        <f t="shared" si="31"/>
        <v>0</v>
      </c>
      <c r="Y32" s="343">
        <f t="shared" si="88"/>
        <v>0</v>
      </c>
      <c r="Z32" s="343"/>
      <c r="AA32" s="344">
        <f t="shared" si="89"/>
        <v>0</v>
      </c>
      <c r="AB32" s="345">
        <f t="shared" si="33"/>
        <v>0</v>
      </c>
      <c r="AC32" s="345">
        <f t="shared" si="34"/>
        <v>0</v>
      </c>
      <c r="AD32" s="345">
        <f t="shared" si="35"/>
        <v>0</v>
      </c>
      <c r="AE32" s="345">
        <f t="shared" si="36"/>
        <v>0</v>
      </c>
      <c r="AF32" s="345">
        <f t="shared" si="37"/>
        <v>0</v>
      </c>
      <c r="AG32" s="345">
        <f t="shared" si="90"/>
        <v>0</v>
      </c>
      <c r="AH32" s="345"/>
      <c r="AI32" s="346">
        <f t="shared" si="91"/>
        <v>0</v>
      </c>
      <c r="AJ32" s="347">
        <f t="shared" si="39"/>
        <v>0</v>
      </c>
      <c r="AK32" s="347">
        <f t="shared" si="40"/>
        <v>0</v>
      </c>
      <c r="AL32" s="347">
        <f t="shared" si="41"/>
        <v>0</v>
      </c>
      <c r="AM32" s="347">
        <f t="shared" si="42"/>
        <v>0</v>
      </c>
      <c r="AN32" s="347">
        <f t="shared" si="43"/>
        <v>0</v>
      </c>
      <c r="AO32" s="347">
        <f t="shared" si="92"/>
        <v>0</v>
      </c>
      <c r="AP32" s="347"/>
      <c r="AQ32" s="348">
        <f t="shared" si="93"/>
        <v>0</v>
      </c>
      <c r="AR32" s="349">
        <f t="shared" si="45"/>
        <v>0</v>
      </c>
      <c r="AS32" s="349">
        <f t="shared" si="46"/>
        <v>0</v>
      </c>
      <c r="AT32" s="349">
        <f t="shared" si="47"/>
        <v>0</v>
      </c>
      <c r="AU32" s="349">
        <f t="shared" si="48"/>
        <v>0</v>
      </c>
      <c r="AV32" s="349">
        <f t="shared" si="49"/>
        <v>0</v>
      </c>
      <c r="AW32" s="349">
        <f t="shared" si="94"/>
        <v>0</v>
      </c>
      <c r="AX32" s="349"/>
      <c r="AY32" s="350">
        <f t="shared" si="95"/>
        <v>0</v>
      </c>
      <c r="AZ32" s="351">
        <f t="shared" si="51"/>
        <v>0</v>
      </c>
      <c r="BA32" s="351">
        <f t="shared" si="52"/>
        <v>0</v>
      </c>
      <c r="BB32" s="351">
        <f t="shared" si="53"/>
        <v>0</v>
      </c>
      <c r="BC32" s="351">
        <f t="shared" si="54"/>
        <v>0</v>
      </c>
      <c r="BD32" s="351">
        <f t="shared" si="55"/>
        <v>0</v>
      </c>
      <c r="BE32" s="351">
        <f t="shared" si="96"/>
        <v>0</v>
      </c>
      <c r="BF32" s="351"/>
      <c r="BG32" s="352">
        <f t="shared" si="97"/>
        <v>0</v>
      </c>
      <c r="BH32" s="367">
        <f t="shared" si="57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3"/>
        <v>0</v>
      </c>
      <c r="BN32" s="367">
        <f t="shared" si="74"/>
        <v>0</v>
      </c>
      <c r="BO32" s="368">
        <f t="shared" si="9"/>
        <v>0</v>
      </c>
      <c r="BP32" s="369">
        <f t="shared" si="58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75"/>
        <v>0</v>
      </c>
      <c r="BV32" s="369">
        <f t="shared" si="76"/>
        <v>0</v>
      </c>
      <c r="BW32" s="370">
        <f t="shared" si="14"/>
        <v>0</v>
      </c>
      <c r="BX32" s="376">
        <f t="shared" si="59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77"/>
        <v>0</v>
      </c>
      <c r="CD32" s="375">
        <f t="shared" si="78"/>
        <v>0</v>
      </c>
      <c r="CE32" s="372">
        <f t="shared" si="19"/>
        <v>0</v>
      </c>
      <c r="CF32" s="373">
        <f t="shared" si="60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79"/>
        <v>0</v>
      </c>
      <c r="CL32" s="373">
        <f t="shared" si="80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87"/>
        <v>0</v>
      </c>
      <c r="T33" s="343">
        <f t="shared" si="27"/>
        <v>0</v>
      </c>
      <c r="U33" s="343">
        <f t="shared" si="28"/>
        <v>0</v>
      </c>
      <c r="V33" s="343">
        <f t="shared" si="29"/>
        <v>0</v>
      </c>
      <c r="W33" s="343">
        <f t="shared" si="30"/>
        <v>0</v>
      </c>
      <c r="X33" s="343">
        <f t="shared" si="31"/>
        <v>0</v>
      </c>
      <c r="Y33" s="343">
        <f t="shared" si="88"/>
        <v>0</v>
      </c>
      <c r="Z33" s="343"/>
      <c r="AA33" s="344">
        <f t="shared" si="89"/>
        <v>0</v>
      </c>
      <c r="AB33" s="345">
        <f t="shared" si="33"/>
        <v>0</v>
      </c>
      <c r="AC33" s="345">
        <f t="shared" si="34"/>
        <v>0</v>
      </c>
      <c r="AD33" s="345">
        <f t="shared" si="35"/>
        <v>0</v>
      </c>
      <c r="AE33" s="345">
        <f t="shared" si="36"/>
        <v>0</v>
      </c>
      <c r="AF33" s="345">
        <f t="shared" si="37"/>
        <v>0</v>
      </c>
      <c r="AG33" s="345">
        <f t="shared" si="90"/>
        <v>0</v>
      </c>
      <c r="AH33" s="345"/>
      <c r="AI33" s="346">
        <f t="shared" si="91"/>
        <v>0</v>
      </c>
      <c r="AJ33" s="347">
        <f t="shared" si="39"/>
        <v>0</v>
      </c>
      <c r="AK33" s="347">
        <f t="shared" si="40"/>
        <v>0</v>
      </c>
      <c r="AL33" s="347">
        <f t="shared" si="41"/>
        <v>0</v>
      </c>
      <c r="AM33" s="347">
        <f t="shared" si="42"/>
        <v>0</v>
      </c>
      <c r="AN33" s="347">
        <f t="shared" si="43"/>
        <v>0</v>
      </c>
      <c r="AO33" s="347">
        <f t="shared" si="92"/>
        <v>0</v>
      </c>
      <c r="AP33" s="347"/>
      <c r="AQ33" s="348">
        <f t="shared" si="93"/>
        <v>0</v>
      </c>
      <c r="AR33" s="349">
        <f t="shared" si="45"/>
        <v>0</v>
      </c>
      <c r="AS33" s="349">
        <f t="shared" si="46"/>
        <v>0</v>
      </c>
      <c r="AT33" s="349">
        <f t="shared" si="47"/>
        <v>0</v>
      </c>
      <c r="AU33" s="349">
        <f t="shared" si="48"/>
        <v>0</v>
      </c>
      <c r="AV33" s="349">
        <f t="shared" si="49"/>
        <v>0</v>
      </c>
      <c r="AW33" s="349">
        <f t="shared" si="94"/>
        <v>0</v>
      </c>
      <c r="AX33" s="349"/>
      <c r="AY33" s="350">
        <f t="shared" si="95"/>
        <v>0</v>
      </c>
      <c r="AZ33" s="351">
        <f t="shared" si="51"/>
        <v>0</v>
      </c>
      <c r="BA33" s="351">
        <f t="shared" si="52"/>
        <v>0</v>
      </c>
      <c r="BB33" s="351">
        <f t="shared" si="53"/>
        <v>0</v>
      </c>
      <c r="BC33" s="351">
        <f t="shared" si="54"/>
        <v>0</v>
      </c>
      <c r="BD33" s="351">
        <f t="shared" si="55"/>
        <v>0</v>
      </c>
      <c r="BE33" s="351">
        <f t="shared" si="96"/>
        <v>0</v>
      </c>
      <c r="BF33" s="351"/>
      <c r="BG33" s="352">
        <f t="shared" si="97"/>
        <v>0</v>
      </c>
      <c r="BH33" s="367">
        <f t="shared" si="57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3"/>
        <v>0</v>
      </c>
      <c r="BN33" s="367">
        <f t="shared" si="74"/>
        <v>0</v>
      </c>
      <c r="BO33" s="368">
        <f t="shared" si="9"/>
        <v>0</v>
      </c>
      <c r="BP33" s="369">
        <f t="shared" si="58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75"/>
        <v>0</v>
      </c>
      <c r="BV33" s="369">
        <f t="shared" si="76"/>
        <v>0</v>
      </c>
      <c r="BW33" s="370">
        <f t="shared" si="14"/>
        <v>0</v>
      </c>
      <c r="BX33" s="376">
        <f t="shared" si="59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77"/>
        <v>0</v>
      </c>
      <c r="CD33" s="375">
        <f t="shared" si="78"/>
        <v>0</v>
      </c>
      <c r="CE33" s="372">
        <f t="shared" si="19"/>
        <v>0</v>
      </c>
      <c r="CF33" s="373">
        <f t="shared" si="60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79"/>
        <v>0</v>
      </c>
      <c r="CL33" s="373">
        <f t="shared" si="80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87"/>
        <v>0</v>
      </c>
      <c r="T34" s="343">
        <f t="shared" si="27"/>
        <v>0</v>
      </c>
      <c r="U34" s="343">
        <f t="shared" si="28"/>
        <v>0</v>
      </c>
      <c r="V34" s="343">
        <f t="shared" si="29"/>
        <v>0</v>
      </c>
      <c r="W34" s="343">
        <f t="shared" si="30"/>
        <v>0</v>
      </c>
      <c r="X34" s="343">
        <f t="shared" si="31"/>
        <v>0</v>
      </c>
      <c r="Y34" s="343">
        <f t="shared" si="88"/>
        <v>0</v>
      </c>
      <c r="Z34" s="343"/>
      <c r="AA34" s="344">
        <f t="shared" si="89"/>
        <v>0</v>
      </c>
      <c r="AB34" s="345">
        <f t="shared" si="33"/>
        <v>0</v>
      </c>
      <c r="AC34" s="345">
        <f t="shared" si="34"/>
        <v>0</v>
      </c>
      <c r="AD34" s="345">
        <f t="shared" si="35"/>
        <v>0</v>
      </c>
      <c r="AE34" s="345">
        <f t="shared" si="36"/>
        <v>0</v>
      </c>
      <c r="AF34" s="345">
        <f t="shared" si="37"/>
        <v>0</v>
      </c>
      <c r="AG34" s="345">
        <f t="shared" si="90"/>
        <v>0</v>
      </c>
      <c r="AH34" s="345"/>
      <c r="AI34" s="346">
        <f t="shared" si="91"/>
        <v>0</v>
      </c>
      <c r="AJ34" s="347">
        <f t="shared" si="39"/>
        <v>0</v>
      </c>
      <c r="AK34" s="347">
        <f t="shared" si="40"/>
        <v>0</v>
      </c>
      <c r="AL34" s="347">
        <f t="shared" si="41"/>
        <v>0</v>
      </c>
      <c r="AM34" s="347">
        <f t="shared" si="42"/>
        <v>0</v>
      </c>
      <c r="AN34" s="347">
        <f t="shared" si="43"/>
        <v>0</v>
      </c>
      <c r="AO34" s="347">
        <f t="shared" si="92"/>
        <v>0</v>
      </c>
      <c r="AP34" s="347"/>
      <c r="AQ34" s="348">
        <f t="shared" si="93"/>
        <v>0</v>
      </c>
      <c r="AR34" s="349">
        <f t="shared" si="45"/>
        <v>0</v>
      </c>
      <c r="AS34" s="349">
        <f t="shared" si="46"/>
        <v>0</v>
      </c>
      <c r="AT34" s="349">
        <f t="shared" si="47"/>
        <v>0</v>
      </c>
      <c r="AU34" s="349">
        <f t="shared" si="48"/>
        <v>0</v>
      </c>
      <c r="AV34" s="349">
        <f t="shared" si="49"/>
        <v>0</v>
      </c>
      <c r="AW34" s="349">
        <f t="shared" si="94"/>
        <v>0</v>
      </c>
      <c r="AX34" s="349"/>
      <c r="AY34" s="350">
        <f t="shared" si="95"/>
        <v>0</v>
      </c>
      <c r="AZ34" s="351">
        <f t="shared" si="51"/>
        <v>0</v>
      </c>
      <c r="BA34" s="351">
        <f t="shared" si="52"/>
        <v>0</v>
      </c>
      <c r="BB34" s="351">
        <f t="shared" si="53"/>
        <v>0</v>
      </c>
      <c r="BC34" s="351">
        <f t="shared" si="54"/>
        <v>0</v>
      </c>
      <c r="BD34" s="351">
        <f t="shared" si="55"/>
        <v>0</v>
      </c>
      <c r="BE34" s="351">
        <f t="shared" si="96"/>
        <v>0</v>
      </c>
      <c r="BF34" s="351"/>
      <c r="BG34" s="352">
        <f t="shared" si="97"/>
        <v>0</v>
      </c>
      <c r="BH34" s="367">
        <f t="shared" si="57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3"/>
        <v>0</v>
      </c>
      <c r="BN34" s="367">
        <f t="shared" si="74"/>
        <v>0</v>
      </c>
      <c r="BO34" s="368">
        <f t="shared" si="9"/>
        <v>0</v>
      </c>
      <c r="BP34" s="369">
        <f t="shared" si="58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75"/>
        <v>0</v>
      </c>
      <c r="BV34" s="369">
        <f t="shared" si="76"/>
        <v>0</v>
      </c>
      <c r="BW34" s="370">
        <f t="shared" si="14"/>
        <v>0</v>
      </c>
      <c r="BX34" s="376">
        <f t="shared" si="59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77"/>
        <v>0</v>
      </c>
      <c r="CD34" s="375">
        <f t="shared" si="78"/>
        <v>0</v>
      </c>
      <c r="CE34" s="372">
        <f t="shared" si="19"/>
        <v>0</v>
      </c>
      <c r="CF34" s="373">
        <f t="shared" si="60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79"/>
        <v>0</v>
      </c>
      <c r="CL34" s="373">
        <f t="shared" si="80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87"/>
        <v>0</v>
      </c>
      <c r="T35" s="343">
        <f t="shared" si="27"/>
        <v>0</v>
      </c>
      <c r="U35" s="343">
        <f t="shared" si="28"/>
        <v>0</v>
      </c>
      <c r="V35" s="343">
        <f t="shared" si="29"/>
        <v>0</v>
      </c>
      <c r="W35" s="343">
        <f t="shared" si="30"/>
        <v>0</v>
      </c>
      <c r="X35" s="343">
        <f t="shared" si="31"/>
        <v>0</v>
      </c>
      <c r="Y35" s="343">
        <f t="shared" si="88"/>
        <v>0</v>
      </c>
      <c r="Z35" s="343"/>
      <c r="AA35" s="344">
        <f t="shared" si="89"/>
        <v>0</v>
      </c>
      <c r="AB35" s="345">
        <f t="shared" si="33"/>
        <v>0</v>
      </c>
      <c r="AC35" s="345">
        <f t="shared" si="34"/>
        <v>0</v>
      </c>
      <c r="AD35" s="345">
        <f t="shared" si="35"/>
        <v>0</v>
      </c>
      <c r="AE35" s="345">
        <f t="shared" si="36"/>
        <v>0</v>
      </c>
      <c r="AF35" s="345">
        <f t="shared" si="37"/>
        <v>0</v>
      </c>
      <c r="AG35" s="345">
        <f t="shared" si="90"/>
        <v>0</v>
      </c>
      <c r="AH35" s="345"/>
      <c r="AI35" s="346">
        <f t="shared" si="91"/>
        <v>0</v>
      </c>
      <c r="AJ35" s="347">
        <f t="shared" si="39"/>
        <v>0</v>
      </c>
      <c r="AK35" s="347">
        <f t="shared" si="40"/>
        <v>0</v>
      </c>
      <c r="AL35" s="347">
        <f t="shared" si="41"/>
        <v>0</v>
      </c>
      <c r="AM35" s="347">
        <f t="shared" si="42"/>
        <v>0</v>
      </c>
      <c r="AN35" s="347">
        <f t="shared" si="43"/>
        <v>0</v>
      </c>
      <c r="AO35" s="347">
        <f t="shared" si="92"/>
        <v>0</v>
      </c>
      <c r="AP35" s="347"/>
      <c r="AQ35" s="348">
        <f t="shared" si="93"/>
        <v>0</v>
      </c>
      <c r="AR35" s="349">
        <f t="shared" si="45"/>
        <v>0</v>
      </c>
      <c r="AS35" s="349">
        <f t="shared" si="46"/>
        <v>0</v>
      </c>
      <c r="AT35" s="349">
        <f t="shared" si="47"/>
        <v>0</v>
      </c>
      <c r="AU35" s="349">
        <f t="shared" si="48"/>
        <v>0</v>
      </c>
      <c r="AV35" s="349">
        <f t="shared" si="49"/>
        <v>0</v>
      </c>
      <c r="AW35" s="349">
        <f t="shared" si="94"/>
        <v>0</v>
      </c>
      <c r="AX35" s="349"/>
      <c r="AY35" s="350">
        <f t="shared" si="95"/>
        <v>0</v>
      </c>
      <c r="AZ35" s="351">
        <f t="shared" si="51"/>
        <v>0</v>
      </c>
      <c r="BA35" s="351">
        <f t="shared" si="52"/>
        <v>0</v>
      </c>
      <c r="BB35" s="351">
        <f t="shared" si="53"/>
        <v>0</v>
      </c>
      <c r="BC35" s="351">
        <f t="shared" si="54"/>
        <v>0</v>
      </c>
      <c r="BD35" s="351">
        <f t="shared" si="55"/>
        <v>0</v>
      </c>
      <c r="BE35" s="351">
        <f t="shared" si="96"/>
        <v>0</v>
      </c>
      <c r="BF35" s="351"/>
      <c r="BG35" s="352">
        <f t="shared" si="97"/>
        <v>0</v>
      </c>
      <c r="BH35" s="367">
        <f t="shared" si="57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3"/>
        <v>0</v>
      </c>
      <c r="BN35" s="367">
        <f t="shared" si="74"/>
        <v>0</v>
      </c>
      <c r="BO35" s="368">
        <f t="shared" si="9"/>
        <v>0</v>
      </c>
      <c r="BP35" s="369">
        <f t="shared" si="58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75"/>
        <v>0</v>
      </c>
      <c r="BV35" s="369">
        <f t="shared" si="76"/>
        <v>0</v>
      </c>
      <c r="BW35" s="370">
        <f t="shared" si="14"/>
        <v>0</v>
      </c>
      <c r="BX35" s="376">
        <f t="shared" si="59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77"/>
        <v>0</v>
      </c>
      <c r="CD35" s="375">
        <f t="shared" si="78"/>
        <v>0</v>
      </c>
      <c r="CE35" s="372">
        <f t="shared" si="19"/>
        <v>0</v>
      </c>
      <c r="CF35" s="373">
        <f t="shared" si="60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79"/>
        <v>0</v>
      </c>
      <c r="CL35" s="373">
        <f t="shared" si="80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87"/>
        <v>0</v>
      </c>
      <c r="T36" s="343">
        <f t="shared" si="27"/>
        <v>0</v>
      </c>
      <c r="U36" s="343">
        <f t="shared" si="28"/>
        <v>0</v>
      </c>
      <c r="V36" s="343">
        <f t="shared" si="29"/>
        <v>0</v>
      </c>
      <c r="W36" s="343">
        <f t="shared" si="30"/>
        <v>0</v>
      </c>
      <c r="X36" s="343">
        <f t="shared" si="31"/>
        <v>0</v>
      </c>
      <c r="Y36" s="343">
        <f t="shared" si="88"/>
        <v>0</v>
      </c>
      <c r="Z36" s="343"/>
      <c r="AA36" s="344">
        <f t="shared" si="89"/>
        <v>0</v>
      </c>
      <c r="AB36" s="345">
        <f t="shared" si="33"/>
        <v>0</v>
      </c>
      <c r="AC36" s="345">
        <f t="shared" si="34"/>
        <v>0</v>
      </c>
      <c r="AD36" s="345">
        <f t="shared" si="35"/>
        <v>0</v>
      </c>
      <c r="AE36" s="345">
        <f t="shared" si="36"/>
        <v>0</v>
      </c>
      <c r="AF36" s="345">
        <f t="shared" si="37"/>
        <v>0</v>
      </c>
      <c r="AG36" s="345">
        <f t="shared" si="90"/>
        <v>0</v>
      </c>
      <c r="AH36" s="345"/>
      <c r="AI36" s="346">
        <f t="shared" si="91"/>
        <v>0</v>
      </c>
      <c r="AJ36" s="347">
        <f t="shared" si="39"/>
        <v>0</v>
      </c>
      <c r="AK36" s="347">
        <f t="shared" si="40"/>
        <v>0</v>
      </c>
      <c r="AL36" s="347">
        <f t="shared" si="41"/>
        <v>0</v>
      </c>
      <c r="AM36" s="347">
        <f t="shared" si="42"/>
        <v>0</v>
      </c>
      <c r="AN36" s="347">
        <f t="shared" si="43"/>
        <v>0</v>
      </c>
      <c r="AO36" s="347">
        <f t="shared" si="92"/>
        <v>0</v>
      </c>
      <c r="AP36" s="347"/>
      <c r="AQ36" s="348">
        <f t="shared" si="93"/>
        <v>0</v>
      </c>
      <c r="AR36" s="349">
        <f t="shared" si="45"/>
        <v>0</v>
      </c>
      <c r="AS36" s="349">
        <f t="shared" si="46"/>
        <v>0</v>
      </c>
      <c r="AT36" s="349">
        <f t="shared" si="47"/>
        <v>0</v>
      </c>
      <c r="AU36" s="349">
        <f t="shared" si="48"/>
        <v>0</v>
      </c>
      <c r="AV36" s="349">
        <f t="shared" si="49"/>
        <v>0</v>
      </c>
      <c r="AW36" s="349">
        <f t="shared" si="94"/>
        <v>0</v>
      </c>
      <c r="AX36" s="349"/>
      <c r="AY36" s="350">
        <f t="shared" si="95"/>
        <v>0</v>
      </c>
      <c r="AZ36" s="351">
        <f t="shared" si="51"/>
        <v>0</v>
      </c>
      <c r="BA36" s="351">
        <f t="shared" si="52"/>
        <v>0</v>
      </c>
      <c r="BB36" s="351">
        <f t="shared" si="53"/>
        <v>0</v>
      </c>
      <c r="BC36" s="351">
        <f t="shared" si="54"/>
        <v>0</v>
      </c>
      <c r="BD36" s="351">
        <f t="shared" si="55"/>
        <v>0</v>
      </c>
      <c r="BE36" s="351">
        <f t="shared" si="96"/>
        <v>0</v>
      </c>
      <c r="BF36" s="351"/>
      <c r="BG36" s="352">
        <f t="shared" si="97"/>
        <v>0</v>
      </c>
      <c r="BH36" s="367">
        <f t="shared" si="57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3"/>
        <v>0</v>
      </c>
      <c r="BN36" s="367">
        <f t="shared" si="74"/>
        <v>0</v>
      </c>
      <c r="BO36" s="368">
        <f t="shared" si="9"/>
        <v>0</v>
      </c>
      <c r="BP36" s="369">
        <f t="shared" si="58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75"/>
        <v>0</v>
      </c>
      <c r="BV36" s="369">
        <f t="shared" si="76"/>
        <v>0</v>
      </c>
      <c r="BW36" s="370">
        <f t="shared" si="14"/>
        <v>0</v>
      </c>
      <c r="BX36" s="376">
        <f t="shared" si="59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77"/>
        <v>0</v>
      </c>
      <c r="CD36" s="375">
        <f t="shared" si="78"/>
        <v>0</v>
      </c>
      <c r="CE36" s="372">
        <f t="shared" si="19"/>
        <v>0</v>
      </c>
      <c r="CF36" s="373">
        <f t="shared" si="60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79"/>
        <v>0</v>
      </c>
      <c r="CL36" s="373">
        <f t="shared" si="80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87"/>
        <v>0</v>
      </c>
      <c r="T37" s="343">
        <f t="shared" si="27"/>
        <v>0</v>
      </c>
      <c r="U37" s="343">
        <f t="shared" si="28"/>
        <v>0</v>
      </c>
      <c r="V37" s="343">
        <f t="shared" si="29"/>
        <v>0</v>
      </c>
      <c r="W37" s="343">
        <f t="shared" si="30"/>
        <v>0</v>
      </c>
      <c r="X37" s="343">
        <f t="shared" si="31"/>
        <v>0</v>
      </c>
      <c r="Y37" s="343">
        <f t="shared" si="88"/>
        <v>0</v>
      </c>
      <c r="Z37" s="343"/>
      <c r="AA37" s="344">
        <f t="shared" si="89"/>
        <v>0</v>
      </c>
      <c r="AB37" s="345">
        <f t="shared" si="33"/>
        <v>0</v>
      </c>
      <c r="AC37" s="345">
        <f t="shared" si="34"/>
        <v>0</v>
      </c>
      <c r="AD37" s="345">
        <f t="shared" si="35"/>
        <v>0</v>
      </c>
      <c r="AE37" s="345">
        <f t="shared" si="36"/>
        <v>0</v>
      </c>
      <c r="AF37" s="345">
        <f t="shared" si="37"/>
        <v>0</v>
      </c>
      <c r="AG37" s="345">
        <f t="shared" si="90"/>
        <v>0</v>
      </c>
      <c r="AH37" s="345"/>
      <c r="AI37" s="346">
        <f t="shared" si="91"/>
        <v>0</v>
      </c>
      <c r="AJ37" s="347">
        <f t="shared" si="39"/>
        <v>0</v>
      </c>
      <c r="AK37" s="347">
        <f t="shared" si="40"/>
        <v>0</v>
      </c>
      <c r="AL37" s="347">
        <f t="shared" si="41"/>
        <v>0</v>
      </c>
      <c r="AM37" s="347">
        <f t="shared" si="42"/>
        <v>0</v>
      </c>
      <c r="AN37" s="347">
        <f t="shared" si="43"/>
        <v>0</v>
      </c>
      <c r="AO37" s="347">
        <f t="shared" si="92"/>
        <v>0</v>
      </c>
      <c r="AP37" s="347"/>
      <c r="AQ37" s="348">
        <f t="shared" si="93"/>
        <v>0</v>
      </c>
      <c r="AR37" s="349">
        <f t="shared" si="45"/>
        <v>0</v>
      </c>
      <c r="AS37" s="349">
        <f t="shared" si="46"/>
        <v>0</v>
      </c>
      <c r="AT37" s="349">
        <f t="shared" si="47"/>
        <v>0</v>
      </c>
      <c r="AU37" s="349">
        <f t="shared" si="48"/>
        <v>0</v>
      </c>
      <c r="AV37" s="349">
        <f t="shared" si="49"/>
        <v>0</v>
      </c>
      <c r="AW37" s="349">
        <f t="shared" si="94"/>
        <v>0</v>
      </c>
      <c r="AX37" s="349"/>
      <c r="AY37" s="350">
        <f t="shared" si="95"/>
        <v>0</v>
      </c>
      <c r="AZ37" s="351">
        <f t="shared" si="51"/>
        <v>0</v>
      </c>
      <c r="BA37" s="351">
        <f t="shared" si="52"/>
        <v>0</v>
      </c>
      <c r="BB37" s="351">
        <f t="shared" si="53"/>
        <v>0</v>
      </c>
      <c r="BC37" s="351">
        <f t="shared" si="54"/>
        <v>0</v>
      </c>
      <c r="BD37" s="351">
        <f t="shared" si="55"/>
        <v>0</v>
      </c>
      <c r="BE37" s="351">
        <f t="shared" si="96"/>
        <v>0</v>
      </c>
      <c r="BF37" s="351"/>
      <c r="BG37" s="352">
        <f t="shared" si="97"/>
        <v>0</v>
      </c>
      <c r="BH37" s="367">
        <f t="shared" si="57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3"/>
        <v>0</v>
      </c>
      <c r="BN37" s="367">
        <f t="shared" si="74"/>
        <v>0</v>
      </c>
      <c r="BO37" s="368">
        <f t="shared" si="9"/>
        <v>0</v>
      </c>
      <c r="BP37" s="369">
        <f t="shared" si="58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75"/>
        <v>0</v>
      </c>
      <c r="BV37" s="369">
        <f t="shared" si="76"/>
        <v>0</v>
      </c>
      <c r="BW37" s="370">
        <f t="shared" si="14"/>
        <v>0</v>
      </c>
      <c r="BX37" s="376">
        <f t="shared" si="59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77"/>
        <v>0</v>
      </c>
      <c r="CD37" s="375">
        <f t="shared" si="78"/>
        <v>0</v>
      </c>
      <c r="CE37" s="372">
        <f t="shared" si="19"/>
        <v>0</v>
      </c>
      <c r="CF37" s="373">
        <f t="shared" si="60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79"/>
        <v>0</v>
      </c>
      <c r="CL37" s="373">
        <f t="shared" si="80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87"/>
        <v>0</v>
      </c>
      <c r="T38" s="343">
        <f t="shared" si="27"/>
        <v>0</v>
      </c>
      <c r="U38" s="343">
        <f t="shared" si="28"/>
        <v>0</v>
      </c>
      <c r="V38" s="343">
        <f t="shared" si="29"/>
        <v>0</v>
      </c>
      <c r="W38" s="343">
        <f t="shared" si="30"/>
        <v>0</v>
      </c>
      <c r="X38" s="343">
        <f t="shared" si="31"/>
        <v>0</v>
      </c>
      <c r="Y38" s="343">
        <f t="shared" si="88"/>
        <v>0</v>
      </c>
      <c r="Z38" s="343"/>
      <c r="AA38" s="344">
        <f t="shared" si="89"/>
        <v>0</v>
      </c>
      <c r="AB38" s="345">
        <f t="shared" si="33"/>
        <v>0</v>
      </c>
      <c r="AC38" s="345">
        <f t="shared" si="34"/>
        <v>0</v>
      </c>
      <c r="AD38" s="345">
        <f t="shared" si="35"/>
        <v>0</v>
      </c>
      <c r="AE38" s="345">
        <f t="shared" si="36"/>
        <v>0</v>
      </c>
      <c r="AF38" s="345">
        <f t="shared" si="37"/>
        <v>0</v>
      </c>
      <c r="AG38" s="345">
        <f t="shared" si="90"/>
        <v>0</v>
      </c>
      <c r="AH38" s="345"/>
      <c r="AI38" s="346">
        <f t="shared" si="91"/>
        <v>0</v>
      </c>
      <c r="AJ38" s="347">
        <f t="shared" si="39"/>
        <v>0</v>
      </c>
      <c r="AK38" s="347">
        <f t="shared" si="40"/>
        <v>0</v>
      </c>
      <c r="AL38" s="347">
        <f t="shared" si="41"/>
        <v>0</v>
      </c>
      <c r="AM38" s="347">
        <f t="shared" si="42"/>
        <v>0</v>
      </c>
      <c r="AN38" s="347">
        <f t="shared" si="43"/>
        <v>0</v>
      </c>
      <c r="AO38" s="347">
        <f t="shared" si="92"/>
        <v>0</v>
      </c>
      <c r="AP38" s="347"/>
      <c r="AQ38" s="348">
        <f t="shared" si="93"/>
        <v>0</v>
      </c>
      <c r="AR38" s="349">
        <f t="shared" si="45"/>
        <v>0</v>
      </c>
      <c r="AS38" s="349">
        <f t="shared" si="46"/>
        <v>0</v>
      </c>
      <c r="AT38" s="349">
        <f t="shared" si="47"/>
        <v>0</v>
      </c>
      <c r="AU38" s="349">
        <f t="shared" si="48"/>
        <v>0</v>
      </c>
      <c r="AV38" s="349">
        <f t="shared" si="49"/>
        <v>0</v>
      </c>
      <c r="AW38" s="349">
        <f t="shared" si="94"/>
        <v>0</v>
      </c>
      <c r="AX38" s="349"/>
      <c r="AY38" s="350">
        <f t="shared" si="95"/>
        <v>0</v>
      </c>
      <c r="AZ38" s="351">
        <f t="shared" si="51"/>
        <v>0</v>
      </c>
      <c r="BA38" s="351">
        <f t="shared" si="52"/>
        <v>0</v>
      </c>
      <c r="BB38" s="351">
        <f t="shared" si="53"/>
        <v>0</v>
      </c>
      <c r="BC38" s="351">
        <f t="shared" si="54"/>
        <v>0</v>
      </c>
      <c r="BD38" s="351">
        <f t="shared" si="55"/>
        <v>0</v>
      </c>
      <c r="BE38" s="351">
        <f t="shared" si="96"/>
        <v>0</v>
      </c>
      <c r="BF38" s="351"/>
      <c r="BG38" s="352">
        <f t="shared" si="97"/>
        <v>0</v>
      </c>
      <c r="BH38" s="367">
        <f t="shared" si="57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3"/>
        <v>0</v>
      </c>
      <c r="BN38" s="367">
        <f t="shared" si="74"/>
        <v>0</v>
      </c>
      <c r="BO38" s="368">
        <f t="shared" si="9"/>
        <v>0</v>
      </c>
      <c r="BP38" s="369">
        <f t="shared" si="58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75"/>
        <v>0</v>
      </c>
      <c r="BV38" s="369">
        <f t="shared" si="76"/>
        <v>0</v>
      </c>
      <c r="BW38" s="370">
        <f t="shared" si="14"/>
        <v>0</v>
      </c>
      <c r="BX38" s="376">
        <f t="shared" si="59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77"/>
        <v>0</v>
      </c>
      <c r="CD38" s="375">
        <f t="shared" si="78"/>
        <v>0</v>
      </c>
      <c r="CE38" s="372">
        <f t="shared" si="19"/>
        <v>0</v>
      </c>
      <c r="CF38" s="373">
        <f t="shared" si="60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79"/>
        <v>0</v>
      </c>
      <c r="CL38" s="373">
        <f t="shared" si="80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ATENÇÃO: Verificar ocorrência de repetição alélica entre 2 pessoas genotipadas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>
      <c r="A41" s="79"/>
      <c r="B41" s="78"/>
      <c r="C41" s="79" t="s">
        <v>47</v>
      </c>
      <c r="D41" s="360" t="str">
        <f>'PD0101'!$A$7</f>
        <v xml:space="preserve"> DETECTADA EXCLUSÃO DE MÃE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5">
        <f>'PD0101'!AG43</f>
        <v>1</v>
      </c>
      <c r="AJ41" s="695"/>
      <c r="AK41" s="695"/>
      <c r="AL41" s="695"/>
      <c r="AM41" s="695"/>
      <c r="AN41" s="695"/>
      <c r="AO41" s="695"/>
      <c r="AP41" s="695"/>
      <c r="AQ41" s="695"/>
      <c r="AR41" s="695"/>
      <c r="AS41" s="695"/>
      <c r="AT41" s="695"/>
      <c r="AU41" s="695"/>
      <c r="AV41" s="695"/>
      <c r="AW41" s="695"/>
      <c r="AX41" s="695"/>
      <c r="AY41" s="695"/>
      <c r="AZ41" s="695"/>
      <c r="BA41" s="695"/>
      <c r="BB41" s="695"/>
      <c r="BC41" s="695"/>
      <c r="BD41" s="695"/>
      <c r="BE41" s="695"/>
      <c r="BF41" s="695"/>
      <c r="BG41" s="695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>
      <c r="A42" s="79"/>
      <c r="B42" s="78"/>
      <c r="C42" s="79" t="s">
        <v>48</v>
      </c>
      <c r="D42" s="361" t="str">
        <f>'PD0101'!$AG$46</f>
        <v>PATERNIDADE REMOTA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>
      <c r="AB43" s="328"/>
      <c r="AC43" s="328"/>
      <c r="AD43" s="328"/>
      <c r="AE43" s="328"/>
      <c r="AF43" s="328"/>
      <c r="AG43" s="328"/>
      <c r="AI43" s="328"/>
    </row>
    <row r="44" spans="1:99">
      <c r="AB44" s="328"/>
      <c r="AC44" s="328"/>
      <c r="AD44" s="328"/>
      <c r="AE44" s="328"/>
      <c r="AF44" s="328"/>
      <c r="AG44" s="328"/>
      <c r="AI44" s="328"/>
    </row>
    <row r="45" spans="1:99">
      <c r="AB45" s="328"/>
      <c r="AC45" s="328"/>
      <c r="AD45" s="328"/>
      <c r="AE45" s="328"/>
      <c r="AF45" s="328"/>
      <c r="AG45" s="328"/>
      <c r="AI45" s="328"/>
    </row>
    <row r="46" spans="1:99">
      <c r="AB46" s="328"/>
      <c r="AC46" s="328"/>
      <c r="AD46" s="328"/>
      <c r="AE46" s="328"/>
      <c r="AF46" s="328"/>
      <c r="AG46" s="328"/>
      <c r="AI46" s="328"/>
    </row>
    <row r="47" spans="1:99">
      <c r="AB47" s="328"/>
      <c r="AC47" s="328"/>
      <c r="AD47" s="328"/>
      <c r="AE47" s="328"/>
      <c r="AF47" s="328"/>
      <c r="AG47" s="328"/>
      <c r="AI47" s="328"/>
    </row>
    <row r="48" spans="1:99">
      <c r="AB48" s="328"/>
      <c r="AC48" s="328"/>
      <c r="AD48" s="328"/>
      <c r="AE48" s="328"/>
      <c r="AF48" s="328"/>
      <c r="AG48" s="328"/>
      <c r="AI48" s="328"/>
    </row>
    <row r="49" spans="28:35">
      <c r="AB49" s="328"/>
      <c r="AC49" s="328"/>
      <c r="AD49" s="328"/>
      <c r="AE49" s="328"/>
      <c r="AF49" s="328"/>
      <c r="AG49" s="328"/>
      <c r="AI49" s="328"/>
    </row>
    <row r="50" spans="28:35">
      <c r="AB50" s="328"/>
      <c r="AC50" s="328"/>
      <c r="AD50" s="328"/>
      <c r="AE50" s="328"/>
      <c r="AF50" s="328"/>
      <c r="AG50" s="328"/>
      <c r="AI50" s="328"/>
    </row>
    <row r="51" spans="28:35">
      <c r="AB51" s="328"/>
      <c r="AC51" s="328"/>
      <c r="AD51" s="328"/>
      <c r="AE51" s="328"/>
      <c r="AF51" s="328"/>
      <c r="AG51" s="328"/>
      <c r="AI51" s="328"/>
    </row>
    <row r="52" spans="28:35">
      <c r="AB52" s="328"/>
      <c r="AC52" s="328"/>
      <c r="AD52" s="328"/>
      <c r="AE52" s="328"/>
      <c r="AF52" s="328"/>
      <c r="AG52" s="328"/>
      <c r="AI52" s="328"/>
    </row>
    <row r="53" spans="28:35">
      <c r="AB53" s="328"/>
      <c r="AC53" s="328"/>
      <c r="AD53" s="328"/>
      <c r="AE53" s="328"/>
      <c r="AF53" s="328"/>
      <c r="AG53" s="328"/>
      <c r="AI53" s="328"/>
    </row>
    <row r="54" spans="28:35">
      <c r="AB54" s="328"/>
      <c r="AC54" s="328"/>
      <c r="AD54" s="328"/>
      <c r="AE54" s="328"/>
      <c r="AF54" s="328"/>
      <c r="AG54" s="328"/>
      <c r="AI54" s="328"/>
    </row>
    <row r="55" spans="28:35">
      <c r="AB55" s="328"/>
      <c r="AC55" s="328"/>
      <c r="AD55" s="328"/>
      <c r="AE55" s="328"/>
      <c r="AF55" s="328"/>
      <c r="AG55" s="328"/>
      <c r="AI55" s="328"/>
    </row>
    <row r="56" spans="28:35">
      <c r="AB56" s="328"/>
      <c r="AC56" s="328"/>
      <c r="AD56" s="328"/>
      <c r="AE56" s="328"/>
      <c r="AF56" s="328"/>
      <c r="AG56" s="328"/>
      <c r="AI56" s="328"/>
    </row>
    <row r="57" spans="28:35">
      <c r="AB57" s="328"/>
      <c r="AC57" s="328"/>
      <c r="AD57" s="328"/>
      <c r="AE57" s="328"/>
      <c r="AF57" s="328"/>
      <c r="AG57" s="328"/>
      <c r="AI57" s="328"/>
    </row>
    <row r="58" spans="28:35">
      <c r="AB58" s="328"/>
      <c r="AC58" s="328"/>
      <c r="AD58" s="328"/>
      <c r="AE58" s="328"/>
      <c r="AF58" s="328"/>
      <c r="AG58" s="328"/>
      <c r="AI58" s="328"/>
    </row>
    <row r="59" spans="28:35">
      <c r="AB59" s="328"/>
      <c r="AC59" s="328"/>
      <c r="AD59" s="328"/>
      <c r="AE59" s="328"/>
      <c r="AF59" s="328"/>
      <c r="AG59" s="328"/>
      <c r="AI59" s="328"/>
    </row>
    <row r="60" spans="28:35">
      <c r="AB60" s="328"/>
      <c r="AC60" s="328"/>
      <c r="AD60" s="328"/>
      <c r="AE60" s="328"/>
      <c r="AF60" s="328"/>
      <c r="AG60" s="328"/>
      <c r="AI60" s="328"/>
    </row>
    <row r="61" spans="28:35">
      <c r="AB61" s="328"/>
      <c r="AC61" s="328"/>
      <c r="AD61" s="328"/>
      <c r="AE61" s="328"/>
      <c r="AF61" s="328"/>
      <c r="AG61" s="328"/>
      <c r="AI61" s="328"/>
    </row>
    <row r="62" spans="28:35">
      <c r="AB62" s="328"/>
      <c r="AC62" s="328"/>
      <c r="AD62" s="328"/>
      <c r="AE62" s="328"/>
      <c r="AF62" s="328"/>
      <c r="AG62" s="328"/>
      <c r="AI62" s="328"/>
    </row>
    <row r="63" spans="28:35">
      <c r="AB63" s="328"/>
      <c r="AC63" s="328"/>
      <c r="AD63" s="328"/>
      <c r="AE63" s="328"/>
      <c r="AF63" s="328"/>
      <c r="AG63" s="328"/>
      <c r="AI63" s="328"/>
    </row>
    <row r="64" spans="28:35">
      <c r="AB64" s="328"/>
      <c r="AC64" s="328"/>
      <c r="AD64" s="328"/>
      <c r="AE64" s="328"/>
      <c r="AF64" s="328"/>
      <c r="AG64" s="328"/>
      <c r="AI64" s="328"/>
    </row>
    <row r="65" spans="28:35">
      <c r="AB65" s="328"/>
      <c r="AC65" s="328"/>
      <c r="AD65" s="328"/>
      <c r="AE65" s="328"/>
      <c r="AF65" s="328"/>
      <c r="AG65" s="328"/>
      <c r="AI65" s="328"/>
    </row>
    <row r="66" spans="28:35">
      <c r="AB66" s="328"/>
      <c r="AC66" s="328"/>
      <c r="AD66" s="328"/>
      <c r="AE66" s="328"/>
      <c r="AF66" s="328"/>
      <c r="AG66" s="328"/>
      <c r="AI66" s="328"/>
    </row>
    <row r="67" spans="28:35">
      <c r="AB67" s="328"/>
      <c r="AC67" s="328"/>
      <c r="AD67" s="328"/>
      <c r="AE67" s="328"/>
      <c r="AF67" s="328"/>
      <c r="AG67" s="328"/>
      <c r="AI67" s="328"/>
    </row>
    <row r="68" spans="28:35">
      <c r="AB68" s="328"/>
      <c r="AC68" s="328"/>
      <c r="AD68" s="328"/>
      <c r="AE68" s="328"/>
      <c r="AF68" s="328"/>
      <c r="AG68" s="328"/>
      <c r="AI68" s="328"/>
    </row>
    <row r="69" spans="28:35">
      <c r="AB69" s="328"/>
      <c r="AC69" s="328"/>
      <c r="AD69" s="328"/>
      <c r="AE69" s="328"/>
      <c r="AF69" s="328"/>
      <c r="AG69" s="328"/>
      <c r="AI69" s="328"/>
    </row>
    <row r="70" spans="28:35">
      <c r="AB70" s="328"/>
      <c r="AC70" s="328"/>
      <c r="AD70" s="328"/>
      <c r="AE70" s="328"/>
      <c r="AF70" s="328"/>
      <c r="AG70" s="328"/>
      <c r="AI70" s="328"/>
    </row>
    <row r="71" spans="28:35">
      <c r="AB71" s="328"/>
      <c r="AC71" s="328"/>
      <c r="AD71" s="328"/>
      <c r="AE71" s="328"/>
      <c r="AF71" s="328"/>
      <c r="AG71" s="328"/>
      <c r="AI71" s="328"/>
    </row>
    <row r="72" spans="28:35">
      <c r="AB72" s="328"/>
      <c r="AC72" s="328"/>
      <c r="AD72" s="328"/>
      <c r="AE72" s="328"/>
      <c r="AF72" s="328"/>
      <c r="AG72" s="328"/>
      <c r="AI72" s="328"/>
    </row>
    <row r="73" spans="28:35">
      <c r="AB73" s="328"/>
      <c r="AC73" s="328"/>
      <c r="AD73" s="328"/>
      <c r="AE73" s="328"/>
      <c r="AF73" s="328"/>
      <c r="AG73" s="328"/>
      <c r="AI73" s="328"/>
    </row>
    <row r="74" spans="28:35">
      <c r="AB74" s="328"/>
      <c r="AC74" s="328"/>
      <c r="AD74" s="328"/>
      <c r="AE74" s="328"/>
      <c r="AF74" s="328"/>
      <c r="AG74" s="328"/>
      <c r="AI74" s="328"/>
    </row>
    <row r="75" spans="28:35">
      <c r="AB75" s="328"/>
      <c r="AC75" s="328"/>
      <c r="AD75" s="328"/>
      <c r="AE75" s="328"/>
      <c r="AF75" s="328"/>
      <c r="AG75" s="328"/>
      <c r="AI75" s="328"/>
    </row>
    <row r="76" spans="28:35">
      <c r="AB76" s="328"/>
      <c r="AC76" s="328"/>
      <c r="AD76" s="328"/>
      <c r="AE76" s="328"/>
      <c r="AF76" s="328"/>
      <c r="AG76" s="328"/>
      <c r="AI76" s="328"/>
    </row>
    <row r="77" spans="28:35">
      <c r="AB77" s="328"/>
      <c r="AC77" s="328"/>
      <c r="AD77" s="328"/>
      <c r="AE77" s="328"/>
      <c r="AF77" s="328"/>
      <c r="AG77" s="328"/>
      <c r="AI77" s="328"/>
    </row>
    <row r="78" spans="28:35">
      <c r="AB78" s="328"/>
      <c r="AC78" s="328"/>
      <c r="AD78" s="328"/>
      <c r="AE78" s="328"/>
      <c r="AF78" s="328"/>
      <c r="AG78" s="328"/>
      <c r="AI78" s="328"/>
    </row>
    <row r="79" spans="28:35">
      <c r="AB79" s="328"/>
      <c r="AC79" s="328"/>
      <c r="AD79" s="328"/>
      <c r="AE79" s="328"/>
      <c r="AF79" s="328"/>
      <c r="AG79" s="328"/>
      <c r="AI79" s="328"/>
    </row>
    <row r="80" spans="28:35">
      <c r="AB80" s="328"/>
      <c r="AC80" s="328"/>
      <c r="AD80" s="328"/>
      <c r="AE80" s="328"/>
      <c r="AF80" s="328"/>
      <c r="AG80" s="328"/>
      <c r="AI80" s="328"/>
    </row>
    <row r="81" spans="28:35">
      <c r="AB81" s="328"/>
      <c r="AC81" s="328"/>
      <c r="AD81" s="328"/>
      <c r="AE81" s="328"/>
      <c r="AF81" s="328"/>
      <c r="AG81" s="328"/>
      <c r="AI81" s="328"/>
    </row>
    <row r="82" spans="28:35">
      <c r="AB82" s="328"/>
      <c r="AC82" s="328"/>
      <c r="AD82" s="328"/>
      <c r="AE82" s="328"/>
      <c r="AF82" s="328"/>
      <c r="AG82" s="328"/>
      <c r="AI82" s="328"/>
    </row>
    <row r="83" spans="28:35">
      <c r="AB83" s="328"/>
      <c r="AC83" s="328"/>
      <c r="AD83" s="328"/>
      <c r="AE83" s="328"/>
      <c r="AF83" s="328"/>
      <c r="AG83" s="328"/>
      <c r="AI83" s="328"/>
    </row>
    <row r="84" spans="28:35">
      <c r="AB84" s="328"/>
      <c r="AC84" s="328"/>
      <c r="AD84" s="328"/>
      <c r="AE84" s="328"/>
      <c r="AF84" s="328"/>
      <c r="AG84" s="328"/>
      <c r="AI84" s="328"/>
    </row>
    <row r="85" spans="28:35">
      <c r="AB85" s="328"/>
      <c r="AC85" s="328"/>
      <c r="AD85" s="328"/>
      <c r="AE85" s="328"/>
      <c r="AF85" s="328"/>
      <c r="AG85" s="328"/>
      <c r="AI85" s="328"/>
    </row>
    <row r="86" spans="28:35">
      <c r="AB86" s="328"/>
      <c r="AC86" s="328"/>
      <c r="AD86" s="328"/>
      <c r="AE86" s="328"/>
      <c r="AF86" s="328"/>
      <c r="AG86" s="328"/>
      <c r="AI86" s="328"/>
    </row>
    <row r="87" spans="28:35">
      <c r="AB87" s="328"/>
      <c r="AC87" s="328"/>
      <c r="AD87" s="328"/>
      <c r="AE87" s="328"/>
      <c r="AF87" s="328"/>
      <c r="AG87" s="328"/>
      <c r="AI87" s="328"/>
    </row>
    <row r="88" spans="28:35">
      <c r="AB88" s="328"/>
      <c r="AC88" s="328"/>
      <c r="AD88" s="328"/>
      <c r="AE88" s="328"/>
      <c r="AF88" s="328"/>
      <c r="AG88" s="328"/>
      <c r="AI88" s="328"/>
    </row>
    <row r="89" spans="28:35">
      <c r="AB89" s="328"/>
      <c r="AC89" s="328"/>
      <c r="AD89" s="328"/>
      <c r="AE89" s="328"/>
      <c r="AF89" s="328"/>
      <c r="AG89" s="328"/>
      <c r="AI89" s="328"/>
    </row>
    <row r="90" spans="28:35">
      <c r="AB90" s="328"/>
      <c r="AC90" s="328"/>
      <c r="AD90" s="328"/>
      <c r="AE90" s="328"/>
      <c r="AF90" s="328"/>
      <c r="AG90" s="328"/>
      <c r="AI90" s="328"/>
    </row>
    <row r="91" spans="28:35">
      <c r="AB91" s="328"/>
      <c r="AC91" s="328"/>
      <c r="AD91" s="328"/>
      <c r="AE91" s="328"/>
      <c r="AF91" s="328"/>
      <c r="AG91" s="328"/>
      <c r="AI91" s="328"/>
    </row>
    <row r="92" spans="28:35">
      <c r="AB92" s="328"/>
      <c r="AC92" s="328"/>
      <c r="AD92" s="328"/>
      <c r="AE92" s="328"/>
      <c r="AF92" s="328"/>
      <c r="AG92" s="328"/>
      <c r="AI92" s="328"/>
    </row>
    <row r="93" spans="28:35">
      <c r="AB93" s="328"/>
      <c r="AC93" s="328"/>
      <c r="AD93" s="328"/>
      <c r="AE93" s="328"/>
      <c r="AF93" s="328"/>
      <c r="AG93" s="328"/>
      <c r="AI93" s="328"/>
    </row>
    <row r="94" spans="28:35">
      <c r="AB94" s="328"/>
      <c r="AC94" s="328"/>
      <c r="AD94" s="328"/>
      <c r="AE94" s="328"/>
      <c r="AF94" s="328"/>
      <c r="AG94" s="328"/>
      <c r="AI94" s="328"/>
    </row>
    <row r="95" spans="28:35">
      <c r="AB95" s="328"/>
      <c r="AC95" s="328"/>
      <c r="AD95" s="328"/>
      <c r="AE95" s="328"/>
      <c r="AF95" s="328"/>
      <c r="AG95" s="328"/>
      <c r="AI95" s="328"/>
    </row>
    <row r="96" spans="28:35">
      <c r="AB96" s="328"/>
      <c r="AC96" s="328"/>
      <c r="AD96" s="328"/>
      <c r="AE96" s="328"/>
      <c r="AF96" s="328"/>
      <c r="AG96" s="328"/>
      <c r="AI96" s="328"/>
    </row>
    <row r="97" spans="28:35">
      <c r="AB97" s="328"/>
      <c r="AC97" s="328"/>
      <c r="AD97" s="328"/>
      <c r="AE97" s="328"/>
      <c r="AF97" s="328"/>
      <c r="AG97" s="328"/>
      <c r="AI97" s="328"/>
    </row>
    <row r="98" spans="28:35">
      <c r="AB98" s="328"/>
      <c r="AC98" s="328"/>
      <c r="AD98" s="328"/>
      <c r="AE98" s="328"/>
      <c r="AF98" s="328"/>
      <c r="AG98" s="328"/>
      <c r="AI98" s="328"/>
    </row>
    <row r="99" spans="28:35">
      <c r="AB99" s="328"/>
      <c r="AC99" s="328"/>
      <c r="AD99" s="328"/>
      <c r="AE99" s="328"/>
      <c r="AF99" s="328"/>
      <c r="AG99" s="328"/>
      <c r="AI99" s="328"/>
    </row>
    <row r="100" spans="28:35">
      <c r="AB100" s="328"/>
      <c r="AC100" s="328"/>
      <c r="AD100" s="328"/>
      <c r="AE100" s="328"/>
      <c r="AF100" s="328"/>
      <c r="AG100" s="328"/>
      <c r="AI100" s="328"/>
    </row>
    <row r="101" spans="28:35">
      <c r="AB101" s="328"/>
      <c r="AC101" s="328"/>
      <c r="AD101" s="328"/>
      <c r="AE101" s="328"/>
      <c r="AF101" s="328"/>
      <c r="AG101" s="328"/>
      <c r="AI101" s="328"/>
    </row>
    <row r="102" spans="28:35">
      <c r="AB102" s="328"/>
      <c r="AC102" s="328"/>
      <c r="AD102" s="328"/>
      <c r="AE102" s="328"/>
      <c r="AF102" s="328"/>
      <c r="AG102" s="328"/>
      <c r="AI102" s="328"/>
    </row>
    <row r="103" spans="28:35">
      <c r="AB103" s="328"/>
      <c r="AC103" s="328"/>
      <c r="AD103" s="328"/>
      <c r="AE103" s="328"/>
      <c r="AF103" s="328"/>
      <c r="AG103" s="328"/>
      <c r="AI103" s="328"/>
    </row>
    <row r="104" spans="28:35">
      <c r="AB104" s="328"/>
      <c r="AC104" s="328"/>
      <c r="AD104" s="328"/>
      <c r="AE104" s="328"/>
      <c r="AF104" s="328"/>
      <c r="AG104" s="328"/>
      <c r="AI104" s="328"/>
    </row>
    <row r="105" spans="28:35">
      <c r="AB105" s="328"/>
      <c r="AC105" s="328"/>
      <c r="AD105" s="328"/>
      <c r="AE105" s="328"/>
      <c r="AF105" s="328"/>
      <c r="AG105" s="328"/>
      <c r="AI105" s="328"/>
    </row>
    <row r="106" spans="28:35">
      <c r="AB106" s="328"/>
      <c r="AC106" s="328"/>
      <c r="AD106" s="328"/>
      <c r="AE106" s="328"/>
      <c r="AF106" s="328"/>
      <c r="AG106" s="328"/>
      <c r="AI106" s="328"/>
    </row>
    <row r="107" spans="28:35">
      <c r="AB107" s="328"/>
      <c r="AC107" s="328"/>
      <c r="AD107" s="328"/>
      <c r="AE107" s="328"/>
      <c r="AF107" s="328"/>
      <c r="AG107" s="328"/>
      <c r="AI107" s="328"/>
    </row>
    <row r="108" spans="28:35">
      <c r="AB108" s="328"/>
      <c r="AC108" s="328"/>
      <c r="AD108" s="328"/>
      <c r="AE108" s="328"/>
      <c r="AF108" s="328"/>
      <c r="AG108" s="328"/>
      <c r="AI108" s="328"/>
    </row>
    <row r="109" spans="28:35">
      <c r="AB109" s="328"/>
      <c r="AC109" s="328"/>
      <c r="AD109" s="328"/>
      <c r="AE109" s="328"/>
      <c r="AF109" s="328"/>
      <c r="AG109" s="328"/>
      <c r="AI109" s="328"/>
    </row>
    <row r="110" spans="28:35">
      <c r="AB110" s="328"/>
      <c r="AC110" s="328"/>
      <c r="AD110" s="328"/>
      <c r="AE110" s="328"/>
      <c r="AF110" s="328"/>
      <c r="AG110" s="328"/>
      <c r="AI110" s="328"/>
    </row>
    <row r="111" spans="28:35">
      <c r="AB111" s="328"/>
      <c r="AC111" s="328"/>
      <c r="AD111" s="328"/>
      <c r="AE111" s="328"/>
      <c r="AF111" s="328"/>
      <c r="AG111" s="328"/>
      <c r="AI111" s="328"/>
    </row>
    <row r="112" spans="28:35">
      <c r="AB112" s="328"/>
      <c r="AC112" s="328"/>
      <c r="AD112" s="328"/>
      <c r="AE112" s="328"/>
      <c r="AF112" s="328"/>
      <c r="AG112" s="328"/>
      <c r="AI112" s="328"/>
    </row>
    <row r="113" spans="28:35">
      <c r="AB113" s="328"/>
      <c r="AC113" s="328"/>
      <c r="AD113" s="328"/>
      <c r="AE113" s="328"/>
      <c r="AF113" s="328"/>
      <c r="AG113" s="328"/>
      <c r="AI113" s="328"/>
    </row>
    <row r="114" spans="28:35">
      <c r="AB114" s="328"/>
      <c r="AC114" s="328"/>
      <c r="AD114" s="328"/>
      <c r="AE114" s="328"/>
      <c r="AF114" s="328"/>
      <c r="AG114" s="328"/>
      <c r="AI114" s="328"/>
    </row>
    <row r="115" spans="28:35">
      <c r="AB115" s="328"/>
      <c r="AC115" s="328"/>
      <c r="AD115" s="328"/>
      <c r="AE115" s="328"/>
      <c r="AF115" s="328"/>
      <c r="AG115" s="328"/>
      <c r="AI115" s="328"/>
    </row>
    <row r="116" spans="28:35">
      <c r="AB116" s="328"/>
      <c r="AC116" s="328"/>
      <c r="AD116" s="328"/>
      <c r="AE116" s="328"/>
      <c r="AF116" s="328"/>
      <c r="AG116" s="328"/>
      <c r="AI116" s="328"/>
    </row>
    <row r="117" spans="28:35">
      <c r="AB117" s="328"/>
      <c r="AC117" s="328"/>
      <c r="AD117" s="328"/>
      <c r="AE117" s="328"/>
      <c r="AF117" s="328"/>
      <c r="AG117" s="328"/>
      <c r="AI117" s="328"/>
    </row>
    <row r="118" spans="28:35">
      <c r="AB118" s="328"/>
      <c r="AC118" s="328"/>
      <c r="AD118" s="328"/>
      <c r="AE118" s="328"/>
      <c r="AF118" s="328"/>
      <c r="AG118" s="328"/>
      <c r="AI118" s="328"/>
    </row>
    <row r="119" spans="28:35">
      <c r="AB119" s="328"/>
      <c r="AC119" s="328"/>
      <c r="AD119" s="328"/>
      <c r="AE119" s="328"/>
      <c r="AF119" s="328"/>
      <c r="AG119" s="328"/>
      <c r="AI119" s="328"/>
    </row>
    <row r="120" spans="28:35">
      <c r="AB120" s="328"/>
      <c r="AC120" s="328"/>
      <c r="AD120" s="328"/>
      <c r="AE120" s="328"/>
      <c r="AF120" s="328"/>
      <c r="AG120" s="328"/>
      <c r="AI120" s="328"/>
    </row>
    <row r="121" spans="28:35">
      <c r="AB121" s="328"/>
      <c r="AC121" s="328"/>
      <c r="AD121" s="328"/>
      <c r="AE121" s="328"/>
      <c r="AF121" s="328"/>
      <c r="AG121" s="328"/>
      <c r="AI121" s="328"/>
    </row>
    <row r="122" spans="28:35">
      <c r="AB122" s="328"/>
      <c r="AC122" s="328"/>
      <c r="AD122" s="328"/>
      <c r="AE122" s="328"/>
      <c r="AF122" s="328"/>
      <c r="AG122" s="328"/>
      <c r="AI122" s="328"/>
    </row>
    <row r="123" spans="28:35">
      <c r="AB123" s="328"/>
      <c r="AC123" s="328"/>
      <c r="AD123" s="328"/>
      <c r="AE123" s="328"/>
      <c r="AF123" s="328"/>
      <c r="AG123" s="328"/>
      <c r="AI123" s="328"/>
    </row>
    <row r="124" spans="28:35">
      <c r="AB124" s="328"/>
      <c r="AC124" s="328"/>
      <c r="AD124" s="328"/>
      <c r="AE124" s="328"/>
      <c r="AF124" s="328"/>
      <c r="AG124" s="328"/>
      <c r="AI124" s="328"/>
    </row>
    <row r="125" spans="28:35">
      <c r="AB125" s="328"/>
      <c r="AC125" s="328"/>
      <c r="AD125" s="328"/>
      <c r="AE125" s="328"/>
      <c r="AF125" s="328"/>
      <c r="AG125" s="328"/>
      <c r="AI125" s="328"/>
    </row>
    <row r="126" spans="28:35">
      <c r="AB126" s="328"/>
      <c r="AC126" s="328"/>
      <c r="AD126" s="328"/>
      <c r="AE126" s="328"/>
      <c r="AF126" s="328"/>
      <c r="AG126" s="328"/>
      <c r="AI126" s="328"/>
    </row>
    <row r="127" spans="28:35">
      <c r="AB127" s="328"/>
      <c r="AC127" s="328"/>
      <c r="AD127" s="328"/>
      <c r="AE127" s="328"/>
      <c r="AF127" s="328"/>
      <c r="AG127" s="328"/>
      <c r="AI127" s="328"/>
    </row>
    <row r="128" spans="28:35">
      <c r="AB128" s="328"/>
      <c r="AC128" s="328"/>
      <c r="AD128" s="328"/>
      <c r="AE128" s="328"/>
      <c r="AF128" s="328"/>
      <c r="AG128" s="328"/>
      <c r="AI128" s="328"/>
    </row>
    <row r="129" spans="28:35">
      <c r="AB129" s="328"/>
      <c r="AC129" s="328"/>
      <c r="AD129" s="328"/>
      <c r="AE129" s="328"/>
      <c r="AF129" s="328"/>
      <c r="AG129" s="328"/>
      <c r="AI129" s="328"/>
    </row>
    <row r="130" spans="28:35">
      <c r="AB130" s="328"/>
      <c r="AC130" s="328"/>
      <c r="AD130" s="328"/>
      <c r="AE130" s="328"/>
      <c r="AF130" s="328"/>
      <c r="AG130" s="328"/>
      <c r="AI130" s="328"/>
    </row>
    <row r="131" spans="28:35">
      <c r="AB131" s="328"/>
      <c r="AC131" s="328"/>
      <c r="AD131" s="328"/>
      <c r="AE131" s="328"/>
      <c r="AF131" s="328"/>
      <c r="AG131" s="328"/>
      <c r="AI131" s="328"/>
    </row>
    <row r="132" spans="28:35">
      <c r="AB132" s="328"/>
      <c r="AC132" s="328"/>
      <c r="AD132" s="328"/>
      <c r="AE132" s="328"/>
      <c r="AF132" s="328"/>
      <c r="AG132" s="328"/>
      <c r="AI132" s="328"/>
    </row>
    <row r="133" spans="28:35">
      <c r="AB133" s="328"/>
      <c r="AC133" s="328"/>
      <c r="AD133" s="328"/>
      <c r="AE133" s="328"/>
      <c r="AF133" s="328"/>
      <c r="AG133" s="328"/>
      <c r="AI133" s="328"/>
    </row>
    <row r="134" spans="28:35">
      <c r="AB134" s="328"/>
      <c r="AC134" s="328"/>
      <c r="AD134" s="328"/>
      <c r="AE134" s="328"/>
      <c r="AF134" s="328"/>
      <c r="AG134" s="328"/>
      <c r="AI134" s="328"/>
    </row>
    <row r="135" spans="28:35">
      <c r="AB135" s="328"/>
      <c r="AC135" s="328"/>
      <c r="AD135" s="328"/>
      <c r="AE135" s="328"/>
      <c r="AF135" s="328"/>
      <c r="AG135" s="328"/>
      <c r="AI135" s="328"/>
    </row>
    <row r="136" spans="28:35">
      <c r="AB136" s="328"/>
      <c r="AC136" s="328"/>
      <c r="AD136" s="328"/>
      <c r="AE136" s="328"/>
      <c r="AF136" s="328"/>
      <c r="AG136" s="328"/>
      <c r="AI136" s="328"/>
    </row>
    <row r="137" spans="28:35">
      <c r="AB137" s="328"/>
      <c r="AC137" s="328"/>
      <c r="AD137" s="328"/>
      <c r="AE137" s="328"/>
      <c r="AF137" s="328"/>
      <c r="AG137" s="328"/>
      <c r="AI137" s="328"/>
    </row>
    <row r="138" spans="28:35">
      <c r="AB138" s="328"/>
      <c r="AC138" s="328"/>
      <c r="AD138" s="328"/>
      <c r="AE138" s="328"/>
      <c r="AF138" s="328"/>
      <c r="AG138" s="328"/>
      <c r="AI138" s="328"/>
    </row>
    <row r="139" spans="28:35">
      <c r="AB139" s="328"/>
      <c r="AC139" s="328"/>
      <c r="AD139" s="328"/>
      <c r="AE139" s="328"/>
      <c r="AF139" s="328"/>
      <c r="AG139" s="328"/>
      <c r="AI139" s="328"/>
    </row>
    <row r="140" spans="28:35">
      <c r="AB140" s="328"/>
      <c r="AC140" s="328"/>
      <c r="AD140" s="328"/>
      <c r="AE140" s="328"/>
      <c r="AF140" s="328"/>
      <c r="AG140" s="328"/>
      <c r="AI140" s="328"/>
    </row>
    <row r="141" spans="28:35">
      <c r="AB141" s="328"/>
      <c r="AC141" s="328"/>
      <c r="AD141" s="328"/>
      <c r="AE141" s="328"/>
      <c r="AF141" s="328"/>
      <c r="AG141" s="328"/>
      <c r="AI141" s="328"/>
    </row>
    <row r="142" spans="28:35">
      <c r="AB142" s="328"/>
      <c r="AC142" s="328"/>
      <c r="AD142" s="328"/>
      <c r="AE142" s="328"/>
      <c r="AF142" s="328"/>
      <c r="AG142" s="328"/>
      <c r="AI142" s="328"/>
    </row>
    <row r="143" spans="28:35">
      <c r="AB143" s="328"/>
      <c r="AC143" s="328"/>
      <c r="AD143" s="328"/>
      <c r="AE143" s="328"/>
      <c r="AF143" s="328"/>
      <c r="AG143" s="328"/>
      <c r="AI143" s="328"/>
    </row>
    <row r="144" spans="28:35">
      <c r="AB144" s="328"/>
      <c r="AC144" s="328"/>
      <c r="AD144" s="328"/>
      <c r="AE144" s="328"/>
      <c r="AF144" s="328"/>
      <c r="AG144" s="328"/>
      <c r="AI144" s="328"/>
    </row>
    <row r="145" spans="28:35">
      <c r="AB145" s="328"/>
      <c r="AC145" s="328"/>
      <c r="AD145" s="328"/>
      <c r="AE145" s="328"/>
      <c r="AF145" s="328"/>
      <c r="AG145" s="328"/>
      <c r="AI145" s="328"/>
    </row>
    <row r="146" spans="28:35">
      <c r="AB146" s="328"/>
      <c r="AC146" s="328"/>
      <c r="AD146" s="328"/>
      <c r="AE146" s="328"/>
      <c r="AF146" s="328"/>
      <c r="AG146" s="328"/>
      <c r="AI146" s="328"/>
    </row>
    <row r="147" spans="28:35">
      <c r="AB147" s="328"/>
      <c r="AC147" s="328"/>
      <c r="AD147" s="328"/>
      <c r="AE147" s="328"/>
      <c r="AF147" s="328"/>
      <c r="AG147" s="328"/>
      <c r="AI147" s="328"/>
    </row>
    <row r="148" spans="28:35">
      <c r="AB148" s="328"/>
      <c r="AC148" s="328"/>
      <c r="AD148" s="328"/>
      <c r="AE148" s="328"/>
      <c r="AF148" s="328"/>
      <c r="AG148" s="328"/>
      <c r="AI148" s="328"/>
    </row>
    <row r="149" spans="28:35">
      <c r="AB149" s="328"/>
      <c r="AC149" s="328"/>
      <c r="AD149" s="328"/>
      <c r="AE149" s="328"/>
      <c r="AF149" s="328"/>
      <c r="AG149" s="328"/>
      <c r="AI149" s="328"/>
    </row>
    <row r="150" spans="28:35">
      <c r="AB150" s="328"/>
      <c r="AC150" s="328"/>
      <c r="AD150" s="328"/>
      <c r="AE150" s="328"/>
      <c r="AF150" s="328"/>
      <c r="AG150" s="328"/>
      <c r="AI150" s="328"/>
    </row>
    <row r="151" spans="28:35">
      <c r="AB151" s="328"/>
      <c r="AC151" s="328"/>
      <c r="AD151" s="328"/>
      <c r="AE151" s="328"/>
      <c r="AF151" s="328"/>
      <c r="AG151" s="328"/>
      <c r="AI151" s="328"/>
    </row>
    <row r="152" spans="28:35">
      <c r="AB152" s="328"/>
      <c r="AC152" s="328"/>
      <c r="AD152" s="328"/>
      <c r="AE152" s="328"/>
      <c r="AF152" s="328"/>
      <c r="AG152" s="328"/>
      <c r="AI152" s="328"/>
    </row>
    <row r="153" spans="28:35">
      <c r="AB153" s="328"/>
      <c r="AC153" s="328"/>
      <c r="AD153" s="328"/>
      <c r="AE153" s="328"/>
      <c r="AF153" s="328"/>
      <c r="AG153" s="328"/>
      <c r="AI153" s="328"/>
    </row>
    <row r="154" spans="28:35">
      <c r="AB154" s="328"/>
      <c r="AC154" s="328"/>
      <c r="AD154" s="328"/>
      <c r="AE154" s="328"/>
      <c r="AF154" s="328"/>
      <c r="AG154" s="328"/>
      <c r="AI154" s="328"/>
    </row>
    <row r="155" spans="28:35">
      <c r="AB155" s="328"/>
      <c r="AC155" s="328"/>
      <c r="AD155" s="328"/>
      <c r="AE155" s="328"/>
      <c r="AF155" s="328"/>
      <c r="AG155" s="328"/>
      <c r="AI155" s="328"/>
    </row>
    <row r="156" spans="28:35">
      <c r="AB156" s="328"/>
      <c r="AC156" s="328"/>
      <c r="AD156" s="328"/>
      <c r="AE156" s="328"/>
      <c r="AF156" s="328"/>
      <c r="AG156" s="328"/>
      <c r="AI156" s="328"/>
    </row>
    <row r="157" spans="28:35">
      <c r="AB157" s="328"/>
      <c r="AC157" s="328"/>
      <c r="AD157" s="328"/>
      <c r="AE157" s="328"/>
      <c r="AF157" s="328"/>
      <c r="AG157" s="328"/>
      <c r="AI157" s="328"/>
    </row>
    <row r="158" spans="28:35">
      <c r="AB158" s="328"/>
      <c r="AC158" s="328"/>
      <c r="AD158" s="328"/>
      <c r="AE158" s="328"/>
      <c r="AF158" s="328"/>
      <c r="AG158" s="328"/>
      <c r="AI158" s="328"/>
    </row>
    <row r="159" spans="28:35">
      <c r="AB159" s="328"/>
      <c r="AC159" s="328"/>
      <c r="AD159" s="328"/>
      <c r="AE159" s="328"/>
      <c r="AF159" s="328"/>
      <c r="AG159" s="328"/>
      <c r="AI159" s="328"/>
    </row>
    <row r="160" spans="28:35">
      <c r="AB160" s="328"/>
      <c r="AC160" s="328"/>
      <c r="AD160" s="328"/>
      <c r="AE160" s="328"/>
      <c r="AF160" s="328"/>
      <c r="AG160" s="328"/>
      <c r="AI160" s="328"/>
    </row>
    <row r="161" spans="28:35">
      <c r="AB161" s="328"/>
      <c r="AC161" s="328"/>
      <c r="AD161" s="328"/>
      <c r="AE161" s="328"/>
      <c r="AF161" s="328"/>
      <c r="AG161" s="328"/>
      <c r="AI161" s="328"/>
    </row>
    <row r="162" spans="28:35">
      <c r="AB162" s="328"/>
      <c r="AC162" s="328"/>
      <c r="AD162" s="328"/>
      <c r="AE162" s="328"/>
      <c r="AF162" s="328"/>
      <c r="AG162" s="328"/>
      <c r="AI162" s="328"/>
    </row>
    <row r="163" spans="28:35">
      <c r="AB163" s="328"/>
      <c r="AC163" s="328"/>
      <c r="AD163" s="328"/>
      <c r="AE163" s="328"/>
      <c r="AF163" s="328"/>
      <c r="AG163" s="328"/>
      <c r="AI163" s="328"/>
    </row>
    <row r="164" spans="28:35">
      <c r="AB164" s="328"/>
      <c r="AC164" s="328"/>
      <c r="AD164" s="328"/>
      <c r="AE164" s="328"/>
      <c r="AF164" s="328"/>
      <c r="AG164" s="328"/>
      <c r="AI164" s="328"/>
    </row>
    <row r="165" spans="28:35">
      <c r="AB165" s="328"/>
      <c r="AC165" s="328"/>
      <c r="AD165" s="328"/>
      <c r="AE165" s="328"/>
      <c r="AF165" s="328"/>
      <c r="AG165" s="328"/>
      <c r="AI165" s="328"/>
    </row>
    <row r="166" spans="28:35">
      <c r="AB166" s="328"/>
      <c r="AC166" s="328"/>
      <c r="AD166" s="328"/>
      <c r="AE166" s="328"/>
      <c r="AF166" s="328"/>
      <c r="AG166" s="328"/>
      <c r="AI166" s="328"/>
    </row>
    <row r="167" spans="28:35">
      <c r="AB167" s="328"/>
      <c r="AC167" s="328"/>
      <c r="AD167" s="328"/>
      <c r="AE167" s="328"/>
      <c r="AF167" s="328"/>
      <c r="AG167" s="328"/>
      <c r="AI167" s="328"/>
    </row>
    <row r="168" spans="28:35">
      <c r="AB168" s="328"/>
      <c r="AC168" s="328"/>
      <c r="AD168" s="328"/>
      <c r="AE168" s="328"/>
      <c r="AF168" s="328"/>
      <c r="AG168" s="328"/>
      <c r="AI168" s="328"/>
    </row>
    <row r="169" spans="28:35">
      <c r="AB169" s="328"/>
      <c r="AC169" s="328"/>
      <c r="AD169" s="328"/>
      <c r="AE169" s="328"/>
      <c r="AF169" s="328"/>
      <c r="AG169" s="328"/>
      <c r="AI169" s="328"/>
    </row>
    <row r="170" spans="28:35">
      <c r="AB170" s="328"/>
      <c r="AC170" s="328"/>
      <c r="AD170" s="328"/>
      <c r="AE170" s="328"/>
      <c r="AF170" s="328"/>
      <c r="AG170" s="328"/>
      <c r="AI170" s="328"/>
    </row>
    <row r="171" spans="28:35">
      <c r="AB171" s="328"/>
      <c r="AC171" s="328"/>
      <c r="AD171" s="328"/>
      <c r="AE171" s="328"/>
      <c r="AF171" s="328"/>
      <c r="AG171" s="328"/>
      <c r="AI171" s="328"/>
    </row>
    <row r="172" spans="28:35">
      <c r="AB172" s="328"/>
      <c r="AC172" s="328"/>
      <c r="AD172" s="328"/>
      <c r="AE172" s="328"/>
      <c r="AF172" s="328"/>
      <c r="AG172" s="328"/>
      <c r="AI172" s="328"/>
    </row>
    <row r="173" spans="28:35">
      <c r="AB173" s="328"/>
      <c r="AC173" s="328"/>
      <c r="AD173" s="328"/>
      <c r="AE173" s="328"/>
      <c r="AF173" s="328"/>
      <c r="AG173" s="328"/>
      <c r="AI173" s="328"/>
    </row>
    <row r="174" spans="28:35">
      <c r="AB174" s="328"/>
      <c r="AC174" s="328"/>
      <c r="AD174" s="328"/>
      <c r="AE174" s="328"/>
      <c r="AF174" s="328"/>
      <c r="AG174" s="328"/>
      <c r="AI174" s="328"/>
    </row>
    <row r="175" spans="28:35">
      <c r="AB175" s="328"/>
      <c r="AC175" s="328"/>
      <c r="AD175" s="328"/>
      <c r="AE175" s="328"/>
      <c r="AF175" s="328"/>
      <c r="AG175" s="328"/>
      <c r="AI175" s="328"/>
    </row>
    <row r="176" spans="28:35">
      <c r="AB176" s="328"/>
      <c r="AC176" s="328"/>
      <c r="AD176" s="328"/>
      <c r="AE176" s="328"/>
      <c r="AF176" s="328"/>
      <c r="AG176" s="328"/>
      <c r="AI176" s="328"/>
    </row>
    <row r="177" spans="28:35">
      <c r="AB177" s="328"/>
      <c r="AC177" s="328"/>
      <c r="AD177" s="328"/>
      <c r="AE177" s="328"/>
      <c r="AF177" s="328"/>
      <c r="AG177" s="328"/>
      <c r="AI177" s="328"/>
    </row>
    <row r="178" spans="28:35">
      <c r="AB178" s="328"/>
      <c r="AC178" s="328"/>
      <c r="AD178" s="328"/>
      <c r="AE178" s="328"/>
      <c r="AF178" s="328"/>
      <c r="AG178" s="328"/>
      <c r="AI178" s="328"/>
    </row>
    <row r="179" spans="28:35">
      <c r="AB179" s="328"/>
      <c r="AC179" s="328"/>
      <c r="AD179" s="328"/>
      <c r="AE179" s="328"/>
      <c r="AF179" s="328"/>
      <c r="AG179" s="328"/>
      <c r="AI179" s="328"/>
    </row>
    <row r="180" spans="28:35">
      <c r="AB180" s="328"/>
      <c r="AC180" s="328"/>
      <c r="AD180" s="328"/>
      <c r="AE180" s="328"/>
      <c r="AF180" s="328"/>
      <c r="AG180" s="328"/>
      <c r="AI180" s="328"/>
    </row>
    <row r="181" spans="28:35">
      <c r="AB181" s="328"/>
      <c r="AC181" s="328"/>
      <c r="AD181" s="328"/>
      <c r="AE181" s="328"/>
      <c r="AF181" s="328"/>
      <c r="AG181" s="328"/>
      <c r="AI181" s="328"/>
    </row>
    <row r="182" spans="28:35">
      <c r="AB182" s="328"/>
      <c r="AC182" s="328"/>
      <c r="AD182" s="328"/>
      <c r="AE182" s="328"/>
      <c r="AF182" s="328"/>
      <c r="AG182" s="328"/>
      <c r="AI182" s="328"/>
    </row>
    <row r="183" spans="28:35">
      <c r="AB183" s="328"/>
      <c r="AC183" s="328"/>
      <c r="AD183" s="328"/>
      <c r="AE183" s="328"/>
      <c r="AF183" s="328"/>
      <c r="AG183" s="328"/>
      <c r="AI183" s="328"/>
    </row>
    <row r="184" spans="28:35">
      <c r="AB184" s="328"/>
      <c r="AC184" s="328"/>
      <c r="AD184" s="328"/>
      <c r="AE184" s="328"/>
      <c r="AF184" s="328"/>
      <c r="AG184" s="328"/>
      <c r="AI184" s="328"/>
    </row>
    <row r="185" spans="28:35">
      <c r="AB185" s="328"/>
      <c r="AC185" s="328"/>
      <c r="AD185" s="328"/>
      <c r="AE185" s="328"/>
      <c r="AF185" s="328"/>
      <c r="AG185" s="328"/>
      <c r="AI185" s="328"/>
    </row>
    <row r="186" spans="28:35">
      <c r="AB186" s="328"/>
      <c r="AC186" s="328"/>
      <c r="AD186" s="328"/>
      <c r="AE186" s="328"/>
      <c r="AF186" s="328"/>
      <c r="AG186" s="328"/>
      <c r="AI186" s="328"/>
    </row>
    <row r="187" spans="28:35">
      <c r="AB187" s="328"/>
      <c r="AC187" s="328"/>
      <c r="AD187" s="328"/>
      <c r="AE187" s="328"/>
      <c r="AF187" s="328"/>
      <c r="AG187" s="328"/>
      <c r="AI187" s="328"/>
    </row>
    <row r="188" spans="28:35">
      <c r="AB188" s="328"/>
      <c r="AC188" s="328"/>
      <c r="AD188" s="328"/>
      <c r="AE188" s="328"/>
      <c r="AF188" s="328"/>
      <c r="AG188" s="328"/>
      <c r="AI188" s="328"/>
    </row>
    <row r="189" spans="28:35">
      <c r="AB189" s="328"/>
      <c r="AC189" s="328"/>
      <c r="AD189" s="328"/>
      <c r="AE189" s="328"/>
      <c r="AF189" s="328"/>
      <c r="AG189" s="328"/>
      <c r="AI189" s="328"/>
    </row>
    <row r="190" spans="28:35">
      <c r="AB190" s="328"/>
      <c r="AC190" s="328"/>
      <c r="AD190" s="328"/>
      <c r="AE190" s="328"/>
      <c r="AF190" s="328"/>
      <c r="AG190" s="328"/>
      <c r="AI190" s="328"/>
    </row>
    <row r="191" spans="28:35">
      <c r="AB191" s="328"/>
      <c r="AC191" s="328"/>
      <c r="AD191" s="328"/>
      <c r="AE191" s="328"/>
      <c r="AF191" s="328"/>
      <c r="AG191" s="328"/>
      <c r="AI191" s="328"/>
    </row>
    <row r="192" spans="28:35">
      <c r="AB192" s="328"/>
      <c r="AC192" s="328"/>
      <c r="AD192" s="328"/>
      <c r="AE192" s="328"/>
      <c r="AF192" s="328"/>
      <c r="AG192" s="328"/>
      <c r="AI192" s="328"/>
    </row>
    <row r="193" spans="28:35">
      <c r="AB193" s="328"/>
      <c r="AC193" s="328"/>
      <c r="AD193" s="328"/>
      <c r="AE193" s="328"/>
      <c r="AF193" s="328"/>
      <c r="AG193" s="328"/>
      <c r="AI193" s="328"/>
    </row>
    <row r="194" spans="28:35">
      <c r="AB194" s="328"/>
      <c r="AC194" s="328"/>
      <c r="AD194" s="328"/>
      <c r="AE194" s="328"/>
      <c r="AF194" s="328"/>
      <c r="AG194" s="328"/>
      <c r="AI194" s="328"/>
    </row>
    <row r="195" spans="28:35">
      <c r="AB195" s="328"/>
      <c r="AC195" s="328"/>
      <c r="AD195" s="328"/>
      <c r="AE195" s="328"/>
      <c r="AF195" s="328"/>
      <c r="AG195" s="328"/>
      <c r="AI195" s="328"/>
    </row>
    <row r="196" spans="28:35">
      <c r="AB196" s="328"/>
      <c r="AC196" s="328"/>
      <c r="AD196" s="328"/>
      <c r="AE196" s="328"/>
      <c r="AF196" s="328"/>
      <c r="AG196" s="328"/>
      <c r="AI196" s="328"/>
    </row>
    <row r="197" spans="28:35">
      <c r="AB197" s="328"/>
      <c r="AC197" s="328"/>
      <c r="AD197" s="328"/>
      <c r="AE197" s="328"/>
      <c r="AF197" s="328"/>
      <c r="AG197" s="328"/>
      <c r="AI197" s="328"/>
    </row>
    <row r="198" spans="28:35">
      <c r="AB198" s="328"/>
      <c r="AC198" s="328"/>
      <c r="AD198" s="328"/>
      <c r="AE198" s="328"/>
      <c r="AF198" s="328"/>
      <c r="AG198" s="328"/>
      <c r="AI198" s="328"/>
    </row>
    <row r="199" spans="28:35">
      <c r="AB199" s="328"/>
      <c r="AC199" s="328"/>
      <c r="AD199" s="328"/>
      <c r="AE199" s="328"/>
      <c r="AF199" s="328"/>
      <c r="AG199" s="328"/>
      <c r="AI199" s="328"/>
    </row>
    <row r="200" spans="28:35">
      <c r="AB200" s="328"/>
      <c r="AC200" s="328"/>
      <c r="AD200" s="328"/>
      <c r="AE200" s="328"/>
      <c r="AF200" s="328"/>
      <c r="AG200" s="328"/>
      <c r="AI200" s="328"/>
    </row>
    <row r="201" spans="28:35">
      <c r="AB201" s="328"/>
      <c r="AC201" s="328"/>
      <c r="AD201" s="328"/>
      <c r="AE201" s="328"/>
      <c r="AF201" s="328"/>
      <c r="AG201" s="328"/>
      <c r="AI201" s="328"/>
    </row>
    <row r="202" spans="28:35">
      <c r="AB202" s="328"/>
      <c r="AC202" s="328"/>
      <c r="AD202" s="328"/>
      <c r="AE202" s="328"/>
      <c r="AF202" s="328"/>
      <c r="AG202" s="328"/>
      <c r="AI202" s="328"/>
    </row>
    <row r="203" spans="28:35">
      <c r="AB203" s="328"/>
      <c r="AC203" s="328"/>
      <c r="AD203" s="328"/>
      <c r="AE203" s="328"/>
      <c r="AF203" s="328"/>
      <c r="AG203" s="328"/>
      <c r="AI203" s="328"/>
    </row>
    <row r="204" spans="28:35">
      <c r="AB204" s="328"/>
      <c r="AC204" s="328"/>
      <c r="AD204" s="328"/>
      <c r="AE204" s="328"/>
      <c r="AF204" s="328"/>
      <c r="AG204" s="328"/>
      <c r="AI204" s="328"/>
    </row>
    <row r="205" spans="28:35">
      <c r="AB205" s="328"/>
      <c r="AC205" s="328"/>
      <c r="AD205" s="328"/>
      <c r="AE205" s="328"/>
      <c r="AF205" s="328"/>
      <c r="AG205" s="328"/>
      <c r="AI205" s="328"/>
    </row>
    <row r="206" spans="28:35">
      <c r="AB206" s="328"/>
      <c r="AC206" s="328"/>
      <c r="AD206" s="328"/>
      <c r="AE206" s="328"/>
      <c r="AF206" s="328"/>
      <c r="AG206" s="328"/>
      <c r="AI206" s="328"/>
    </row>
    <row r="207" spans="28:35">
      <c r="AB207" s="328"/>
      <c r="AC207" s="328"/>
      <c r="AD207" s="328"/>
      <c r="AE207" s="328"/>
      <c r="AF207" s="328"/>
      <c r="AG207" s="328"/>
      <c r="AI207" s="328"/>
    </row>
    <row r="208" spans="28:35">
      <c r="AB208" s="328"/>
      <c r="AC208" s="328"/>
      <c r="AD208" s="328"/>
      <c r="AE208" s="328"/>
      <c r="AF208" s="328"/>
      <c r="AG208" s="328"/>
      <c r="AI208" s="328"/>
    </row>
    <row r="209" spans="28:35">
      <c r="AB209" s="328"/>
      <c r="AC209" s="328"/>
      <c r="AD209" s="328"/>
      <c r="AE209" s="328"/>
      <c r="AF209" s="328"/>
      <c r="AG209" s="328"/>
      <c r="AI209" s="328"/>
    </row>
    <row r="210" spans="28:35">
      <c r="AB210" s="328"/>
      <c r="AC210" s="328"/>
      <c r="AD210" s="328"/>
      <c r="AE210" s="328"/>
      <c r="AF210" s="328"/>
      <c r="AG210" s="328"/>
      <c r="AI210" s="328"/>
    </row>
    <row r="211" spans="28:35">
      <c r="AB211" s="328"/>
      <c r="AC211" s="328"/>
      <c r="AD211" s="328"/>
      <c r="AE211" s="328"/>
      <c r="AF211" s="328"/>
      <c r="AG211" s="328"/>
      <c r="AI211" s="328"/>
    </row>
    <row r="212" spans="28:35">
      <c r="AB212" s="328"/>
      <c r="AC212" s="328"/>
      <c r="AD212" s="328"/>
      <c r="AE212" s="328"/>
      <c r="AF212" s="328"/>
      <c r="AG212" s="328"/>
      <c r="AI212" s="328"/>
    </row>
    <row r="213" spans="28:35">
      <c r="AB213" s="328"/>
      <c r="AC213" s="328"/>
      <c r="AD213" s="328"/>
      <c r="AE213" s="328"/>
      <c r="AF213" s="328"/>
      <c r="AG213" s="328"/>
      <c r="AI213" s="328"/>
    </row>
    <row r="214" spans="28:35">
      <c r="AB214" s="328"/>
      <c r="AC214" s="328"/>
      <c r="AD214" s="328"/>
      <c r="AE214" s="328"/>
      <c r="AF214" s="328"/>
      <c r="AG214" s="328"/>
      <c r="AI214" s="328"/>
    </row>
    <row r="215" spans="28:35">
      <c r="AB215" s="328"/>
      <c r="AC215" s="328"/>
      <c r="AD215" s="328"/>
      <c r="AE215" s="328"/>
      <c r="AF215" s="328"/>
      <c r="AG215" s="328"/>
      <c r="AI215" s="328"/>
    </row>
    <row r="216" spans="28:35">
      <c r="AB216" s="328"/>
      <c r="AC216" s="328"/>
      <c r="AD216" s="328"/>
      <c r="AE216" s="328"/>
      <c r="AF216" s="328"/>
      <c r="AG216" s="328"/>
      <c r="AI216" s="328"/>
    </row>
    <row r="217" spans="28:35">
      <c r="AB217" s="328"/>
      <c r="AC217" s="328"/>
      <c r="AD217" s="328"/>
      <c r="AE217" s="328"/>
      <c r="AF217" s="328"/>
      <c r="AG217" s="328"/>
      <c r="AI217" s="328"/>
    </row>
    <row r="218" spans="28:35">
      <c r="AB218" s="328"/>
      <c r="AC218" s="328"/>
      <c r="AD218" s="328"/>
      <c r="AE218" s="328"/>
      <c r="AF218" s="328"/>
      <c r="AG218" s="328"/>
      <c r="AI218" s="328"/>
    </row>
    <row r="219" spans="28:35">
      <c r="AB219" s="328"/>
      <c r="AC219" s="328"/>
      <c r="AD219" s="328"/>
      <c r="AE219" s="328"/>
      <c r="AF219" s="328"/>
      <c r="AG219" s="328"/>
      <c r="AI219" s="328"/>
    </row>
    <row r="220" spans="28:35">
      <c r="AB220" s="328"/>
      <c r="AC220" s="328"/>
      <c r="AD220" s="328"/>
      <c r="AE220" s="328"/>
      <c r="AF220" s="328"/>
      <c r="AG220" s="328"/>
      <c r="AI220" s="328"/>
    </row>
    <row r="221" spans="28:35">
      <c r="AB221" s="328"/>
      <c r="AC221" s="328"/>
      <c r="AD221" s="328"/>
      <c r="AE221" s="328"/>
      <c r="AF221" s="328"/>
      <c r="AG221" s="328"/>
      <c r="AI221" s="328"/>
    </row>
    <row r="222" spans="28:35">
      <c r="AB222" s="328"/>
      <c r="AC222" s="328"/>
      <c r="AD222" s="328"/>
      <c r="AE222" s="328"/>
      <c r="AF222" s="328"/>
      <c r="AG222" s="328"/>
      <c r="AI222" s="328"/>
    </row>
    <row r="223" spans="28:35">
      <c r="AB223" s="328"/>
      <c r="AC223" s="328"/>
      <c r="AD223" s="328"/>
      <c r="AE223" s="328"/>
      <c r="AF223" s="328"/>
      <c r="AG223" s="328"/>
      <c r="AI223" s="328"/>
    </row>
    <row r="224" spans="28:35">
      <c r="AB224" s="328"/>
      <c r="AC224" s="328"/>
      <c r="AD224" s="328"/>
      <c r="AE224" s="328"/>
      <c r="AF224" s="328"/>
      <c r="AG224" s="328"/>
      <c r="AI224" s="328"/>
    </row>
    <row r="225" spans="28:35">
      <c r="AB225" s="328"/>
      <c r="AC225" s="328"/>
      <c r="AD225" s="328"/>
      <c r="AE225" s="328"/>
      <c r="AF225" s="328"/>
      <c r="AG225" s="328"/>
      <c r="AI225" s="328"/>
    </row>
    <row r="226" spans="28:35">
      <c r="AB226" s="328"/>
      <c r="AC226" s="328"/>
      <c r="AD226" s="328"/>
      <c r="AE226" s="328"/>
      <c r="AF226" s="328"/>
      <c r="AG226" s="328"/>
      <c r="AI226" s="328"/>
    </row>
    <row r="227" spans="28:35">
      <c r="AB227" s="328"/>
      <c r="AC227" s="328"/>
      <c r="AD227" s="328"/>
      <c r="AE227" s="328"/>
      <c r="AF227" s="328"/>
      <c r="AG227" s="328"/>
      <c r="AI227" s="328"/>
    </row>
    <row r="228" spans="28:35">
      <c r="AB228" s="328"/>
      <c r="AC228" s="328"/>
      <c r="AD228" s="328"/>
      <c r="AE228" s="328"/>
      <c r="AF228" s="328"/>
      <c r="AG228" s="328"/>
      <c r="AI228" s="328"/>
    </row>
    <row r="229" spans="28:35">
      <c r="AB229" s="328"/>
      <c r="AC229" s="328"/>
      <c r="AD229" s="328"/>
      <c r="AE229" s="328"/>
      <c r="AF229" s="328"/>
      <c r="AG229" s="328"/>
      <c r="AI229" s="328"/>
    </row>
    <row r="230" spans="28:35">
      <c r="AB230" s="328"/>
      <c r="AC230" s="328"/>
      <c r="AD230" s="328"/>
      <c r="AE230" s="328"/>
      <c r="AF230" s="328"/>
      <c r="AG230" s="328"/>
      <c r="AI230" s="328"/>
    </row>
    <row r="231" spans="28:35">
      <c r="AB231" s="328"/>
      <c r="AC231" s="328"/>
      <c r="AD231" s="328"/>
      <c r="AE231" s="328"/>
      <c r="AF231" s="328"/>
      <c r="AG231" s="328"/>
      <c r="AI231" s="328"/>
    </row>
    <row r="232" spans="28:35">
      <c r="AB232" s="328"/>
      <c r="AC232" s="328"/>
      <c r="AD232" s="328"/>
      <c r="AE232" s="328"/>
      <c r="AF232" s="328"/>
      <c r="AG232" s="328"/>
      <c r="AI232" s="328"/>
    </row>
    <row r="233" spans="28:35">
      <c r="AB233" s="328"/>
      <c r="AC233" s="328"/>
      <c r="AD233" s="328"/>
      <c r="AE233" s="328"/>
      <c r="AF233" s="328"/>
      <c r="AG233" s="328"/>
      <c r="AI233" s="328"/>
    </row>
    <row r="234" spans="28:35">
      <c r="AB234" s="328"/>
      <c r="AC234" s="328"/>
      <c r="AD234" s="328"/>
      <c r="AE234" s="328"/>
      <c r="AF234" s="328"/>
      <c r="AG234" s="328"/>
      <c r="AI234" s="328"/>
    </row>
    <row r="235" spans="28:35">
      <c r="AB235" s="328"/>
      <c r="AC235" s="328"/>
      <c r="AD235" s="328"/>
      <c r="AE235" s="328"/>
      <c r="AF235" s="328"/>
      <c r="AG235" s="328"/>
      <c r="AI235" s="328"/>
    </row>
    <row r="236" spans="28:35">
      <c r="AB236" s="328"/>
      <c r="AC236" s="328"/>
      <c r="AD236" s="328"/>
      <c r="AE236" s="328"/>
      <c r="AF236" s="328"/>
      <c r="AG236" s="328"/>
      <c r="AI236" s="328"/>
    </row>
    <row r="237" spans="28:35">
      <c r="AB237" s="328"/>
      <c r="AC237" s="328"/>
      <c r="AD237" s="328"/>
      <c r="AE237" s="328"/>
      <c r="AF237" s="328"/>
      <c r="AG237" s="328"/>
      <c r="AI237" s="328"/>
    </row>
    <row r="238" spans="28:35">
      <c r="AB238" s="328"/>
      <c r="AC238" s="328"/>
      <c r="AD238" s="328"/>
      <c r="AE238" s="328"/>
      <c r="AF238" s="328"/>
      <c r="AG238" s="328"/>
      <c r="AI238" s="328"/>
    </row>
    <row r="239" spans="28:35">
      <c r="AB239" s="328"/>
      <c r="AC239" s="328"/>
      <c r="AD239" s="328"/>
      <c r="AE239" s="328"/>
      <c r="AF239" s="328"/>
      <c r="AG239" s="328"/>
      <c r="AI239" s="328"/>
    </row>
    <row r="240" spans="28:35">
      <c r="AB240" s="328"/>
      <c r="AC240" s="328"/>
      <c r="AD240" s="328"/>
      <c r="AE240" s="328"/>
      <c r="AF240" s="328"/>
      <c r="AG240" s="328"/>
      <c r="AI240" s="328"/>
    </row>
    <row r="241" spans="28:35">
      <c r="AB241" s="328"/>
      <c r="AC241" s="328"/>
      <c r="AD241" s="328"/>
      <c r="AE241" s="328"/>
      <c r="AF241" s="328"/>
      <c r="AG241" s="328"/>
      <c r="AI241" s="328"/>
    </row>
    <row r="242" spans="28:35">
      <c r="AB242" s="328"/>
      <c r="AC242" s="328"/>
      <c r="AD242" s="328"/>
      <c r="AE242" s="328"/>
      <c r="AF242" s="328"/>
      <c r="AG242" s="328"/>
      <c r="AI242" s="328"/>
    </row>
    <row r="243" spans="28:35">
      <c r="AB243" s="328"/>
      <c r="AC243" s="328"/>
      <c r="AD243" s="328"/>
      <c r="AE243" s="328"/>
      <c r="AF243" s="328"/>
      <c r="AG243" s="328"/>
      <c r="AI243" s="328"/>
    </row>
    <row r="244" spans="28:35">
      <c r="AB244" s="328"/>
      <c r="AC244" s="328"/>
      <c r="AD244" s="328"/>
      <c r="AE244" s="328"/>
      <c r="AF244" s="328"/>
      <c r="AG244" s="328"/>
      <c r="AI244" s="328"/>
    </row>
    <row r="245" spans="28:35">
      <c r="AB245" s="328"/>
      <c r="AC245" s="328"/>
      <c r="AD245" s="328"/>
      <c r="AE245" s="328"/>
      <c r="AF245" s="328"/>
      <c r="AG245" s="328"/>
      <c r="AI245" s="328"/>
    </row>
    <row r="246" spans="28:35">
      <c r="AB246" s="328"/>
      <c r="AC246" s="328"/>
      <c r="AD246" s="328"/>
      <c r="AE246" s="328"/>
      <c r="AF246" s="328"/>
      <c r="AG246" s="328"/>
      <c r="AI246" s="328"/>
    </row>
    <row r="247" spans="28:35">
      <c r="AB247" s="328"/>
      <c r="AC247" s="328"/>
      <c r="AD247" s="328"/>
      <c r="AE247" s="328"/>
      <c r="AF247" s="328"/>
      <c r="AG247" s="328"/>
      <c r="AI247" s="328"/>
    </row>
    <row r="248" spans="28:35">
      <c r="AB248" s="328"/>
      <c r="AC248" s="328"/>
      <c r="AD248" s="328"/>
      <c r="AE248" s="328"/>
      <c r="AF248" s="328"/>
      <c r="AG248" s="328"/>
      <c r="AI248" s="328"/>
    </row>
    <row r="249" spans="28:35">
      <c r="AB249" s="328"/>
      <c r="AC249" s="328"/>
      <c r="AD249" s="328"/>
      <c r="AE249" s="328"/>
      <c r="AF249" s="328"/>
      <c r="AG249" s="328"/>
      <c r="AI249" s="328"/>
    </row>
    <row r="250" spans="28:35">
      <c r="AB250" s="328"/>
      <c r="AC250" s="328"/>
      <c r="AD250" s="328"/>
      <c r="AE250" s="328"/>
      <c r="AF250" s="328"/>
      <c r="AG250" s="328"/>
      <c r="AI250" s="328"/>
    </row>
    <row r="251" spans="28:35">
      <c r="AB251" s="328"/>
      <c r="AC251" s="328"/>
      <c r="AD251" s="328"/>
      <c r="AE251" s="328"/>
      <c r="AF251" s="328"/>
      <c r="AG251" s="328"/>
      <c r="AI251" s="328"/>
    </row>
    <row r="252" spans="28:35">
      <c r="AB252" s="328"/>
      <c r="AC252" s="328"/>
      <c r="AD252" s="328"/>
      <c r="AE252" s="328"/>
      <c r="AF252" s="328"/>
      <c r="AG252" s="328"/>
      <c r="AI252" s="328"/>
    </row>
    <row r="253" spans="28:35">
      <c r="AB253" s="328"/>
      <c r="AC253" s="328"/>
      <c r="AD253" s="328"/>
      <c r="AE253" s="328"/>
      <c r="AF253" s="328"/>
      <c r="AG253" s="328"/>
      <c r="AI253" s="328"/>
    </row>
    <row r="254" spans="28:35">
      <c r="AB254" s="328"/>
      <c r="AC254" s="328"/>
      <c r="AD254" s="328"/>
      <c r="AE254" s="328"/>
      <c r="AF254" s="328"/>
      <c r="AG254" s="328"/>
      <c r="AI254" s="328"/>
    </row>
    <row r="255" spans="28:35">
      <c r="AB255" s="328"/>
      <c r="AC255" s="328"/>
      <c r="AD255" s="328"/>
      <c r="AE255" s="328"/>
      <c r="AF255" s="328"/>
      <c r="AG255" s="328"/>
      <c r="AI255" s="328"/>
    </row>
    <row r="256" spans="28:35">
      <c r="AB256" s="328"/>
      <c r="AC256" s="328"/>
      <c r="AD256" s="328"/>
      <c r="AE256" s="328"/>
      <c r="AF256" s="328"/>
      <c r="AG256" s="328"/>
      <c r="AI256" s="328"/>
    </row>
    <row r="257" spans="28:35">
      <c r="AB257" s="328"/>
      <c r="AC257" s="328"/>
      <c r="AD257" s="328"/>
      <c r="AE257" s="328"/>
      <c r="AF257" s="328"/>
      <c r="AG257" s="328"/>
      <c r="AI257" s="328"/>
    </row>
    <row r="258" spans="28:35">
      <c r="AB258" s="328"/>
      <c r="AC258" s="328"/>
      <c r="AD258" s="328"/>
      <c r="AE258" s="328"/>
      <c r="AF258" s="328"/>
      <c r="AG258" s="328"/>
      <c r="AI258" s="328"/>
    </row>
    <row r="259" spans="28:35">
      <c r="AB259" s="328"/>
      <c r="AC259" s="328"/>
      <c r="AD259" s="328"/>
      <c r="AE259" s="328"/>
      <c r="AF259" s="328"/>
      <c r="AG259" s="328"/>
      <c r="AI259" s="328"/>
    </row>
    <row r="260" spans="28:35">
      <c r="AB260" s="328"/>
      <c r="AC260" s="328"/>
      <c r="AD260" s="328"/>
      <c r="AE260" s="328"/>
      <c r="AF260" s="328"/>
      <c r="AG260" s="328"/>
      <c r="AI260" s="328"/>
    </row>
    <row r="261" spans="28:35">
      <c r="AB261" s="328"/>
      <c r="AC261" s="328"/>
      <c r="AD261" s="328"/>
      <c r="AE261" s="328"/>
      <c r="AF261" s="328"/>
      <c r="AG261" s="328"/>
      <c r="AI261" s="328"/>
    </row>
    <row r="262" spans="28:35">
      <c r="AB262" s="328"/>
      <c r="AC262" s="328"/>
      <c r="AD262" s="328"/>
      <c r="AE262" s="328"/>
      <c r="AF262" s="328"/>
      <c r="AG262" s="328"/>
      <c r="AI262" s="328"/>
    </row>
    <row r="263" spans="28:35">
      <c r="AB263" s="328"/>
      <c r="AC263" s="328"/>
      <c r="AD263" s="328"/>
      <c r="AE263" s="328"/>
      <c r="AF263" s="328"/>
      <c r="AG263" s="328"/>
      <c r="AI263" s="328"/>
    </row>
    <row r="264" spans="28:35">
      <c r="AB264" s="328"/>
      <c r="AC264" s="328"/>
      <c r="AD264" s="328"/>
      <c r="AE264" s="328"/>
      <c r="AF264" s="328"/>
      <c r="AG264" s="328"/>
      <c r="AI264" s="328"/>
    </row>
    <row r="265" spans="28:35">
      <c r="AB265" s="328"/>
      <c r="AC265" s="328"/>
      <c r="AD265" s="328"/>
      <c r="AE265" s="328"/>
      <c r="AF265" s="328"/>
      <c r="AG265" s="328"/>
      <c r="AI265" s="328"/>
    </row>
    <row r="266" spans="28:35">
      <c r="AB266" s="328"/>
      <c r="AC266" s="328"/>
      <c r="AD266" s="328"/>
      <c r="AE266" s="328"/>
      <c r="AF266" s="328"/>
      <c r="AG266" s="328"/>
      <c r="AI266" s="328"/>
    </row>
    <row r="267" spans="28:35">
      <c r="AB267" s="328"/>
      <c r="AC267" s="328"/>
      <c r="AD267" s="328"/>
      <c r="AE267" s="328"/>
      <c r="AF267" s="328"/>
      <c r="AG267" s="328"/>
      <c r="AI267" s="328"/>
    </row>
    <row r="268" spans="28:35">
      <c r="AB268" s="328"/>
      <c r="AC268" s="328"/>
      <c r="AD268" s="328"/>
      <c r="AE268" s="328"/>
      <c r="AF268" s="328"/>
      <c r="AG268" s="328"/>
      <c r="AI268" s="328"/>
    </row>
    <row r="269" spans="28:35">
      <c r="AB269" s="328"/>
      <c r="AC269" s="328"/>
      <c r="AD269" s="328"/>
      <c r="AE269" s="328"/>
      <c r="AF269" s="328"/>
      <c r="AG269" s="328"/>
      <c r="AI269" s="328"/>
    </row>
    <row r="270" spans="28:35">
      <c r="AB270" s="328"/>
      <c r="AC270" s="328"/>
      <c r="AD270" s="328"/>
      <c r="AE270" s="328"/>
      <c r="AF270" s="328"/>
      <c r="AG270" s="328"/>
      <c r="AI270" s="328"/>
    </row>
    <row r="271" spans="28:35">
      <c r="AB271" s="328"/>
      <c r="AC271" s="328"/>
      <c r="AD271" s="328"/>
      <c r="AE271" s="328"/>
      <c r="AF271" s="328"/>
      <c r="AG271" s="328"/>
      <c r="AI271" s="328"/>
    </row>
    <row r="272" spans="28:35">
      <c r="AB272" s="328"/>
      <c r="AC272" s="328"/>
      <c r="AD272" s="328"/>
      <c r="AE272" s="328"/>
      <c r="AF272" s="328"/>
      <c r="AG272" s="328"/>
      <c r="AI272" s="328"/>
    </row>
    <row r="273" spans="28:35">
      <c r="AB273" s="328"/>
      <c r="AC273" s="328"/>
      <c r="AD273" s="328"/>
      <c r="AE273" s="328"/>
      <c r="AF273" s="328"/>
      <c r="AG273" s="328"/>
      <c r="AI273" s="328"/>
    </row>
    <row r="274" spans="28:35">
      <c r="AB274" s="328"/>
      <c r="AC274" s="328"/>
      <c r="AD274" s="328"/>
      <c r="AE274" s="328"/>
      <c r="AF274" s="328"/>
      <c r="AG274" s="328"/>
      <c r="AI274" s="328"/>
    </row>
    <row r="275" spans="28:35">
      <c r="AB275" s="328"/>
      <c r="AC275" s="328"/>
      <c r="AD275" s="328"/>
      <c r="AE275" s="328"/>
      <c r="AF275" s="328"/>
      <c r="AG275" s="328"/>
      <c r="AI275" s="328"/>
    </row>
    <row r="276" spans="28:35">
      <c r="AB276" s="328"/>
      <c r="AC276" s="328"/>
      <c r="AD276" s="328"/>
      <c r="AE276" s="328"/>
      <c r="AF276" s="328"/>
      <c r="AG276" s="328"/>
      <c r="AI276" s="328"/>
    </row>
    <row r="277" spans="28:35">
      <c r="AB277" s="328"/>
      <c r="AC277" s="328"/>
      <c r="AD277" s="328"/>
      <c r="AE277" s="328"/>
      <c r="AF277" s="328"/>
      <c r="AG277" s="328"/>
      <c r="AI277" s="328"/>
    </row>
    <row r="278" spans="28:35">
      <c r="AB278" s="328"/>
      <c r="AC278" s="328"/>
      <c r="AD278" s="328"/>
      <c r="AE278" s="328"/>
      <c r="AF278" s="328"/>
      <c r="AG278" s="328"/>
      <c r="AI278" s="328"/>
    </row>
    <row r="279" spans="28:35">
      <c r="AB279" s="328"/>
      <c r="AC279" s="328"/>
      <c r="AD279" s="328"/>
      <c r="AE279" s="328"/>
      <c r="AF279" s="328"/>
      <c r="AG279" s="328"/>
      <c r="AI279" s="328"/>
    </row>
    <row r="280" spans="28:35">
      <c r="AB280" s="328"/>
      <c r="AC280" s="328"/>
      <c r="AD280" s="328"/>
      <c r="AE280" s="328"/>
      <c r="AF280" s="328"/>
      <c r="AG280" s="328"/>
      <c r="AI280" s="328"/>
    </row>
    <row r="281" spans="28:35">
      <c r="AB281" s="328"/>
      <c r="AC281" s="328"/>
      <c r="AD281" s="328"/>
      <c r="AE281" s="328"/>
      <c r="AF281" s="328"/>
      <c r="AG281" s="328"/>
      <c r="AI281" s="328"/>
    </row>
    <row r="282" spans="28:35">
      <c r="AB282" s="328"/>
      <c r="AC282" s="328"/>
      <c r="AD282" s="328"/>
      <c r="AE282" s="328"/>
      <c r="AF282" s="328"/>
      <c r="AG282" s="328"/>
      <c r="AI282" s="328"/>
    </row>
    <row r="283" spans="28:35">
      <c r="AB283" s="328"/>
      <c r="AC283" s="328"/>
      <c r="AD283" s="328"/>
      <c r="AE283" s="328"/>
      <c r="AF283" s="328"/>
      <c r="AG283" s="328"/>
      <c r="AI283" s="328"/>
    </row>
    <row r="284" spans="28:35">
      <c r="AB284" s="328"/>
      <c r="AC284" s="328"/>
      <c r="AD284" s="328"/>
      <c r="AE284" s="328"/>
      <c r="AF284" s="328"/>
      <c r="AG284" s="328"/>
      <c r="AI284" s="328"/>
    </row>
    <row r="285" spans="28:35">
      <c r="AB285" s="328"/>
      <c r="AC285" s="328"/>
      <c r="AD285" s="328"/>
      <c r="AE285" s="328"/>
      <c r="AF285" s="328"/>
      <c r="AG285" s="328"/>
      <c r="AI285" s="328"/>
    </row>
    <row r="286" spans="28:35">
      <c r="AB286" s="328"/>
      <c r="AC286" s="328"/>
      <c r="AD286" s="328"/>
      <c r="AE286" s="328"/>
      <c r="AF286" s="328"/>
      <c r="AG286" s="328"/>
      <c r="AI286" s="328"/>
    </row>
    <row r="287" spans="28:35">
      <c r="AB287" s="328"/>
      <c r="AC287" s="328"/>
      <c r="AD287" s="328"/>
      <c r="AE287" s="328"/>
      <c r="AF287" s="328"/>
      <c r="AG287" s="328"/>
      <c r="AI287" s="328"/>
    </row>
    <row r="288" spans="28:35">
      <c r="AB288" s="328"/>
      <c r="AC288" s="328"/>
      <c r="AD288" s="328"/>
      <c r="AE288" s="328"/>
      <c r="AF288" s="328"/>
      <c r="AG288" s="328"/>
      <c r="AI288" s="328"/>
    </row>
    <row r="289" spans="28:35">
      <c r="AB289" s="328"/>
      <c r="AC289" s="328"/>
      <c r="AD289" s="328"/>
      <c r="AE289" s="328"/>
      <c r="AF289" s="328"/>
      <c r="AG289" s="328"/>
      <c r="AI289" s="328"/>
    </row>
    <row r="290" spans="28:35">
      <c r="AB290" s="328"/>
      <c r="AC290" s="328"/>
      <c r="AD290" s="328"/>
      <c r="AE290" s="328"/>
      <c r="AF290" s="328"/>
      <c r="AG290" s="328"/>
      <c r="AI290" s="328"/>
    </row>
    <row r="291" spans="28:35">
      <c r="AB291" s="328"/>
      <c r="AC291" s="328"/>
      <c r="AD291" s="328"/>
      <c r="AE291" s="328"/>
      <c r="AF291" s="328"/>
      <c r="AG291" s="328"/>
      <c r="AI291" s="328"/>
    </row>
    <row r="292" spans="28:35">
      <c r="AB292" s="328"/>
      <c r="AC292" s="328"/>
      <c r="AD292" s="328"/>
      <c r="AE292" s="328"/>
      <c r="AF292" s="328"/>
      <c r="AG292" s="328"/>
      <c r="AI292" s="328"/>
    </row>
    <row r="293" spans="28:35">
      <c r="AB293" s="328"/>
      <c r="AC293" s="328"/>
      <c r="AD293" s="328"/>
      <c r="AE293" s="328"/>
      <c r="AF293" s="328"/>
      <c r="AG293" s="328"/>
      <c r="AI293" s="328"/>
    </row>
    <row r="294" spans="28:35">
      <c r="AB294" s="328"/>
      <c r="AC294" s="328"/>
      <c r="AD294" s="328"/>
      <c r="AE294" s="328"/>
      <c r="AF294" s="328"/>
      <c r="AG294" s="328"/>
      <c r="AI294" s="328"/>
    </row>
    <row r="295" spans="28:35">
      <c r="AB295" s="328"/>
      <c r="AC295" s="328"/>
      <c r="AD295" s="328"/>
      <c r="AE295" s="328"/>
      <c r="AF295" s="328"/>
      <c r="AG295" s="328"/>
      <c r="AI295" s="328"/>
    </row>
    <row r="296" spans="28:35">
      <c r="AB296" s="328"/>
      <c r="AC296" s="328"/>
      <c r="AD296" s="328"/>
      <c r="AE296" s="328"/>
      <c r="AF296" s="328"/>
      <c r="AG296" s="328"/>
      <c r="AI296" s="328"/>
    </row>
    <row r="297" spans="28:35">
      <c r="AB297" s="328"/>
      <c r="AC297" s="328"/>
      <c r="AD297" s="328"/>
      <c r="AE297" s="328"/>
      <c r="AF297" s="328"/>
      <c r="AG297" s="328"/>
      <c r="AI297" s="328"/>
    </row>
    <row r="298" spans="28:35">
      <c r="AB298" s="328"/>
      <c r="AC298" s="328"/>
      <c r="AD298" s="328"/>
      <c r="AE298" s="328"/>
      <c r="AF298" s="328"/>
      <c r="AG298" s="328"/>
      <c r="AI298" s="328"/>
    </row>
    <row r="299" spans="28:35">
      <c r="AB299" s="328"/>
      <c r="AC299" s="328"/>
      <c r="AD299" s="328"/>
      <c r="AE299" s="328"/>
      <c r="AF299" s="328"/>
      <c r="AG299" s="328"/>
      <c r="AI299" s="328"/>
    </row>
    <row r="300" spans="28:35">
      <c r="AB300" s="328"/>
      <c r="AC300" s="328"/>
      <c r="AD300" s="328"/>
      <c r="AE300" s="328"/>
      <c r="AF300" s="328"/>
      <c r="AG300" s="328"/>
      <c r="AI300" s="328"/>
    </row>
    <row r="301" spans="28:35">
      <c r="AB301" s="328"/>
      <c r="AC301" s="328"/>
      <c r="AD301" s="328"/>
      <c r="AE301" s="328"/>
      <c r="AF301" s="328"/>
      <c r="AG301" s="328"/>
      <c r="AI301" s="328"/>
    </row>
    <row r="302" spans="28:35">
      <c r="AB302" s="328"/>
      <c r="AC302" s="328"/>
      <c r="AD302" s="328"/>
      <c r="AE302" s="328"/>
      <c r="AF302" s="328"/>
      <c r="AG302" s="328"/>
      <c r="AI302" s="328"/>
    </row>
    <row r="303" spans="28:35">
      <c r="AB303" s="328"/>
      <c r="AC303" s="328"/>
      <c r="AD303" s="328"/>
      <c r="AE303" s="328"/>
      <c r="AF303" s="328"/>
      <c r="AG303" s="328"/>
      <c r="AI303" s="328"/>
    </row>
    <row r="304" spans="28:35">
      <c r="AB304" s="328"/>
      <c r="AC304" s="328"/>
      <c r="AD304" s="328"/>
      <c r="AE304" s="328"/>
      <c r="AF304" s="328"/>
      <c r="AG304" s="328"/>
      <c r="AI304" s="328"/>
    </row>
    <row r="305" spans="28:35">
      <c r="AB305" s="328"/>
      <c r="AC305" s="328"/>
      <c r="AD305" s="328"/>
      <c r="AE305" s="328"/>
      <c r="AF305" s="328"/>
      <c r="AG305" s="328"/>
      <c r="AI305" s="328"/>
    </row>
    <row r="306" spans="28:35">
      <c r="AB306" s="328"/>
      <c r="AC306" s="328"/>
      <c r="AD306" s="328"/>
      <c r="AE306" s="328"/>
      <c r="AF306" s="328"/>
      <c r="AG306" s="328"/>
      <c r="AI306" s="328"/>
    </row>
    <row r="307" spans="28:35">
      <c r="AB307" s="328"/>
      <c r="AC307" s="328"/>
      <c r="AD307" s="328"/>
      <c r="AE307" s="328"/>
      <c r="AF307" s="328"/>
      <c r="AG307" s="328"/>
      <c r="AI307" s="328"/>
    </row>
    <row r="308" spans="28:35">
      <c r="AB308" s="328"/>
      <c r="AC308" s="328"/>
      <c r="AD308" s="328"/>
      <c r="AE308" s="328"/>
      <c r="AF308" s="328"/>
      <c r="AG308" s="328"/>
      <c r="AI308" s="328"/>
    </row>
    <row r="309" spans="28:35">
      <c r="AB309" s="328"/>
      <c r="AC309" s="328"/>
      <c r="AD309" s="328"/>
      <c r="AE309" s="328"/>
      <c r="AF309" s="328"/>
      <c r="AG309" s="328"/>
      <c r="AI309" s="328"/>
    </row>
    <row r="310" spans="28:35">
      <c r="AB310" s="328"/>
      <c r="AC310" s="328"/>
      <c r="AD310" s="328"/>
      <c r="AE310" s="328"/>
      <c r="AF310" s="328"/>
      <c r="AG310" s="328"/>
      <c r="AI310" s="328"/>
    </row>
    <row r="311" spans="28:35">
      <c r="AB311" s="328"/>
      <c r="AC311" s="328"/>
      <c r="AD311" s="328"/>
      <c r="AE311" s="328"/>
      <c r="AF311" s="328"/>
      <c r="AG311" s="328"/>
      <c r="AI311" s="328"/>
    </row>
    <row r="312" spans="28:35">
      <c r="AB312" s="328"/>
      <c r="AC312" s="328"/>
      <c r="AD312" s="328"/>
      <c r="AE312" s="328"/>
      <c r="AF312" s="328"/>
      <c r="AG312" s="328"/>
      <c r="AI312" s="328"/>
    </row>
    <row r="313" spans="28:35">
      <c r="AB313" s="328"/>
      <c r="AC313" s="328"/>
      <c r="AD313" s="328"/>
      <c r="AE313" s="328"/>
      <c r="AF313" s="328"/>
      <c r="AG313" s="328"/>
      <c r="AI313" s="328"/>
    </row>
    <row r="314" spans="28:35">
      <c r="AB314" s="328"/>
      <c r="AC314" s="328"/>
      <c r="AD314" s="328"/>
      <c r="AE314" s="328"/>
      <c r="AF314" s="328"/>
      <c r="AG314" s="328"/>
      <c r="AI314" s="328"/>
    </row>
    <row r="315" spans="28:35">
      <c r="AB315" s="328"/>
      <c r="AC315" s="328"/>
      <c r="AD315" s="328"/>
      <c r="AE315" s="328"/>
      <c r="AF315" s="328"/>
      <c r="AG315" s="328"/>
      <c r="AI315" s="328"/>
    </row>
    <row r="316" spans="28:35">
      <c r="AB316" s="328"/>
      <c r="AC316" s="328"/>
      <c r="AD316" s="328"/>
      <c r="AE316" s="328"/>
      <c r="AF316" s="328"/>
      <c r="AG316" s="328"/>
      <c r="AI316" s="328"/>
    </row>
    <row r="317" spans="28:35">
      <c r="AB317" s="328"/>
      <c r="AC317" s="328"/>
      <c r="AD317" s="328"/>
      <c r="AE317" s="328"/>
      <c r="AF317" s="328"/>
      <c r="AG317" s="328"/>
      <c r="AI317" s="328"/>
    </row>
    <row r="318" spans="28:35">
      <c r="AB318" s="328"/>
      <c r="AC318" s="328"/>
      <c r="AD318" s="328"/>
      <c r="AE318" s="328"/>
      <c r="AF318" s="328"/>
      <c r="AG318" s="328"/>
      <c r="AI318" s="328"/>
    </row>
    <row r="319" spans="28:35">
      <c r="AB319" s="328"/>
      <c r="AC319" s="328"/>
      <c r="AD319" s="328"/>
      <c r="AE319" s="328"/>
      <c r="AF319" s="328"/>
      <c r="AG319" s="328"/>
      <c r="AI319" s="328"/>
    </row>
    <row r="320" spans="28:35">
      <c r="AB320" s="328"/>
      <c r="AC320" s="328"/>
      <c r="AD320" s="328"/>
      <c r="AE320" s="328"/>
      <c r="AF320" s="328"/>
      <c r="AG320" s="328"/>
      <c r="AI320" s="328"/>
    </row>
    <row r="321" spans="28:35">
      <c r="AB321" s="328"/>
      <c r="AC321" s="328"/>
      <c r="AD321" s="328"/>
      <c r="AE321" s="328"/>
      <c r="AF321" s="328"/>
      <c r="AG321" s="328"/>
      <c r="AI321" s="328"/>
    </row>
    <row r="322" spans="28:35">
      <c r="AB322" s="328"/>
      <c r="AC322" s="328"/>
      <c r="AD322" s="328"/>
      <c r="AE322" s="328"/>
      <c r="AF322" s="328"/>
      <c r="AG322" s="328"/>
      <c r="AI322" s="328"/>
    </row>
    <row r="323" spans="28:35">
      <c r="AB323" s="328"/>
      <c r="AC323" s="328"/>
      <c r="AD323" s="328"/>
      <c r="AE323" s="328"/>
      <c r="AF323" s="328"/>
      <c r="AG323" s="328"/>
      <c r="AI323" s="328"/>
    </row>
    <row r="324" spans="28:35">
      <c r="AB324" s="328"/>
      <c r="AC324" s="328"/>
      <c r="AD324" s="328"/>
      <c r="AE324" s="328"/>
      <c r="AF324" s="328"/>
      <c r="AG324" s="328"/>
      <c r="AI324" s="328"/>
    </row>
    <row r="325" spans="28:35">
      <c r="AB325" s="328"/>
      <c r="AC325" s="328"/>
      <c r="AD325" s="328"/>
      <c r="AE325" s="328"/>
      <c r="AF325" s="328"/>
      <c r="AG325" s="328"/>
      <c r="AI325" s="328"/>
    </row>
    <row r="326" spans="28:35">
      <c r="AB326" s="328"/>
      <c r="AC326" s="328"/>
      <c r="AD326" s="328"/>
      <c r="AE326" s="328"/>
      <c r="AF326" s="328"/>
      <c r="AG326" s="328"/>
      <c r="AI326" s="328"/>
    </row>
    <row r="327" spans="28:35">
      <c r="AB327" s="328"/>
      <c r="AC327" s="328"/>
      <c r="AD327" s="328"/>
      <c r="AE327" s="328"/>
      <c r="AF327" s="328"/>
      <c r="AG327" s="328"/>
      <c r="AI327" s="328"/>
    </row>
    <row r="328" spans="28:35">
      <c r="AB328" s="328"/>
      <c r="AC328" s="328"/>
      <c r="AD328" s="328"/>
      <c r="AE328" s="328"/>
      <c r="AF328" s="328"/>
      <c r="AG328" s="328"/>
      <c r="AI328" s="328"/>
    </row>
    <row r="329" spans="28:35">
      <c r="AB329" s="328"/>
      <c r="AC329" s="328"/>
      <c r="AD329" s="328"/>
      <c r="AE329" s="328"/>
      <c r="AF329" s="328"/>
      <c r="AG329" s="328"/>
      <c r="AI329" s="328"/>
    </row>
    <row r="330" spans="28:35">
      <c r="AB330" s="328"/>
      <c r="AC330" s="328"/>
      <c r="AD330" s="328"/>
      <c r="AE330" s="328"/>
      <c r="AF330" s="328"/>
      <c r="AG330" s="328"/>
      <c r="AI330" s="328"/>
    </row>
    <row r="331" spans="28:35">
      <c r="AB331" s="328"/>
      <c r="AC331" s="328"/>
      <c r="AD331" s="328"/>
      <c r="AE331" s="328"/>
      <c r="AF331" s="328"/>
      <c r="AG331" s="328"/>
      <c r="AI331" s="328"/>
    </row>
    <row r="332" spans="28:35">
      <c r="AB332" s="328"/>
      <c r="AC332" s="328"/>
      <c r="AD332" s="328"/>
      <c r="AE332" s="328"/>
      <c r="AF332" s="328"/>
      <c r="AG332" s="328"/>
      <c r="AI332" s="328"/>
    </row>
    <row r="333" spans="28:35">
      <c r="AB333" s="328"/>
      <c r="AC333" s="328"/>
      <c r="AD333" s="328"/>
      <c r="AE333" s="328"/>
      <c r="AF333" s="328"/>
      <c r="AG333" s="328"/>
      <c r="AI333" s="328"/>
    </row>
    <row r="334" spans="28:35">
      <c r="AB334" s="328"/>
      <c r="AC334" s="328"/>
      <c r="AD334" s="328"/>
      <c r="AE334" s="328"/>
      <c r="AF334" s="328"/>
      <c r="AG334" s="328"/>
      <c r="AI334" s="328"/>
    </row>
    <row r="335" spans="28:35">
      <c r="AB335" s="328"/>
      <c r="AC335" s="328"/>
      <c r="AD335" s="328"/>
      <c r="AE335" s="328"/>
      <c r="AF335" s="328"/>
      <c r="AG335" s="328"/>
      <c r="AI335" s="328"/>
    </row>
    <row r="336" spans="28:35">
      <c r="AB336" s="328"/>
      <c r="AC336" s="328"/>
      <c r="AD336" s="328"/>
      <c r="AE336" s="328"/>
      <c r="AF336" s="328"/>
      <c r="AG336" s="328"/>
      <c r="AI336" s="328"/>
    </row>
    <row r="337" spans="28:35">
      <c r="AB337" s="328"/>
      <c r="AC337" s="328"/>
      <c r="AD337" s="328"/>
      <c r="AE337" s="328"/>
      <c r="AF337" s="328"/>
      <c r="AG337" s="328"/>
      <c r="AI337" s="328"/>
    </row>
    <row r="338" spans="28:35">
      <c r="AB338" s="328"/>
      <c r="AC338" s="328"/>
      <c r="AD338" s="328"/>
      <c r="AE338" s="328"/>
      <c r="AF338" s="328"/>
      <c r="AG338" s="328"/>
      <c r="AI338" s="328"/>
    </row>
    <row r="339" spans="28:35">
      <c r="AB339" s="328"/>
      <c r="AC339" s="328"/>
      <c r="AD339" s="328"/>
      <c r="AE339" s="328"/>
      <c r="AF339" s="328"/>
      <c r="AG339" s="328"/>
      <c r="AI339" s="328"/>
    </row>
    <row r="340" spans="28:35">
      <c r="AB340" s="328"/>
      <c r="AC340" s="328"/>
      <c r="AD340" s="328"/>
      <c r="AE340" s="328"/>
      <c r="AF340" s="328"/>
      <c r="AG340" s="328"/>
      <c r="AI340" s="328"/>
    </row>
    <row r="341" spans="28:35">
      <c r="AB341" s="328"/>
      <c r="AC341" s="328"/>
      <c r="AD341" s="328"/>
      <c r="AE341" s="328"/>
      <c r="AF341" s="328"/>
      <c r="AG341" s="328"/>
      <c r="AI341" s="328"/>
    </row>
    <row r="342" spans="28:35">
      <c r="AB342" s="328"/>
      <c r="AC342" s="328"/>
      <c r="AD342" s="328"/>
      <c r="AE342" s="328"/>
      <c r="AF342" s="328"/>
      <c r="AG342" s="328"/>
      <c r="AI342" s="328"/>
    </row>
    <row r="343" spans="28:35">
      <c r="AB343" s="328"/>
      <c r="AC343" s="328"/>
      <c r="AD343" s="328"/>
      <c r="AE343" s="328"/>
      <c r="AF343" s="328"/>
      <c r="AG343" s="328"/>
      <c r="AI343" s="328"/>
    </row>
    <row r="344" spans="28:35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opLeftCell="A51" zoomScale="170" zoomScaleNormal="170" workbookViewId="0">
      <selection activeCell="C69" sqref="C69:O69"/>
    </sheetView>
  </sheetViews>
  <sheetFormatPr defaultRowHeight="13.2"/>
  <cols>
    <col min="1" max="5" width="8.6640625" customWidth="1"/>
    <col min="6" max="6" width="6.88671875" customWidth="1"/>
    <col min="7" max="12" width="3.44140625" customWidth="1"/>
    <col min="13" max="15" width="5.6640625" customWidth="1"/>
    <col min="17" max="18" width="9.109375" customWidth="1"/>
  </cols>
  <sheetData>
    <row r="1" spans="1:15" ht="14.25" customHeight="1" thickTop="1">
      <c r="A1" s="384"/>
      <c r="B1" s="385"/>
      <c r="C1" s="385"/>
      <c r="D1" s="385"/>
      <c r="E1" s="385"/>
      <c r="F1" s="653"/>
      <c r="G1" s="653"/>
      <c r="H1" s="653"/>
      <c r="I1" s="653"/>
      <c r="J1" s="653"/>
      <c r="K1" s="653"/>
      <c r="L1" s="653"/>
      <c r="M1" s="653"/>
      <c r="N1" s="653"/>
      <c r="O1" s="654"/>
    </row>
    <row r="2" spans="1:15">
      <c r="A2" s="386"/>
      <c r="B2" s="390"/>
      <c r="C2" s="390"/>
      <c r="D2" s="390"/>
      <c r="E2" s="387"/>
      <c r="F2" s="706"/>
      <c r="G2" s="706"/>
      <c r="H2" s="706"/>
      <c r="I2" s="706"/>
      <c r="J2" s="706"/>
      <c r="K2" s="706"/>
      <c r="L2" s="706"/>
      <c r="M2" s="706"/>
      <c r="N2" s="706"/>
      <c r="O2" s="707"/>
    </row>
    <row r="3" spans="1:15">
      <c r="A3" s="386"/>
      <c r="B3" s="390"/>
      <c r="C3" s="390"/>
      <c r="D3" s="390"/>
      <c r="E3" s="400"/>
      <c r="F3" s="387"/>
      <c r="G3" s="387"/>
      <c r="H3" s="387"/>
      <c r="I3" s="655"/>
      <c r="J3" s="708"/>
      <c r="K3" s="708"/>
      <c r="L3" s="708"/>
      <c r="M3" s="708"/>
      <c r="N3" s="708"/>
      <c r="O3" s="709"/>
    </row>
    <row r="4" spans="1:15" ht="12.75" customHeight="1">
      <c r="A4" s="386"/>
      <c r="B4" s="390"/>
      <c r="C4" s="390"/>
      <c r="D4" s="390"/>
      <c r="E4" s="713"/>
      <c r="F4" s="713"/>
      <c r="G4" s="713"/>
      <c r="H4" s="713"/>
      <c r="I4" s="713"/>
      <c r="J4" s="713"/>
      <c r="K4" s="713"/>
      <c r="L4" s="713"/>
      <c r="M4" s="717"/>
      <c r="N4" s="717"/>
      <c r="O4" s="718"/>
    </row>
    <row r="5" spans="1:15" ht="12.75" customHeight="1">
      <c r="A5" s="386"/>
      <c r="B5" s="390"/>
      <c r="C5" s="390"/>
      <c r="D5" s="390"/>
      <c r="E5" s="713"/>
      <c r="F5" s="713"/>
      <c r="G5" s="713"/>
      <c r="H5" s="713"/>
      <c r="I5" s="713"/>
      <c r="J5" s="713"/>
      <c r="K5" s="713"/>
      <c r="L5" s="713"/>
      <c r="M5" s="717"/>
      <c r="N5" s="717"/>
      <c r="O5" s="718"/>
    </row>
    <row r="6" spans="1:15" ht="12.75" customHeight="1">
      <c r="A6" s="386"/>
      <c r="B6" s="390"/>
      <c r="C6" s="390"/>
      <c r="D6" s="390"/>
      <c r="E6" s="713"/>
      <c r="F6" s="713"/>
      <c r="G6" s="713"/>
      <c r="H6" s="713"/>
      <c r="I6" s="713"/>
      <c r="J6" s="713"/>
      <c r="K6" s="713"/>
      <c r="L6" s="713"/>
      <c r="M6" s="717"/>
      <c r="N6" s="717"/>
      <c r="O6" s="718"/>
    </row>
    <row r="7" spans="1:15" ht="12.75" customHeight="1">
      <c r="A7" s="386"/>
      <c r="B7" s="390"/>
      <c r="C7" s="390"/>
      <c r="D7" s="390"/>
      <c r="E7" s="713"/>
      <c r="F7" s="713"/>
      <c r="G7" s="713"/>
      <c r="H7" s="713"/>
      <c r="I7" s="713"/>
      <c r="J7" s="713"/>
      <c r="K7" s="713"/>
      <c r="L7" s="713"/>
      <c r="M7" s="717"/>
      <c r="N7" s="717"/>
      <c r="O7" s="718"/>
    </row>
    <row r="8" spans="1:15" ht="12.75" customHeight="1">
      <c r="A8" s="386"/>
      <c r="B8" s="390"/>
      <c r="C8" s="390"/>
      <c r="D8" s="390"/>
      <c r="E8" s="713"/>
      <c r="F8" s="713"/>
      <c r="G8" s="713"/>
      <c r="H8" s="713"/>
      <c r="I8" s="713"/>
      <c r="J8" s="713"/>
      <c r="K8" s="713"/>
      <c r="L8" s="713"/>
      <c r="M8" s="717"/>
      <c r="N8" s="717"/>
      <c r="O8" s="718"/>
    </row>
    <row r="9" spans="1:15" ht="12.75" customHeight="1">
      <c r="A9" s="386"/>
      <c r="B9" s="390"/>
      <c r="C9" s="390"/>
      <c r="D9" s="390"/>
      <c r="E9" s="713"/>
      <c r="F9" s="713"/>
      <c r="G9" s="713"/>
      <c r="H9" s="713"/>
      <c r="I9" s="713"/>
      <c r="J9" s="713"/>
      <c r="K9" s="713"/>
      <c r="L9" s="713"/>
      <c r="M9" s="717"/>
      <c r="N9" s="717"/>
      <c r="O9" s="718"/>
    </row>
    <row r="10" spans="1:15" ht="12.75" customHeight="1" thickBot="1">
      <c r="A10" s="721"/>
      <c r="B10" s="722"/>
      <c r="C10" s="722"/>
      <c r="D10" s="722"/>
      <c r="E10" s="713"/>
      <c r="F10" s="713"/>
      <c r="G10" s="713"/>
      <c r="H10" s="713"/>
      <c r="I10" s="713"/>
      <c r="J10" s="713"/>
      <c r="K10" s="713"/>
      <c r="L10" s="713"/>
      <c r="M10" s="719"/>
      <c r="N10" s="719"/>
      <c r="O10" s="720"/>
    </row>
    <row r="11" spans="1:15" ht="14.4" thickTop="1" thickBot="1">
      <c r="A11" s="714" t="s">
        <v>298</v>
      </c>
      <c r="B11" s="715"/>
      <c r="C11" s="715"/>
      <c r="D11" s="715"/>
      <c r="E11" s="715"/>
      <c r="F11" s="715"/>
      <c r="G11" s="715"/>
      <c r="H11" s="715"/>
      <c r="I11" s="715"/>
      <c r="J11" s="715"/>
      <c r="K11" s="715"/>
      <c r="L11" s="715"/>
      <c r="M11" s="715"/>
      <c r="N11" s="715"/>
      <c r="O11" s="716"/>
    </row>
    <row r="12" spans="1:15" ht="13.8" thickTop="1">
      <c r="A12" s="309" t="s">
        <v>250</v>
      </c>
      <c r="B12" s="728"/>
      <c r="C12" s="728"/>
      <c r="D12" s="728"/>
      <c r="E12" s="728"/>
      <c r="F12" s="728"/>
      <c r="G12" s="728"/>
      <c r="H12" s="728"/>
      <c r="I12" s="651"/>
      <c r="J12" s="652" t="s">
        <v>357</v>
      </c>
      <c r="K12" s="728"/>
      <c r="L12" s="728"/>
      <c r="M12" s="728"/>
      <c r="N12" s="728"/>
      <c r="O12" s="729"/>
    </row>
    <row r="13" spans="1:15">
      <c r="A13" s="309" t="s">
        <v>359</v>
      </c>
      <c r="B13" s="727"/>
      <c r="C13" s="727"/>
      <c r="D13" s="727"/>
      <c r="E13" s="727"/>
      <c r="F13" s="727"/>
      <c r="G13" s="727"/>
      <c r="H13" s="321"/>
      <c r="I13" s="392"/>
      <c r="J13" s="321" t="s">
        <v>362</v>
      </c>
      <c r="K13" s="392"/>
      <c r="L13" s="392"/>
      <c r="M13" s="392"/>
      <c r="N13" s="392"/>
      <c r="O13" s="388"/>
    </row>
    <row r="14" spans="1:15">
      <c r="A14" s="309"/>
      <c r="B14" s="725"/>
      <c r="C14" s="725"/>
      <c r="D14" s="725"/>
      <c r="E14" s="725"/>
      <c r="F14" s="725"/>
      <c r="G14" s="725"/>
      <c r="H14" s="662"/>
      <c r="I14" s="662"/>
      <c r="J14" s="321" t="s">
        <v>251</v>
      </c>
      <c r="K14" s="725"/>
      <c r="L14" s="725"/>
      <c r="M14" s="725"/>
      <c r="N14" s="725"/>
      <c r="O14" s="726"/>
    </row>
    <row r="15" spans="1:15">
      <c r="A15" s="309"/>
      <c r="B15" s="725"/>
      <c r="C15" s="725"/>
      <c r="D15" s="725"/>
      <c r="E15" s="725"/>
      <c r="F15" s="725"/>
      <c r="G15" s="725"/>
      <c r="H15" s="392"/>
      <c r="I15" s="392"/>
      <c r="J15" s="321"/>
      <c r="K15" s="725"/>
      <c r="L15" s="725"/>
      <c r="M15" s="725"/>
      <c r="N15" s="725"/>
      <c r="O15" s="396"/>
    </row>
    <row r="16" spans="1:15">
      <c r="A16" s="309"/>
      <c r="B16" s="725"/>
      <c r="C16" s="725"/>
      <c r="D16" s="725"/>
      <c r="E16" s="725"/>
      <c r="F16" s="725"/>
      <c r="G16" s="725"/>
      <c r="H16" s="392"/>
      <c r="I16" s="392"/>
      <c r="J16" s="405"/>
      <c r="K16" s="392"/>
      <c r="L16" s="392"/>
      <c r="M16" s="322"/>
      <c r="N16" s="395"/>
      <c r="O16" s="396"/>
    </row>
    <row r="17" spans="1:15" ht="13.8" thickBot="1">
      <c r="A17" s="309" t="str">
        <f>IF(B17="","","Sup. Pai2:")</f>
        <v/>
      </c>
      <c r="B17" s="724"/>
      <c r="C17" s="724"/>
      <c r="D17" s="724"/>
      <c r="E17" s="724"/>
      <c r="F17" s="724"/>
      <c r="G17" s="724"/>
      <c r="H17" s="393"/>
      <c r="I17" s="393"/>
      <c r="J17" s="393"/>
      <c r="K17" s="393"/>
      <c r="L17" s="393"/>
      <c r="M17" s="394"/>
      <c r="N17" s="395"/>
      <c r="O17" s="396"/>
    </row>
    <row r="18" spans="1:15" ht="15.75" customHeight="1" thickTop="1" thickBot="1">
      <c r="A18" s="714" t="s">
        <v>299</v>
      </c>
      <c r="B18" s="715"/>
      <c r="C18" s="715"/>
      <c r="D18" s="715"/>
      <c r="E18" s="716"/>
      <c r="F18" s="710" t="s">
        <v>252</v>
      </c>
      <c r="G18" s="711"/>
      <c r="H18" s="711"/>
      <c r="I18" s="711"/>
      <c r="J18" s="711"/>
      <c r="K18" s="711"/>
      <c r="L18" s="711"/>
      <c r="M18" s="711"/>
      <c r="N18" s="711"/>
      <c r="O18" s="712"/>
    </row>
    <row r="19" spans="1:15" ht="15.75" customHeight="1" thickTop="1">
      <c r="A19" s="309" t="str">
        <f>IF(B19="","","Sup. Avó:")</f>
        <v/>
      </c>
      <c r="B19" s="392"/>
      <c r="C19" s="392"/>
      <c r="D19" s="392"/>
      <c r="E19" s="388"/>
      <c r="F19" s="663" t="s">
        <v>50</v>
      </c>
      <c r="G19" s="723" t="str">
        <f>'PD0101'!B8</f>
        <v>MÃE</v>
      </c>
      <c r="H19" s="723"/>
      <c r="I19" s="723" t="s">
        <v>253</v>
      </c>
      <c r="J19" s="723"/>
      <c r="K19" s="723" t="str">
        <f>'PD0101'!F8</f>
        <v>SUP. PAI</v>
      </c>
      <c r="L19" s="723"/>
      <c r="M19" s="664" t="str">
        <f>'PD0101'!$AG$8</f>
        <v>FREQ.</v>
      </c>
      <c r="N19" s="664" t="str">
        <f>'PD0101'!$AH$8</f>
        <v>PI</v>
      </c>
      <c r="O19" s="665" t="str">
        <f>'PD0101'!$AI$8</f>
        <v>PR. PAT</v>
      </c>
    </row>
    <row r="20" spans="1:15" ht="15.75" customHeight="1">
      <c r="A20" s="700"/>
      <c r="B20" s="701"/>
      <c r="C20" s="701"/>
      <c r="D20" s="701"/>
      <c r="E20" s="702"/>
      <c r="F20" s="666" t="str">
        <f>'PD0101'!$A$9</f>
        <v>D3S1358</v>
      </c>
      <c r="G20" s="667">
        <f>'PD0101'!$B$9</f>
        <v>0</v>
      </c>
      <c r="H20" s="667">
        <f>'PD0101'!$C$9</f>
        <v>0</v>
      </c>
      <c r="I20" s="667">
        <f>'PD0101'!$D$9</f>
        <v>0</v>
      </c>
      <c r="J20" s="667">
        <f>'PD0101'!$E$9</f>
        <v>0</v>
      </c>
      <c r="K20" s="667">
        <f>'PD0101'!$F$9</f>
        <v>0</v>
      </c>
      <c r="L20" s="667">
        <f>'PD0101'!$G$9</f>
        <v>0</v>
      </c>
      <c r="M20" s="668">
        <f>'PD0101'!$AG$9</f>
        <v>0</v>
      </c>
      <c r="N20" s="669">
        <f>'PD0101'!$AH$9</f>
        <v>1</v>
      </c>
      <c r="O20" s="670">
        <f>'PD0101'!$AI$9</f>
        <v>0.5</v>
      </c>
    </row>
    <row r="21" spans="1:15" ht="15.75" customHeight="1">
      <c r="A21" s="700" t="s">
        <v>350</v>
      </c>
      <c r="B21" s="701"/>
      <c r="C21" s="701"/>
      <c r="D21" s="701"/>
      <c r="E21" s="702"/>
      <c r="F21" s="666" t="str">
        <f>'PD0101'!$A$10</f>
        <v>D1S1656</v>
      </c>
      <c r="G21" s="667">
        <f>'PD0101'!$B$10</f>
        <v>0</v>
      </c>
      <c r="H21" s="667">
        <f>'PD0101'!$C$10</f>
        <v>0</v>
      </c>
      <c r="I21" s="667">
        <f>'PD0101'!$D$10</f>
        <v>0</v>
      </c>
      <c r="J21" s="667">
        <f>'PD0101'!$E$10</f>
        <v>0</v>
      </c>
      <c r="K21" s="667">
        <f>'PD0101'!$F$10</f>
        <v>0</v>
      </c>
      <c r="L21" s="667">
        <f>'PD0101'!$G$10</f>
        <v>0</v>
      </c>
      <c r="M21" s="668">
        <f>'PD0101'!$AG$10</f>
        <v>0</v>
      </c>
      <c r="N21" s="669">
        <f>'PD0101'!$AH$10</f>
        <v>1</v>
      </c>
      <c r="O21" s="670">
        <f>'PD0101'!$AI$10</f>
        <v>0.5</v>
      </c>
    </row>
    <row r="22" spans="1:15" ht="15.75" customHeight="1">
      <c r="A22" s="700" t="s">
        <v>293</v>
      </c>
      <c r="B22" s="701"/>
      <c r="C22" s="701"/>
      <c r="D22" s="701"/>
      <c r="E22" s="702"/>
      <c r="F22" s="666" t="str">
        <f>'PD0101'!$A$11</f>
        <v>D2S441</v>
      </c>
      <c r="G22" s="667">
        <f>'PD0101'!$B$11</f>
        <v>0</v>
      </c>
      <c r="H22" s="667">
        <f>'PD0101'!$C$11</f>
        <v>0</v>
      </c>
      <c r="I22" s="667">
        <f>'PD0101'!$D$11</f>
        <v>0</v>
      </c>
      <c r="J22" s="667">
        <f>'PD0101'!$E$11</f>
        <v>0</v>
      </c>
      <c r="K22" s="667">
        <f>'PD0101'!$F$11</f>
        <v>0</v>
      </c>
      <c r="L22" s="667">
        <f>'PD0101'!$G$11</f>
        <v>0</v>
      </c>
      <c r="M22" s="668">
        <f>'PD0101'!$AG$11</f>
        <v>0</v>
      </c>
      <c r="N22" s="669">
        <f>'PD0101'!$AH$11</f>
        <v>1</v>
      </c>
      <c r="O22" s="670">
        <f>'PD0101'!$AI$11</f>
        <v>0.5</v>
      </c>
    </row>
    <row r="23" spans="1:15" ht="15.75" customHeight="1">
      <c r="A23" s="700" t="s">
        <v>290</v>
      </c>
      <c r="B23" s="701"/>
      <c r="C23" s="701"/>
      <c r="D23" s="701"/>
      <c r="E23" s="702"/>
      <c r="F23" s="666" t="str">
        <f>'PD0101'!$A$12</f>
        <v>D10S1248</v>
      </c>
      <c r="G23" s="667">
        <f>'PD0101'!$B$12</f>
        <v>0</v>
      </c>
      <c r="H23" s="667">
        <f>'PD0101'!$C$12</f>
        <v>0</v>
      </c>
      <c r="I23" s="667">
        <f>'PD0101'!$D$12</f>
        <v>0</v>
      </c>
      <c r="J23" s="667">
        <f>'PD0101'!$E$12</f>
        <v>0</v>
      </c>
      <c r="K23" s="667">
        <f>'PD0101'!$F$12</f>
        <v>0</v>
      </c>
      <c r="L23" s="667">
        <f>'PD0101'!$G$12</f>
        <v>0</v>
      </c>
      <c r="M23" s="668">
        <f>'PD0101'!$AG$12</f>
        <v>0</v>
      </c>
      <c r="N23" s="669">
        <f>'PD0101'!$AH$12</f>
        <v>1</v>
      </c>
      <c r="O23" s="670">
        <f>'PD0101'!$AI$12</f>
        <v>0.5</v>
      </c>
    </row>
    <row r="24" spans="1:15" ht="15.75" customHeight="1">
      <c r="A24" s="700" t="s">
        <v>294</v>
      </c>
      <c r="B24" s="701"/>
      <c r="C24" s="701"/>
      <c r="D24" s="701"/>
      <c r="E24" s="702"/>
      <c r="F24" s="666" t="str">
        <f>'PD0101'!$A$13</f>
        <v>D13S317</v>
      </c>
      <c r="G24" s="667">
        <f>'PD0101'!$B$13</f>
        <v>0</v>
      </c>
      <c r="H24" s="667">
        <f>'PD0101'!$C$13</f>
        <v>0</v>
      </c>
      <c r="I24" s="667">
        <f>'PD0101'!$D$13</f>
        <v>0</v>
      </c>
      <c r="J24" s="667">
        <f>'PD0101'!$E$13</f>
        <v>0</v>
      </c>
      <c r="K24" s="667">
        <f>'PD0101'!$F$13</f>
        <v>0</v>
      </c>
      <c r="L24" s="667">
        <f>'PD0101'!$G$13</f>
        <v>0</v>
      </c>
      <c r="M24" s="668">
        <f>'PD0101'!$AG$13</f>
        <v>0</v>
      </c>
      <c r="N24" s="669">
        <f>'PD0101'!$AH$13</f>
        <v>1</v>
      </c>
      <c r="O24" s="670">
        <f>'PD0101'!$AI$13</f>
        <v>0.5</v>
      </c>
    </row>
    <row r="25" spans="1:15" ht="15.75" customHeight="1">
      <c r="A25" s="700" t="s">
        <v>363</v>
      </c>
      <c r="B25" s="701"/>
      <c r="C25" s="701"/>
      <c r="D25" s="701"/>
      <c r="E25" s="702"/>
      <c r="F25" s="666" t="str">
        <f>'PD0101'!$A$14</f>
        <v>Penta_E</v>
      </c>
      <c r="G25" s="667">
        <f>'PD0101'!$B$14</f>
        <v>0</v>
      </c>
      <c r="H25" s="667">
        <f>'PD0101'!$C$14</f>
        <v>0</v>
      </c>
      <c r="I25" s="667">
        <f>'PD0101'!$D$14</f>
        <v>0</v>
      </c>
      <c r="J25" s="667">
        <f>'PD0101'!$E$14</f>
        <v>0</v>
      </c>
      <c r="K25" s="667">
        <f>'PD0101'!$F$14</f>
        <v>0</v>
      </c>
      <c r="L25" s="667">
        <f>'PD0101'!$G$14</f>
        <v>0</v>
      </c>
      <c r="M25" s="668">
        <f>'PD0101'!$AG$14</f>
        <v>0</v>
      </c>
      <c r="N25" s="669">
        <f>'PD0101'!$AH$14</f>
        <v>1</v>
      </c>
      <c r="O25" s="670">
        <f>'PD0101'!$AI$14</f>
        <v>0.5</v>
      </c>
    </row>
    <row r="26" spans="1:15" ht="15.75" customHeight="1">
      <c r="A26" s="700"/>
      <c r="B26" s="701"/>
      <c r="C26" s="701"/>
      <c r="D26" s="701"/>
      <c r="E26" s="702"/>
      <c r="F26" s="666" t="str">
        <f>'PD0101'!$A$15</f>
        <v>D16S539</v>
      </c>
      <c r="G26" s="667">
        <f>'PD0101'!$B$15</f>
        <v>0</v>
      </c>
      <c r="H26" s="667">
        <f>'PD0101'!$C$15</f>
        <v>0</v>
      </c>
      <c r="I26" s="667">
        <f>'PD0101'!$D$15</f>
        <v>0</v>
      </c>
      <c r="J26" s="667">
        <f>'PD0101'!$E$15</f>
        <v>0</v>
      </c>
      <c r="K26" s="667">
        <f>'PD0101'!$F$15</f>
        <v>0</v>
      </c>
      <c r="L26" s="667">
        <f>'PD0101'!$G$15</f>
        <v>0</v>
      </c>
      <c r="M26" s="668">
        <f>'PD0101'!$AG$15</f>
        <v>0</v>
      </c>
      <c r="N26" s="669">
        <f>'PD0101'!$AH$15</f>
        <v>1</v>
      </c>
      <c r="O26" s="670">
        <f>'PD0101'!$AI$15</f>
        <v>0.5</v>
      </c>
    </row>
    <row r="27" spans="1:15" ht="15.75" customHeight="1">
      <c r="A27" s="700"/>
      <c r="B27" s="701"/>
      <c r="C27" s="701"/>
      <c r="D27" s="701"/>
      <c r="E27" s="702"/>
      <c r="F27" s="666" t="str">
        <f>'PD0101'!$A$16</f>
        <v>D18S51</v>
      </c>
      <c r="G27" s="667">
        <f>'PD0101'!$B$16</f>
        <v>0</v>
      </c>
      <c r="H27" s="667">
        <f>'PD0101'!$C$16</f>
        <v>0</v>
      </c>
      <c r="I27" s="667">
        <f>'PD0101'!$D$16</f>
        <v>0</v>
      </c>
      <c r="J27" s="667">
        <f>'PD0101'!$E$16</f>
        <v>0</v>
      </c>
      <c r="K27" s="667">
        <f>'PD0101'!$F$16</f>
        <v>0</v>
      </c>
      <c r="L27" s="667">
        <f>'PD0101'!$G$16</f>
        <v>0</v>
      </c>
      <c r="M27" s="668">
        <f>'PD0101'!$AG$16</f>
        <v>0</v>
      </c>
      <c r="N27" s="669">
        <f>'PD0101'!$AH$16</f>
        <v>1</v>
      </c>
      <c r="O27" s="670">
        <f>'PD0101'!$AI$16</f>
        <v>0.5</v>
      </c>
    </row>
    <row r="28" spans="1:15" ht="15.75" customHeight="1" thickBot="1">
      <c r="A28" s="700"/>
      <c r="B28" s="701"/>
      <c r="C28" s="701"/>
      <c r="D28" s="701"/>
      <c r="E28" s="702"/>
      <c r="F28" s="666" t="str">
        <f>'PD0101'!$A$17</f>
        <v>D2S1338</v>
      </c>
      <c r="G28" s="667">
        <f>'PD0101'!$B$17</f>
        <v>0</v>
      </c>
      <c r="H28" s="667">
        <f>'PD0101'!$C$17</f>
        <v>0</v>
      </c>
      <c r="I28" s="667">
        <f>'PD0101'!$D$17</f>
        <v>0</v>
      </c>
      <c r="J28" s="667">
        <f>'PD0101'!$E$17</f>
        <v>0</v>
      </c>
      <c r="K28" s="667">
        <f>'PD0101'!$F$17</f>
        <v>0</v>
      </c>
      <c r="L28" s="667">
        <f>'PD0101'!$G$17</f>
        <v>0</v>
      </c>
      <c r="M28" s="668">
        <f>'PD0101'!$AG$17</f>
        <v>0</v>
      </c>
      <c r="N28" s="669">
        <f>'PD0101'!$AH$17</f>
        <v>1</v>
      </c>
      <c r="O28" s="670">
        <f>'PD0101'!$AI$17</f>
        <v>0.5</v>
      </c>
    </row>
    <row r="29" spans="1:15" ht="15.75" customHeight="1" thickTop="1" thickBot="1">
      <c r="A29" s="410" t="s">
        <v>300</v>
      </c>
      <c r="B29" s="411"/>
      <c r="C29" s="409"/>
      <c r="D29" s="409"/>
      <c r="E29" s="412"/>
      <c r="F29" s="666" t="str">
        <f>'PD0101'!$A$18</f>
        <v>CSF1PO</v>
      </c>
      <c r="G29" s="667">
        <f>'PD0101'!$B$18</f>
        <v>0</v>
      </c>
      <c r="H29" s="667">
        <f>'PD0101'!$C$18</f>
        <v>0</v>
      </c>
      <c r="I29" s="667">
        <f>'PD0101'!$D$18</f>
        <v>0</v>
      </c>
      <c r="J29" s="667">
        <f>'PD0101'!$E$18</f>
        <v>0</v>
      </c>
      <c r="K29" s="667">
        <f>'PD0101'!$F$18</f>
        <v>0</v>
      </c>
      <c r="L29" s="667">
        <f>'PD0101'!$G$18</f>
        <v>0</v>
      </c>
      <c r="M29" s="668">
        <f>'PD0101'!$AG$18</f>
        <v>0</v>
      </c>
      <c r="N29" s="669">
        <f>'PD0101'!$AH$18</f>
        <v>1</v>
      </c>
      <c r="O29" s="670">
        <f>'PD0101'!$AI$18</f>
        <v>0.5</v>
      </c>
    </row>
    <row r="30" spans="1:15" ht="15.75" customHeight="1" thickTop="1">
      <c r="A30" s="700" t="s">
        <v>364</v>
      </c>
      <c r="B30" s="701"/>
      <c r="C30" s="701"/>
      <c r="D30" s="701"/>
      <c r="E30" s="702"/>
      <c r="F30" s="666" t="str">
        <f>'PD0101'!$A$19</f>
        <v>Penta_D</v>
      </c>
      <c r="G30" s="667">
        <f>'PD0101'!$B$19</f>
        <v>0</v>
      </c>
      <c r="H30" s="667">
        <f>'PD0101'!$C$19</f>
        <v>0</v>
      </c>
      <c r="I30" s="667">
        <f>'PD0101'!$D$19</f>
        <v>0</v>
      </c>
      <c r="J30" s="667">
        <f>'PD0101'!$E$19</f>
        <v>0</v>
      </c>
      <c r="K30" s="667">
        <f>'PD0101'!$F$19</f>
        <v>0</v>
      </c>
      <c r="L30" s="667">
        <f>'PD0101'!$G$19</f>
        <v>0</v>
      </c>
      <c r="M30" s="668">
        <f>'PD0101'!$AG$19</f>
        <v>0</v>
      </c>
      <c r="N30" s="669">
        <f>'PD0101'!$AH$19</f>
        <v>1</v>
      </c>
      <c r="O30" s="670">
        <f>'PD0101'!$AI$19</f>
        <v>0.5</v>
      </c>
    </row>
    <row r="31" spans="1:15" ht="15.75" customHeight="1">
      <c r="A31" s="700"/>
      <c r="B31" s="701"/>
      <c r="C31" s="701"/>
      <c r="D31" s="701"/>
      <c r="E31" s="702"/>
      <c r="F31" s="666" t="str">
        <f>'PD0101'!$A$20</f>
        <v>TH01</v>
      </c>
      <c r="G31" s="667">
        <f>'PD0101'!$B$20</f>
        <v>0</v>
      </c>
      <c r="H31" s="667">
        <f>'PD0101'!$C$20</f>
        <v>0</v>
      </c>
      <c r="I31" s="667">
        <f>'PD0101'!$D$20</f>
        <v>0</v>
      </c>
      <c r="J31" s="667">
        <f>'PD0101'!$E$20</f>
        <v>0</v>
      </c>
      <c r="K31" s="667">
        <f>'PD0101'!$F$20</f>
        <v>0</v>
      </c>
      <c r="L31" s="667">
        <f>'PD0101'!$G$20</f>
        <v>0</v>
      </c>
      <c r="M31" s="668">
        <f>'PD0101'!$AG$20</f>
        <v>0</v>
      </c>
      <c r="N31" s="669">
        <f>'PD0101'!$AH$20</f>
        <v>1</v>
      </c>
      <c r="O31" s="670">
        <f>'PD0101'!$AI$20</f>
        <v>0.5</v>
      </c>
    </row>
    <row r="32" spans="1:15" ht="15.75" customHeight="1">
      <c r="A32" s="700"/>
      <c r="B32" s="701"/>
      <c r="C32" s="701"/>
      <c r="D32" s="701"/>
      <c r="E32" s="702"/>
      <c r="F32" s="666" t="str">
        <f>'PD0101'!$A$21</f>
        <v>vWA</v>
      </c>
      <c r="G32" s="667">
        <f>'PD0101'!$B$21</f>
        <v>0</v>
      </c>
      <c r="H32" s="667">
        <f>'PD0101'!$C$21</f>
        <v>0</v>
      </c>
      <c r="I32" s="667">
        <f>'PD0101'!$D$21</f>
        <v>0</v>
      </c>
      <c r="J32" s="667">
        <f>'PD0101'!$E$21</f>
        <v>0</v>
      </c>
      <c r="K32" s="667">
        <f>'PD0101'!$F$21</f>
        <v>0</v>
      </c>
      <c r="L32" s="667">
        <f>'PD0101'!$G$21</f>
        <v>0</v>
      </c>
      <c r="M32" s="668">
        <f>'PD0101'!$AG$21</f>
        <v>0</v>
      </c>
      <c r="N32" s="669">
        <f>'PD0101'!$AH$21</f>
        <v>1</v>
      </c>
      <c r="O32" s="670">
        <f>'PD0101'!$AI$21</f>
        <v>0.5</v>
      </c>
    </row>
    <row r="33" spans="1:15" ht="15.75" customHeight="1">
      <c r="A33" s="700"/>
      <c r="B33" s="701"/>
      <c r="C33" s="701"/>
      <c r="D33" s="701"/>
      <c r="E33" s="702"/>
      <c r="F33" s="666" t="str">
        <f>'PD0101'!$A$22</f>
        <v>D21S11</v>
      </c>
      <c r="G33" s="667">
        <f>'PD0101'!$B$22</f>
        <v>0</v>
      </c>
      <c r="H33" s="667">
        <f>'PD0101'!$C$22</f>
        <v>0</v>
      </c>
      <c r="I33" s="667">
        <f>'PD0101'!$D$22</f>
        <v>0</v>
      </c>
      <c r="J33" s="667">
        <f>'PD0101'!$E$22</f>
        <v>0</v>
      </c>
      <c r="K33" s="667">
        <f>'PD0101'!$F$22</f>
        <v>0</v>
      </c>
      <c r="L33" s="667">
        <f>'PD0101'!$G$22</f>
        <v>0</v>
      </c>
      <c r="M33" s="668">
        <f>'PD0101'!$AG$22</f>
        <v>0</v>
      </c>
      <c r="N33" s="669">
        <f>'PD0101'!$AH$22</f>
        <v>1</v>
      </c>
      <c r="O33" s="670">
        <f>'PD0101'!$AI$22</f>
        <v>0.5</v>
      </c>
    </row>
    <row r="34" spans="1:15" ht="15.75" customHeight="1">
      <c r="A34" s="700"/>
      <c r="B34" s="701"/>
      <c r="C34" s="701"/>
      <c r="D34" s="701"/>
      <c r="E34" s="702"/>
      <c r="F34" s="666" t="str">
        <f>'PD0101'!$A$23</f>
        <v>D7S820</v>
      </c>
      <c r="G34" s="667">
        <f>'PD0101'!$B$23</f>
        <v>0</v>
      </c>
      <c r="H34" s="667">
        <f>'PD0101'!$C$23</f>
        <v>0</v>
      </c>
      <c r="I34" s="667">
        <f>'PD0101'!$D$23</f>
        <v>0</v>
      </c>
      <c r="J34" s="667">
        <f>'PD0101'!$E$23</f>
        <v>0</v>
      </c>
      <c r="K34" s="667">
        <f>'PD0101'!$F$23</f>
        <v>0</v>
      </c>
      <c r="L34" s="667">
        <f>'PD0101'!$G$23</f>
        <v>0</v>
      </c>
      <c r="M34" s="668">
        <f>'PD0101'!$AG$23</f>
        <v>0</v>
      </c>
      <c r="N34" s="669">
        <f>'PD0101'!$AH$23</f>
        <v>1</v>
      </c>
      <c r="O34" s="670">
        <f>'PD0101'!$AI$23</f>
        <v>0.5</v>
      </c>
    </row>
    <row r="35" spans="1:15" ht="15.75" customHeight="1">
      <c r="A35" s="700"/>
      <c r="B35" s="701"/>
      <c r="C35" s="701"/>
      <c r="D35" s="701"/>
      <c r="E35" s="702"/>
      <c r="F35" s="666" t="str">
        <f>'PD0101'!$A$24</f>
        <v>D5S818</v>
      </c>
      <c r="G35" s="667">
        <f>'PD0101'!$B$24</f>
        <v>0</v>
      </c>
      <c r="H35" s="667">
        <f>'PD0101'!$C$24</f>
        <v>0</v>
      </c>
      <c r="I35" s="667">
        <f>'PD0101'!$D$24</f>
        <v>0</v>
      </c>
      <c r="J35" s="667">
        <f>'PD0101'!$E$24</f>
        <v>0</v>
      </c>
      <c r="K35" s="667">
        <f>'PD0101'!$F$24</f>
        <v>0</v>
      </c>
      <c r="L35" s="667">
        <f>'PD0101'!$G$24</f>
        <v>0</v>
      </c>
      <c r="M35" s="668">
        <f>'PD0101'!$AG$24</f>
        <v>0</v>
      </c>
      <c r="N35" s="669">
        <f>'PD0101'!$AH$24</f>
        <v>1</v>
      </c>
      <c r="O35" s="670">
        <f>'PD0101'!$AI$24</f>
        <v>0.5</v>
      </c>
    </row>
    <row r="36" spans="1:15" ht="15.75" customHeight="1" thickBot="1">
      <c r="A36" s="700"/>
      <c r="B36" s="701"/>
      <c r="C36" s="701"/>
      <c r="D36" s="701"/>
      <c r="E36" s="702"/>
      <c r="F36" s="666" t="str">
        <f>'PD0101'!$A$25</f>
        <v>TPOX</v>
      </c>
      <c r="G36" s="667">
        <f>'PD0101'!$B$25</f>
        <v>0</v>
      </c>
      <c r="H36" s="667">
        <f>'PD0101'!$C$25</f>
        <v>0</v>
      </c>
      <c r="I36" s="667">
        <f>'PD0101'!$D$25</f>
        <v>0</v>
      </c>
      <c r="J36" s="667">
        <f>'PD0101'!$E$25</f>
        <v>0</v>
      </c>
      <c r="K36" s="667">
        <f>'PD0101'!$F$25</f>
        <v>0</v>
      </c>
      <c r="L36" s="667">
        <f>'PD0101'!$G$25</f>
        <v>0</v>
      </c>
      <c r="M36" s="668">
        <f>'PD0101'!$AG$25</f>
        <v>0</v>
      </c>
      <c r="N36" s="669">
        <f>'PD0101'!$AH$25</f>
        <v>1</v>
      </c>
      <c r="O36" s="670">
        <f>'PD0101'!$AI$25</f>
        <v>0.5</v>
      </c>
    </row>
    <row r="37" spans="1:15" ht="15.75" customHeight="1" thickTop="1" thickBot="1">
      <c r="A37" s="413" t="s">
        <v>301</v>
      </c>
      <c r="B37" s="409"/>
      <c r="C37" s="409"/>
      <c r="D37" s="409"/>
      <c r="E37" s="412"/>
      <c r="F37" s="666" t="str">
        <f>'PD0101'!$A$26</f>
        <v>D8S1179</v>
      </c>
      <c r="G37" s="667">
        <f>'PD0101'!$B$26</f>
        <v>0</v>
      </c>
      <c r="H37" s="667">
        <f>'PD0101'!$C$26</f>
        <v>0</v>
      </c>
      <c r="I37" s="667">
        <f>'PD0101'!$D$26</f>
        <v>0</v>
      </c>
      <c r="J37" s="667">
        <f>'PD0101'!$E$26</f>
        <v>0</v>
      </c>
      <c r="K37" s="667">
        <f>'PD0101'!$F$26</f>
        <v>0</v>
      </c>
      <c r="L37" s="667">
        <f>'PD0101'!$G$26</f>
        <v>0</v>
      </c>
      <c r="M37" s="668">
        <f>'PD0101'!$AG$26</f>
        <v>0</v>
      </c>
      <c r="N37" s="669">
        <f>'PD0101'!$AH$26</f>
        <v>1</v>
      </c>
      <c r="O37" s="670">
        <f>'PD0101'!$AI$26</f>
        <v>0.5</v>
      </c>
    </row>
    <row r="38" spans="1:15" ht="15.75" customHeight="1" thickTop="1">
      <c r="A38" s="700"/>
      <c r="B38" s="701"/>
      <c r="C38" s="701"/>
      <c r="D38" s="701"/>
      <c r="E38" s="702"/>
      <c r="F38" s="666" t="str">
        <f>'PD0101'!$A$27</f>
        <v>D12S391</v>
      </c>
      <c r="G38" s="667">
        <f>'PD0101'!$B$27</f>
        <v>0</v>
      </c>
      <c r="H38" s="667">
        <f>'PD0101'!$C$27</f>
        <v>0</v>
      </c>
      <c r="I38" s="667">
        <f>'PD0101'!$D$27</f>
        <v>0</v>
      </c>
      <c r="J38" s="667">
        <f>'PD0101'!$E$27</f>
        <v>0</v>
      </c>
      <c r="K38" s="667">
        <f>'PD0101'!$F$27</f>
        <v>0</v>
      </c>
      <c r="L38" s="667">
        <f>'PD0101'!$G$27</f>
        <v>0</v>
      </c>
      <c r="M38" s="668">
        <f>'PD0101'!$AG$27</f>
        <v>0</v>
      </c>
      <c r="N38" s="669">
        <f>'PD0101'!$AH$27</f>
        <v>1</v>
      </c>
      <c r="O38" s="670">
        <f>'PD0101'!$AI$27</f>
        <v>0.5</v>
      </c>
    </row>
    <row r="39" spans="1:15" ht="15.75" customHeight="1">
      <c r="A39" s="703"/>
      <c r="B39" s="704"/>
      <c r="C39" s="704"/>
      <c r="D39" s="704"/>
      <c r="E39" s="705"/>
      <c r="F39" s="666" t="str">
        <f>'PD0101'!$A$28</f>
        <v>D19S433</v>
      </c>
      <c r="G39" s="667">
        <f>'PD0101'!$B$28</f>
        <v>0</v>
      </c>
      <c r="H39" s="667">
        <f>'PD0101'!$C$28</f>
        <v>0</v>
      </c>
      <c r="I39" s="667">
        <f>'PD0101'!$D$28</f>
        <v>0</v>
      </c>
      <c r="J39" s="667">
        <f>'PD0101'!$E$28</f>
        <v>0</v>
      </c>
      <c r="K39" s="667">
        <f>'PD0101'!$F$28</f>
        <v>0</v>
      </c>
      <c r="L39" s="667">
        <f>'PD0101'!$G$28</f>
        <v>0</v>
      </c>
      <c r="M39" s="668">
        <f>'PD0101'!$AG$28</f>
        <v>0</v>
      </c>
      <c r="N39" s="669">
        <f>'PD0101'!$AH$28</f>
        <v>1</v>
      </c>
      <c r="O39" s="670">
        <f>'PD0101'!$AI$28</f>
        <v>0.5</v>
      </c>
    </row>
    <row r="40" spans="1:15" ht="15.75" customHeight="1">
      <c r="A40" s="700" t="s">
        <v>361</v>
      </c>
      <c r="B40" s="701"/>
      <c r="C40" s="701"/>
      <c r="D40" s="701"/>
      <c r="E40" s="702"/>
      <c r="F40" s="666" t="str">
        <f>'PD0101'!$A$29</f>
        <v>FGA</v>
      </c>
      <c r="G40" s="667">
        <f>'PD0101'!$B$29</f>
        <v>0</v>
      </c>
      <c r="H40" s="667">
        <f>'PD0101'!$C$29</f>
        <v>0</v>
      </c>
      <c r="I40" s="667">
        <f>'PD0101'!$D$29</f>
        <v>0</v>
      </c>
      <c r="J40" s="667">
        <f>'PD0101'!$E$29</f>
        <v>0</v>
      </c>
      <c r="K40" s="667">
        <f>'PD0101'!$F$29</f>
        <v>0</v>
      </c>
      <c r="L40" s="667">
        <f>'PD0101'!$G$29</f>
        <v>0</v>
      </c>
      <c r="M40" s="668">
        <f>'PD0101'!$AG$29</f>
        <v>0</v>
      </c>
      <c r="N40" s="669">
        <f>'PD0101'!$AH$29</f>
        <v>1</v>
      </c>
      <c r="O40" s="670">
        <f>'PD0101'!$AI$29</f>
        <v>0.5</v>
      </c>
    </row>
    <row r="41" spans="1:15" ht="15.75" customHeight="1" thickBot="1">
      <c r="A41" s="700" t="s">
        <v>296</v>
      </c>
      <c r="B41" s="701"/>
      <c r="C41" s="701"/>
      <c r="D41" s="701"/>
      <c r="E41" s="702"/>
      <c r="F41" s="671" t="str">
        <f>'PD0101'!$A$30</f>
        <v>D22S1045</v>
      </c>
      <c r="G41" s="672">
        <f>'PD0101'!$B$30</f>
        <v>0</v>
      </c>
      <c r="H41" s="672">
        <f>'PD0101'!$C$30</f>
        <v>0</v>
      </c>
      <c r="I41" s="672">
        <f>'PD0101'!$D$30</f>
        <v>0</v>
      </c>
      <c r="J41" s="672">
        <f>'PD0101'!$E$30</f>
        <v>0</v>
      </c>
      <c r="K41" s="672">
        <f>'PD0101'!$F$30</f>
        <v>0</v>
      </c>
      <c r="L41" s="672">
        <f>'PD0101'!$G$30</f>
        <v>0</v>
      </c>
      <c r="M41" s="673">
        <f>'PD0101'!$AG$30</f>
        <v>0</v>
      </c>
      <c r="N41" s="674">
        <f>'PD0101'!$AH$30</f>
        <v>1</v>
      </c>
      <c r="O41" s="675">
        <f>'PD0101'!$AI$30</f>
        <v>0.5</v>
      </c>
    </row>
    <row r="42" spans="1:15" ht="15.75" customHeight="1" thickTop="1">
      <c r="A42" s="700"/>
      <c r="B42" s="701"/>
      <c r="C42" s="701"/>
      <c r="D42" s="701"/>
      <c r="E42" s="702"/>
      <c r="F42" s="398"/>
      <c r="G42" s="398"/>
      <c r="H42" s="398"/>
      <c r="I42" s="638"/>
      <c r="J42" s="638"/>
      <c r="K42" s="639"/>
      <c r="L42" s="404" t="str">
        <f>'PD0101'!G43</f>
        <v xml:space="preserve">ÍNDICE DE PATERNIDADE ACUMULADO: </v>
      </c>
      <c r="M42" s="730">
        <f>'PD0101'!$AG$43</f>
        <v>1</v>
      </c>
      <c r="N42" s="730"/>
      <c r="O42" s="731"/>
    </row>
    <row r="43" spans="1:15" ht="15.75" customHeight="1">
      <c r="A43" s="700" t="s">
        <v>297</v>
      </c>
      <c r="B43" s="701"/>
      <c r="C43" s="701"/>
      <c r="D43" s="701"/>
      <c r="E43" s="702"/>
      <c r="F43" s="398"/>
      <c r="G43" s="398"/>
      <c r="H43" s="398"/>
      <c r="I43" s="638"/>
      <c r="J43" s="638"/>
      <c r="K43" s="639"/>
      <c r="L43" s="404" t="str">
        <f>'PD0101'!G44</f>
        <v xml:space="preserve">PROBABILIDADE DE PATERNIDADE: </v>
      </c>
      <c r="M43" s="732">
        <f>'PD0101'!$AG$44</f>
        <v>0.5</v>
      </c>
      <c r="N43" s="732"/>
      <c r="O43" s="733"/>
    </row>
    <row r="44" spans="1:15" ht="15.75" customHeight="1">
      <c r="A44" s="700"/>
      <c r="B44" s="701"/>
      <c r="C44" s="701"/>
      <c r="D44" s="701"/>
      <c r="E44" s="702"/>
      <c r="F44" s="398"/>
      <c r="G44" s="398"/>
      <c r="H44" s="398"/>
      <c r="I44" s="638"/>
      <c r="J44" s="638"/>
      <c r="K44" s="639"/>
      <c r="L44" s="404" t="str">
        <f>'PD0101'!G45</f>
        <v xml:space="preserve">CAP. DE EFICIÊNCIA DOS MARCADORES: </v>
      </c>
      <c r="M44" s="732">
        <f>'PD0101'!$AG$45</f>
        <v>0</v>
      </c>
      <c r="N44" s="732"/>
      <c r="O44" s="733"/>
    </row>
    <row r="45" spans="1:15" ht="15.75" customHeight="1" thickBot="1">
      <c r="A45" s="739"/>
      <c r="B45" s="740"/>
      <c r="C45" s="740"/>
      <c r="D45" s="740"/>
      <c r="E45" s="741"/>
      <c r="F45" s="320"/>
      <c r="G45" s="316"/>
      <c r="H45" s="316"/>
      <c r="I45" s="403" t="str">
        <f>'PD0101'!$G$46</f>
        <v xml:space="preserve">RESULTADO: </v>
      </c>
      <c r="J45" s="737" t="str">
        <f>'PD0101'!$AG$46</f>
        <v>PATERNIDADE REMOTA</v>
      </c>
      <c r="K45" s="737"/>
      <c r="L45" s="737"/>
      <c r="M45" s="737"/>
      <c r="N45" s="737"/>
      <c r="O45" s="738"/>
    </row>
    <row r="46" spans="1:15" ht="13.8" thickTop="1">
      <c r="A46" s="317"/>
      <c r="O46" s="391"/>
    </row>
    <row r="47" spans="1:15" hidden="1">
      <c r="A47" s="317"/>
      <c r="O47" s="391"/>
    </row>
    <row r="48" spans="1:15">
      <c r="A48" s="748"/>
      <c r="B48" s="749"/>
      <c r="C48" s="749"/>
      <c r="D48" s="749"/>
      <c r="E48" s="749"/>
      <c r="F48" s="749"/>
      <c r="G48" s="749"/>
      <c r="H48" s="749"/>
      <c r="I48" s="749"/>
      <c r="J48" s="749"/>
      <c r="K48" s="749"/>
      <c r="L48" s="749"/>
      <c r="M48" s="749"/>
      <c r="N48" s="749"/>
      <c r="O48" s="750"/>
    </row>
    <row r="49" spans="1:15">
      <c r="A49" s="317"/>
      <c r="O49" s="391"/>
    </row>
    <row r="50" spans="1:15" hidden="1">
      <c r="A50" s="317"/>
      <c r="O50" s="391"/>
    </row>
    <row r="51" spans="1:15">
      <c r="A51" s="317"/>
      <c r="O51" s="391"/>
    </row>
    <row r="52" spans="1:15" ht="9.9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4"/>
    </row>
    <row r="53" spans="1:15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7"/>
    </row>
    <row r="54" spans="1:15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6"/>
    </row>
    <row r="55" spans="1:15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6"/>
    </row>
    <row r="56" spans="1:15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6"/>
    </row>
    <row r="57" spans="1:15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6"/>
    </row>
    <row r="58" spans="1:15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4"/>
    </row>
    <row r="59" spans="1:15" ht="13.8" hidden="1" thickTop="1">
      <c r="A59" s="317"/>
      <c r="O59" s="391"/>
    </row>
    <row r="60" spans="1:15" ht="14.4" hidden="1" thickTop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9"/>
    </row>
    <row r="61" spans="1:15" ht="13.8" thickTop="1"/>
    <row r="63" spans="1:15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322"/>
      <c r="N63" s="322"/>
      <c r="O63" s="322"/>
    </row>
    <row r="64" spans="1:15">
      <c r="A64" s="392"/>
      <c r="B64" s="392"/>
      <c r="C64" s="725"/>
      <c r="D64" s="725"/>
      <c r="E64" s="725"/>
      <c r="F64" s="725"/>
      <c r="G64" s="725"/>
      <c r="H64" s="725"/>
      <c r="I64" s="725"/>
      <c r="J64" s="725"/>
      <c r="K64" s="725"/>
      <c r="L64" s="725"/>
      <c r="M64" s="322"/>
      <c r="N64" s="322"/>
      <c r="O64" s="322"/>
    </row>
    <row r="65" spans="1:15">
      <c r="A65" s="392"/>
      <c r="B65" s="392"/>
      <c r="C65" s="725"/>
      <c r="D65" s="725"/>
      <c r="E65" s="725"/>
      <c r="F65" s="725"/>
      <c r="G65" s="725"/>
      <c r="H65" s="725"/>
      <c r="I65" s="725"/>
      <c r="J65" s="725"/>
      <c r="K65" s="725"/>
      <c r="L65" s="725"/>
      <c r="M65" s="725"/>
      <c r="N65" s="725"/>
      <c r="O65" s="725"/>
    </row>
    <row r="66" spans="1:15">
      <c r="A66" s="392"/>
      <c r="B66" s="392"/>
      <c r="C66" s="725"/>
      <c r="D66" s="725"/>
      <c r="E66" s="725"/>
      <c r="F66" s="725"/>
      <c r="G66" s="725"/>
      <c r="H66" s="725"/>
      <c r="I66" s="725"/>
      <c r="J66" s="725"/>
      <c r="K66" s="725"/>
      <c r="L66" s="725"/>
      <c r="M66" s="725"/>
      <c r="N66" s="725"/>
      <c r="O66" s="725"/>
    </row>
    <row r="67" spans="1:15">
      <c r="A67" s="392"/>
      <c r="B67" s="392"/>
      <c r="C67" s="725"/>
      <c r="D67" s="725"/>
      <c r="E67" s="725"/>
      <c r="F67" s="725"/>
      <c r="G67" s="725"/>
      <c r="H67" s="725"/>
      <c r="I67" s="725"/>
      <c r="J67" s="725"/>
      <c r="K67" s="725"/>
      <c r="L67" s="725"/>
      <c r="M67" s="725"/>
      <c r="N67" s="725"/>
      <c r="O67" s="725"/>
    </row>
    <row r="68" spans="1:15">
      <c r="A68" s="392"/>
      <c r="B68" s="392"/>
      <c r="C68" s="725"/>
      <c r="D68" s="725"/>
      <c r="E68" s="725"/>
      <c r="F68" s="725"/>
      <c r="G68" s="725"/>
      <c r="H68" s="725"/>
      <c r="I68" s="725"/>
      <c r="J68" s="725"/>
      <c r="K68" s="725"/>
      <c r="L68" s="725"/>
      <c r="M68" s="725"/>
      <c r="N68" s="725"/>
      <c r="O68" s="725"/>
    </row>
    <row r="69" spans="1:15">
      <c r="C69" s="725"/>
      <c r="D69" s="725"/>
      <c r="E69" s="725"/>
      <c r="F69" s="725"/>
      <c r="G69" s="725"/>
      <c r="H69" s="725"/>
      <c r="I69" s="725"/>
      <c r="J69" s="725"/>
      <c r="K69" s="725"/>
      <c r="L69" s="725"/>
      <c r="M69" s="725"/>
      <c r="N69" s="725"/>
      <c r="O69" s="725"/>
    </row>
  </sheetData>
  <mergeCells count="57">
    <mergeCell ref="C69:O69"/>
    <mergeCell ref="A48:O48"/>
    <mergeCell ref="C67:O67"/>
    <mergeCell ref="C68:O68"/>
    <mergeCell ref="A55:O55"/>
    <mergeCell ref="C65:O65"/>
    <mergeCell ref="C66:O66"/>
    <mergeCell ref="C63:L63"/>
    <mergeCell ref="C64:L64"/>
    <mergeCell ref="A58:O58"/>
    <mergeCell ref="M43:O43"/>
    <mergeCell ref="A57:O57"/>
    <mergeCell ref="A56:O56"/>
    <mergeCell ref="A43:E43"/>
    <mergeCell ref="J45:O45"/>
    <mergeCell ref="M44:O44"/>
    <mergeCell ref="A45:E45"/>
    <mergeCell ref="A52:O52"/>
    <mergeCell ref="A53:O53"/>
    <mergeCell ref="A54:O54"/>
    <mergeCell ref="A44:E44"/>
    <mergeCell ref="B12:H12"/>
    <mergeCell ref="K12:O12"/>
    <mergeCell ref="B14:G14"/>
    <mergeCell ref="A42:E42"/>
    <mergeCell ref="A24:E24"/>
    <mergeCell ref="A25:E25"/>
    <mergeCell ref="A26:E26"/>
    <mergeCell ref="A27:E27"/>
    <mergeCell ref="A30:E36"/>
    <mergeCell ref="A38:E38"/>
    <mergeCell ref="B16:G16"/>
    <mergeCell ref="A21:E21"/>
    <mergeCell ref="A20:E20"/>
    <mergeCell ref="M42:O42"/>
    <mergeCell ref="A28:E28"/>
    <mergeCell ref="K14:O14"/>
    <mergeCell ref="K15:N15"/>
    <mergeCell ref="I19:J19"/>
    <mergeCell ref="B15:G15"/>
    <mergeCell ref="B13:G13"/>
    <mergeCell ref="A41:E41"/>
    <mergeCell ref="A39:E39"/>
    <mergeCell ref="A40:E40"/>
    <mergeCell ref="A23:E23"/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</mergeCells>
  <phoneticPr fontId="31" type="noConversion"/>
  <pageMargins left="1.2598425196850394" right="0.39370078740157483" top="0.39370078740157483" bottom="0.39370078740157483" header="0.31496062992125984" footer="0.31496062992125984"/>
  <pageSetup paperSize="9" scale="88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9"/>
  <sheetViews>
    <sheetView topLeftCell="A52" zoomScale="160" zoomScaleNormal="160" workbookViewId="0">
      <selection activeCell="A62" sqref="A62:XFD70"/>
    </sheetView>
  </sheetViews>
  <sheetFormatPr defaultRowHeight="13.2"/>
  <cols>
    <col min="1" max="5" width="8.6640625" customWidth="1"/>
    <col min="6" max="7" width="3.44140625" customWidth="1"/>
    <col min="8" max="11" width="3.6640625" customWidth="1"/>
    <col min="12" max="14" width="5.6640625" customWidth="1"/>
    <col min="16" max="18" width="9.109375" customWidth="1"/>
    <col min="19" max="19" width="0" hidden="1" customWidth="1"/>
  </cols>
  <sheetData>
    <row r="1" spans="1:19" ht="13.8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89"/>
      <c r="S1" t="s">
        <v>347</v>
      </c>
    </row>
    <row r="2" spans="1:19">
      <c r="A2" s="386"/>
      <c r="B2" s="390"/>
      <c r="C2" s="390"/>
      <c r="D2" s="390"/>
      <c r="E2" s="387"/>
      <c r="F2" s="770"/>
      <c r="G2" s="770"/>
      <c r="H2" s="770"/>
      <c r="I2" s="770"/>
      <c r="J2" s="770"/>
      <c r="K2" s="770"/>
      <c r="L2" s="770"/>
      <c r="M2" s="770"/>
      <c r="N2" s="771"/>
    </row>
    <row r="3" spans="1:19">
      <c r="A3" s="386"/>
      <c r="B3" s="390"/>
      <c r="C3" s="390"/>
      <c r="D3" s="390"/>
      <c r="E3" s="400"/>
      <c r="F3" s="656"/>
      <c r="G3" s="656"/>
      <c r="H3" s="655"/>
      <c r="I3" s="773"/>
      <c r="J3" s="773"/>
      <c r="K3" s="773"/>
      <c r="L3" s="773"/>
      <c r="M3" s="773"/>
      <c r="N3" s="774"/>
    </row>
    <row r="4" spans="1:19" ht="12.75" customHeight="1">
      <c r="A4" s="386"/>
      <c r="B4" s="390"/>
      <c r="C4" s="390"/>
      <c r="D4" s="390"/>
      <c r="E4" s="713"/>
      <c r="F4" s="713"/>
      <c r="G4" s="713"/>
      <c r="H4" s="713"/>
      <c r="I4" s="713"/>
      <c r="J4" s="713"/>
      <c r="K4" s="713"/>
      <c r="L4" s="717"/>
      <c r="M4" s="717"/>
      <c r="N4" s="718"/>
    </row>
    <row r="5" spans="1:19" ht="12.75" customHeight="1">
      <c r="A5" s="386"/>
      <c r="B5" s="390"/>
      <c r="C5" s="390"/>
      <c r="D5" s="390"/>
      <c r="E5" s="713"/>
      <c r="F5" s="713"/>
      <c r="G5" s="713"/>
      <c r="H5" s="713"/>
      <c r="I5" s="713"/>
      <c r="J5" s="713"/>
      <c r="K5" s="713"/>
      <c r="L5" s="717"/>
      <c r="M5" s="717"/>
      <c r="N5" s="718"/>
    </row>
    <row r="6" spans="1:19" ht="12.75" customHeight="1">
      <c r="A6" s="386"/>
      <c r="B6" s="390"/>
      <c r="C6" s="390"/>
      <c r="D6" s="390"/>
      <c r="E6" s="713"/>
      <c r="F6" s="713"/>
      <c r="G6" s="713"/>
      <c r="H6" s="713"/>
      <c r="I6" s="713"/>
      <c r="J6" s="713"/>
      <c r="K6" s="713"/>
      <c r="L6" s="717"/>
      <c r="M6" s="717"/>
      <c r="N6" s="718"/>
    </row>
    <row r="7" spans="1:19" ht="12.75" customHeight="1">
      <c r="A7" s="386"/>
      <c r="B7" s="390"/>
      <c r="C7" s="390"/>
      <c r="D7" s="390"/>
      <c r="E7" s="713"/>
      <c r="F7" s="713"/>
      <c r="G7" s="713"/>
      <c r="H7" s="713"/>
      <c r="I7" s="713"/>
      <c r="J7" s="713"/>
      <c r="K7" s="713"/>
      <c r="L7" s="717"/>
      <c r="M7" s="717"/>
      <c r="N7" s="718"/>
    </row>
    <row r="8" spans="1:19" ht="12.75" customHeight="1">
      <c r="A8" s="386"/>
      <c r="B8" s="390"/>
      <c r="C8" s="390"/>
      <c r="D8" s="390"/>
      <c r="E8" s="713"/>
      <c r="F8" s="713"/>
      <c r="G8" s="713"/>
      <c r="H8" s="713"/>
      <c r="I8" s="713"/>
      <c r="J8" s="713"/>
      <c r="K8" s="713"/>
      <c r="L8" s="717"/>
      <c r="M8" s="717"/>
      <c r="N8" s="718"/>
    </row>
    <row r="9" spans="1:19" ht="12.75" customHeight="1">
      <c r="A9" s="386"/>
      <c r="B9" s="390"/>
      <c r="C9" s="390"/>
      <c r="D9" s="390"/>
      <c r="E9" s="713"/>
      <c r="F9" s="713"/>
      <c r="G9" s="713"/>
      <c r="H9" s="713"/>
      <c r="I9" s="713"/>
      <c r="J9" s="713"/>
      <c r="K9" s="713"/>
      <c r="L9" s="717"/>
      <c r="M9" s="717"/>
      <c r="N9" s="718"/>
    </row>
    <row r="10" spans="1:19" ht="12.75" customHeight="1" thickBot="1">
      <c r="A10" s="721" t="s">
        <v>349</v>
      </c>
      <c r="B10" s="722"/>
      <c r="C10" s="722"/>
      <c r="D10" s="722"/>
      <c r="E10" s="713"/>
      <c r="F10" s="713"/>
      <c r="G10" s="713"/>
      <c r="H10" s="713"/>
      <c r="I10" s="713"/>
      <c r="J10" s="713"/>
      <c r="K10" s="713"/>
      <c r="L10" s="719"/>
      <c r="M10" s="719"/>
      <c r="N10" s="720"/>
    </row>
    <row r="11" spans="1:19" ht="14.4" thickTop="1" thickBot="1">
      <c r="A11" s="714" t="s">
        <v>298</v>
      </c>
      <c r="B11" s="715"/>
      <c r="C11" s="715"/>
      <c r="D11" s="715"/>
      <c r="E11" s="715"/>
      <c r="F11" s="715"/>
      <c r="G11" s="715"/>
      <c r="H11" s="715"/>
      <c r="I11" s="715"/>
      <c r="J11" s="715"/>
      <c r="K11" s="715"/>
      <c r="L11" s="715"/>
      <c r="M11" s="715"/>
      <c r="N11" s="716"/>
    </row>
    <row r="12" spans="1:19" ht="13.8" thickTop="1">
      <c r="A12" s="407" t="s">
        <v>250</v>
      </c>
      <c r="B12" s="777"/>
      <c r="C12" s="777"/>
      <c r="D12" s="777"/>
      <c r="E12" s="777"/>
      <c r="F12" s="777"/>
      <c r="G12" s="777"/>
      <c r="H12" s="777"/>
      <c r="I12" s="686"/>
      <c r="J12" s="687" t="s">
        <v>357</v>
      </c>
      <c r="K12" s="775"/>
      <c r="L12" s="775"/>
      <c r="M12" s="775"/>
      <c r="N12" s="776"/>
    </row>
    <row r="13" spans="1:19">
      <c r="A13" s="407" t="s">
        <v>356</v>
      </c>
      <c r="B13" s="778"/>
      <c r="C13" s="778"/>
      <c r="D13" s="778"/>
      <c r="E13" s="778"/>
      <c r="F13" s="778"/>
      <c r="G13" s="778"/>
      <c r="H13" s="321"/>
      <c r="J13" s="321" t="s">
        <v>362</v>
      </c>
      <c r="K13" s="406"/>
      <c r="L13" s="406"/>
      <c r="M13" s="406"/>
      <c r="N13" s="691"/>
    </row>
    <row r="14" spans="1:19">
      <c r="A14" s="407"/>
      <c r="B14" s="755"/>
      <c r="C14" s="755"/>
      <c r="D14" s="755"/>
      <c r="E14" s="755"/>
      <c r="F14" s="755"/>
      <c r="G14" s="755"/>
      <c r="H14" s="405"/>
      <c r="J14" s="321" t="s">
        <v>251</v>
      </c>
      <c r="K14" s="755"/>
      <c r="L14" s="755"/>
      <c r="M14" s="755"/>
      <c r="N14" s="756"/>
    </row>
    <row r="15" spans="1:19">
      <c r="A15" s="407"/>
      <c r="B15" s="755"/>
      <c r="C15" s="755"/>
      <c r="D15" s="755"/>
      <c r="E15" s="755"/>
      <c r="F15" s="755"/>
      <c r="G15" s="755"/>
      <c r="H15" s="406"/>
      <c r="J15" s="321"/>
      <c r="K15" s="755"/>
      <c r="L15" s="755"/>
      <c r="M15" s="755"/>
      <c r="N15" s="756"/>
    </row>
    <row r="16" spans="1:19">
      <c r="A16" s="407"/>
      <c r="B16" s="755"/>
      <c r="C16" s="755"/>
      <c r="D16" s="755"/>
      <c r="E16" s="755"/>
      <c r="F16" s="755"/>
      <c r="G16" s="755"/>
      <c r="H16" s="406"/>
      <c r="J16" s="405"/>
      <c r="K16" s="406"/>
      <c r="L16" s="406"/>
      <c r="M16" s="406"/>
      <c r="N16" s="688"/>
    </row>
    <row r="17" spans="1:14" ht="13.8" thickBot="1">
      <c r="A17" s="407" t="str">
        <f>IF(B17="","","Sup. Pai2:")</f>
        <v/>
      </c>
      <c r="B17" s="772"/>
      <c r="C17" s="772"/>
      <c r="D17" s="772"/>
      <c r="E17" s="772"/>
      <c r="F17" s="689"/>
      <c r="G17" s="689"/>
      <c r="H17" s="689"/>
      <c r="I17" s="689"/>
      <c r="J17" s="689"/>
      <c r="K17" s="689"/>
      <c r="L17" s="690"/>
      <c r="M17" s="108"/>
      <c r="N17" s="688"/>
    </row>
    <row r="18" spans="1:14" ht="15.75" customHeight="1" thickTop="1" thickBot="1">
      <c r="A18" s="714" t="s">
        <v>299</v>
      </c>
      <c r="B18" s="715"/>
      <c r="C18" s="715"/>
      <c r="D18" s="715"/>
      <c r="E18" s="716"/>
      <c r="F18" s="710" t="s">
        <v>252</v>
      </c>
      <c r="G18" s="711"/>
      <c r="H18" s="711"/>
      <c r="I18" s="711"/>
      <c r="J18" s="711"/>
      <c r="K18" s="711"/>
      <c r="L18" s="711"/>
      <c r="M18" s="711"/>
      <c r="N18" s="712"/>
    </row>
    <row r="19" spans="1:14" ht="15.75" customHeight="1" thickTop="1">
      <c r="A19" s="309" t="str">
        <f>IF(B19="","","Sup. Avó:")</f>
        <v/>
      </c>
      <c r="B19" s="392"/>
      <c r="C19" s="392"/>
      <c r="D19" s="392"/>
      <c r="E19" s="388"/>
      <c r="F19" s="757" t="s">
        <v>50</v>
      </c>
      <c r="G19" s="758"/>
      <c r="H19" s="758" t="s">
        <v>253</v>
      </c>
      <c r="I19" s="758"/>
      <c r="J19" s="758" t="str">
        <f>'PD0201'!D11</f>
        <v>SUP. PAI</v>
      </c>
      <c r="K19" s="758"/>
      <c r="L19" s="676" t="str">
        <f>'PD0201'!X11</f>
        <v>FREQ.</v>
      </c>
      <c r="M19" s="676" t="str">
        <f>'PD0201'!Y11</f>
        <v>PI</v>
      </c>
      <c r="N19" s="677" t="str">
        <f>'PD0201'!Z11</f>
        <v>PR. PAT</v>
      </c>
    </row>
    <row r="20" spans="1:14" ht="15.75" customHeight="1">
      <c r="A20" s="700"/>
      <c r="B20" s="701"/>
      <c r="C20" s="701"/>
      <c r="D20" s="701"/>
      <c r="E20" s="702"/>
      <c r="F20" s="759" t="str">
        <f>'PD0201'!A12</f>
        <v>D3S1358</v>
      </c>
      <c r="G20" s="760"/>
      <c r="H20" s="678">
        <f>'PD0201'!B12</f>
        <v>0</v>
      </c>
      <c r="I20" s="678">
        <f>'PD0201'!C12</f>
        <v>0</v>
      </c>
      <c r="J20" s="678">
        <f>'PD0201'!D12</f>
        <v>0</v>
      </c>
      <c r="K20" s="678">
        <f>'PD0201'!E12</f>
        <v>0</v>
      </c>
      <c r="L20" s="679">
        <f>'PD0201'!X12</f>
        <v>0</v>
      </c>
      <c r="M20" s="680">
        <f>'PD0201'!Y12</f>
        <v>1</v>
      </c>
      <c r="N20" s="681">
        <f>'PD0201'!Z12</f>
        <v>0.5</v>
      </c>
    </row>
    <row r="21" spans="1:14" ht="15.75" customHeight="1">
      <c r="A21" s="700" t="s">
        <v>350</v>
      </c>
      <c r="B21" s="701"/>
      <c r="C21" s="701"/>
      <c r="D21" s="701"/>
      <c r="E21" s="702"/>
      <c r="F21" s="759" t="str">
        <f>'PD0201'!A13</f>
        <v>D1S1656</v>
      </c>
      <c r="G21" s="760"/>
      <c r="H21" s="678">
        <f>'PD0201'!B13</f>
        <v>0</v>
      </c>
      <c r="I21" s="678">
        <f>'PD0201'!C13</f>
        <v>0</v>
      </c>
      <c r="J21" s="678">
        <f>'PD0201'!D13</f>
        <v>0</v>
      </c>
      <c r="K21" s="678">
        <f>'PD0201'!E13</f>
        <v>0</v>
      </c>
      <c r="L21" s="679">
        <f>'PD0201'!X13</f>
        <v>0</v>
      </c>
      <c r="M21" s="680">
        <f>'PD0201'!Y13</f>
        <v>1</v>
      </c>
      <c r="N21" s="681">
        <f>'PD0201'!Z13</f>
        <v>0.5</v>
      </c>
    </row>
    <row r="22" spans="1:14" ht="15.75" customHeight="1">
      <c r="A22" s="700" t="s">
        <v>293</v>
      </c>
      <c r="B22" s="701"/>
      <c r="C22" s="701"/>
      <c r="D22" s="701"/>
      <c r="E22" s="702"/>
      <c r="F22" s="759" t="str">
        <f>'PD0201'!A14</f>
        <v>D2S441</v>
      </c>
      <c r="G22" s="760"/>
      <c r="H22" s="678">
        <f>'PD0201'!B14</f>
        <v>0</v>
      </c>
      <c r="I22" s="678">
        <f>'PD0201'!C14</f>
        <v>0</v>
      </c>
      <c r="J22" s="678">
        <f>'PD0201'!D14</f>
        <v>0</v>
      </c>
      <c r="K22" s="678">
        <f>'PD0201'!E14</f>
        <v>0</v>
      </c>
      <c r="L22" s="679">
        <f>'PD0201'!X14</f>
        <v>0</v>
      </c>
      <c r="M22" s="680">
        <f>'PD0201'!Y14</f>
        <v>1</v>
      </c>
      <c r="N22" s="681">
        <f>'PD0201'!Z14</f>
        <v>0.5</v>
      </c>
    </row>
    <row r="23" spans="1:14" ht="15.75" customHeight="1">
      <c r="A23" s="700" t="s">
        <v>290</v>
      </c>
      <c r="B23" s="701"/>
      <c r="C23" s="701"/>
      <c r="D23" s="701"/>
      <c r="E23" s="702"/>
      <c r="F23" s="759" t="str">
        <f>'PD0201'!A15</f>
        <v>D10S1248</v>
      </c>
      <c r="G23" s="760"/>
      <c r="H23" s="678">
        <f>'PD0201'!B15</f>
        <v>0</v>
      </c>
      <c r="I23" s="678">
        <f>'PD0201'!C15</f>
        <v>0</v>
      </c>
      <c r="J23" s="678">
        <f>'PD0201'!D15</f>
        <v>0</v>
      </c>
      <c r="K23" s="678">
        <f>'PD0201'!E15</f>
        <v>0</v>
      </c>
      <c r="L23" s="679">
        <f>'PD0201'!X15</f>
        <v>0</v>
      </c>
      <c r="M23" s="680">
        <f>'PD0201'!Y15</f>
        <v>1</v>
      </c>
      <c r="N23" s="681">
        <f>'PD0201'!Z15</f>
        <v>0.5</v>
      </c>
    </row>
    <row r="24" spans="1:14" ht="15.75" customHeight="1">
      <c r="A24" s="700" t="s">
        <v>294</v>
      </c>
      <c r="B24" s="701"/>
      <c r="C24" s="701"/>
      <c r="D24" s="701"/>
      <c r="E24" s="702"/>
      <c r="F24" s="759" t="str">
        <f>'PD0201'!A16</f>
        <v>D13S317</v>
      </c>
      <c r="G24" s="760"/>
      <c r="H24" s="678">
        <f>'PD0201'!B16</f>
        <v>0</v>
      </c>
      <c r="I24" s="678">
        <f>'PD0201'!C16</f>
        <v>0</v>
      </c>
      <c r="J24" s="678">
        <f>'PD0201'!D16</f>
        <v>0</v>
      </c>
      <c r="K24" s="678">
        <f>'PD0201'!E16</f>
        <v>0</v>
      </c>
      <c r="L24" s="679">
        <f>'PD0201'!X16</f>
        <v>0</v>
      </c>
      <c r="M24" s="680">
        <f>'PD0201'!Y16</f>
        <v>1</v>
      </c>
      <c r="N24" s="681">
        <f>'PD0201'!Z16</f>
        <v>0.5</v>
      </c>
    </row>
    <row r="25" spans="1:14" ht="15.75" customHeight="1">
      <c r="A25" s="700" t="s">
        <v>295</v>
      </c>
      <c r="B25" s="701"/>
      <c r="C25" s="701"/>
      <c r="D25" s="701"/>
      <c r="E25" s="702"/>
      <c r="F25" s="759" t="str">
        <f>'PD0201'!A17</f>
        <v>Penta_E</v>
      </c>
      <c r="G25" s="760"/>
      <c r="H25" s="678">
        <f>'PD0201'!B17</f>
        <v>0</v>
      </c>
      <c r="I25" s="678">
        <f>'PD0201'!C17</f>
        <v>0</v>
      </c>
      <c r="J25" s="678">
        <f>'PD0201'!D17</f>
        <v>0</v>
      </c>
      <c r="K25" s="678">
        <f>'PD0201'!E17</f>
        <v>0</v>
      </c>
      <c r="L25" s="679">
        <f>'PD0201'!X17</f>
        <v>0</v>
      </c>
      <c r="M25" s="680">
        <f>'PD0201'!Y17</f>
        <v>1</v>
      </c>
      <c r="N25" s="681">
        <f>'PD0201'!Z17</f>
        <v>0.5</v>
      </c>
    </row>
    <row r="26" spans="1:14" ht="15.75" customHeight="1">
      <c r="A26" s="700"/>
      <c r="B26" s="701"/>
      <c r="C26" s="701"/>
      <c r="D26" s="701"/>
      <c r="E26" s="702"/>
      <c r="F26" s="759" t="str">
        <f>'PD0201'!A18</f>
        <v>D16S539</v>
      </c>
      <c r="G26" s="760"/>
      <c r="H26" s="678">
        <f>'PD0201'!B18</f>
        <v>0</v>
      </c>
      <c r="I26" s="678">
        <f>'PD0201'!C18</f>
        <v>0</v>
      </c>
      <c r="J26" s="678">
        <f>'PD0201'!D18</f>
        <v>0</v>
      </c>
      <c r="K26" s="678">
        <f>'PD0201'!E18</f>
        <v>0</v>
      </c>
      <c r="L26" s="679">
        <f>'PD0201'!X18</f>
        <v>0</v>
      </c>
      <c r="M26" s="680">
        <f>'PD0201'!Y18</f>
        <v>1</v>
      </c>
      <c r="N26" s="681">
        <f>'PD0201'!Z18</f>
        <v>0.5</v>
      </c>
    </row>
    <row r="27" spans="1:14" ht="15.75" customHeight="1">
      <c r="A27" s="700"/>
      <c r="B27" s="701"/>
      <c r="C27" s="701"/>
      <c r="D27" s="701"/>
      <c r="E27" s="702"/>
      <c r="F27" s="759" t="str">
        <f>'PD0201'!A19</f>
        <v>D18S51</v>
      </c>
      <c r="G27" s="760"/>
      <c r="H27" s="678">
        <f>'PD0201'!B19</f>
        <v>0</v>
      </c>
      <c r="I27" s="678">
        <f>'PD0201'!C19</f>
        <v>0</v>
      </c>
      <c r="J27" s="678">
        <f>'PD0201'!D19</f>
        <v>0</v>
      </c>
      <c r="K27" s="678">
        <f>'PD0201'!E19</f>
        <v>0</v>
      </c>
      <c r="L27" s="679">
        <f>'PD0201'!X19</f>
        <v>0</v>
      </c>
      <c r="M27" s="680">
        <f>'PD0201'!Y19</f>
        <v>1</v>
      </c>
      <c r="N27" s="681">
        <f>'PD0201'!Z19</f>
        <v>0.5</v>
      </c>
    </row>
    <row r="28" spans="1:14" ht="15.75" customHeight="1" thickBot="1">
      <c r="A28" s="700"/>
      <c r="B28" s="701"/>
      <c r="C28" s="701"/>
      <c r="D28" s="701"/>
      <c r="E28" s="702"/>
      <c r="F28" s="759" t="str">
        <f>'PD0201'!A20</f>
        <v>D2S1338</v>
      </c>
      <c r="G28" s="760"/>
      <c r="H28" s="678">
        <f>'PD0201'!B20</f>
        <v>0</v>
      </c>
      <c r="I28" s="678">
        <f>'PD0201'!C20</f>
        <v>0</v>
      </c>
      <c r="J28" s="678">
        <f>'PD0201'!D20</f>
        <v>0</v>
      </c>
      <c r="K28" s="678">
        <f>'PD0201'!E20</f>
        <v>0</v>
      </c>
      <c r="L28" s="679">
        <f>'PD0201'!X20</f>
        <v>0</v>
      </c>
      <c r="M28" s="680">
        <f>'PD0201'!Y20</f>
        <v>1</v>
      </c>
      <c r="N28" s="681">
        <f>'PD0201'!Z20</f>
        <v>0.5</v>
      </c>
    </row>
    <row r="29" spans="1:14" ht="15.75" customHeight="1" thickTop="1" thickBot="1">
      <c r="A29" s="410" t="s">
        <v>300</v>
      </c>
      <c r="B29" s="411"/>
      <c r="C29" s="409"/>
      <c r="D29" s="409"/>
      <c r="E29" s="412"/>
      <c r="F29" s="759" t="str">
        <f>'PD0201'!A21</f>
        <v>CSF1PO</v>
      </c>
      <c r="G29" s="760"/>
      <c r="H29" s="678">
        <f>'PD0201'!B21</f>
        <v>0</v>
      </c>
      <c r="I29" s="678">
        <f>'PD0201'!C21</f>
        <v>0</v>
      </c>
      <c r="J29" s="678">
        <f>'PD0201'!D21</f>
        <v>0</v>
      </c>
      <c r="K29" s="678">
        <f>'PD0201'!E21</f>
        <v>0</v>
      </c>
      <c r="L29" s="679">
        <f>'PD0201'!X21</f>
        <v>0</v>
      </c>
      <c r="M29" s="680">
        <f>'PD0201'!Y21</f>
        <v>1</v>
      </c>
      <c r="N29" s="681">
        <f>'PD0201'!Z21</f>
        <v>0.5</v>
      </c>
    </row>
    <row r="30" spans="1:14" ht="15.75" customHeight="1" thickTop="1">
      <c r="A30" s="700" t="s">
        <v>348</v>
      </c>
      <c r="B30" s="701"/>
      <c r="C30" s="701"/>
      <c r="D30" s="701"/>
      <c r="E30" s="702"/>
      <c r="F30" s="759" t="str">
        <f>'PD0201'!A22</f>
        <v>Penta_D</v>
      </c>
      <c r="G30" s="760"/>
      <c r="H30" s="678">
        <f>'PD0201'!B22</f>
        <v>0</v>
      </c>
      <c r="I30" s="678">
        <f>'PD0201'!C22</f>
        <v>0</v>
      </c>
      <c r="J30" s="678">
        <f>'PD0201'!D22</f>
        <v>0</v>
      </c>
      <c r="K30" s="678">
        <f>'PD0201'!E22</f>
        <v>0</v>
      </c>
      <c r="L30" s="679">
        <f>'PD0201'!X22</f>
        <v>0</v>
      </c>
      <c r="M30" s="680">
        <f>'PD0201'!Y22</f>
        <v>1</v>
      </c>
      <c r="N30" s="681">
        <f>'PD0201'!Z22</f>
        <v>0.5</v>
      </c>
    </row>
    <row r="31" spans="1:14" ht="15.75" customHeight="1">
      <c r="A31" s="700"/>
      <c r="B31" s="701"/>
      <c r="C31" s="701"/>
      <c r="D31" s="701"/>
      <c r="E31" s="702"/>
      <c r="F31" s="759" t="str">
        <f>'PD0201'!A23</f>
        <v>TH01</v>
      </c>
      <c r="G31" s="760"/>
      <c r="H31" s="678">
        <f>'PD0201'!B23</f>
        <v>0</v>
      </c>
      <c r="I31" s="678">
        <f>'PD0201'!C23</f>
        <v>0</v>
      </c>
      <c r="J31" s="678">
        <f>'PD0201'!D23</f>
        <v>0</v>
      </c>
      <c r="K31" s="678">
        <f>'PD0201'!E23</f>
        <v>0</v>
      </c>
      <c r="L31" s="679">
        <f>'PD0201'!X23</f>
        <v>0</v>
      </c>
      <c r="M31" s="680">
        <f>'PD0201'!Y23</f>
        <v>1</v>
      </c>
      <c r="N31" s="681">
        <f>'PD0201'!Z23</f>
        <v>0.5</v>
      </c>
    </row>
    <row r="32" spans="1:14" ht="15.75" customHeight="1">
      <c r="A32" s="700"/>
      <c r="B32" s="701"/>
      <c r="C32" s="701"/>
      <c r="D32" s="701"/>
      <c r="E32" s="702"/>
      <c r="F32" s="759" t="str">
        <f>'PD0201'!A24</f>
        <v>vWA</v>
      </c>
      <c r="G32" s="760"/>
      <c r="H32" s="678">
        <f>'PD0201'!B24</f>
        <v>0</v>
      </c>
      <c r="I32" s="678">
        <f>'PD0201'!C24</f>
        <v>0</v>
      </c>
      <c r="J32" s="678">
        <f>'PD0201'!D24</f>
        <v>0</v>
      </c>
      <c r="K32" s="678">
        <f>'PD0201'!E24</f>
        <v>0</v>
      </c>
      <c r="L32" s="679">
        <f>'PD0201'!X24</f>
        <v>0</v>
      </c>
      <c r="M32" s="680">
        <f>'PD0201'!Y24</f>
        <v>1</v>
      </c>
      <c r="N32" s="681">
        <f>'PD0201'!Z24</f>
        <v>0.5</v>
      </c>
    </row>
    <row r="33" spans="1:14" ht="15.75" customHeight="1">
      <c r="A33" s="700"/>
      <c r="B33" s="701"/>
      <c r="C33" s="701"/>
      <c r="D33" s="701"/>
      <c r="E33" s="702"/>
      <c r="F33" s="759" t="str">
        <f>'PD0201'!A25</f>
        <v>D21S11</v>
      </c>
      <c r="G33" s="760"/>
      <c r="H33" s="678">
        <f>'PD0201'!B25</f>
        <v>0</v>
      </c>
      <c r="I33" s="678">
        <f>'PD0201'!C25</f>
        <v>0</v>
      </c>
      <c r="J33" s="678">
        <f>'PD0201'!D25</f>
        <v>0</v>
      </c>
      <c r="K33" s="678">
        <f>'PD0201'!E25</f>
        <v>0</v>
      </c>
      <c r="L33" s="679">
        <f>'PD0201'!X25</f>
        <v>0</v>
      </c>
      <c r="M33" s="680">
        <f>'PD0201'!Y25</f>
        <v>1</v>
      </c>
      <c r="N33" s="681">
        <f>'PD0201'!Z25</f>
        <v>0.5</v>
      </c>
    </row>
    <row r="34" spans="1:14" ht="15.75" customHeight="1">
      <c r="A34" s="700"/>
      <c r="B34" s="701"/>
      <c r="C34" s="701"/>
      <c r="D34" s="701"/>
      <c r="E34" s="702"/>
      <c r="F34" s="759" t="str">
        <f>'PD0201'!A26</f>
        <v>D7S820</v>
      </c>
      <c r="G34" s="760"/>
      <c r="H34" s="678">
        <f>'PD0201'!B26</f>
        <v>0</v>
      </c>
      <c r="I34" s="678">
        <f>'PD0201'!C26</f>
        <v>0</v>
      </c>
      <c r="J34" s="678">
        <f>'PD0201'!D26</f>
        <v>0</v>
      </c>
      <c r="K34" s="678">
        <f>'PD0201'!E26</f>
        <v>0</v>
      </c>
      <c r="L34" s="679">
        <f>'PD0201'!X26</f>
        <v>0</v>
      </c>
      <c r="M34" s="680">
        <f>'PD0201'!Y26</f>
        <v>1</v>
      </c>
      <c r="N34" s="681">
        <f>'PD0201'!Z26</f>
        <v>0.5</v>
      </c>
    </row>
    <row r="35" spans="1:14" ht="15.75" customHeight="1">
      <c r="A35" s="700"/>
      <c r="B35" s="701"/>
      <c r="C35" s="701"/>
      <c r="D35" s="701"/>
      <c r="E35" s="702"/>
      <c r="F35" s="759" t="str">
        <f>'PD0201'!A27</f>
        <v>D5S818</v>
      </c>
      <c r="G35" s="760"/>
      <c r="H35" s="678">
        <f>'PD0201'!B27</f>
        <v>0</v>
      </c>
      <c r="I35" s="678">
        <f>'PD0201'!C27</f>
        <v>0</v>
      </c>
      <c r="J35" s="678">
        <f>'PD0201'!D27</f>
        <v>0</v>
      </c>
      <c r="K35" s="678">
        <f>'PD0201'!E27</f>
        <v>0</v>
      </c>
      <c r="L35" s="679">
        <f>'PD0201'!X27</f>
        <v>0</v>
      </c>
      <c r="M35" s="680">
        <f>'PD0201'!Y27</f>
        <v>1</v>
      </c>
      <c r="N35" s="681">
        <f>'PD0201'!Z27</f>
        <v>0.5</v>
      </c>
    </row>
    <row r="36" spans="1:14" ht="15.75" customHeight="1" thickBot="1">
      <c r="A36" s="700"/>
      <c r="B36" s="701"/>
      <c r="C36" s="701"/>
      <c r="D36" s="701"/>
      <c r="E36" s="702"/>
      <c r="F36" s="759" t="str">
        <f>'PD0201'!A28</f>
        <v>TPOX</v>
      </c>
      <c r="G36" s="760"/>
      <c r="H36" s="678">
        <f>'PD0201'!B28</f>
        <v>0</v>
      </c>
      <c r="I36" s="678">
        <f>'PD0201'!C28</f>
        <v>0</v>
      </c>
      <c r="J36" s="678">
        <f>'PD0201'!D28</f>
        <v>0</v>
      </c>
      <c r="K36" s="678">
        <f>'PD0201'!E28</f>
        <v>0</v>
      </c>
      <c r="L36" s="679">
        <f>'PD0201'!X28</f>
        <v>0</v>
      </c>
      <c r="M36" s="680">
        <f>'PD0201'!Y28</f>
        <v>1</v>
      </c>
      <c r="N36" s="681">
        <f>'PD0201'!Z28</f>
        <v>0.5</v>
      </c>
    </row>
    <row r="37" spans="1:14" ht="15.75" customHeight="1" thickTop="1" thickBot="1">
      <c r="A37" s="413" t="s">
        <v>301</v>
      </c>
      <c r="B37" s="409"/>
      <c r="C37" s="409"/>
      <c r="D37" s="409"/>
      <c r="E37" s="412"/>
      <c r="F37" s="759" t="str">
        <f>'PD0201'!A29</f>
        <v>D8S1179</v>
      </c>
      <c r="G37" s="760"/>
      <c r="H37" s="678">
        <f>'PD0201'!B29</f>
        <v>0</v>
      </c>
      <c r="I37" s="678">
        <f>'PD0201'!C29</f>
        <v>0</v>
      </c>
      <c r="J37" s="678">
        <f>'PD0201'!D29</f>
        <v>0</v>
      </c>
      <c r="K37" s="678">
        <f>'PD0201'!E29</f>
        <v>0</v>
      </c>
      <c r="L37" s="679">
        <f>'PD0201'!X29</f>
        <v>0</v>
      </c>
      <c r="M37" s="680">
        <f>'PD0201'!Y29</f>
        <v>1</v>
      </c>
      <c r="N37" s="681">
        <f>'PD0201'!Z29</f>
        <v>0.5</v>
      </c>
    </row>
    <row r="38" spans="1:14" ht="15.75" customHeight="1" thickTop="1">
      <c r="A38" s="700"/>
      <c r="B38" s="701"/>
      <c r="C38" s="701"/>
      <c r="D38" s="701"/>
      <c r="E38" s="702"/>
      <c r="F38" s="759" t="str">
        <f>'PD0201'!A30</f>
        <v>D12S391</v>
      </c>
      <c r="G38" s="760"/>
      <c r="H38" s="678">
        <f>'PD0201'!B30</f>
        <v>0</v>
      </c>
      <c r="I38" s="678">
        <f>'PD0201'!C30</f>
        <v>0</v>
      </c>
      <c r="J38" s="678">
        <f>'PD0201'!D30</f>
        <v>0</v>
      </c>
      <c r="K38" s="678">
        <f>'PD0201'!E30</f>
        <v>0</v>
      </c>
      <c r="L38" s="679">
        <f>'PD0201'!X30</f>
        <v>0</v>
      </c>
      <c r="M38" s="680">
        <f>'PD0201'!Y30</f>
        <v>1</v>
      </c>
      <c r="N38" s="681">
        <f>'PD0201'!Z30</f>
        <v>0.5</v>
      </c>
    </row>
    <row r="39" spans="1:14" ht="15.75" customHeight="1">
      <c r="A39" s="703"/>
      <c r="B39" s="704"/>
      <c r="C39" s="704"/>
      <c r="D39" s="704"/>
      <c r="E39" s="705"/>
      <c r="F39" s="759" t="str">
        <f>'PD0201'!A31</f>
        <v>D19S433</v>
      </c>
      <c r="G39" s="760"/>
      <c r="H39" s="678">
        <f>'PD0201'!B31</f>
        <v>0</v>
      </c>
      <c r="I39" s="678">
        <f>'PD0201'!C31</f>
        <v>0</v>
      </c>
      <c r="J39" s="678">
        <f>'PD0201'!D31</f>
        <v>0</v>
      </c>
      <c r="K39" s="678">
        <f>'PD0201'!E31</f>
        <v>0</v>
      </c>
      <c r="L39" s="679">
        <f>'PD0201'!X31</f>
        <v>0</v>
      </c>
      <c r="M39" s="680">
        <f>'PD0201'!Y31</f>
        <v>1</v>
      </c>
      <c r="N39" s="681">
        <f>'PD0201'!Z31</f>
        <v>0.5</v>
      </c>
    </row>
    <row r="40" spans="1:14" ht="15.75" customHeight="1">
      <c r="A40" s="700"/>
      <c r="B40" s="701"/>
      <c r="C40" s="701"/>
      <c r="D40" s="701"/>
      <c r="E40" s="702"/>
      <c r="F40" s="759" t="str">
        <f>'PD0201'!A32</f>
        <v>FGA</v>
      </c>
      <c r="G40" s="760"/>
      <c r="H40" s="678">
        <f>'PD0201'!B32</f>
        <v>0</v>
      </c>
      <c r="I40" s="678">
        <f>'PD0201'!C32</f>
        <v>0</v>
      </c>
      <c r="J40" s="678">
        <f>'PD0201'!D32</f>
        <v>0</v>
      </c>
      <c r="K40" s="678">
        <f>'PD0201'!E32</f>
        <v>0</v>
      </c>
      <c r="L40" s="679">
        <f>'PD0201'!X32</f>
        <v>0</v>
      </c>
      <c r="M40" s="680">
        <f>'PD0201'!Y32</f>
        <v>1</v>
      </c>
      <c r="N40" s="681">
        <f>'PD0201'!Z32</f>
        <v>0.5</v>
      </c>
    </row>
    <row r="41" spans="1:14" ht="15.75" customHeight="1" thickBot="1">
      <c r="A41" s="700" t="s">
        <v>296</v>
      </c>
      <c r="B41" s="701"/>
      <c r="C41" s="701"/>
      <c r="D41" s="701"/>
      <c r="E41" s="702"/>
      <c r="F41" s="765" t="str">
        <f>'PD0201'!A33</f>
        <v>D22S1045</v>
      </c>
      <c r="G41" s="766"/>
      <c r="H41" s="682">
        <f>'PD0201'!B33</f>
        <v>0</v>
      </c>
      <c r="I41" s="682">
        <f>'PD0201'!C33</f>
        <v>0</v>
      </c>
      <c r="J41" s="682">
        <f>'PD0201'!D33</f>
        <v>0</v>
      </c>
      <c r="K41" s="682">
        <f>'PD0201'!E33</f>
        <v>0</v>
      </c>
      <c r="L41" s="683">
        <f>'PD0201'!X33</f>
        <v>0</v>
      </c>
      <c r="M41" s="684">
        <f>'PD0201'!Y33</f>
        <v>1</v>
      </c>
      <c r="N41" s="685">
        <f>'PD0201'!Z33</f>
        <v>0.5</v>
      </c>
    </row>
    <row r="42" spans="1:14" ht="15.75" customHeight="1" thickTop="1">
      <c r="A42" s="700"/>
      <c r="B42" s="701"/>
      <c r="C42" s="701"/>
      <c r="D42" s="701"/>
      <c r="E42" s="702"/>
      <c r="F42" s="398"/>
      <c r="G42" s="86"/>
      <c r="H42" s="636"/>
      <c r="I42" s="636"/>
      <c r="J42" s="86"/>
      <c r="K42" s="404"/>
      <c r="L42" s="404" t="str">
        <f>'PD0201'!$X$46</f>
        <v>ÍNDICE DE PATERNIDADE ACUMULADO:</v>
      </c>
      <c r="M42" s="761">
        <f>'PD0201'!Y46</f>
        <v>1</v>
      </c>
      <c r="N42" s="762"/>
    </row>
    <row r="43" spans="1:14" ht="15.75" customHeight="1">
      <c r="A43" s="700" t="s">
        <v>297</v>
      </c>
      <c r="B43" s="701"/>
      <c r="C43" s="701"/>
      <c r="D43" s="701"/>
      <c r="E43" s="702"/>
      <c r="F43" s="398"/>
      <c r="G43" s="86"/>
      <c r="H43" s="636"/>
      <c r="I43" s="636"/>
      <c r="J43" s="86"/>
      <c r="K43" s="404"/>
      <c r="L43" s="635" t="str">
        <f>'PD0201'!$X$47</f>
        <v>PROBABILIDADE DE PATERNIDADE:</v>
      </c>
      <c r="M43" s="763">
        <f>'PD0201'!Y47</f>
        <v>0.5</v>
      </c>
      <c r="N43" s="764"/>
    </row>
    <row r="44" spans="1:14" ht="15.75" customHeight="1">
      <c r="A44" s="700"/>
      <c r="B44" s="701"/>
      <c r="C44" s="701"/>
      <c r="D44" s="701"/>
      <c r="E44" s="702"/>
      <c r="F44" s="398"/>
      <c r="G44" s="86"/>
      <c r="H44" s="636"/>
      <c r="I44" s="636"/>
      <c r="J44" s="86"/>
      <c r="K44" s="404"/>
      <c r="L44" s="404" t="str">
        <f>'PD0201'!$X$48</f>
        <v>CAP. DE EFICIÊNCIA DOS MARCADORES:</v>
      </c>
      <c r="M44" s="763">
        <f>'PD0201'!Y48</f>
        <v>1</v>
      </c>
      <c r="N44" s="764"/>
    </row>
    <row r="45" spans="1:14" ht="15.75" customHeight="1" thickBot="1">
      <c r="A45" s="739"/>
      <c r="B45" s="740"/>
      <c r="C45" s="740"/>
      <c r="D45" s="740"/>
      <c r="E45" s="741"/>
      <c r="F45" s="316"/>
      <c r="G45" s="637"/>
      <c r="H45" s="403" t="str">
        <f>'PD0201'!$X$49</f>
        <v>RESULTADO:</v>
      </c>
      <c r="I45" s="737" t="str">
        <f>'PD0201'!$Y$49</f>
        <v>VÍNCULO BIOLOGICAMENTE PROVADO</v>
      </c>
      <c r="J45" s="737"/>
      <c r="K45" s="737"/>
      <c r="L45" s="737"/>
      <c r="M45" s="737"/>
      <c r="N45" s="738"/>
    </row>
    <row r="46" spans="1:14" ht="13.8" thickTop="1">
      <c r="A46" s="317"/>
      <c r="N46" s="391"/>
    </row>
    <row r="47" spans="1:14" hidden="1">
      <c r="A47" s="317"/>
      <c r="N47" s="391"/>
    </row>
    <row r="48" spans="1:14">
      <c r="A48" s="767"/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9"/>
    </row>
    <row r="49" spans="1:14">
      <c r="A49" s="692"/>
      <c r="B49" s="694"/>
      <c r="C49" s="694"/>
      <c r="D49" s="694"/>
      <c r="E49" s="694"/>
      <c r="F49" s="694"/>
      <c r="G49" s="694"/>
      <c r="H49" s="694"/>
      <c r="I49" s="694"/>
      <c r="J49" s="694"/>
      <c r="K49" s="694"/>
      <c r="L49" s="694"/>
      <c r="M49" s="694"/>
      <c r="N49" s="693"/>
    </row>
    <row r="50" spans="1:14" hidden="1">
      <c r="A50" s="692"/>
      <c r="B50" s="694"/>
      <c r="C50" s="694"/>
      <c r="D50" s="694"/>
      <c r="E50" s="694"/>
      <c r="F50" s="694"/>
      <c r="G50" s="694"/>
      <c r="H50" s="694"/>
      <c r="I50" s="694"/>
      <c r="J50" s="694"/>
      <c r="K50" s="694"/>
      <c r="L50" s="694"/>
      <c r="M50" s="694"/>
      <c r="N50" s="693"/>
    </row>
    <row r="51" spans="1:14">
      <c r="A51" s="692"/>
      <c r="B51" s="694"/>
      <c r="C51" s="694"/>
      <c r="D51" s="694"/>
      <c r="E51" s="694"/>
      <c r="F51" s="694"/>
      <c r="G51" s="694"/>
      <c r="H51" s="694"/>
      <c r="I51" s="694"/>
      <c r="J51" s="694"/>
      <c r="K51" s="694"/>
      <c r="L51" s="694"/>
      <c r="M51" s="694"/>
      <c r="N51" s="693"/>
    </row>
    <row r="52" spans="1:14" ht="9.9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4"/>
    </row>
    <row r="53" spans="1:14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7"/>
    </row>
    <row r="54" spans="1:14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6"/>
    </row>
    <row r="55" spans="1:14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6"/>
    </row>
    <row r="56" spans="1:14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6"/>
    </row>
    <row r="57" spans="1:14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6"/>
    </row>
    <row r="58" spans="1:14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4"/>
    </row>
    <row r="59" spans="1:14" ht="13.8" hidden="1" thickTop="1">
      <c r="A59" s="317"/>
      <c r="N59" s="391"/>
    </row>
    <row r="60" spans="1:14" ht="13.8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99"/>
    </row>
    <row r="61" spans="1:14" ht="13.8" thickTop="1"/>
    <row r="63" spans="1:14">
      <c r="C63" s="751"/>
      <c r="D63" s="751"/>
      <c r="E63" s="751"/>
      <c r="F63" s="751"/>
      <c r="G63" s="751"/>
      <c r="H63" s="751"/>
      <c r="I63" s="751"/>
      <c r="J63" s="751"/>
      <c r="K63" s="751"/>
      <c r="L63" s="322"/>
      <c r="M63" s="322"/>
      <c r="N63" s="322"/>
    </row>
    <row r="64" spans="1:14">
      <c r="A64" s="392"/>
      <c r="B64" s="392"/>
      <c r="C64" s="725"/>
      <c r="D64" s="725"/>
      <c r="E64" s="725"/>
      <c r="F64" s="725"/>
      <c r="G64" s="725"/>
      <c r="H64" s="725"/>
      <c r="I64" s="725"/>
      <c r="J64" s="725"/>
      <c r="K64" s="725"/>
      <c r="L64" s="322"/>
      <c r="M64" s="322"/>
      <c r="N64" s="322"/>
    </row>
    <row r="65" spans="1:14">
      <c r="A65" s="392"/>
      <c r="B65" s="392"/>
      <c r="C65" s="725"/>
      <c r="D65" s="725"/>
      <c r="E65" s="725"/>
      <c r="F65" s="725"/>
      <c r="G65" s="725"/>
      <c r="H65" s="725"/>
      <c r="I65" s="725"/>
      <c r="J65" s="725"/>
      <c r="K65" s="725"/>
      <c r="L65" s="725"/>
      <c r="M65" s="725"/>
      <c r="N65" s="725"/>
    </row>
    <row r="66" spans="1:14">
      <c r="A66" s="392"/>
      <c r="B66" s="392"/>
      <c r="C66" s="725"/>
      <c r="D66" s="725"/>
      <c r="E66" s="725"/>
      <c r="F66" s="725"/>
      <c r="G66" s="725"/>
      <c r="H66" s="725"/>
      <c r="I66" s="725"/>
      <c r="J66" s="725"/>
      <c r="K66" s="725"/>
      <c r="L66" s="725"/>
      <c r="M66" s="725"/>
      <c r="N66" s="725"/>
    </row>
    <row r="67" spans="1:14">
      <c r="A67" s="392"/>
      <c r="B67" s="392"/>
      <c r="C67" s="725"/>
      <c r="D67" s="725"/>
      <c r="E67" s="725"/>
      <c r="F67" s="725"/>
      <c r="G67" s="725"/>
      <c r="H67" s="725"/>
      <c r="I67" s="725"/>
      <c r="J67" s="725"/>
      <c r="K67" s="725"/>
      <c r="L67" s="725"/>
      <c r="M67" s="725"/>
      <c r="N67" s="725"/>
    </row>
    <row r="68" spans="1:14">
      <c r="A68" s="392"/>
      <c r="B68" s="392"/>
      <c r="C68" s="725"/>
      <c r="D68" s="725"/>
      <c r="E68" s="725"/>
      <c r="F68" s="725"/>
      <c r="G68" s="725"/>
      <c r="H68" s="725"/>
      <c r="I68" s="725"/>
      <c r="J68" s="725"/>
      <c r="K68" s="725"/>
      <c r="L68" s="725"/>
      <c r="M68" s="725"/>
      <c r="N68" s="725"/>
    </row>
    <row r="69" spans="1:14">
      <c r="C69" s="725"/>
      <c r="D69" s="725"/>
      <c r="E69" s="725"/>
      <c r="F69" s="725"/>
      <c r="G69" s="725"/>
      <c r="H69" s="725"/>
      <c r="I69" s="725"/>
      <c r="J69" s="725"/>
      <c r="K69" s="725"/>
      <c r="L69" s="725"/>
      <c r="M69" s="725"/>
      <c r="N69" s="725"/>
    </row>
  </sheetData>
  <mergeCells count="79">
    <mergeCell ref="A48:N48"/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  <mergeCell ref="K15:N15"/>
    <mergeCell ref="A20:E20"/>
    <mergeCell ref="A21:E21"/>
    <mergeCell ref="A22:E22"/>
    <mergeCell ref="F20:G20"/>
    <mergeCell ref="F21:G21"/>
    <mergeCell ref="F22:G22"/>
    <mergeCell ref="J19:K19"/>
    <mergeCell ref="C68:N68"/>
    <mergeCell ref="A52:N52"/>
    <mergeCell ref="A53:N53"/>
    <mergeCell ref="A54:N54"/>
    <mergeCell ref="A55:N55"/>
    <mergeCell ref="A56:N56"/>
    <mergeCell ref="A57:N57"/>
    <mergeCell ref="C65:N65"/>
    <mergeCell ref="C66:N66"/>
    <mergeCell ref="C67:N67"/>
    <mergeCell ref="A58:N58"/>
    <mergeCell ref="C63:K63"/>
    <mergeCell ref="C64:K64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I45:N45"/>
    <mergeCell ref="F35:G35"/>
    <mergeCell ref="F36:G36"/>
    <mergeCell ref="M42:N42"/>
    <mergeCell ref="M43:N43"/>
    <mergeCell ref="M44:N44"/>
    <mergeCell ref="F41:G41"/>
    <mergeCell ref="F29:G29"/>
    <mergeCell ref="F39:G39"/>
    <mergeCell ref="F37:G37"/>
    <mergeCell ref="F38:G38"/>
    <mergeCell ref="F34:G34"/>
    <mergeCell ref="C69:N69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9"/>
  <sheetViews>
    <sheetView tabSelected="1" topLeftCell="A54" zoomScale="160" zoomScaleNormal="160" workbookViewId="0">
      <selection activeCell="D72" sqref="D72"/>
    </sheetView>
  </sheetViews>
  <sheetFormatPr defaultRowHeight="13.2"/>
  <cols>
    <col min="1" max="1" width="8.88671875" customWidth="1"/>
    <col min="2" max="5" width="8.6640625" customWidth="1"/>
    <col min="6" max="6" width="6.88671875" customWidth="1"/>
    <col min="7" max="14" width="3.44140625" customWidth="1"/>
    <col min="15" max="17" width="5" customWidth="1"/>
    <col min="19" max="19" width="9.109375" hidden="1" customWidth="1"/>
    <col min="20" max="21" width="9.109375" customWidth="1"/>
  </cols>
  <sheetData>
    <row r="1" spans="1:19" ht="13.8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3"/>
      <c r="S1" t="s">
        <v>347</v>
      </c>
    </row>
    <row r="2" spans="1:19">
      <c r="A2" s="386"/>
      <c r="B2" s="390"/>
      <c r="C2" s="390"/>
      <c r="D2" s="390"/>
      <c r="E2" s="387"/>
      <c r="F2" s="706"/>
      <c r="G2" s="706"/>
      <c r="H2" s="706"/>
      <c r="I2" s="706"/>
      <c r="J2" s="706"/>
      <c r="K2" s="706"/>
      <c r="L2" s="706"/>
      <c r="M2" s="706"/>
      <c r="N2" s="706"/>
      <c r="O2" s="706"/>
      <c r="P2" s="706"/>
      <c r="Q2" s="707"/>
    </row>
    <row r="3" spans="1:19">
      <c r="A3" s="386"/>
      <c r="B3" s="390"/>
      <c r="C3" s="390"/>
      <c r="D3" s="390"/>
      <c r="E3" s="400"/>
      <c r="F3" s="656"/>
      <c r="G3" s="656"/>
      <c r="H3" s="656"/>
      <c r="I3" s="655"/>
      <c r="J3" s="773"/>
      <c r="K3" s="773"/>
      <c r="L3" s="773"/>
      <c r="M3" s="773"/>
      <c r="N3" s="773"/>
      <c r="O3" s="773"/>
      <c r="P3" s="773"/>
      <c r="Q3" s="774"/>
    </row>
    <row r="4" spans="1:19" ht="12.75" customHeight="1">
      <c r="A4" s="386"/>
      <c r="B4" s="390"/>
      <c r="C4" s="390"/>
      <c r="D4" s="390"/>
      <c r="E4" s="713"/>
      <c r="F4" s="713"/>
      <c r="G4" s="713"/>
      <c r="H4" s="713"/>
      <c r="I4" s="713"/>
      <c r="J4" s="713"/>
      <c r="K4" s="713"/>
      <c r="L4" s="713"/>
      <c r="M4" s="717"/>
      <c r="N4" s="717"/>
      <c r="O4" s="717"/>
      <c r="P4" s="717"/>
      <c r="Q4" s="718"/>
    </row>
    <row r="5" spans="1:19" ht="12.75" customHeight="1">
      <c r="A5" s="386"/>
      <c r="B5" s="390"/>
      <c r="C5" s="390"/>
      <c r="D5" s="390"/>
      <c r="E5" s="713"/>
      <c r="F5" s="713"/>
      <c r="G5" s="713"/>
      <c r="H5" s="713"/>
      <c r="I5" s="713"/>
      <c r="J5" s="713"/>
      <c r="K5" s="713"/>
      <c r="L5" s="713"/>
      <c r="M5" s="717"/>
      <c r="N5" s="717"/>
      <c r="O5" s="717"/>
      <c r="P5" s="717"/>
      <c r="Q5" s="718"/>
    </row>
    <row r="6" spans="1:19" ht="12.75" customHeight="1">
      <c r="A6" s="386"/>
      <c r="B6" s="390"/>
      <c r="C6" s="390"/>
      <c r="D6" s="390"/>
      <c r="E6" s="713"/>
      <c r="F6" s="713"/>
      <c r="G6" s="713"/>
      <c r="H6" s="713"/>
      <c r="I6" s="713"/>
      <c r="J6" s="713"/>
      <c r="K6" s="713"/>
      <c r="L6" s="713"/>
      <c r="M6" s="717"/>
      <c r="N6" s="717"/>
      <c r="O6" s="717"/>
      <c r="P6" s="717"/>
      <c r="Q6" s="718"/>
    </row>
    <row r="7" spans="1:19" ht="12.75" customHeight="1">
      <c r="A7" s="386"/>
      <c r="B7" s="390"/>
      <c r="C7" s="390"/>
      <c r="D7" s="390"/>
      <c r="E7" s="713"/>
      <c r="F7" s="713"/>
      <c r="G7" s="713"/>
      <c r="H7" s="713"/>
      <c r="I7" s="713"/>
      <c r="J7" s="713"/>
      <c r="K7" s="713"/>
      <c r="L7" s="713"/>
      <c r="M7" s="717"/>
      <c r="N7" s="717"/>
      <c r="O7" s="717"/>
      <c r="P7" s="717"/>
      <c r="Q7" s="718"/>
    </row>
    <row r="8" spans="1:19" ht="12.75" customHeight="1">
      <c r="A8" s="386"/>
      <c r="B8" s="390"/>
      <c r="C8" s="390"/>
      <c r="D8" s="390"/>
      <c r="E8" s="713"/>
      <c r="F8" s="713"/>
      <c r="G8" s="713"/>
      <c r="H8" s="713"/>
      <c r="I8" s="713"/>
      <c r="J8" s="713"/>
      <c r="K8" s="713"/>
      <c r="L8" s="713"/>
      <c r="M8" s="717"/>
      <c r="N8" s="717"/>
      <c r="O8" s="717"/>
      <c r="P8" s="717"/>
      <c r="Q8" s="718"/>
    </row>
    <row r="9" spans="1:19" ht="12.75" customHeight="1">
      <c r="A9" s="386"/>
      <c r="B9" s="390"/>
      <c r="C9" s="390"/>
      <c r="D9" s="390"/>
      <c r="E9" s="713"/>
      <c r="F9" s="713"/>
      <c r="G9" s="713"/>
      <c r="H9" s="713"/>
      <c r="I9" s="713"/>
      <c r="J9" s="713"/>
      <c r="K9" s="713"/>
      <c r="L9" s="713"/>
      <c r="M9" s="717"/>
      <c r="N9" s="717"/>
      <c r="O9" s="717"/>
      <c r="P9" s="717"/>
      <c r="Q9" s="718"/>
    </row>
    <row r="10" spans="1:19" ht="12.75" customHeight="1" thickBot="1">
      <c r="A10" s="721" t="s">
        <v>349</v>
      </c>
      <c r="B10" s="722"/>
      <c r="C10" s="722"/>
      <c r="D10" s="722"/>
      <c r="E10" s="713"/>
      <c r="F10" s="713"/>
      <c r="G10" s="713"/>
      <c r="H10" s="713"/>
      <c r="I10" s="713"/>
      <c r="J10" s="713"/>
      <c r="K10" s="713"/>
      <c r="L10" s="713"/>
      <c r="M10" s="719"/>
      <c r="N10" s="719"/>
      <c r="O10" s="719"/>
      <c r="P10" s="719"/>
      <c r="Q10" s="720"/>
    </row>
    <row r="11" spans="1:19" ht="14.4" thickTop="1" thickBot="1">
      <c r="A11" s="714" t="s">
        <v>298</v>
      </c>
      <c r="B11" s="715"/>
      <c r="C11" s="715"/>
      <c r="D11" s="715"/>
      <c r="E11" s="715"/>
      <c r="F11" s="715"/>
      <c r="G11" s="715"/>
      <c r="H11" s="715"/>
      <c r="I11" s="715"/>
      <c r="J11" s="715"/>
      <c r="K11" s="715"/>
      <c r="L11" s="715"/>
      <c r="M11" s="715"/>
      <c r="N11" s="715"/>
      <c r="O11" s="715"/>
      <c r="P11" s="715"/>
      <c r="Q11" s="716"/>
    </row>
    <row r="12" spans="1:19" ht="13.8" thickTop="1">
      <c r="A12" s="309" t="s">
        <v>250</v>
      </c>
      <c r="B12" s="780"/>
      <c r="C12" s="780"/>
      <c r="D12" s="780"/>
      <c r="E12" s="780"/>
      <c r="F12" s="780"/>
      <c r="G12" s="780"/>
      <c r="H12" s="780"/>
      <c r="I12" s="651"/>
      <c r="J12" s="652" t="s">
        <v>357</v>
      </c>
      <c r="K12" s="728"/>
      <c r="L12" s="728"/>
      <c r="M12" s="728"/>
      <c r="N12" s="728"/>
      <c r="O12" s="728"/>
      <c r="P12" s="728"/>
      <c r="Q12" s="729"/>
    </row>
    <row r="13" spans="1:19">
      <c r="A13" s="407" t="s">
        <v>356</v>
      </c>
      <c r="B13" s="781"/>
      <c r="C13" s="781"/>
      <c r="D13" s="781"/>
      <c r="E13" s="781"/>
      <c r="F13" s="781"/>
      <c r="G13" s="781"/>
      <c r="H13" s="781"/>
      <c r="I13" s="392"/>
      <c r="J13" s="321" t="s">
        <v>362</v>
      </c>
      <c r="K13" s="392"/>
      <c r="L13" s="392"/>
      <c r="M13" s="392"/>
      <c r="N13" s="392"/>
      <c r="O13" s="392"/>
      <c r="P13" s="392"/>
      <c r="Q13" s="388"/>
    </row>
    <row r="14" spans="1:19">
      <c r="A14" s="407"/>
      <c r="B14" s="782"/>
      <c r="C14" s="782"/>
      <c r="D14" s="782"/>
      <c r="E14" s="782"/>
      <c r="F14" s="782"/>
      <c r="G14" s="782"/>
      <c r="H14" s="782"/>
      <c r="I14" s="484"/>
      <c r="J14" s="321" t="s">
        <v>251</v>
      </c>
      <c r="K14" s="755"/>
      <c r="L14" s="755"/>
      <c r="M14" s="755"/>
      <c r="N14" s="755"/>
      <c r="O14" s="755"/>
      <c r="P14" s="755"/>
      <c r="Q14" s="756"/>
    </row>
    <row r="15" spans="1:19">
      <c r="A15" s="407"/>
      <c r="B15" s="782"/>
      <c r="C15" s="782"/>
      <c r="D15" s="782"/>
      <c r="E15" s="782"/>
      <c r="F15" s="782"/>
      <c r="G15" s="782"/>
      <c r="H15" s="782"/>
      <c r="I15" s="406"/>
      <c r="J15" s="321" t="s">
        <v>360</v>
      </c>
      <c r="K15" s="755"/>
      <c r="L15" s="755"/>
      <c r="M15" s="755"/>
      <c r="N15" s="755"/>
      <c r="O15" s="755"/>
      <c r="P15" s="392"/>
      <c r="Q15" s="388"/>
    </row>
    <row r="16" spans="1:19">
      <c r="A16" s="407"/>
      <c r="B16" s="782"/>
      <c r="C16" s="782"/>
      <c r="D16" s="782"/>
      <c r="E16" s="782"/>
      <c r="F16" s="782"/>
      <c r="G16" s="782"/>
      <c r="H16" s="782"/>
      <c r="I16" s="406"/>
      <c r="J16" s="405" t="s">
        <v>291</v>
      </c>
      <c r="K16" s="406"/>
      <c r="L16" s="406"/>
      <c r="M16" s="408"/>
      <c r="N16" s="395"/>
      <c r="O16" s="395"/>
      <c r="P16" s="392"/>
      <c r="Q16" s="388"/>
    </row>
    <row r="17" spans="1:17" ht="13.8" thickBot="1">
      <c r="A17" s="309" t="str">
        <f>IF(B17="","","Sup. Pai2:")</f>
        <v/>
      </c>
      <c r="B17" s="783"/>
      <c r="C17" s="783"/>
      <c r="D17" s="783"/>
      <c r="E17" s="783"/>
      <c r="F17" s="783"/>
      <c r="G17" s="783"/>
      <c r="H17" s="783"/>
      <c r="I17" s="393"/>
      <c r="J17" s="393"/>
      <c r="K17" s="659"/>
      <c r="L17" s="659"/>
      <c r="M17" s="660"/>
      <c r="N17" s="661"/>
      <c r="O17" s="661"/>
      <c r="P17" s="657"/>
      <c r="Q17" s="658"/>
    </row>
    <row r="18" spans="1:17" ht="15.75" customHeight="1" thickTop="1" thickBot="1">
      <c r="A18" s="714" t="s">
        <v>299</v>
      </c>
      <c r="B18" s="715"/>
      <c r="C18" s="715"/>
      <c r="D18" s="715"/>
      <c r="E18" s="716"/>
      <c r="F18" s="710" t="s">
        <v>252</v>
      </c>
      <c r="G18" s="711"/>
      <c r="H18" s="711"/>
      <c r="I18" s="711"/>
      <c r="J18" s="711"/>
      <c r="K18" s="711"/>
      <c r="L18" s="711"/>
      <c r="M18" s="711"/>
      <c r="N18" s="711"/>
      <c r="O18" s="711"/>
      <c r="P18" s="711"/>
      <c r="Q18" s="712"/>
    </row>
    <row r="19" spans="1:17" ht="15.75" customHeight="1" thickTop="1">
      <c r="A19" s="309" t="str">
        <f>IF(B19="","","Sup. Avó:")</f>
        <v/>
      </c>
      <c r="B19" s="392"/>
      <c r="C19" s="392"/>
      <c r="D19" s="392"/>
      <c r="E19" s="388"/>
      <c r="F19" s="310" t="s">
        <v>50</v>
      </c>
      <c r="G19" s="779" t="str">
        <f>'RD0301'!B8</f>
        <v>MÃE</v>
      </c>
      <c r="H19" s="779"/>
      <c r="I19" s="779" t="s">
        <v>253</v>
      </c>
      <c r="J19" s="779"/>
      <c r="K19" s="779" t="str">
        <f>'RD0301'!F8</f>
        <v>SP. AVÔ</v>
      </c>
      <c r="L19" s="779"/>
      <c r="M19" s="779" t="str">
        <f>'RD0301'!H8</f>
        <v>SP. AVÓ</v>
      </c>
      <c r="N19" s="779"/>
      <c r="O19" s="311" t="str">
        <f>'RD0301'!AM8</f>
        <v>FREQ.</v>
      </c>
      <c r="P19" s="311" t="str">
        <f>'RD0301'!AN8</f>
        <v>PI</v>
      </c>
      <c r="Q19" s="397" t="str">
        <f>'RD0301'!AO8</f>
        <v>PR. PAT</v>
      </c>
    </row>
    <row r="20" spans="1:17" ht="15.75" customHeight="1">
      <c r="A20" s="700"/>
      <c r="B20" s="701"/>
      <c r="C20" s="701"/>
      <c r="D20" s="701"/>
      <c r="E20" s="702"/>
      <c r="F20" s="312" t="str">
        <f>'RD0301'!$A$9</f>
        <v>D3S1358</v>
      </c>
      <c r="G20" s="313">
        <f>'RD0301'!$B$9</f>
        <v>0</v>
      </c>
      <c r="H20" s="313">
        <f>'RD0301'!$C$9</f>
        <v>0</v>
      </c>
      <c r="I20" s="313">
        <f>'RD0301'!$D$9</f>
        <v>0</v>
      </c>
      <c r="J20" s="313">
        <f>'RD0301'!$E$9</f>
        <v>0</v>
      </c>
      <c r="K20" s="313">
        <f>'RD0301'!$F$9</f>
        <v>0</v>
      </c>
      <c r="L20" s="313">
        <f>'RD0301'!$G$9</f>
        <v>0</v>
      </c>
      <c r="M20" s="313">
        <f>'RD0301'!$H$9</f>
        <v>0</v>
      </c>
      <c r="N20" s="313">
        <f>'RD0301'!$I$9</f>
        <v>0</v>
      </c>
      <c r="O20" s="641">
        <f>'RD0301'!$AM$9</f>
        <v>1</v>
      </c>
      <c r="P20" s="647">
        <f>'RD0301'!$AN$9</f>
        <v>1</v>
      </c>
      <c r="Q20" s="649">
        <f>'RD0301'!$AO$9</f>
        <v>0.5</v>
      </c>
    </row>
    <row r="21" spans="1:17" ht="15.75" customHeight="1">
      <c r="A21" s="700" t="s">
        <v>350</v>
      </c>
      <c r="B21" s="701"/>
      <c r="C21" s="701"/>
      <c r="D21" s="701"/>
      <c r="E21" s="702"/>
      <c r="F21" s="312" t="str">
        <f>'RD0301'!$A$10</f>
        <v>D1S1656</v>
      </c>
      <c r="G21" s="313">
        <f>'RD0301'!$B$10</f>
        <v>0</v>
      </c>
      <c r="H21" s="313">
        <f>'RD0301'!$C$10</f>
        <v>0</v>
      </c>
      <c r="I21" s="313">
        <f>'RD0301'!$D$10</f>
        <v>0</v>
      </c>
      <c r="J21" s="313">
        <f>'RD0301'!$E$10</f>
        <v>0</v>
      </c>
      <c r="K21" s="313">
        <f>'RD0301'!$F$10</f>
        <v>0</v>
      </c>
      <c r="L21" s="313">
        <f>'RD0301'!$G$10</f>
        <v>0</v>
      </c>
      <c r="M21" s="313">
        <f>'RD0301'!$H$10</f>
        <v>0</v>
      </c>
      <c r="N21" s="313">
        <f>'RD0301'!$I$10</f>
        <v>0</v>
      </c>
      <c r="O21" s="641">
        <f>'RD0301'!$AM$10</f>
        <v>1</v>
      </c>
      <c r="P21" s="647">
        <f>'RD0301'!$AN$10</f>
        <v>1</v>
      </c>
      <c r="Q21" s="649">
        <f>'RD0301'!$AO$10</f>
        <v>0.5</v>
      </c>
    </row>
    <row r="22" spans="1:17" ht="15.75" customHeight="1">
      <c r="A22" s="700" t="s">
        <v>293</v>
      </c>
      <c r="B22" s="701"/>
      <c r="C22" s="701"/>
      <c r="D22" s="701"/>
      <c r="E22" s="702"/>
      <c r="F22" s="312" t="str">
        <f>'RD0301'!$A$11</f>
        <v>D2S441</v>
      </c>
      <c r="G22" s="313">
        <f>'RD0301'!$B$11</f>
        <v>0</v>
      </c>
      <c r="H22" s="313">
        <f>'RD0301'!$C$11</f>
        <v>0</v>
      </c>
      <c r="I22" s="313">
        <f>'RD0301'!$D$11</f>
        <v>0</v>
      </c>
      <c r="J22" s="313">
        <f>'RD0301'!$E$11</f>
        <v>0</v>
      </c>
      <c r="K22" s="313">
        <f>'RD0301'!$F$11</f>
        <v>0</v>
      </c>
      <c r="L22" s="313">
        <f>'RD0301'!$G$11</f>
        <v>0</v>
      </c>
      <c r="M22" s="313">
        <f>'RD0301'!$H$11</f>
        <v>0</v>
      </c>
      <c r="N22" s="313">
        <f>'RD0301'!$I$11</f>
        <v>0</v>
      </c>
      <c r="O22" s="641">
        <f>'RD0301'!$AM$11</f>
        <v>1</v>
      </c>
      <c r="P22" s="647">
        <f>'RD0301'!$AN$11</f>
        <v>1</v>
      </c>
      <c r="Q22" s="649">
        <f>'RD0301'!$AO$11</f>
        <v>0.5</v>
      </c>
    </row>
    <row r="23" spans="1:17" ht="15.75" customHeight="1">
      <c r="A23" s="700" t="s">
        <v>290</v>
      </c>
      <c r="B23" s="701"/>
      <c r="C23" s="701"/>
      <c r="D23" s="701"/>
      <c r="E23" s="702"/>
      <c r="F23" s="312" t="str">
        <f>'RD0301'!$A$12</f>
        <v>D10S1248</v>
      </c>
      <c r="G23" s="313">
        <f>'RD0301'!$B$12</f>
        <v>0</v>
      </c>
      <c r="H23" s="313">
        <f>'RD0301'!$C$12</f>
        <v>0</v>
      </c>
      <c r="I23" s="313">
        <f>'RD0301'!$D$12</f>
        <v>0</v>
      </c>
      <c r="J23" s="313">
        <f>'RD0301'!$E$12</f>
        <v>0</v>
      </c>
      <c r="K23" s="313">
        <f>'RD0301'!$F$12</f>
        <v>0</v>
      </c>
      <c r="L23" s="313">
        <f>'RD0301'!$G$12</f>
        <v>0</v>
      </c>
      <c r="M23" s="313">
        <f>'RD0301'!$H$12</f>
        <v>0</v>
      </c>
      <c r="N23" s="313">
        <f>'RD0301'!$I$12</f>
        <v>0</v>
      </c>
      <c r="O23" s="641">
        <f>'RD0301'!$AM$12</f>
        <v>1</v>
      </c>
      <c r="P23" s="647">
        <f>'RD0301'!$AN$12</f>
        <v>1</v>
      </c>
      <c r="Q23" s="649">
        <f>'RD0301'!$AO$12</f>
        <v>0.5</v>
      </c>
    </row>
    <row r="24" spans="1:17" ht="15.75" customHeight="1">
      <c r="A24" s="700" t="s">
        <v>294</v>
      </c>
      <c r="B24" s="701"/>
      <c r="C24" s="701"/>
      <c r="D24" s="701"/>
      <c r="E24" s="702"/>
      <c r="F24" s="312" t="str">
        <f>'RD0301'!$A$13</f>
        <v>D13S317</v>
      </c>
      <c r="G24" s="313">
        <f>'RD0301'!$B$13</f>
        <v>0</v>
      </c>
      <c r="H24" s="313">
        <f>'RD0301'!$C$13</f>
        <v>0</v>
      </c>
      <c r="I24" s="313">
        <f>'RD0301'!$D$13</f>
        <v>0</v>
      </c>
      <c r="J24" s="313">
        <f>'RD0301'!$E$13</f>
        <v>0</v>
      </c>
      <c r="K24" s="313">
        <f>'RD0301'!$F$13</f>
        <v>0</v>
      </c>
      <c r="L24" s="313">
        <f>'RD0301'!$G$13</f>
        <v>0</v>
      </c>
      <c r="M24" s="313">
        <f>'RD0301'!$H$13</f>
        <v>0</v>
      </c>
      <c r="N24" s="313">
        <f>'RD0301'!$I$13</f>
        <v>0</v>
      </c>
      <c r="O24" s="641">
        <f>'RD0301'!$AM$13</f>
        <v>1</v>
      </c>
      <c r="P24" s="647">
        <f>'RD0301'!$AN$13</f>
        <v>1</v>
      </c>
      <c r="Q24" s="649">
        <f>'RD0301'!$AO$13</f>
        <v>0.5</v>
      </c>
    </row>
    <row r="25" spans="1:17" ht="15.75" customHeight="1">
      <c r="A25" s="700" t="s">
        <v>295</v>
      </c>
      <c r="B25" s="701"/>
      <c r="C25" s="701"/>
      <c r="D25" s="701"/>
      <c r="E25" s="702"/>
      <c r="F25" s="312" t="str">
        <f>'RD0301'!$A$14</f>
        <v>Penta_E</v>
      </c>
      <c r="G25" s="313">
        <f>'RD0301'!$B$14</f>
        <v>0</v>
      </c>
      <c r="H25" s="313">
        <f>'RD0301'!$C$14</f>
        <v>0</v>
      </c>
      <c r="I25" s="313">
        <f>'RD0301'!$D$14</f>
        <v>0</v>
      </c>
      <c r="J25" s="313">
        <f>'RD0301'!$E$14</f>
        <v>0</v>
      </c>
      <c r="K25" s="313">
        <f>'RD0301'!$F$14</f>
        <v>0</v>
      </c>
      <c r="L25" s="313">
        <f>'RD0301'!$G$14</f>
        <v>0</v>
      </c>
      <c r="M25" s="313">
        <f>'RD0301'!$H$14</f>
        <v>0</v>
      </c>
      <c r="N25" s="313">
        <f>'RD0301'!$I$14</f>
        <v>0</v>
      </c>
      <c r="O25" s="641">
        <f>'RD0301'!$AM$14</f>
        <v>1</v>
      </c>
      <c r="P25" s="647">
        <f>'RD0301'!$AN$14</f>
        <v>1</v>
      </c>
      <c r="Q25" s="649">
        <f>'RD0301'!$AO$14</f>
        <v>0.5</v>
      </c>
    </row>
    <row r="26" spans="1:17" ht="15.75" customHeight="1">
      <c r="A26" s="700"/>
      <c r="B26" s="701"/>
      <c r="C26" s="701"/>
      <c r="D26" s="701"/>
      <c r="E26" s="702"/>
      <c r="F26" s="312" t="str">
        <f>'RD0301'!$A$15</f>
        <v>D16S539</v>
      </c>
      <c r="G26" s="313">
        <f>'RD0301'!$B$15</f>
        <v>0</v>
      </c>
      <c r="H26" s="313">
        <f>'RD0301'!$C$15</f>
        <v>0</v>
      </c>
      <c r="I26" s="313">
        <f>'RD0301'!$D$15</f>
        <v>0</v>
      </c>
      <c r="J26" s="313">
        <f>'RD0301'!$E$15</f>
        <v>0</v>
      </c>
      <c r="K26" s="313">
        <f>'RD0301'!$F$15</f>
        <v>0</v>
      </c>
      <c r="L26" s="313">
        <f>'RD0301'!$G$15</f>
        <v>0</v>
      </c>
      <c r="M26" s="313">
        <f>'RD0301'!$H$15</f>
        <v>0</v>
      </c>
      <c r="N26" s="313">
        <f>'RD0301'!$I$15</f>
        <v>0</v>
      </c>
      <c r="O26" s="641">
        <f>'RD0301'!$AM$15</f>
        <v>1</v>
      </c>
      <c r="P26" s="647">
        <f>'RD0301'!$AN$15</f>
        <v>1</v>
      </c>
      <c r="Q26" s="649">
        <f>'RD0301'!$AO$15</f>
        <v>0.5</v>
      </c>
    </row>
    <row r="27" spans="1:17" ht="15.75" customHeight="1">
      <c r="A27" s="700"/>
      <c r="B27" s="701"/>
      <c r="C27" s="701"/>
      <c r="D27" s="701"/>
      <c r="E27" s="702"/>
      <c r="F27" s="312" t="str">
        <f>'RD0301'!$A$16</f>
        <v>D18S51</v>
      </c>
      <c r="G27" s="313">
        <f>'RD0301'!$B$16</f>
        <v>0</v>
      </c>
      <c r="H27" s="313">
        <f>'RD0301'!$C$16</f>
        <v>0</v>
      </c>
      <c r="I27" s="313">
        <f>'RD0301'!$D$16</f>
        <v>0</v>
      </c>
      <c r="J27" s="313">
        <f>'RD0301'!$E$16</f>
        <v>0</v>
      </c>
      <c r="K27" s="313">
        <f>'RD0301'!$F$16</f>
        <v>0</v>
      </c>
      <c r="L27" s="313">
        <f>'RD0301'!$G$16</f>
        <v>0</v>
      </c>
      <c r="M27" s="313">
        <f>'RD0301'!$H$16</f>
        <v>0</v>
      </c>
      <c r="N27" s="313">
        <f>'RD0301'!$I$16</f>
        <v>0</v>
      </c>
      <c r="O27" s="641">
        <f>'RD0301'!$AM$16</f>
        <v>1</v>
      </c>
      <c r="P27" s="647">
        <f>'RD0301'!$AN$16</f>
        <v>1</v>
      </c>
      <c r="Q27" s="649">
        <f>'RD0301'!$AO$16</f>
        <v>0.5</v>
      </c>
    </row>
    <row r="28" spans="1:17" ht="15.75" customHeight="1" thickBot="1">
      <c r="A28" s="700"/>
      <c r="B28" s="701"/>
      <c r="C28" s="701"/>
      <c r="D28" s="701"/>
      <c r="E28" s="702"/>
      <c r="F28" s="312" t="str">
        <f>'RD0301'!$A$17</f>
        <v>D2S1338</v>
      </c>
      <c r="G28" s="313">
        <f>'RD0301'!$B$17</f>
        <v>0</v>
      </c>
      <c r="H28" s="313">
        <f>'RD0301'!$C$17</f>
        <v>0</v>
      </c>
      <c r="I28" s="313">
        <f>'RD0301'!$D$17</f>
        <v>0</v>
      </c>
      <c r="J28" s="313">
        <f>'RD0301'!$E$17</f>
        <v>0</v>
      </c>
      <c r="K28" s="313">
        <f>'RD0301'!$F$17</f>
        <v>0</v>
      </c>
      <c r="L28" s="313">
        <f>'RD0301'!$G$17</f>
        <v>0</v>
      </c>
      <c r="M28" s="313">
        <f>'RD0301'!$H$17</f>
        <v>0</v>
      </c>
      <c r="N28" s="313">
        <f>'RD0301'!$I$17</f>
        <v>0</v>
      </c>
      <c r="O28" s="641">
        <f>'RD0301'!$AM$17</f>
        <v>1</v>
      </c>
      <c r="P28" s="647">
        <f>'RD0301'!$AN$17</f>
        <v>1</v>
      </c>
      <c r="Q28" s="649">
        <f>'RD0301'!$AO$17</f>
        <v>0.5</v>
      </c>
    </row>
    <row r="29" spans="1:17" ht="15.75" customHeight="1" thickTop="1" thickBot="1">
      <c r="A29" s="410" t="s">
        <v>300</v>
      </c>
      <c r="B29" s="411"/>
      <c r="C29" s="409"/>
      <c r="D29" s="409"/>
      <c r="E29" s="412"/>
      <c r="F29" s="312" t="str">
        <f>'RD0301'!$A$18</f>
        <v>CSF1PO</v>
      </c>
      <c r="G29" s="313">
        <f>'RD0301'!$B$18</f>
        <v>0</v>
      </c>
      <c r="H29" s="313">
        <f>'RD0301'!$C$18</f>
        <v>0</v>
      </c>
      <c r="I29" s="313">
        <f>'RD0301'!$D$18</f>
        <v>0</v>
      </c>
      <c r="J29" s="313">
        <f>'RD0301'!$E$18</f>
        <v>0</v>
      </c>
      <c r="K29" s="313">
        <f>'RD0301'!$F$18</f>
        <v>0</v>
      </c>
      <c r="L29" s="313">
        <f>'RD0301'!$G$18</f>
        <v>0</v>
      </c>
      <c r="M29" s="313">
        <f>'RD0301'!$H$18</f>
        <v>0</v>
      </c>
      <c r="N29" s="313">
        <f>'RD0301'!$I$18</f>
        <v>0</v>
      </c>
      <c r="O29" s="641">
        <f>'RD0301'!$AM$18</f>
        <v>1</v>
      </c>
      <c r="P29" s="647">
        <f>'RD0301'!$AN$18</f>
        <v>1</v>
      </c>
      <c r="Q29" s="649">
        <f>'RD0301'!$AO$18</f>
        <v>0.5</v>
      </c>
    </row>
    <row r="30" spans="1:17" ht="15.75" customHeight="1" thickTop="1">
      <c r="A30" s="700" t="s">
        <v>348</v>
      </c>
      <c r="B30" s="701"/>
      <c r="C30" s="701"/>
      <c r="D30" s="701"/>
      <c r="E30" s="702"/>
      <c r="F30" s="312" t="str">
        <f>'RD0301'!$A$19</f>
        <v>Penta_D</v>
      </c>
      <c r="G30" s="313">
        <f>'RD0301'!$B$19</f>
        <v>0</v>
      </c>
      <c r="H30" s="313">
        <f>'RD0301'!$C$19</f>
        <v>0</v>
      </c>
      <c r="I30" s="313">
        <f>'RD0301'!$D$19</f>
        <v>0</v>
      </c>
      <c r="J30" s="313">
        <f>'RD0301'!$E$19</f>
        <v>0</v>
      </c>
      <c r="K30" s="313">
        <f>'RD0301'!$F$19</f>
        <v>0</v>
      </c>
      <c r="L30" s="313">
        <f>'RD0301'!$G$19</f>
        <v>0</v>
      </c>
      <c r="M30" s="313">
        <f>'RD0301'!$H$19</f>
        <v>0</v>
      </c>
      <c r="N30" s="313">
        <f>'RD0301'!$I$19</f>
        <v>0</v>
      </c>
      <c r="O30" s="641">
        <f>'RD0301'!$AM$19</f>
        <v>1</v>
      </c>
      <c r="P30" s="647">
        <f>'RD0301'!$AN$19</f>
        <v>1</v>
      </c>
      <c r="Q30" s="649">
        <f>'RD0301'!$AO$19</f>
        <v>0.5</v>
      </c>
    </row>
    <row r="31" spans="1:17" ht="15.75" customHeight="1">
      <c r="A31" s="700"/>
      <c r="B31" s="701"/>
      <c r="C31" s="701"/>
      <c r="D31" s="701"/>
      <c r="E31" s="702"/>
      <c r="F31" s="312" t="str">
        <f>'RD0301'!$A$20</f>
        <v>TH01</v>
      </c>
      <c r="G31" s="313">
        <f>'RD0301'!$B$20</f>
        <v>0</v>
      </c>
      <c r="H31" s="313">
        <f>'RD0301'!$C$20</f>
        <v>0</v>
      </c>
      <c r="I31" s="313">
        <f>'RD0301'!$D$20</f>
        <v>0</v>
      </c>
      <c r="J31" s="313">
        <f>'RD0301'!$E$20</f>
        <v>0</v>
      </c>
      <c r="K31" s="313">
        <f>'RD0301'!$F$20</f>
        <v>0</v>
      </c>
      <c r="L31" s="313">
        <f>'RD0301'!$G$20</f>
        <v>0</v>
      </c>
      <c r="M31" s="313">
        <f>'RD0301'!$H$20</f>
        <v>0</v>
      </c>
      <c r="N31" s="313">
        <f>'RD0301'!$I$20</f>
        <v>0</v>
      </c>
      <c r="O31" s="641">
        <f>'RD0301'!$AM$20</f>
        <v>1</v>
      </c>
      <c r="P31" s="647">
        <f>'RD0301'!$AN$20</f>
        <v>1</v>
      </c>
      <c r="Q31" s="649">
        <f>'RD0301'!$AO$20</f>
        <v>0.5</v>
      </c>
    </row>
    <row r="32" spans="1:17" ht="15.75" customHeight="1">
      <c r="A32" s="700"/>
      <c r="B32" s="701"/>
      <c r="C32" s="701"/>
      <c r="D32" s="701"/>
      <c r="E32" s="702"/>
      <c r="F32" s="312" t="str">
        <f>'RD0301'!$A$21</f>
        <v>vWA</v>
      </c>
      <c r="G32" s="313">
        <f>'RD0301'!$B$21</f>
        <v>0</v>
      </c>
      <c r="H32" s="313">
        <f>'RD0301'!$C$21</f>
        <v>0</v>
      </c>
      <c r="I32" s="313">
        <f>'RD0301'!$D$21</f>
        <v>0</v>
      </c>
      <c r="J32" s="313">
        <f>'RD0301'!$E$21</f>
        <v>0</v>
      </c>
      <c r="K32" s="313">
        <f>'RD0301'!$F$21</f>
        <v>0</v>
      </c>
      <c r="L32" s="313">
        <f>'RD0301'!$G$21</f>
        <v>0</v>
      </c>
      <c r="M32" s="313">
        <f>'RD0301'!$H$21</f>
        <v>0</v>
      </c>
      <c r="N32" s="313">
        <f>'RD0301'!$I$21</f>
        <v>0</v>
      </c>
      <c r="O32" s="641">
        <f>'RD0301'!$AM$21</f>
        <v>1</v>
      </c>
      <c r="P32" s="647">
        <f>'RD0301'!$AN$21</f>
        <v>1</v>
      </c>
      <c r="Q32" s="649">
        <f>'RD0301'!$AO$21</f>
        <v>0.5</v>
      </c>
    </row>
    <row r="33" spans="1:17" ht="15.75" customHeight="1">
      <c r="A33" s="700"/>
      <c r="B33" s="701"/>
      <c r="C33" s="701"/>
      <c r="D33" s="701"/>
      <c r="E33" s="702"/>
      <c r="F33" s="312" t="str">
        <f>'RD0301'!$A$22</f>
        <v>D21S11</v>
      </c>
      <c r="G33" s="313">
        <f>'RD0301'!$B$22</f>
        <v>0</v>
      </c>
      <c r="H33" s="313">
        <f>'RD0301'!$C$22</f>
        <v>0</v>
      </c>
      <c r="I33" s="313">
        <f>'RD0301'!$D$22</f>
        <v>0</v>
      </c>
      <c r="J33" s="313">
        <f>'RD0301'!$E$22</f>
        <v>0</v>
      </c>
      <c r="K33" s="313">
        <f>'RD0301'!$F$22</f>
        <v>0</v>
      </c>
      <c r="L33" s="313">
        <f>'RD0301'!$G$22</f>
        <v>0</v>
      </c>
      <c r="M33" s="313">
        <f>'RD0301'!$H$22</f>
        <v>0</v>
      </c>
      <c r="N33" s="313">
        <f>'RD0301'!$I$22</f>
        <v>0</v>
      </c>
      <c r="O33" s="641">
        <f>'RD0301'!$AM$22</f>
        <v>1</v>
      </c>
      <c r="P33" s="647">
        <f>'RD0301'!$AN$22</f>
        <v>1</v>
      </c>
      <c r="Q33" s="649">
        <f>'RD0301'!$AO$22</f>
        <v>0.5</v>
      </c>
    </row>
    <row r="34" spans="1:17" ht="15.75" customHeight="1">
      <c r="A34" s="700"/>
      <c r="B34" s="701"/>
      <c r="C34" s="701"/>
      <c r="D34" s="701"/>
      <c r="E34" s="702"/>
      <c r="F34" s="312" t="str">
        <f>'RD0301'!$A$23</f>
        <v>D7S820</v>
      </c>
      <c r="G34" s="313">
        <f>'RD0301'!$B$23</f>
        <v>0</v>
      </c>
      <c r="H34" s="313">
        <f>'RD0301'!$C$23</f>
        <v>0</v>
      </c>
      <c r="I34" s="313">
        <f>'RD0301'!$D$23</f>
        <v>0</v>
      </c>
      <c r="J34" s="313">
        <f>'RD0301'!$E$23</f>
        <v>0</v>
      </c>
      <c r="K34" s="313">
        <f>'RD0301'!$F$23</f>
        <v>0</v>
      </c>
      <c r="L34" s="313">
        <f>'RD0301'!$G$23</f>
        <v>0</v>
      </c>
      <c r="M34" s="313">
        <f>'RD0301'!$H$23</f>
        <v>0</v>
      </c>
      <c r="N34" s="313">
        <f>'RD0301'!$I$23</f>
        <v>0</v>
      </c>
      <c r="O34" s="641">
        <f>'RD0301'!$AM$23</f>
        <v>1</v>
      </c>
      <c r="P34" s="647">
        <f>'RD0301'!$AN$23</f>
        <v>1</v>
      </c>
      <c r="Q34" s="649">
        <f>'RD0301'!$AO$23</f>
        <v>0.5</v>
      </c>
    </row>
    <row r="35" spans="1:17" ht="15.75" customHeight="1">
      <c r="A35" s="700"/>
      <c r="B35" s="701"/>
      <c r="C35" s="701"/>
      <c r="D35" s="701"/>
      <c r="E35" s="702"/>
      <c r="F35" s="312" t="str">
        <f>'RD0301'!$A$24</f>
        <v>D5S818</v>
      </c>
      <c r="G35" s="313">
        <f>'RD0301'!$B$24</f>
        <v>0</v>
      </c>
      <c r="H35" s="313">
        <f>'RD0301'!$C$24</f>
        <v>0</v>
      </c>
      <c r="I35" s="313">
        <f>'RD0301'!$D$24</f>
        <v>0</v>
      </c>
      <c r="J35" s="313">
        <f>'RD0301'!$E$24</f>
        <v>0</v>
      </c>
      <c r="K35" s="313">
        <f>'RD0301'!$F$24</f>
        <v>0</v>
      </c>
      <c r="L35" s="313">
        <f>'RD0301'!$G$24</f>
        <v>0</v>
      </c>
      <c r="M35" s="313">
        <f>'RD0301'!$H$24</f>
        <v>0</v>
      </c>
      <c r="N35" s="313">
        <f>'RD0301'!$I$24</f>
        <v>0</v>
      </c>
      <c r="O35" s="641">
        <f>'RD0301'!$AM$24</f>
        <v>1</v>
      </c>
      <c r="P35" s="647">
        <f>'RD0301'!$AN$24</f>
        <v>1</v>
      </c>
      <c r="Q35" s="649">
        <f>'RD0301'!$AO$24</f>
        <v>0.5</v>
      </c>
    </row>
    <row r="36" spans="1:17" ht="15.75" customHeight="1" thickBot="1">
      <c r="A36" s="700"/>
      <c r="B36" s="701"/>
      <c r="C36" s="701"/>
      <c r="D36" s="701"/>
      <c r="E36" s="702"/>
      <c r="F36" s="312" t="str">
        <f>'RD0301'!$A$25</f>
        <v>TPOX</v>
      </c>
      <c r="G36" s="313">
        <f>'RD0301'!$B$25</f>
        <v>0</v>
      </c>
      <c r="H36" s="313">
        <f>'RD0301'!$C$25</f>
        <v>0</v>
      </c>
      <c r="I36" s="313">
        <f>'RD0301'!$D$25</f>
        <v>0</v>
      </c>
      <c r="J36" s="313">
        <f>'RD0301'!$E$25</f>
        <v>0</v>
      </c>
      <c r="K36" s="313">
        <f>'RD0301'!$F$25</f>
        <v>0</v>
      </c>
      <c r="L36" s="313">
        <f>'RD0301'!$G$25</f>
        <v>0</v>
      </c>
      <c r="M36" s="313">
        <f>'RD0301'!$H$25</f>
        <v>0</v>
      </c>
      <c r="N36" s="313">
        <f>'RD0301'!$I$25</f>
        <v>0</v>
      </c>
      <c r="O36" s="641">
        <f>'RD0301'!$AM$25</f>
        <v>1</v>
      </c>
      <c r="P36" s="647">
        <f>'RD0301'!$AN$25</f>
        <v>1</v>
      </c>
      <c r="Q36" s="649">
        <f>'RD0301'!$AO$25</f>
        <v>0.5</v>
      </c>
    </row>
    <row r="37" spans="1:17" ht="15.75" customHeight="1" thickTop="1" thickBot="1">
      <c r="A37" s="413" t="s">
        <v>301</v>
      </c>
      <c r="B37" s="409"/>
      <c r="C37" s="409"/>
      <c r="D37" s="409"/>
      <c r="E37" s="412"/>
      <c r="F37" s="312" t="str">
        <f>'RD0301'!$A$26</f>
        <v>D8S1179</v>
      </c>
      <c r="G37" s="313">
        <f>'RD0301'!$B$26</f>
        <v>0</v>
      </c>
      <c r="H37" s="313">
        <f>'RD0301'!$C$26</f>
        <v>0</v>
      </c>
      <c r="I37" s="313">
        <f>'RD0301'!$D$26</f>
        <v>0</v>
      </c>
      <c r="J37" s="313">
        <f>'RD0301'!$E$26</f>
        <v>0</v>
      </c>
      <c r="K37" s="313">
        <f>'RD0301'!$F$26</f>
        <v>0</v>
      </c>
      <c r="L37" s="313">
        <f>'RD0301'!$G$26</f>
        <v>0</v>
      </c>
      <c r="M37" s="313">
        <f>'RD0301'!$H$26</f>
        <v>0</v>
      </c>
      <c r="N37" s="313">
        <f>'RD0301'!$I$26</f>
        <v>0</v>
      </c>
      <c r="O37" s="641">
        <f>'RD0301'!$AM$26</f>
        <v>1</v>
      </c>
      <c r="P37" s="647">
        <f>'RD0301'!$AN$26</f>
        <v>1</v>
      </c>
      <c r="Q37" s="649">
        <f>'RD0301'!$AO$26</f>
        <v>0.5</v>
      </c>
    </row>
    <row r="38" spans="1:17" ht="15.75" customHeight="1" thickTop="1">
      <c r="A38" s="700"/>
      <c r="B38" s="701"/>
      <c r="C38" s="701"/>
      <c r="D38" s="701"/>
      <c r="E38" s="702"/>
      <c r="F38" s="312" t="str">
        <f>'RD0301'!$A$27</f>
        <v>D12S391</v>
      </c>
      <c r="G38" s="313">
        <f>'RD0301'!$B$27</f>
        <v>0</v>
      </c>
      <c r="H38" s="313">
        <f>'RD0301'!$C$27</f>
        <v>0</v>
      </c>
      <c r="I38" s="313">
        <f>'RD0301'!$D$27</f>
        <v>0</v>
      </c>
      <c r="J38" s="313">
        <f>'RD0301'!$E$27</f>
        <v>0</v>
      </c>
      <c r="K38" s="313">
        <f>'RD0301'!$F$27</f>
        <v>0</v>
      </c>
      <c r="L38" s="313">
        <f>'RD0301'!$G$27</f>
        <v>0</v>
      </c>
      <c r="M38" s="313">
        <f>'RD0301'!$H$27</f>
        <v>0</v>
      </c>
      <c r="N38" s="313">
        <f>'RD0301'!$I$27</f>
        <v>0</v>
      </c>
      <c r="O38" s="641">
        <f>'RD0301'!$AM$27</f>
        <v>1</v>
      </c>
      <c r="P38" s="647">
        <f>'RD0301'!$AN$27</f>
        <v>1</v>
      </c>
      <c r="Q38" s="649">
        <f>'RD0301'!$AO$27</f>
        <v>0.5</v>
      </c>
    </row>
    <row r="39" spans="1:17" ht="15.75" customHeight="1">
      <c r="A39" s="703"/>
      <c r="B39" s="704"/>
      <c r="C39" s="704"/>
      <c r="D39" s="704"/>
      <c r="E39" s="705"/>
      <c r="F39" s="312" t="str">
        <f>'RD0301'!$A$28</f>
        <v>D19S433</v>
      </c>
      <c r="G39" s="313">
        <f>'RD0301'!$B$28</f>
        <v>0</v>
      </c>
      <c r="H39" s="313">
        <f>'RD0301'!$C$28</f>
        <v>0</v>
      </c>
      <c r="I39" s="313">
        <f>'RD0301'!$D$28</f>
        <v>0</v>
      </c>
      <c r="J39" s="313">
        <f>'RD0301'!$E$28</f>
        <v>0</v>
      </c>
      <c r="K39" s="313">
        <f>'RD0301'!$F$28</f>
        <v>0</v>
      </c>
      <c r="L39" s="313">
        <f>'RD0301'!$G$28</f>
        <v>0</v>
      </c>
      <c r="M39" s="313">
        <f>'RD0301'!$H$28</f>
        <v>0</v>
      </c>
      <c r="N39" s="313">
        <f>'RD0301'!$I$28</f>
        <v>0</v>
      </c>
      <c r="O39" s="641">
        <f>'RD0301'!$AM$28</f>
        <v>1</v>
      </c>
      <c r="P39" s="647">
        <f>'RD0301'!$AN$28</f>
        <v>1</v>
      </c>
      <c r="Q39" s="649">
        <f>'RD0301'!$AO$28</f>
        <v>0.5</v>
      </c>
    </row>
    <row r="40" spans="1:17" ht="15.75" customHeight="1">
      <c r="A40" s="700"/>
      <c r="B40" s="701"/>
      <c r="C40" s="701"/>
      <c r="D40" s="701"/>
      <c r="E40" s="702"/>
      <c r="F40" s="312" t="str">
        <f>'RD0301'!$A$29</f>
        <v>FGA</v>
      </c>
      <c r="G40" s="313">
        <f>'RD0301'!$B$29</f>
        <v>0</v>
      </c>
      <c r="H40" s="313">
        <f>'RD0301'!$C$29</f>
        <v>0</v>
      </c>
      <c r="I40" s="313">
        <f>'RD0301'!$D$29</f>
        <v>0</v>
      </c>
      <c r="J40" s="313">
        <f>'RD0301'!$E$29</f>
        <v>0</v>
      </c>
      <c r="K40" s="313">
        <f>'RD0301'!$F$29</f>
        <v>0</v>
      </c>
      <c r="L40" s="313">
        <f>'RD0301'!$G$29</f>
        <v>0</v>
      </c>
      <c r="M40" s="313">
        <f>'RD0301'!$H$29</f>
        <v>0</v>
      </c>
      <c r="N40" s="313">
        <f>'RD0301'!$I$29</f>
        <v>0</v>
      </c>
      <c r="O40" s="641">
        <f>'RD0301'!$AM$29</f>
        <v>1</v>
      </c>
      <c r="P40" s="647">
        <f>'RD0301'!$AN$29</f>
        <v>1</v>
      </c>
      <c r="Q40" s="649">
        <f>'RD0301'!$AO$29</f>
        <v>0.5</v>
      </c>
    </row>
    <row r="41" spans="1:17" ht="15.75" customHeight="1" thickBot="1">
      <c r="A41" s="700" t="s">
        <v>296</v>
      </c>
      <c r="B41" s="701"/>
      <c r="C41" s="701"/>
      <c r="D41" s="701"/>
      <c r="E41" s="702"/>
      <c r="F41" s="314" t="str">
        <f>'RD0301'!$A$30</f>
        <v>D22S1045</v>
      </c>
      <c r="G41" s="315">
        <f>'RD0301'!$B$30</f>
        <v>0</v>
      </c>
      <c r="H41" s="315">
        <f>'RD0301'!$C$30</f>
        <v>0</v>
      </c>
      <c r="I41" s="315">
        <f>'RD0301'!$D$30</f>
        <v>0</v>
      </c>
      <c r="J41" s="315">
        <f>'RD0301'!$E$30</f>
        <v>0</v>
      </c>
      <c r="K41" s="315">
        <f>'RD0301'!$F$30</f>
        <v>0</v>
      </c>
      <c r="L41" s="315">
        <f>'RD0301'!$G$30</f>
        <v>0</v>
      </c>
      <c r="M41" s="315">
        <f>'RD0301'!$H$30</f>
        <v>0</v>
      </c>
      <c r="N41" s="315">
        <f>'RD0301'!$I$30</f>
        <v>0</v>
      </c>
      <c r="O41" s="642">
        <f>'RD0301'!$AM$30</f>
        <v>1</v>
      </c>
      <c r="P41" s="648">
        <f>'RD0301'!$AN$30</f>
        <v>1</v>
      </c>
      <c r="Q41" s="650">
        <f>'RD0301'!$AO$30</f>
        <v>0.5</v>
      </c>
    </row>
    <row r="42" spans="1:17" ht="15.75" customHeight="1" thickTop="1">
      <c r="A42" s="700"/>
      <c r="B42" s="701"/>
      <c r="C42" s="701"/>
      <c r="D42" s="701"/>
      <c r="E42" s="702"/>
      <c r="F42" s="398"/>
      <c r="G42" s="398"/>
      <c r="H42" s="639"/>
      <c r="I42" s="638"/>
      <c r="J42" s="638"/>
      <c r="K42" s="639"/>
      <c r="L42" s="404" t="str">
        <f>'PD0101'!G43</f>
        <v xml:space="preserve">ÍNDICE DE PATERNIDADE ACUMULADO: </v>
      </c>
      <c r="M42" s="730">
        <f>'RD0301'!$H$43</f>
        <v>1</v>
      </c>
      <c r="N42" s="730"/>
      <c r="O42" s="730"/>
      <c r="P42" s="730"/>
      <c r="Q42" s="731"/>
    </row>
    <row r="43" spans="1:17" ht="15.75" customHeight="1">
      <c r="A43" s="700" t="s">
        <v>297</v>
      </c>
      <c r="B43" s="701"/>
      <c r="C43" s="701"/>
      <c r="D43" s="701"/>
      <c r="E43" s="702"/>
      <c r="F43" s="398"/>
      <c r="G43" s="398"/>
      <c r="H43" s="639"/>
      <c r="I43" s="638"/>
      <c r="J43" s="638"/>
      <c r="K43" s="639"/>
      <c r="L43" s="404" t="str">
        <f>'PD0101'!G44</f>
        <v xml:space="preserve">PROBABILIDADE DE PATERNIDADE: </v>
      </c>
      <c r="M43" s="732">
        <f>'RD0301'!$H$44</f>
        <v>0.5</v>
      </c>
      <c r="N43" s="732"/>
      <c r="O43" s="732"/>
      <c r="P43" s="732"/>
      <c r="Q43" s="733"/>
    </row>
    <row r="44" spans="1:17" ht="15.75" customHeight="1">
      <c r="A44" s="700"/>
      <c r="B44" s="701"/>
      <c r="C44" s="701"/>
      <c r="D44" s="701"/>
      <c r="E44" s="702"/>
      <c r="F44" s="398"/>
      <c r="G44" s="398"/>
      <c r="H44" s="639"/>
      <c r="I44" s="638"/>
      <c r="J44" s="638"/>
      <c r="K44" s="639"/>
      <c r="L44" s="404" t="str">
        <f>'PD0101'!G45</f>
        <v xml:space="preserve">CAP. DE EFICIÊNCIA DOS MARCADORES: </v>
      </c>
      <c r="M44" s="732">
        <f>'RD0301'!$H$45</f>
        <v>0</v>
      </c>
      <c r="N44" s="732"/>
      <c r="O44" s="732"/>
      <c r="P44" s="732"/>
      <c r="Q44" s="733"/>
    </row>
    <row r="45" spans="1:17" ht="15.75" customHeight="1" thickBot="1">
      <c r="A45" s="739"/>
      <c r="B45" s="740"/>
      <c r="C45" s="740"/>
      <c r="D45" s="740"/>
      <c r="E45" s="741"/>
      <c r="F45" s="320"/>
      <c r="G45" s="316"/>
      <c r="H45" s="640"/>
      <c r="I45" s="403" t="str">
        <f>'RD0301'!$G$46</f>
        <v>RESULTADO:</v>
      </c>
      <c r="J45" s="737" t="str">
        <f>'RD0301'!$H$46</f>
        <v>PATERNIDADE REMOTA</v>
      </c>
      <c r="K45" s="737"/>
      <c r="L45" s="737"/>
      <c r="M45" s="737"/>
      <c r="N45" s="737"/>
      <c r="O45" s="737"/>
      <c r="P45" s="737"/>
      <c r="Q45" s="738"/>
    </row>
    <row r="46" spans="1:17" ht="13.8" hidden="1" thickTop="1">
      <c r="A46" s="317"/>
      <c r="Q46" s="391"/>
    </row>
    <row r="47" spans="1:17" ht="13.8" thickTop="1">
      <c r="A47" s="317"/>
      <c r="Q47" s="391"/>
    </row>
    <row r="48" spans="1:17">
      <c r="A48" s="767"/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8"/>
      <c r="O48" s="768"/>
      <c r="P48" s="768"/>
      <c r="Q48" s="769"/>
    </row>
    <row r="49" spans="1:17" hidden="1">
      <c r="A49" s="317"/>
      <c r="Q49" s="391"/>
    </row>
    <row r="50" spans="1:17">
      <c r="A50" s="317"/>
      <c r="Q50" s="391"/>
    </row>
    <row r="51" spans="1:17">
      <c r="A51" s="317"/>
      <c r="Q51" s="391"/>
    </row>
    <row r="52" spans="1:17" ht="9.9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4"/>
    </row>
    <row r="53" spans="1:17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7"/>
    </row>
    <row r="54" spans="1:17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5"/>
      <c r="P54" s="735"/>
      <c r="Q54" s="736"/>
    </row>
    <row r="55" spans="1:17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5"/>
      <c r="P55" s="735"/>
      <c r="Q55" s="736"/>
    </row>
    <row r="56" spans="1:17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5"/>
      <c r="P56" s="735"/>
      <c r="Q56" s="736"/>
    </row>
    <row r="57" spans="1:17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5"/>
      <c r="P57" s="735"/>
      <c r="Q57" s="736"/>
    </row>
    <row r="58" spans="1:17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3"/>
      <c r="P58" s="753"/>
      <c r="Q58" s="754"/>
    </row>
    <row r="59" spans="1:17" ht="13.8" hidden="1" thickTop="1">
      <c r="A59" s="317"/>
      <c r="Q59" s="391"/>
    </row>
    <row r="60" spans="1:17" ht="13.8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19"/>
      <c r="P60" s="319"/>
      <c r="Q60" s="399"/>
    </row>
    <row r="61" spans="1:17" ht="13.8" thickTop="1"/>
    <row r="63" spans="1:17">
      <c r="C63" s="751"/>
      <c r="D63" s="751"/>
      <c r="E63" s="751"/>
      <c r="F63" s="751"/>
      <c r="G63" s="751"/>
      <c r="H63" s="751"/>
      <c r="I63" s="751"/>
      <c r="J63" s="751"/>
      <c r="K63" s="751"/>
      <c r="L63" s="322"/>
      <c r="M63" s="322"/>
      <c r="N63" s="322"/>
    </row>
    <row r="64" spans="1:17">
      <c r="A64" s="392"/>
      <c r="B64" s="392"/>
      <c r="C64" s="725"/>
      <c r="D64" s="725"/>
      <c r="E64" s="725"/>
      <c r="F64" s="725"/>
      <c r="G64" s="725"/>
      <c r="H64" s="725"/>
      <c r="I64" s="725"/>
      <c r="J64" s="725"/>
      <c r="K64" s="725"/>
      <c r="L64" s="322"/>
      <c r="M64" s="322"/>
      <c r="N64" s="322"/>
    </row>
    <row r="65" spans="1:14">
      <c r="A65" s="392"/>
      <c r="B65" s="392"/>
      <c r="C65" s="725"/>
      <c r="D65" s="725"/>
      <c r="E65" s="725"/>
      <c r="F65" s="725"/>
      <c r="G65" s="725"/>
      <c r="H65" s="725"/>
      <c r="I65" s="725"/>
      <c r="J65" s="725"/>
      <c r="K65" s="725"/>
      <c r="L65" s="725"/>
      <c r="M65" s="725"/>
      <c r="N65" s="725"/>
    </row>
    <row r="66" spans="1:14">
      <c r="A66" s="392"/>
      <c r="B66" s="392"/>
      <c r="C66" s="725"/>
      <c r="D66" s="725"/>
      <c r="E66" s="725"/>
      <c r="F66" s="725"/>
      <c r="G66" s="725"/>
      <c r="H66" s="725"/>
      <c r="I66" s="725"/>
      <c r="J66" s="725"/>
      <c r="K66" s="725"/>
      <c r="L66" s="725"/>
      <c r="M66" s="725"/>
      <c r="N66" s="725"/>
    </row>
    <row r="67" spans="1:14">
      <c r="A67" s="392"/>
      <c r="B67" s="392"/>
      <c r="C67" s="725"/>
      <c r="D67" s="725"/>
      <c r="E67" s="725"/>
      <c r="F67" s="725"/>
      <c r="G67" s="725"/>
      <c r="H67" s="725"/>
      <c r="I67" s="725"/>
      <c r="J67" s="725"/>
      <c r="K67" s="725"/>
      <c r="L67" s="725"/>
      <c r="M67" s="725"/>
      <c r="N67" s="725"/>
    </row>
    <row r="68" spans="1:14">
      <c r="A68" s="392"/>
      <c r="B68" s="392"/>
      <c r="C68" s="725"/>
      <c r="D68" s="725"/>
      <c r="E68" s="725"/>
      <c r="F68" s="725"/>
      <c r="G68" s="725"/>
      <c r="H68" s="725"/>
      <c r="I68" s="725"/>
      <c r="J68" s="725"/>
      <c r="K68" s="725"/>
      <c r="L68" s="725"/>
      <c r="M68" s="725"/>
      <c r="N68" s="725"/>
    </row>
    <row r="69" spans="1:14">
      <c r="C69" s="725"/>
      <c r="D69" s="725"/>
      <c r="E69" s="725"/>
      <c r="F69" s="725"/>
      <c r="G69" s="725"/>
      <c r="H69" s="725"/>
      <c r="I69" s="725"/>
      <c r="J69" s="725"/>
      <c r="K69" s="725"/>
      <c r="L69" s="725"/>
      <c r="M69" s="725"/>
      <c r="N69" s="725"/>
    </row>
  </sheetData>
  <mergeCells count="58">
    <mergeCell ref="C67:N67"/>
    <mergeCell ref="C68:N68"/>
    <mergeCell ref="C69:N69"/>
    <mergeCell ref="A48:Q48"/>
    <mergeCell ref="B12:H12"/>
    <mergeCell ref="B13:H13"/>
    <mergeCell ref="B14:H14"/>
    <mergeCell ref="B15:H15"/>
    <mergeCell ref="A24:E24"/>
    <mergeCell ref="A25:E25"/>
    <mergeCell ref="A26:E26"/>
    <mergeCell ref="A27:E27"/>
    <mergeCell ref="B16:H16"/>
    <mergeCell ref="B17:H17"/>
    <mergeCell ref="A18:E18"/>
    <mergeCell ref="F18:Q18"/>
    <mergeCell ref="K19:L19"/>
    <mergeCell ref="A20:E20"/>
    <mergeCell ref="A21:E21"/>
    <mergeCell ref="M4:Q10"/>
    <mergeCell ref="K14:Q14"/>
    <mergeCell ref="K15:O15"/>
    <mergeCell ref="F2:Q2"/>
    <mergeCell ref="J3:Q3"/>
    <mergeCell ref="E4:L10"/>
    <mergeCell ref="A11:Q11"/>
    <mergeCell ref="A10:D10"/>
    <mergeCell ref="A52:Q52"/>
    <mergeCell ref="A53:Q53"/>
    <mergeCell ref="A54:Q54"/>
    <mergeCell ref="A55:Q55"/>
    <mergeCell ref="A56:Q56"/>
    <mergeCell ref="A57:Q57"/>
    <mergeCell ref="A58:Q58"/>
    <mergeCell ref="C63:K63"/>
    <mergeCell ref="C64:K64"/>
    <mergeCell ref="C65:N65"/>
    <mergeCell ref="C66:N66"/>
    <mergeCell ref="A40:E40"/>
    <mergeCell ref="A41:E41"/>
    <mergeCell ref="A22:E22"/>
    <mergeCell ref="A23:E23"/>
    <mergeCell ref="K12:Q12"/>
    <mergeCell ref="A28:E28"/>
    <mergeCell ref="A42:E42"/>
    <mergeCell ref="A43:E43"/>
    <mergeCell ref="G19:H19"/>
    <mergeCell ref="I19:J19"/>
    <mergeCell ref="M19:N19"/>
    <mergeCell ref="M42:Q42"/>
    <mergeCell ref="M43:Q43"/>
    <mergeCell ref="M44:Q44"/>
    <mergeCell ref="A44:E44"/>
    <mergeCell ref="A45:E45"/>
    <mergeCell ref="J45:Q45"/>
    <mergeCell ref="A30:E36"/>
    <mergeCell ref="A38:E38"/>
    <mergeCell ref="A39:E39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7" sqref="A7"/>
    </sheetView>
  </sheetViews>
  <sheetFormatPr defaultColWidth="9.109375" defaultRowHeight="13.2"/>
  <cols>
    <col min="1" max="1" width="9.33203125" style="1" customWidth="1"/>
    <col min="2" max="7" width="5.44140625" style="1" customWidth="1"/>
    <col min="8" max="22" width="5.44140625" style="1" hidden="1" customWidth="1"/>
    <col min="23" max="23" width="9.33203125" style="1" hidden="1" customWidth="1"/>
    <col min="24" max="24" width="13.109375" style="1" hidden="1" customWidth="1"/>
    <col min="25" max="27" width="5.44140625" style="1" hidden="1" customWidth="1"/>
    <col min="28" max="29" width="8.88671875" style="1" hidden="1" customWidth="1"/>
    <col min="30" max="32" width="6.6640625" style="1" hidden="1" customWidth="1"/>
    <col min="33" max="33" width="8.88671875" style="1" customWidth="1"/>
    <col min="34" max="34" width="9.88671875" style="1" customWidth="1"/>
    <col min="35" max="35" width="11" style="1" customWidth="1"/>
    <col min="36" max="38" width="5.6640625" style="1" hidden="1" customWidth="1"/>
    <col min="39" max="39" width="8.88671875" style="1" customWidth="1"/>
    <col min="40" max="40" width="4.33203125" style="1" customWidth="1"/>
    <col min="41" max="41" width="3.88671875" style="1" hidden="1" customWidth="1"/>
    <col min="42" max="42" width="4.88671875" style="1" hidden="1" customWidth="1"/>
    <col min="43" max="44" width="6.33203125" style="1" hidden="1" customWidth="1"/>
    <col min="45" max="49" width="4.88671875" style="1" hidden="1" customWidth="1"/>
    <col min="50" max="50" width="8.88671875" style="1" hidden="1" customWidth="1"/>
    <col min="51" max="51" width="13.88671875" style="1" hidden="1" customWidth="1"/>
    <col min="52" max="52" width="9.6640625" style="1" hidden="1" customWidth="1"/>
    <col min="53" max="53" width="6.6640625" style="1" hidden="1" customWidth="1"/>
    <col min="54" max="54" width="7.44140625" style="1" hidden="1" customWidth="1"/>
    <col min="55" max="55" width="11.33203125" style="1" hidden="1" customWidth="1"/>
    <col min="56" max="57" width="4.88671875" style="1" hidden="1" customWidth="1"/>
    <col min="58" max="59" width="4.88671875" style="2" hidden="1" customWidth="1"/>
    <col min="60" max="60" width="11.5546875" style="1" hidden="1" customWidth="1"/>
    <col min="61" max="80" width="4.88671875" style="1" hidden="1" customWidth="1"/>
    <col min="81" max="99" width="4.88671875" style="1" customWidth="1"/>
    <col min="100" max="16384" width="9.109375" style="1"/>
  </cols>
  <sheetData>
    <row r="1" spans="1:80" ht="16.8" thickTop="1" thickBot="1">
      <c r="A1" s="794" t="s">
        <v>245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" customHeight="1">
      <c r="A3" s="224" t="s">
        <v>81</v>
      </c>
      <c r="B3" s="797"/>
      <c r="C3" s="797"/>
      <c r="D3" s="797"/>
      <c r="E3" s="797"/>
      <c r="F3" s="797"/>
      <c r="G3" s="797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93" t="s">
        <v>0</v>
      </c>
      <c r="AI3" s="793"/>
      <c r="AJ3" s="793"/>
      <c r="AK3" s="793"/>
      <c r="AL3" s="793"/>
      <c r="AM3" s="793"/>
      <c r="AN3" s="227"/>
    </row>
    <row r="4" spans="1:80" ht="14.4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ERRO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ERRO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ERRO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s="22" customFormat="1" ht="14.4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DETECTADA EXCLUSÃO DE MÃE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VERIFICAR</v>
      </c>
      <c r="AN7" s="71"/>
      <c r="AO7" s="22" t="s">
        <v>78</v>
      </c>
      <c r="AZ7" s="800" t="s">
        <v>87</v>
      </c>
      <c r="BA7" s="801"/>
      <c r="BB7" s="802"/>
      <c r="BF7" s="38"/>
      <c r="BG7" s="38"/>
      <c r="BI7" s="800" t="s">
        <v>108</v>
      </c>
      <c r="BJ7" s="801"/>
      <c r="BK7" s="802"/>
      <c r="BL7" s="810" t="s">
        <v>109</v>
      </c>
      <c r="BM7" s="811"/>
      <c r="BN7" s="812"/>
      <c r="BO7" s="813" t="s">
        <v>111</v>
      </c>
      <c r="BP7" s="814"/>
      <c r="BQ7" s="815"/>
    </row>
    <row r="8" spans="1:80" ht="14.4" customHeight="1" thickTop="1" thickBot="1">
      <c r="A8" s="214" t="s">
        <v>50</v>
      </c>
      <c r="B8" s="816" t="s">
        <v>130</v>
      </c>
      <c r="C8" s="817"/>
      <c r="D8" s="816" t="s">
        <v>131</v>
      </c>
      <c r="E8" s="817"/>
      <c r="F8" s="816" t="s">
        <v>133</v>
      </c>
      <c r="G8" s="817"/>
      <c r="H8" s="816" t="s">
        <v>97</v>
      </c>
      <c r="I8" s="817"/>
      <c r="J8" s="816" t="s">
        <v>98</v>
      </c>
      <c r="K8" s="817"/>
      <c r="L8" s="816" t="s">
        <v>99</v>
      </c>
      <c r="M8" s="817"/>
      <c r="N8" s="816" t="s">
        <v>165</v>
      </c>
      <c r="O8" s="817"/>
      <c r="P8" s="816" t="s">
        <v>166</v>
      </c>
      <c r="Q8" s="817"/>
      <c r="R8" s="816" t="s">
        <v>167</v>
      </c>
      <c r="S8" s="817"/>
      <c r="T8" s="215" t="s">
        <v>135</v>
      </c>
      <c r="U8" s="215" t="s">
        <v>136</v>
      </c>
      <c r="V8" s="215" t="s">
        <v>137</v>
      </c>
      <c r="W8" s="216" t="s">
        <v>134</v>
      </c>
      <c r="X8" s="807" t="s">
        <v>138</v>
      </c>
      <c r="Y8" s="809"/>
      <c r="Z8" s="807" t="s">
        <v>141</v>
      </c>
      <c r="AA8" s="809"/>
      <c r="AB8" s="215" t="s">
        <v>145</v>
      </c>
      <c r="AC8" s="215" t="s">
        <v>147</v>
      </c>
      <c r="AD8" s="807" t="s">
        <v>244</v>
      </c>
      <c r="AE8" s="808"/>
      <c r="AF8" s="809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" customHeight="1" thickTop="1" thickBot="1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0</v>
      </c>
      <c r="E9" s="292">
        <f>'IMPORTAÇÃO GENOTIPER'!AQ5</f>
        <v>0</v>
      </c>
      <c r="F9" s="292">
        <f>'IMPORTAÇÃO GENOTIPER'!AY5</f>
        <v>0</v>
      </c>
      <c r="G9" s="292">
        <f>'IMPORTAÇÃO GENOTIPER'!BG5</f>
        <v>0</v>
      </c>
      <c r="H9" s="293">
        <f t="shared" ref="H9:H42" si="0">(IF(CODE(B9)=(60),($BF9-1),(IF(CODE(B9)=(62),($BG9+1),B9))))</f>
        <v>0</v>
      </c>
      <c r="I9" s="293">
        <f t="shared" ref="I9:I42" si="1">(IF(CODE(C9)=(60),($BF9-1),(IF(CODE(C9)=(62),($BG9+1),C9))))</f>
        <v>0</v>
      </c>
      <c r="J9" s="293">
        <f t="shared" ref="J9:J42" si="2">(IF(CODE(D9)=(60),($BF9-1),(IF(CODE(D9)=(62),($BG9+1),D9))))</f>
        <v>0</v>
      </c>
      <c r="K9" s="293">
        <f t="shared" ref="K9:K42" si="3">(IF(CODE(E9)=(60),($BF9-1),(IF(CODE(E9)=(62),($BG9+1),E9))))</f>
        <v>0</v>
      </c>
      <c r="L9" s="293">
        <f t="shared" ref="L9:L42" si="4">(IF(CODE(F9)=(60),($BF9-1),(IF(CODE(F9)=(62),($BG9+1),F9))))</f>
        <v>0</v>
      </c>
      <c r="M9" s="293">
        <f t="shared" ref="M9:M42" si="5">(IF(CODE(G9)=(60),($BF9-1),(IF(CODE(G9)=(62),($BG9+1),G9))))</f>
        <v>0</v>
      </c>
      <c r="N9" s="91">
        <f t="shared" ref="N9:N23" si="6">IF((H9&gt;I9),I9,H9)</f>
        <v>0</v>
      </c>
      <c r="O9" s="91">
        <f t="shared" ref="O9:O23" si="7">IF((I9&gt;H9),I9,H9)</f>
        <v>0</v>
      </c>
      <c r="P9" s="91">
        <f t="shared" ref="P9:P23" si="8">IF((J9&gt;K9),K9,J9)</f>
        <v>0</v>
      </c>
      <c r="Q9" s="91">
        <f t="shared" ref="Q9:Q23" si="9">IF((K9&gt;J9),K9,J9)</f>
        <v>0</v>
      </c>
      <c r="R9" s="91">
        <f t="shared" ref="R9:R23" si="10">IF((L9&gt;M9),M9,L9)</f>
        <v>0</v>
      </c>
      <c r="S9" s="91">
        <f t="shared" ref="S9:S23" si="11">IF((M9&gt;L9),M9,L9)</f>
        <v>0</v>
      </c>
      <c r="T9" s="92">
        <f t="shared" ref="T9:T23" si="12">IF((P9=N9),P9,(IF((P9=O9),P9,0)))</f>
        <v>0</v>
      </c>
      <c r="U9" s="92">
        <f t="shared" ref="U9:U23" si="13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 t="shared" ref="X9:X42" si="14"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23" si="15">(IF(OR((X9=R9),(X9=S9)),X9,0))</f>
        <v>0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306"/>
      <c r="AF9" s="97"/>
      <c r="AG9" s="98">
        <f>(IF((A9="ERRO-FT"),"11",(IF((AND(($Z9=0),($AA9=0),(AX$44="S"))),0,(IF((AB9+AC9)&lt;=$AI$7,$AI$7,(AB9+AC9)))))))</f>
        <v>0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1</v>
      </c>
      <c r="AI9" s="100">
        <f t="shared" ref="AI9:AI23" si="18">(IF((AH9=0),0,(AH9/(AH9+1))))</f>
        <v>0.5</v>
      </c>
      <c r="AJ9" s="101"/>
      <c r="AK9" s="102">
        <f>IF(AG9=0,0,(1-AG9)^2)</f>
        <v>0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42" si="20">(IF((AND(($BD$43&lt;=2),(BD9=1))),"MT",(IF((AND(($BD$43&gt;2),(BD9=1))),"EM","OK"))))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1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1</v>
      </c>
      <c r="BD9" s="2">
        <f t="shared" ref="BD9:BD30" si="23"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0</v>
      </c>
      <c r="BK9" s="54">
        <f t="shared" ref="BK9:BK42" si="26">(IF((OR(($W9=($BF9-1)),($W9=($BG9+1)))),(CONCATENATE((BI9),(BJ9))),$W9))</f>
        <v>0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0</v>
      </c>
      <c r="BN9" s="57">
        <f t="shared" ref="BN9:BN42" si="29">(IF((OR(($Z9=($BF9-1)),($Z9=($BG9+1)))),(CONCATENATE((BL9),(BM9))),$Z9))</f>
        <v>0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" customHeight="1" thickTop="1" thickBot="1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0</v>
      </c>
      <c r="E10" s="292">
        <f>'IMPORTAÇÃO GENOTIPER'!AQ6</f>
        <v>0</v>
      </c>
      <c r="F10" s="292">
        <f>'IMPORTAÇÃO GENOTIPER'!AY6</f>
        <v>0</v>
      </c>
      <c r="G10" s="292">
        <f>'IMPORTAÇÃO GENOTIPER'!BG6</f>
        <v>0</v>
      </c>
      <c r="H10" s="293">
        <f t="shared" si="0"/>
        <v>0</v>
      </c>
      <c r="I10" s="293">
        <f t="shared" si="1"/>
        <v>0</v>
      </c>
      <c r="J10" s="293">
        <f t="shared" si="2"/>
        <v>0</v>
      </c>
      <c r="K10" s="293">
        <f t="shared" si="3"/>
        <v>0</v>
      </c>
      <c r="L10" s="293">
        <f t="shared" si="4"/>
        <v>0</v>
      </c>
      <c r="M10" s="293">
        <f t="shared" si="5"/>
        <v>0</v>
      </c>
      <c r="N10" s="91">
        <f t="shared" si="6"/>
        <v>0</v>
      </c>
      <c r="O10" s="91">
        <f t="shared" si="7"/>
        <v>0</v>
      </c>
      <c r="P10" s="91">
        <f t="shared" si="8"/>
        <v>0</v>
      </c>
      <c r="Q10" s="91">
        <f t="shared" si="9"/>
        <v>0</v>
      </c>
      <c r="R10" s="91">
        <f t="shared" si="10"/>
        <v>0</v>
      </c>
      <c r="S10" s="91">
        <f t="shared" si="11"/>
        <v>0</v>
      </c>
      <c r="T10" s="92">
        <f t="shared" si="12"/>
        <v>0</v>
      </c>
      <c r="U10" s="92">
        <f t="shared" si="13"/>
        <v>0</v>
      </c>
      <c r="V10" s="93">
        <f>(IF((OR((P10="&gt;36"),(Q10="&gt;36"))),2,(IF(((T10+U10)=(P10+Q10)),0,1))))</f>
        <v>0</v>
      </c>
      <c r="W10" s="94">
        <f t="shared" ref="W10:W23" si="33">IF(OR((T10=U10),(U10=0)),T10,(IF(AND((T10=0),(U10&lt;&gt;0)),U10,$AJ$7)))</f>
        <v>0</v>
      </c>
      <c r="X10" s="116">
        <f t="shared" si="14"/>
        <v>0</v>
      </c>
      <c r="Y10" s="92">
        <f>(IF((AND((T10=0),(U10=0))),E10,(IF((W10&lt;&gt;$AJ$7),0,Q10))))</f>
        <v>0</v>
      </c>
      <c r="Z10" s="95">
        <f t="shared" si="15"/>
        <v>0</v>
      </c>
      <c r="AA10" s="96">
        <f t="shared" si="16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</v>
      </c>
      <c r="AH10" s="99">
        <f t="shared" si="17"/>
        <v>1</v>
      </c>
      <c r="AI10" s="100">
        <f t="shared" si="18"/>
        <v>0.5</v>
      </c>
      <c r="AJ10" s="101"/>
      <c r="AK10" s="102">
        <f t="shared" ref="AK10:AK30" si="35">IF(AG10=0,0,(1-AG10)^2)</f>
        <v>0</v>
      </c>
      <c r="AL10" s="101"/>
      <c r="AM10" s="103" t="str">
        <f t="shared" si="19"/>
        <v>EXCLUI</v>
      </c>
      <c r="AN10" s="94" t="str">
        <f t="shared" si="20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1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1</v>
      </c>
      <c r="BD10" s="2">
        <f t="shared" si="23"/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0</v>
      </c>
      <c r="BK10" s="54">
        <f t="shared" si="26"/>
        <v>0</v>
      </c>
      <c r="BL10" s="57" t="str">
        <f t="shared" si="27"/>
        <v/>
      </c>
      <c r="BM10" s="63">
        <f t="shared" si="28"/>
        <v>0</v>
      </c>
      <c r="BN10" s="57">
        <f t="shared" si="29"/>
        <v>0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" customHeight="1" thickTop="1" thickBot="1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0</v>
      </c>
      <c r="E11" s="292">
        <f>'IMPORTAÇÃO GENOTIPER'!AQ7</f>
        <v>0</v>
      </c>
      <c r="F11" s="292">
        <f>'IMPORTAÇÃO GENOTIPER'!AY7</f>
        <v>0</v>
      </c>
      <c r="G11" s="292">
        <f>'IMPORTAÇÃO GENOTIPER'!BG7</f>
        <v>0</v>
      </c>
      <c r="H11" s="293">
        <f t="shared" si="0"/>
        <v>0</v>
      </c>
      <c r="I11" s="293">
        <f t="shared" si="1"/>
        <v>0</v>
      </c>
      <c r="J11" s="293">
        <f t="shared" si="2"/>
        <v>0</v>
      </c>
      <c r="K11" s="293">
        <f t="shared" si="3"/>
        <v>0</v>
      </c>
      <c r="L11" s="293">
        <f t="shared" si="4"/>
        <v>0</v>
      </c>
      <c r="M11" s="293">
        <f t="shared" si="5"/>
        <v>0</v>
      </c>
      <c r="N11" s="91">
        <f t="shared" si="6"/>
        <v>0</v>
      </c>
      <c r="O11" s="91">
        <f t="shared" si="7"/>
        <v>0</v>
      </c>
      <c r="P11" s="91">
        <f t="shared" si="8"/>
        <v>0</v>
      </c>
      <c r="Q11" s="91">
        <f t="shared" si="9"/>
        <v>0</v>
      </c>
      <c r="R11" s="91">
        <f t="shared" si="10"/>
        <v>0</v>
      </c>
      <c r="S11" s="91">
        <f t="shared" si="11"/>
        <v>0</v>
      </c>
      <c r="T11" s="92">
        <f t="shared" si="12"/>
        <v>0</v>
      </c>
      <c r="U11" s="92">
        <f t="shared" si="13"/>
        <v>0</v>
      </c>
      <c r="V11" s="93">
        <f>(IF((OR((P11="&gt;22"),(Q11="&gt;22"))),2,(IF(((T11+U11)=(P11+Q11)),0,1))))</f>
        <v>0</v>
      </c>
      <c r="W11" s="94">
        <f t="shared" si="33"/>
        <v>0</v>
      </c>
      <c r="X11" s="116">
        <f t="shared" si="14"/>
        <v>0</v>
      </c>
      <c r="Y11" s="92">
        <f>(ROUND( (IF((AND((T11=0),(U11=0))),E11,(IF((W11&lt;&gt;$AJ$7),0,Q11)))),1))</f>
        <v>0</v>
      </c>
      <c r="Z11" s="95">
        <f t="shared" si="15"/>
        <v>0</v>
      </c>
      <c r="AA11" s="96">
        <f t="shared" si="16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</v>
      </c>
      <c r="AH11" s="99">
        <f t="shared" si="17"/>
        <v>1</v>
      </c>
      <c r="AI11" s="100">
        <f t="shared" si="18"/>
        <v>0.5</v>
      </c>
      <c r="AJ11" s="101"/>
      <c r="AK11" s="102">
        <f t="shared" si="35"/>
        <v>0</v>
      </c>
      <c r="AL11" s="101"/>
      <c r="AM11" s="103" t="str">
        <f t="shared" si="19"/>
        <v>EXCLUI</v>
      </c>
      <c r="AN11" s="94" t="str">
        <f t="shared" si="20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1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1</v>
      </c>
      <c r="BD11" s="2">
        <f t="shared" si="23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24"/>
        <v/>
      </c>
      <c r="BJ11" s="54">
        <f t="shared" si="25"/>
        <v>0</v>
      </c>
      <c r="BK11" s="54">
        <f t="shared" si="26"/>
        <v>0</v>
      </c>
      <c r="BL11" s="57" t="str">
        <f t="shared" si="27"/>
        <v/>
      </c>
      <c r="BM11" s="57">
        <f t="shared" si="28"/>
        <v>0</v>
      </c>
      <c r="BN11" s="57">
        <f t="shared" si="29"/>
        <v>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" customHeight="1" thickTop="1" thickBot="1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0</v>
      </c>
      <c r="E12" s="296">
        <f>'IMPORTAÇÃO GENOTIPER'!AQ8</f>
        <v>0</v>
      </c>
      <c r="F12" s="296">
        <f>'IMPORTAÇÃO GENOTIPER'!AY8</f>
        <v>0</v>
      </c>
      <c r="G12" s="296">
        <f>'IMPORTAÇÃO GENOTIPER'!BG8</f>
        <v>0</v>
      </c>
      <c r="H12" s="297">
        <f t="shared" si="0"/>
        <v>0</v>
      </c>
      <c r="I12" s="297">
        <f t="shared" si="1"/>
        <v>0</v>
      </c>
      <c r="J12" s="297">
        <f t="shared" si="2"/>
        <v>0</v>
      </c>
      <c r="K12" s="297">
        <f t="shared" si="3"/>
        <v>0</v>
      </c>
      <c r="L12" s="297">
        <f t="shared" si="4"/>
        <v>0</v>
      </c>
      <c r="M12" s="297">
        <f t="shared" si="5"/>
        <v>0</v>
      </c>
      <c r="N12" s="113">
        <f t="shared" si="6"/>
        <v>0</v>
      </c>
      <c r="O12" s="113">
        <f t="shared" si="7"/>
        <v>0</v>
      </c>
      <c r="P12" s="113">
        <f t="shared" si="8"/>
        <v>0</v>
      </c>
      <c r="Q12" s="113">
        <f t="shared" si="9"/>
        <v>0</v>
      </c>
      <c r="R12" s="113">
        <f t="shared" si="10"/>
        <v>0</v>
      </c>
      <c r="S12" s="113">
        <f t="shared" si="11"/>
        <v>0</v>
      </c>
      <c r="T12" s="114">
        <f t="shared" si="12"/>
        <v>0</v>
      </c>
      <c r="U12" s="114">
        <f t="shared" si="13"/>
        <v>0</v>
      </c>
      <c r="V12" s="115">
        <f>(IF((OR((P12="&gt;21"),(Q12="&gt;21"))),2,(IF(((T12+U12)=(P12+Q12)),0,1))))</f>
        <v>0</v>
      </c>
      <c r="W12" s="114">
        <f t="shared" si="33"/>
        <v>0</v>
      </c>
      <c r="X12" s="116">
        <f t="shared" si="14"/>
        <v>0</v>
      </c>
      <c r="Y12" s="114">
        <f xml:space="preserve"> (IF((AND((T12=0),(U12=0))),E12,(IF((W12&lt;&gt;$AJ$7),0,Q12))))</f>
        <v>0</v>
      </c>
      <c r="Z12" s="117">
        <f t="shared" si="15"/>
        <v>0</v>
      </c>
      <c r="AA12" s="118">
        <f t="shared" si="16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</v>
      </c>
      <c r="AH12" s="99">
        <f t="shared" si="17"/>
        <v>1</v>
      </c>
      <c r="AI12" s="122">
        <f t="shared" si="18"/>
        <v>0.5</v>
      </c>
      <c r="AJ12" s="123" t="s">
        <v>140</v>
      </c>
      <c r="AK12" s="102">
        <f t="shared" si="35"/>
        <v>0</v>
      </c>
      <c r="AL12" s="123"/>
      <c r="AM12" s="103" t="str">
        <f t="shared" si="19"/>
        <v>EXCLUI</v>
      </c>
      <c r="AN12" s="126" t="str">
        <f t="shared" si="20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1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1</v>
      </c>
      <c r="BD12" s="132">
        <f t="shared" si="23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24"/>
        <v/>
      </c>
      <c r="BJ12" s="114">
        <f t="shared" si="25"/>
        <v>0</v>
      </c>
      <c r="BK12" s="114">
        <f t="shared" si="26"/>
        <v>0</v>
      </c>
      <c r="BL12" s="114" t="str">
        <f t="shared" si="27"/>
        <v/>
      </c>
      <c r="BM12" s="114">
        <f t="shared" si="28"/>
        <v>0</v>
      </c>
      <c r="BN12" s="114">
        <f t="shared" si="29"/>
        <v>0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" customHeight="1" thickTop="1" thickBot="1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0</v>
      </c>
      <c r="E13" s="292">
        <f>'IMPORTAÇÃO GENOTIPER'!AQ9</f>
        <v>0</v>
      </c>
      <c r="F13" s="292">
        <f>'IMPORTAÇÃO GENOTIPER'!AY9</f>
        <v>0</v>
      </c>
      <c r="G13" s="292">
        <f>'IMPORTAÇÃO GENOTIPER'!BG9</f>
        <v>0</v>
      </c>
      <c r="H13" s="293">
        <f t="shared" si="0"/>
        <v>0</v>
      </c>
      <c r="I13" s="293">
        <f t="shared" si="1"/>
        <v>0</v>
      </c>
      <c r="J13" s="293">
        <f t="shared" si="2"/>
        <v>0</v>
      </c>
      <c r="K13" s="293">
        <f t="shared" si="3"/>
        <v>0</v>
      </c>
      <c r="L13" s="293">
        <f t="shared" si="4"/>
        <v>0</v>
      </c>
      <c r="M13" s="293">
        <f t="shared" si="5"/>
        <v>0</v>
      </c>
      <c r="N13" s="91">
        <f t="shared" si="6"/>
        <v>0</v>
      </c>
      <c r="O13" s="91">
        <f t="shared" si="7"/>
        <v>0</v>
      </c>
      <c r="P13" s="91">
        <f t="shared" si="8"/>
        <v>0</v>
      </c>
      <c r="Q13" s="91">
        <f t="shared" si="9"/>
        <v>0</v>
      </c>
      <c r="R13" s="91">
        <f t="shared" si="10"/>
        <v>0</v>
      </c>
      <c r="S13" s="91">
        <f t="shared" si="11"/>
        <v>0</v>
      </c>
      <c r="T13" s="92">
        <f t="shared" si="12"/>
        <v>0</v>
      </c>
      <c r="U13" s="92">
        <f t="shared" si="13"/>
        <v>0</v>
      </c>
      <c r="V13" s="93">
        <f>(IF((OR((P13="&gt;21"),(Q13="&gt;21"))),2,(IF(((T13+U13)=(P13+Q13)),0,1))))</f>
        <v>0</v>
      </c>
      <c r="W13" s="94">
        <f t="shared" si="33"/>
        <v>0</v>
      </c>
      <c r="X13" s="116">
        <f t="shared" si="14"/>
        <v>0</v>
      </c>
      <c r="Y13" s="92">
        <f t="shared" ref="Y13:Y23" si="38">(IF((AND((T13=0),(U13=0))),E13,(IF((W13&lt;&gt;$AJ$7),0,Q13))))</f>
        <v>0</v>
      </c>
      <c r="Z13" s="95">
        <f t="shared" si="15"/>
        <v>0</v>
      </c>
      <c r="AA13" s="96">
        <f t="shared" si="16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</v>
      </c>
      <c r="AH13" s="99">
        <f t="shared" si="17"/>
        <v>1</v>
      </c>
      <c r="AI13" s="100">
        <f t="shared" si="18"/>
        <v>0.5</v>
      </c>
      <c r="AJ13" s="101" t="s">
        <v>163</v>
      </c>
      <c r="AK13" s="102">
        <f t="shared" si="35"/>
        <v>0</v>
      </c>
      <c r="AL13" s="101"/>
      <c r="AM13" s="103" t="str">
        <f t="shared" si="19"/>
        <v>EXCLUI</v>
      </c>
      <c r="AN13" s="94" t="str">
        <f t="shared" si="20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1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1</v>
      </c>
      <c r="BD13" s="2">
        <f t="shared" si="23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0</v>
      </c>
      <c r="BK13" s="54">
        <f t="shared" si="26"/>
        <v>0</v>
      </c>
      <c r="BL13" s="57" t="str">
        <f t="shared" si="27"/>
        <v/>
      </c>
      <c r="BM13" s="57">
        <f t="shared" si="28"/>
        <v>0</v>
      </c>
      <c r="BN13" s="57">
        <f t="shared" si="29"/>
        <v>0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" customHeight="1" thickTop="1" thickBot="1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0</v>
      </c>
      <c r="E14" s="292">
        <f>'IMPORTAÇÃO GENOTIPER'!AQ10</f>
        <v>0</v>
      </c>
      <c r="F14" s="292">
        <f>'IMPORTAÇÃO GENOTIPER'!AY10</f>
        <v>0</v>
      </c>
      <c r="G14" s="292">
        <f>'IMPORTAÇÃO GENOTIPER'!BG10</f>
        <v>0</v>
      </c>
      <c r="H14" s="293">
        <f t="shared" si="0"/>
        <v>0</v>
      </c>
      <c r="I14" s="293">
        <f t="shared" si="1"/>
        <v>0</v>
      </c>
      <c r="J14" s="293">
        <f t="shared" si="2"/>
        <v>0</v>
      </c>
      <c r="K14" s="293">
        <f t="shared" si="3"/>
        <v>0</v>
      </c>
      <c r="L14" s="293">
        <f t="shared" si="4"/>
        <v>0</v>
      </c>
      <c r="M14" s="293">
        <f t="shared" si="5"/>
        <v>0</v>
      </c>
      <c r="N14" s="91">
        <f t="shared" si="6"/>
        <v>0</v>
      </c>
      <c r="O14" s="91">
        <f t="shared" si="7"/>
        <v>0</v>
      </c>
      <c r="P14" s="91">
        <f t="shared" si="8"/>
        <v>0</v>
      </c>
      <c r="Q14" s="91">
        <f t="shared" si="9"/>
        <v>0</v>
      </c>
      <c r="R14" s="91">
        <f t="shared" si="10"/>
        <v>0</v>
      </c>
      <c r="S14" s="91">
        <f t="shared" si="11"/>
        <v>0</v>
      </c>
      <c r="T14" s="92">
        <f t="shared" si="12"/>
        <v>0</v>
      </c>
      <c r="U14" s="92">
        <f t="shared" si="13"/>
        <v>0</v>
      </c>
      <c r="V14" s="93">
        <f>(IF((OR((P14="&gt;20"),(Q14="&gt;20"))),2,(IF(((T14+U14)=(P14+Q14)),0,1))))</f>
        <v>0</v>
      </c>
      <c r="W14" s="94">
        <f t="shared" si="33"/>
        <v>0</v>
      </c>
      <c r="X14" s="116">
        <f t="shared" si="14"/>
        <v>0</v>
      </c>
      <c r="Y14" s="92">
        <f t="shared" si="38"/>
        <v>0</v>
      </c>
      <c r="Z14" s="95">
        <f t="shared" si="15"/>
        <v>0</v>
      </c>
      <c r="AA14" s="96">
        <f t="shared" si="16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</v>
      </c>
      <c r="AH14" s="99">
        <f t="shared" si="17"/>
        <v>1</v>
      </c>
      <c r="AI14" s="100">
        <f t="shared" si="18"/>
        <v>0.5</v>
      </c>
      <c r="AJ14" s="101"/>
      <c r="AK14" s="102">
        <f t="shared" si="35"/>
        <v>0</v>
      </c>
      <c r="AL14" s="101"/>
      <c r="AM14" s="103" t="str">
        <f t="shared" si="19"/>
        <v>EXCLUI</v>
      </c>
      <c r="AN14" s="94" t="str">
        <f t="shared" si="20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1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1</v>
      </c>
      <c r="BD14" s="2">
        <f t="shared" si="23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0</v>
      </c>
      <c r="BK14" s="54">
        <f t="shared" si="26"/>
        <v>0</v>
      </c>
      <c r="BL14" s="57" t="str">
        <f t="shared" si="27"/>
        <v/>
      </c>
      <c r="BM14" s="57">
        <f t="shared" si="28"/>
        <v>0</v>
      </c>
      <c r="BN14" s="57">
        <f t="shared" si="29"/>
        <v>0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" customHeight="1" thickTop="1" thickBot="1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0</v>
      </c>
      <c r="E15" s="292">
        <f>'IMPORTAÇÃO GENOTIPER'!AQ11</f>
        <v>0</v>
      </c>
      <c r="F15" s="292">
        <f>'IMPORTAÇÃO GENOTIPER'!AY11</f>
        <v>0</v>
      </c>
      <c r="G15" s="292">
        <f>'IMPORTAÇÃO GENOTIPER'!BG11</f>
        <v>0</v>
      </c>
      <c r="H15" s="293">
        <f t="shared" si="0"/>
        <v>0</v>
      </c>
      <c r="I15" s="293">
        <f t="shared" si="1"/>
        <v>0</v>
      </c>
      <c r="J15" s="293">
        <f t="shared" si="2"/>
        <v>0</v>
      </c>
      <c r="K15" s="293">
        <f t="shared" si="3"/>
        <v>0</v>
      </c>
      <c r="L15" s="293">
        <f t="shared" si="4"/>
        <v>0</v>
      </c>
      <c r="M15" s="293">
        <f t="shared" si="5"/>
        <v>0</v>
      </c>
      <c r="N15" s="91">
        <f t="shared" si="6"/>
        <v>0</v>
      </c>
      <c r="O15" s="91">
        <f t="shared" si="7"/>
        <v>0</v>
      </c>
      <c r="P15" s="91">
        <f t="shared" si="8"/>
        <v>0</v>
      </c>
      <c r="Q15" s="91">
        <f t="shared" si="9"/>
        <v>0</v>
      </c>
      <c r="R15" s="91">
        <f t="shared" si="10"/>
        <v>0</v>
      </c>
      <c r="S15" s="91">
        <f t="shared" si="11"/>
        <v>0</v>
      </c>
      <c r="T15" s="92">
        <f t="shared" si="12"/>
        <v>0</v>
      </c>
      <c r="U15" s="92">
        <f t="shared" si="13"/>
        <v>0</v>
      </c>
      <c r="V15" s="93">
        <f>(IF((OR((P15="&gt;23"),(Q15="&gt;23"))),2,(IF(((T15+U15)=(P15+Q15)),0,1))))</f>
        <v>0</v>
      </c>
      <c r="W15" s="94">
        <f t="shared" si="33"/>
        <v>0</v>
      </c>
      <c r="X15" s="116">
        <f t="shared" si="14"/>
        <v>0</v>
      </c>
      <c r="Y15" s="92">
        <f t="shared" si="38"/>
        <v>0</v>
      </c>
      <c r="Z15" s="95">
        <f t="shared" si="15"/>
        <v>0</v>
      </c>
      <c r="AA15" s="96">
        <f t="shared" si="16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</v>
      </c>
      <c r="AH15" s="99">
        <f t="shared" si="17"/>
        <v>1</v>
      </c>
      <c r="AI15" s="100">
        <f t="shared" si="18"/>
        <v>0.5</v>
      </c>
      <c r="AJ15" s="101"/>
      <c r="AK15" s="102">
        <f t="shared" si="35"/>
        <v>0</v>
      </c>
      <c r="AL15" s="101"/>
      <c r="AM15" s="103" t="str">
        <f t="shared" si="19"/>
        <v>EXCLUI</v>
      </c>
      <c r="AN15" s="94" t="str">
        <f t="shared" si="20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1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1</v>
      </c>
      <c r="BD15" s="2">
        <f t="shared" si="23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24"/>
        <v/>
      </c>
      <c r="BJ15" s="54">
        <f t="shared" si="25"/>
        <v>0</v>
      </c>
      <c r="BK15" s="54">
        <f t="shared" si="26"/>
        <v>0</v>
      </c>
      <c r="BL15" s="57" t="str">
        <f t="shared" si="27"/>
        <v/>
      </c>
      <c r="BM15" s="57">
        <f t="shared" si="28"/>
        <v>0</v>
      </c>
      <c r="BN15" s="57">
        <f t="shared" si="29"/>
        <v>0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" customHeight="1" thickTop="1" thickBot="1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0</v>
      </c>
      <c r="E16" s="292">
        <f>'IMPORTAÇÃO GENOTIPER'!AQ12</f>
        <v>0</v>
      </c>
      <c r="F16" s="292">
        <f>'IMPORTAÇÃO GENOTIPER'!AY12</f>
        <v>0</v>
      </c>
      <c r="G16" s="292">
        <f>'IMPORTAÇÃO GENOTIPER'!BG12</f>
        <v>0</v>
      </c>
      <c r="H16" s="293">
        <f t="shared" si="0"/>
        <v>0</v>
      </c>
      <c r="I16" s="293">
        <f t="shared" si="1"/>
        <v>0</v>
      </c>
      <c r="J16" s="293">
        <f t="shared" si="2"/>
        <v>0</v>
      </c>
      <c r="K16" s="293">
        <f t="shared" si="3"/>
        <v>0</v>
      </c>
      <c r="L16" s="293">
        <f t="shared" si="4"/>
        <v>0</v>
      </c>
      <c r="M16" s="293">
        <f t="shared" si="5"/>
        <v>0</v>
      </c>
      <c r="N16" s="91">
        <f t="shared" si="6"/>
        <v>0</v>
      </c>
      <c r="O16" s="91">
        <f t="shared" si="7"/>
        <v>0</v>
      </c>
      <c r="P16" s="91">
        <f t="shared" si="8"/>
        <v>0</v>
      </c>
      <c r="Q16" s="91">
        <f t="shared" si="9"/>
        <v>0</v>
      </c>
      <c r="R16" s="91">
        <f t="shared" si="10"/>
        <v>0</v>
      </c>
      <c r="S16" s="91">
        <f t="shared" si="11"/>
        <v>0</v>
      </c>
      <c r="T16" s="92">
        <f t="shared" si="12"/>
        <v>0</v>
      </c>
      <c r="U16" s="92">
        <f t="shared" si="13"/>
        <v>0</v>
      </c>
      <c r="V16" s="93">
        <f>(IF((OR((P16="&gt;22"),(Q16="&gt;22"))),2,(IF(((T16+U16)=(P16+Q16)),0,1))))</f>
        <v>0</v>
      </c>
      <c r="W16" s="94">
        <f t="shared" si="33"/>
        <v>0</v>
      </c>
      <c r="X16" s="116">
        <f t="shared" si="14"/>
        <v>0</v>
      </c>
      <c r="Y16" s="92">
        <f t="shared" si="38"/>
        <v>0</v>
      </c>
      <c r="Z16" s="95">
        <f t="shared" si="15"/>
        <v>0</v>
      </c>
      <c r="AA16" s="96">
        <f t="shared" si="16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0</v>
      </c>
      <c r="AH16" s="99">
        <f t="shared" si="17"/>
        <v>1</v>
      </c>
      <c r="AI16" s="100">
        <f t="shared" si="18"/>
        <v>0.5</v>
      </c>
      <c r="AJ16" s="101"/>
      <c r="AK16" s="102">
        <f t="shared" si="35"/>
        <v>0</v>
      </c>
      <c r="AL16" s="101"/>
      <c r="AM16" s="103" t="str">
        <f t="shared" si="19"/>
        <v>EXCLUI</v>
      </c>
      <c r="AN16" s="94" t="str">
        <f t="shared" si="20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1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1</v>
      </c>
      <c r="BD16" s="2">
        <f t="shared" si="23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>
        <f t="shared" si="25"/>
        <v>0</v>
      </c>
      <c r="BK16" s="54">
        <f t="shared" si="26"/>
        <v>0</v>
      </c>
      <c r="BL16" s="57" t="str">
        <f t="shared" si="27"/>
        <v/>
      </c>
      <c r="BM16" s="57">
        <f t="shared" si="28"/>
        <v>0</v>
      </c>
      <c r="BN16" s="57">
        <f t="shared" si="29"/>
        <v>0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" customHeight="1" thickTop="1" thickBot="1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0</v>
      </c>
      <c r="E17" s="292">
        <f>'IMPORTAÇÃO GENOTIPER'!AQ13</f>
        <v>0</v>
      </c>
      <c r="F17" s="292">
        <f>'IMPORTAÇÃO GENOTIPER'!AY13</f>
        <v>0</v>
      </c>
      <c r="G17" s="292">
        <f>'IMPORTAÇÃO GENOTIPER'!BG13</f>
        <v>0</v>
      </c>
      <c r="H17" s="293">
        <f t="shared" si="0"/>
        <v>0</v>
      </c>
      <c r="I17" s="293">
        <f t="shared" si="1"/>
        <v>0</v>
      </c>
      <c r="J17" s="293">
        <f t="shared" si="2"/>
        <v>0</v>
      </c>
      <c r="K17" s="293">
        <f t="shared" si="3"/>
        <v>0</v>
      </c>
      <c r="L17" s="293">
        <f t="shared" si="4"/>
        <v>0</v>
      </c>
      <c r="M17" s="293">
        <f t="shared" si="5"/>
        <v>0</v>
      </c>
      <c r="N17" s="91">
        <f t="shared" si="6"/>
        <v>0</v>
      </c>
      <c r="O17" s="91">
        <f t="shared" si="7"/>
        <v>0</v>
      </c>
      <c r="P17" s="91">
        <f t="shared" si="8"/>
        <v>0</v>
      </c>
      <c r="Q17" s="91">
        <f t="shared" si="9"/>
        <v>0</v>
      </c>
      <c r="R17" s="91">
        <f t="shared" si="10"/>
        <v>0</v>
      </c>
      <c r="S17" s="91">
        <f t="shared" si="11"/>
        <v>0</v>
      </c>
      <c r="T17" s="92">
        <f t="shared" si="12"/>
        <v>0</v>
      </c>
      <c r="U17" s="92">
        <f t="shared" si="13"/>
        <v>0</v>
      </c>
      <c r="V17" s="93">
        <f>(IF((OR((P17="&gt;28"),(Q17="&gt;28"))),2,(IF(((T17+U17)=(P17+Q17)),0,1))))</f>
        <v>0</v>
      </c>
      <c r="W17" s="94">
        <f t="shared" si="33"/>
        <v>0</v>
      </c>
      <c r="X17" s="116">
        <f t="shared" si="14"/>
        <v>0</v>
      </c>
      <c r="Y17" s="92">
        <f t="shared" si="38"/>
        <v>0</v>
      </c>
      <c r="Z17" s="95">
        <f t="shared" si="15"/>
        <v>0</v>
      </c>
      <c r="AA17" s="96">
        <f t="shared" si="16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0</v>
      </c>
      <c r="AH17" s="99">
        <f t="shared" si="17"/>
        <v>1</v>
      </c>
      <c r="AI17" s="100">
        <f t="shared" si="18"/>
        <v>0.5</v>
      </c>
      <c r="AJ17" s="101" t="s">
        <v>173</v>
      </c>
      <c r="AK17" s="102">
        <f t="shared" si="35"/>
        <v>0</v>
      </c>
      <c r="AL17" s="101"/>
      <c r="AM17" s="103" t="str">
        <f t="shared" si="19"/>
        <v>EXCLUI</v>
      </c>
      <c r="AN17" s="94" t="str">
        <f t="shared" si="20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1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1</v>
      </c>
      <c r="BD17" s="2">
        <f t="shared" si="23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24"/>
        <v/>
      </c>
      <c r="BJ17" s="54">
        <f t="shared" si="25"/>
        <v>0</v>
      </c>
      <c r="BK17" s="54">
        <f t="shared" si="26"/>
        <v>0</v>
      </c>
      <c r="BL17" s="57" t="str">
        <f t="shared" si="27"/>
        <v/>
      </c>
      <c r="BM17" s="57">
        <f t="shared" si="28"/>
        <v>0</v>
      </c>
      <c r="BN17" s="57">
        <f t="shared" si="29"/>
        <v>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" customHeight="1" thickTop="1" thickBot="1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0</v>
      </c>
      <c r="E18" s="292">
        <f>'IMPORTAÇÃO GENOTIPER'!AQ14</f>
        <v>0</v>
      </c>
      <c r="F18" s="292">
        <f>'IMPORTAÇÃO GENOTIPER'!AY14</f>
        <v>0</v>
      </c>
      <c r="G18" s="292">
        <f>'IMPORTAÇÃO GENOTIPER'!BG14</f>
        <v>0</v>
      </c>
      <c r="H18" s="293">
        <f t="shared" si="0"/>
        <v>0</v>
      </c>
      <c r="I18" s="293">
        <f t="shared" si="1"/>
        <v>0</v>
      </c>
      <c r="J18" s="293">
        <f t="shared" si="2"/>
        <v>0</v>
      </c>
      <c r="K18" s="293">
        <f t="shared" si="3"/>
        <v>0</v>
      </c>
      <c r="L18" s="293">
        <f t="shared" si="4"/>
        <v>0</v>
      </c>
      <c r="M18" s="293">
        <f t="shared" si="5"/>
        <v>0</v>
      </c>
      <c r="N18" s="91">
        <f t="shared" si="6"/>
        <v>0</v>
      </c>
      <c r="O18" s="91">
        <f t="shared" si="7"/>
        <v>0</v>
      </c>
      <c r="P18" s="91">
        <f t="shared" si="8"/>
        <v>0</v>
      </c>
      <c r="Q18" s="91">
        <f t="shared" si="9"/>
        <v>0</v>
      </c>
      <c r="R18" s="91">
        <f t="shared" si="10"/>
        <v>0</v>
      </c>
      <c r="S18" s="91">
        <f t="shared" si="11"/>
        <v>0</v>
      </c>
      <c r="T18" s="92">
        <f t="shared" si="12"/>
        <v>0</v>
      </c>
      <c r="U18" s="92">
        <f t="shared" si="13"/>
        <v>0</v>
      </c>
      <c r="V18" s="93">
        <f>(IF((OR((P18="&gt;17,2"),(Q18="&gt;17,2"))),2,(IF(((T18+U18)=(P18+Q18)),0,1))))</f>
        <v>0</v>
      </c>
      <c r="W18" s="94">
        <f t="shared" si="33"/>
        <v>0</v>
      </c>
      <c r="X18" s="116">
        <f t="shared" si="14"/>
        <v>0</v>
      </c>
      <c r="Y18" s="92">
        <f t="shared" si="38"/>
        <v>0</v>
      </c>
      <c r="Z18" s="95">
        <f t="shared" si="15"/>
        <v>0</v>
      </c>
      <c r="AA18" s="96">
        <f t="shared" si="16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</v>
      </c>
      <c r="AH18" s="99">
        <f t="shared" si="17"/>
        <v>1</v>
      </c>
      <c r="AI18" s="100">
        <f t="shared" si="18"/>
        <v>0.5</v>
      </c>
      <c r="AJ18" s="101"/>
      <c r="AK18" s="102">
        <f t="shared" si="35"/>
        <v>0</v>
      </c>
      <c r="AL18" s="101"/>
      <c r="AM18" s="103" t="str">
        <f t="shared" si="19"/>
        <v>EXCLUI</v>
      </c>
      <c r="AN18" s="94" t="str">
        <f t="shared" si="20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1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1</v>
      </c>
      <c r="BD18" s="2">
        <f t="shared" si="23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24"/>
        <v/>
      </c>
      <c r="BJ18" s="54">
        <f t="shared" si="25"/>
        <v>0</v>
      </c>
      <c r="BK18" s="54">
        <f t="shared" si="26"/>
        <v>0</v>
      </c>
      <c r="BL18" s="57" t="str">
        <f t="shared" si="27"/>
        <v/>
      </c>
      <c r="BM18" s="57">
        <f t="shared" si="28"/>
        <v>0</v>
      </c>
      <c r="BN18" s="57">
        <f t="shared" si="29"/>
        <v>0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" customHeight="1" thickTop="1" thickBot="1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0</v>
      </c>
      <c r="E19" s="292">
        <f>'IMPORTAÇÃO GENOTIPER'!AQ15</f>
        <v>0</v>
      </c>
      <c r="F19" s="292">
        <f>'IMPORTAÇÃO GENOTIPER'!AY15</f>
        <v>0</v>
      </c>
      <c r="G19" s="292">
        <f>'IMPORTAÇÃO GENOTIPER'!BG15</f>
        <v>0</v>
      </c>
      <c r="H19" s="293">
        <f t="shared" si="0"/>
        <v>0</v>
      </c>
      <c r="I19" s="293">
        <f t="shared" si="1"/>
        <v>0</v>
      </c>
      <c r="J19" s="293">
        <f t="shared" si="2"/>
        <v>0</v>
      </c>
      <c r="K19" s="293">
        <f t="shared" si="3"/>
        <v>0</v>
      </c>
      <c r="L19" s="293">
        <f t="shared" si="4"/>
        <v>0</v>
      </c>
      <c r="M19" s="293">
        <f t="shared" si="5"/>
        <v>0</v>
      </c>
      <c r="N19" s="91">
        <f t="shared" si="6"/>
        <v>0</v>
      </c>
      <c r="O19" s="91">
        <f t="shared" si="7"/>
        <v>0</v>
      </c>
      <c r="P19" s="91">
        <f t="shared" si="8"/>
        <v>0</v>
      </c>
      <c r="Q19" s="91">
        <f t="shared" si="9"/>
        <v>0</v>
      </c>
      <c r="R19" s="91">
        <f t="shared" si="10"/>
        <v>0</v>
      </c>
      <c r="S19" s="91">
        <f t="shared" si="11"/>
        <v>0</v>
      </c>
      <c r="T19" s="92">
        <f t="shared" si="12"/>
        <v>0</v>
      </c>
      <c r="U19" s="92">
        <f t="shared" si="13"/>
        <v>0</v>
      </c>
      <c r="V19" s="93">
        <f>(IF((OR((P19="&gt;21"),(Q19="&gt;21"))),2,(IF(((T19+U19)=(P19+Q19)),0,1))))</f>
        <v>0</v>
      </c>
      <c r="W19" s="94">
        <f t="shared" si="33"/>
        <v>0</v>
      </c>
      <c r="X19" s="116">
        <f t="shared" si="14"/>
        <v>0</v>
      </c>
      <c r="Y19" s="92">
        <f t="shared" si="38"/>
        <v>0</v>
      </c>
      <c r="Z19" s="95">
        <f t="shared" si="15"/>
        <v>0</v>
      </c>
      <c r="AA19" s="96">
        <f t="shared" si="16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</v>
      </c>
      <c r="AH19" s="99">
        <f t="shared" si="17"/>
        <v>1</v>
      </c>
      <c r="AI19" s="100">
        <f t="shared" si="18"/>
        <v>0.5</v>
      </c>
      <c r="AJ19" s="101" t="s">
        <v>164</v>
      </c>
      <c r="AK19" s="102">
        <f t="shared" si="35"/>
        <v>0</v>
      </c>
      <c r="AL19" s="101"/>
      <c r="AM19" s="103" t="str">
        <f t="shared" si="19"/>
        <v>EXCLUI</v>
      </c>
      <c r="AN19" s="94" t="str">
        <f t="shared" si="20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1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1</v>
      </c>
      <c r="BD19" s="2">
        <f t="shared" si="23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0</v>
      </c>
      <c r="BK19" s="54">
        <f t="shared" si="26"/>
        <v>0</v>
      </c>
      <c r="BL19" s="57" t="str">
        <f t="shared" si="27"/>
        <v/>
      </c>
      <c r="BM19" s="57">
        <f t="shared" si="28"/>
        <v>0</v>
      </c>
      <c r="BN19" s="57">
        <f t="shared" si="29"/>
        <v>0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" customHeight="1" thickTop="1" thickBot="1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0</v>
      </c>
      <c r="E20" s="292">
        <f>'IMPORTAÇÃO GENOTIPER'!AQ16</f>
        <v>0</v>
      </c>
      <c r="F20" s="292">
        <f>'IMPORTAÇÃO GENOTIPER'!AY16</f>
        <v>0</v>
      </c>
      <c r="G20" s="292">
        <f>'IMPORTAÇÃO GENOTIPER'!BG16</f>
        <v>0</v>
      </c>
      <c r="H20" s="293">
        <f t="shared" si="0"/>
        <v>0</v>
      </c>
      <c r="I20" s="293">
        <f t="shared" si="1"/>
        <v>0</v>
      </c>
      <c r="J20" s="293">
        <f t="shared" si="2"/>
        <v>0</v>
      </c>
      <c r="K20" s="293">
        <f t="shared" si="3"/>
        <v>0</v>
      </c>
      <c r="L20" s="293">
        <f t="shared" si="4"/>
        <v>0</v>
      </c>
      <c r="M20" s="293">
        <f t="shared" si="5"/>
        <v>0</v>
      </c>
      <c r="N20" s="91">
        <f t="shared" si="6"/>
        <v>0</v>
      </c>
      <c r="O20" s="91">
        <f t="shared" si="7"/>
        <v>0</v>
      </c>
      <c r="P20" s="91">
        <f t="shared" si="8"/>
        <v>0</v>
      </c>
      <c r="Q20" s="91">
        <f t="shared" si="9"/>
        <v>0</v>
      </c>
      <c r="R20" s="91">
        <f t="shared" si="10"/>
        <v>0</v>
      </c>
      <c r="S20" s="91">
        <f t="shared" si="11"/>
        <v>0</v>
      </c>
      <c r="T20" s="92">
        <f t="shared" si="12"/>
        <v>0</v>
      </c>
      <c r="U20" s="92">
        <f t="shared" si="13"/>
        <v>0</v>
      </c>
      <c r="V20" s="93">
        <f>(IF((OR((P20="&gt;20"),(Q20="&gt;20"))),2,(IF(((T20+U20)=(P20+Q20)),0,1))))</f>
        <v>0</v>
      </c>
      <c r="W20" s="94">
        <f t="shared" si="33"/>
        <v>0</v>
      </c>
      <c r="X20" s="116">
        <f t="shared" si="14"/>
        <v>0</v>
      </c>
      <c r="Y20" s="92">
        <f t="shared" si="38"/>
        <v>0</v>
      </c>
      <c r="Z20" s="95">
        <f t="shared" si="15"/>
        <v>0</v>
      </c>
      <c r="AA20" s="96">
        <f t="shared" si="16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</v>
      </c>
      <c r="AH20" s="99">
        <f t="shared" si="17"/>
        <v>1</v>
      </c>
      <c r="AI20" s="100">
        <f t="shared" si="18"/>
        <v>0.5</v>
      </c>
      <c r="AJ20" s="101"/>
      <c r="AK20" s="102">
        <f t="shared" si="35"/>
        <v>0</v>
      </c>
      <c r="AL20" s="101"/>
      <c r="AM20" s="103" t="str">
        <f t="shared" si="19"/>
        <v>EXCLUI</v>
      </c>
      <c r="AN20" s="94" t="str">
        <f t="shared" si="20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1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1</v>
      </c>
      <c r="BD20" s="2">
        <f t="shared" si="23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24"/>
        <v/>
      </c>
      <c r="BJ20" s="54">
        <f t="shared" si="25"/>
        <v>0</v>
      </c>
      <c r="BK20" s="54">
        <f t="shared" si="26"/>
        <v>0</v>
      </c>
      <c r="BL20" s="57" t="str">
        <f t="shared" si="27"/>
        <v/>
      </c>
      <c r="BM20" s="57">
        <f t="shared" si="28"/>
        <v>0</v>
      </c>
      <c r="BN20" s="57">
        <f t="shared" si="29"/>
        <v>0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" customHeight="1" thickTop="1" thickBot="1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0</v>
      </c>
      <c r="E21" s="292">
        <f>'IMPORTAÇÃO GENOTIPER'!AQ17</f>
        <v>0</v>
      </c>
      <c r="F21" s="292">
        <f>'IMPORTAÇÃO GENOTIPER'!AY17</f>
        <v>0</v>
      </c>
      <c r="G21" s="292">
        <f>'IMPORTAÇÃO GENOTIPER'!BG17</f>
        <v>0</v>
      </c>
      <c r="H21" s="293">
        <f t="shared" si="0"/>
        <v>0</v>
      </c>
      <c r="I21" s="293">
        <f t="shared" si="1"/>
        <v>0</v>
      </c>
      <c r="J21" s="293">
        <f t="shared" si="2"/>
        <v>0</v>
      </c>
      <c r="K21" s="293">
        <f t="shared" si="3"/>
        <v>0</v>
      </c>
      <c r="L21" s="293">
        <f t="shared" si="4"/>
        <v>0</v>
      </c>
      <c r="M21" s="293">
        <f t="shared" si="5"/>
        <v>0</v>
      </c>
      <c r="N21" s="91">
        <f t="shared" si="6"/>
        <v>0</v>
      </c>
      <c r="O21" s="91">
        <f t="shared" si="7"/>
        <v>0</v>
      </c>
      <c r="P21" s="91">
        <f t="shared" si="8"/>
        <v>0</v>
      </c>
      <c r="Q21" s="91">
        <f t="shared" si="9"/>
        <v>0</v>
      </c>
      <c r="R21" s="91">
        <f t="shared" si="10"/>
        <v>0</v>
      </c>
      <c r="S21" s="91">
        <f t="shared" si="11"/>
        <v>0</v>
      </c>
      <c r="T21" s="92">
        <f t="shared" si="12"/>
        <v>0</v>
      </c>
      <c r="U21" s="92">
        <f t="shared" si="13"/>
        <v>0</v>
      </c>
      <c r="V21" s="93">
        <f>(IF((OR((P21="&gt;24"),(Q21="&gt;24"))),2,(IF(((T21+U21)=(P21+Q21)),0,1))))</f>
        <v>0</v>
      </c>
      <c r="W21" s="94">
        <f t="shared" si="33"/>
        <v>0</v>
      </c>
      <c r="X21" s="116">
        <f t="shared" si="14"/>
        <v>0</v>
      </c>
      <c r="Y21" s="92">
        <f t="shared" si="38"/>
        <v>0</v>
      </c>
      <c r="Z21" s="95">
        <f t="shared" si="15"/>
        <v>0</v>
      </c>
      <c r="AA21" s="96">
        <f t="shared" si="16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</v>
      </c>
      <c r="AH21" s="99">
        <f t="shared" si="17"/>
        <v>1</v>
      </c>
      <c r="AI21" s="100">
        <f t="shared" si="18"/>
        <v>0.5</v>
      </c>
      <c r="AJ21" s="101"/>
      <c r="AK21" s="102">
        <f t="shared" si="35"/>
        <v>0</v>
      </c>
      <c r="AL21" s="101"/>
      <c r="AM21" s="103" t="str">
        <f t="shared" si="19"/>
        <v>EXCLUI</v>
      </c>
      <c r="AN21" s="94" t="str">
        <f t="shared" si="20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1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1</v>
      </c>
      <c r="BD21" s="2">
        <f t="shared" si="23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24"/>
        <v/>
      </c>
      <c r="BJ21" s="54">
        <f t="shared" si="25"/>
        <v>0</v>
      </c>
      <c r="BK21" s="54">
        <f t="shared" si="26"/>
        <v>0</v>
      </c>
      <c r="BL21" s="57" t="str">
        <f t="shared" si="27"/>
        <v/>
      </c>
      <c r="BM21" s="57">
        <f t="shared" si="28"/>
        <v>0</v>
      </c>
      <c r="BN21" s="57">
        <f t="shared" si="29"/>
        <v>0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" customHeight="1" thickTop="1" thickBot="1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0</v>
      </c>
      <c r="E22" s="292">
        <f>'IMPORTAÇÃO GENOTIPER'!AQ18</f>
        <v>0</v>
      </c>
      <c r="F22" s="292">
        <f>'IMPORTAÇÃO GENOTIPER'!AY18</f>
        <v>0</v>
      </c>
      <c r="G22" s="292">
        <f>'IMPORTAÇÃO GENOTIPER'!BG18</f>
        <v>0</v>
      </c>
      <c r="H22" s="293">
        <f t="shared" si="0"/>
        <v>0</v>
      </c>
      <c r="I22" s="293">
        <f t="shared" si="1"/>
        <v>0</v>
      </c>
      <c r="J22" s="293">
        <f t="shared" si="2"/>
        <v>0</v>
      </c>
      <c r="K22" s="293">
        <f t="shared" si="3"/>
        <v>0</v>
      </c>
      <c r="L22" s="293">
        <f t="shared" si="4"/>
        <v>0</v>
      </c>
      <c r="M22" s="293">
        <f t="shared" si="5"/>
        <v>0</v>
      </c>
      <c r="N22" s="91">
        <f t="shared" si="6"/>
        <v>0</v>
      </c>
      <c r="O22" s="91">
        <f t="shared" si="7"/>
        <v>0</v>
      </c>
      <c r="P22" s="91">
        <f t="shared" si="8"/>
        <v>0</v>
      </c>
      <c r="Q22" s="91">
        <f t="shared" si="9"/>
        <v>0</v>
      </c>
      <c r="R22" s="91">
        <f t="shared" si="10"/>
        <v>0</v>
      </c>
      <c r="S22" s="91">
        <f t="shared" si="11"/>
        <v>0</v>
      </c>
      <c r="T22" s="92">
        <f t="shared" si="12"/>
        <v>0</v>
      </c>
      <c r="U22" s="92">
        <f t="shared" si="13"/>
        <v>0</v>
      </c>
      <c r="V22" s="93">
        <f>(IF((OR((P22="&gt;22"),(Q22="&gt;22"))),2,(IF(((T22+U22)=(P22+Q22)),0,1))))</f>
        <v>0</v>
      </c>
      <c r="W22" s="94">
        <f t="shared" si="33"/>
        <v>0</v>
      </c>
      <c r="X22" s="116">
        <f t="shared" si="14"/>
        <v>0</v>
      </c>
      <c r="Y22" s="92">
        <f t="shared" si="38"/>
        <v>0</v>
      </c>
      <c r="Z22" s="95">
        <f t="shared" si="15"/>
        <v>0</v>
      </c>
      <c r="AA22" s="96">
        <f t="shared" si="16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0</v>
      </c>
      <c r="AH22" s="99">
        <f t="shared" si="17"/>
        <v>1</v>
      </c>
      <c r="AI22" s="100">
        <f t="shared" si="18"/>
        <v>0.5</v>
      </c>
      <c r="AJ22" s="101"/>
      <c r="AK22" s="102">
        <f t="shared" si="35"/>
        <v>0</v>
      </c>
      <c r="AL22" s="101"/>
      <c r="AM22" s="103" t="str">
        <f t="shared" si="19"/>
        <v>EXCLUI</v>
      </c>
      <c r="AN22" s="94" t="str">
        <f t="shared" si="20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1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1</v>
      </c>
      <c r="BD22" s="2">
        <f t="shared" si="23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0</v>
      </c>
      <c r="BK22" s="54">
        <f t="shared" si="26"/>
        <v>0</v>
      </c>
      <c r="BL22" s="57" t="str">
        <f t="shared" si="27"/>
        <v/>
      </c>
      <c r="BM22" s="57">
        <f t="shared" si="28"/>
        <v>0</v>
      </c>
      <c r="BN22" s="57">
        <f t="shared" si="29"/>
        <v>0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" customHeight="1" thickTop="1" thickBot="1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0</v>
      </c>
      <c r="E23" s="292">
        <f>'IMPORTAÇÃO GENOTIPER'!AQ19</f>
        <v>0</v>
      </c>
      <c r="F23" s="292">
        <f>'IMPORTAÇÃO GENOTIPER'!AY19</f>
        <v>0</v>
      </c>
      <c r="G23" s="292">
        <f>'IMPORTAÇÃO GENOTIPER'!BG19</f>
        <v>0</v>
      </c>
      <c r="H23" s="293">
        <f t="shared" si="0"/>
        <v>0</v>
      </c>
      <c r="I23" s="293">
        <f t="shared" si="1"/>
        <v>0</v>
      </c>
      <c r="J23" s="293">
        <f t="shared" si="2"/>
        <v>0</v>
      </c>
      <c r="K23" s="293">
        <f t="shared" si="3"/>
        <v>0</v>
      </c>
      <c r="L23" s="293">
        <f t="shared" si="4"/>
        <v>0</v>
      </c>
      <c r="M23" s="293">
        <f t="shared" si="5"/>
        <v>0</v>
      </c>
      <c r="N23" s="91">
        <f t="shared" si="6"/>
        <v>0</v>
      </c>
      <c r="O23" s="91">
        <f t="shared" si="7"/>
        <v>0</v>
      </c>
      <c r="P23" s="91">
        <f t="shared" si="8"/>
        <v>0</v>
      </c>
      <c r="Q23" s="91">
        <f t="shared" si="9"/>
        <v>0</v>
      </c>
      <c r="R23" s="91">
        <f t="shared" si="10"/>
        <v>0</v>
      </c>
      <c r="S23" s="91">
        <f t="shared" si="11"/>
        <v>0</v>
      </c>
      <c r="T23" s="92">
        <f t="shared" si="12"/>
        <v>0</v>
      </c>
      <c r="U23" s="92">
        <f t="shared" si="13"/>
        <v>0</v>
      </c>
      <c r="V23" s="93">
        <f>(IF((OR((P23="&gt;32"),(Q23="&gt;32"))),2,(IF(((T23+U23)=(P23+Q23)),0,1))))</f>
        <v>0</v>
      </c>
      <c r="W23" s="94">
        <f t="shared" si="33"/>
        <v>0</v>
      </c>
      <c r="X23" s="116">
        <f t="shared" si="14"/>
        <v>0</v>
      </c>
      <c r="Y23" s="92">
        <f t="shared" si="38"/>
        <v>0</v>
      </c>
      <c r="Z23" s="95">
        <f t="shared" si="15"/>
        <v>0</v>
      </c>
      <c r="AA23" s="96">
        <f t="shared" si="16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</v>
      </c>
      <c r="AH23" s="99">
        <f t="shared" si="17"/>
        <v>1</v>
      </c>
      <c r="AI23" s="100">
        <f t="shared" si="18"/>
        <v>0.5</v>
      </c>
      <c r="AJ23" s="101" t="s">
        <v>173</v>
      </c>
      <c r="AK23" s="102">
        <f t="shared" si="35"/>
        <v>0</v>
      </c>
      <c r="AL23" s="101"/>
      <c r="AM23" s="103" t="str">
        <f t="shared" si="19"/>
        <v>EXCLUI</v>
      </c>
      <c r="AN23" s="94" t="str">
        <f t="shared" si="20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1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1</v>
      </c>
      <c r="BD23" s="2">
        <f t="shared" si="23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0</v>
      </c>
      <c r="BK23" s="25">
        <f t="shared" si="26"/>
        <v>0</v>
      </c>
      <c r="BL23" s="61" t="str">
        <f t="shared" si="27"/>
        <v/>
      </c>
      <c r="BM23" s="61">
        <f t="shared" si="28"/>
        <v>0</v>
      </c>
      <c r="BN23" s="61">
        <f t="shared" si="29"/>
        <v>0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" customHeight="1" thickTop="1" thickBot="1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0</v>
      </c>
      <c r="E24" s="292">
        <f>'IMPORTAÇÃO GENOTIPER'!AQ20</f>
        <v>0</v>
      </c>
      <c r="F24" s="292">
        <f>'IMPORTAÇÃO GENOTIPER'!AY20</f>
        <v>0</v>
      </c>
      <c r="G24" s="292">
        <f>'IMPORTAÇÃO GENOTIPER'!BG20</f>
        <v>0</v>
      </c>
      <c r="H24" s="293">
        <f t="shared" si="0"/>
        <v>0</v>
      </c>
      <c r="I24" s="293">
        <f t="shared" si="1"/>
        <v>0</v>
      </c>
      <c r="J24" s="293">
        <f t="shared" si="2"/>
        <v>0</v>
      </c>
      <c r="K24" s="293">
        <f t="shared" si="3"/>
        <v>0</v>
      </c>
      <c r="L24" s="293">
        <f t="shared" si="4"/>
        <v>0</v>
      </c>
      <c r="M24" s="293">
        <f t="shared" si="5"/>
        <v>0</v>
      </c>
      <c r="N24" s="91">
        <f t="shared" ref="N24:N30" si="40">IF((H24&gt;I24),I24,H24)</f>
        <v>0</v>
      </c>
      <c r="O24" s="91">
        <f t="shared" ref="O24:O30" si="41">IF((I24&gt;H24),I24,H24)</f>
        <v>0</v>
      </c>
      <c r="P24" s="91">
        <f t="shared" ref="P24:P30" si="42">IF((J24&gt;K24),K24,J24)</f>
        <v>0</v>
      </c>
      <c r="Q24" s="91">
        <f t="shared" ref="Q24:Q30" si="43">IF((K24&gt;J24),K24,J24)</f>
        <v>0</v>
      </c>
      <c r="R24" s="91">
        <f t="shared" ref="R24:R30" si="44">IF((L24&gt;M24),M24,L24)</f>
        <v>0</v>
      </c>
      <c r="S24" s="91">
        <f t="shared" ref="S24:S30" si="45">IF((M24&gt;L24),M24,L24)</f>
        <v>0</v>
      </c>
      <c r="T24" s="92">
        <f t="shared" ref="T24:T30" si="46">IF((P24=N24),P24,(IF((P24=O24),P24,0)))</f>
        <v>0</v>
      </c>
      <c r="U24" s="92">
        <f t="shared" ref="U24:U30" si="47">IF((Q24=N24),Q24,(IF((Q24=O24),Q24,0)))</f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14"/>
        <v>0</v>
      </c>
      <c r="Y24" s="92">
        <f>(IF((AND(($T24=0),($U24=0))),$E24,(IF(($W24&lt;&gt;$AJ$7),0,$Q24))))</f>
        <v>0</v>
      </c>
      <c r="Z24" s="95">
        <f t="shared" ref="Z24:Z30" si="48">(IF(OR((X24=R24),(X24=S24)),X24,0))</f>
        <v>0</v>
      </c>
      <c r="AA24" s="96">
        <f t="shared" si="16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306"/>
      <c r="AF24" s="97"/>
      <c r="AG24" s="98">
        <f t="shared" si="34"/>
        <v>0</v>
      </c>
      <c r="AH24" s="99">
        <f t="shared" si="17"/>
        <v>1</v>
      </c>
      <c r="AI24" s="100">
        <f t="shared" ref="AI24:AI30" si="49">(IF((AH24=0),0,(AH24/(AH24+1))))</f>
        <v>0.5</v>
      </c>
      <c r="AJ24" s="101"/>
      <c r="AK24" s="102">
        <f t="shared" si="35"/>
        <v>0</v>
      </c>
      <c r="AL24" s="101"/>
      <c r="AM24" s="103" t="str">
        <f t="shared" si="19"/>
        <v>EXCLUI</v>
      </c>
      <c r="AN24" s="94" t="str">
        <f t="shared" si="20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1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1</v>
      </c>
      <c r="BD24" s="2">
        <f t="shared" si="23"/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24"/>
        <v/>
      </c>
      <c r="BJ24" s="54">
        <f t="shared" si="25"/>
        <v>0</v>
      </c>
      <c r="BK24" s="54">
        <f t="shared" si="26"/>
        <v>0</v>
      </c>
      <c r="BL24" s="57" t="str">
        <f t="shared" si="27"/>
        <v/>
      </c>
      <c r="BM24" s="57">
        <f t="shared" si="28"/>
        <v>0</v>
      </c>
      <c r="BN24" s="57">
        <f t="shared" si="29"/>
        <v>0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" customHeight="1" thickTop="1" thickBot="1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0</v>
      </c>
      <c r="E25" s="292">
        <f>'IMPORTAÇÃO GENOTIPER'!AQ21</f>
        <v>0</v>
      </c>
      <c r="F25" s="292">
        <f>'IMPORTAÇÃO GENOTIPER'!AY21</f>
        <v>0</v>
      </c>
      <c r="G25" s="292">
        <f>'IMPORTAÇÃO GENOTIPER'!BG21</f>
        <v>0</v>
      </c>
      <c r="H25" s="293">
        <f t="shared" si="0"/>
        <v>0</v>
      </c>
      <c r="I25" s="293">
        <f t="shared" si="1"/>
        <v>0</v>
      </c>
      <c r="J25" s="293">
        <f t="shared" si="2"/>
        <v>0</v>
      </c>
      <c r="K25" s="293">
        <f t="shared" si="3"/>
        <v>0</v>
      </c>
      <c r="L25" s="293">
        <f t="shared" si="4"/>
        <v>0</v>
      </c>
      <c r="M25" s="293">
        <f t="shared" si="5"/>
        <v>0</v>
      </c>
      <c r="N25" s="91">
        <f t="shared" si="40"/>
        <v>0</v>
      </c>
      <c r="O25" s="91">
        <f t="shared" si="41"/>
        <v>0</v>
      </c>
      <c r="P25" s="91">
        <f t="shared" si="42"/>
        <v>0</v>
      </c>
      <c r="Q25" s="91">
        <f t="shared" si="43"/>
        <v>0</v>
      </c>
      <c r="R25" s="91">
        <f t="shared" si="44"/>
        <v>0</v>
      </c>
      <c r="S25" s="91">
        <f t="shared" si="45"/>
        <v>0</v>
      </c>
      <c r="T25" s="92">
        <f t="shared" si="46"/>
        <v>0</v>
      </c>
      <c r="U25" s="92">
        <f t="shared" si="47"/>
        <v>0</v>
      </c>
      <c r="V25" s="93">
        <f>(IF((OR((P25="&gt;36"),(Q25="&gt;36"))),2,(IF(((T25+U25)=(P25+Q25)),0,1))))</f>
        <v>0</v>
      </c>
      <c r="W25" s="94">
        <f t="shared" ref="W25:W42" si="50">IF(OR((T25=U25),(U25=0)),T25,(IF(AND((T25=0),(U25&lt;&gt;0)),U25,$AJ$7)))</f>
        <v>0</v>
      </c>
      <c r="X25" s="116">
        <f t="shared" si="14"/>
        <v>0</v>
      </c>
      <c r="Y25" s="92">
        <f>(IF((AND((T25=0),(U25=0))),E25,(IF((W25&lt;&gt;$AJ$7),0,Q25))))</f>
        <v>0</v>
      </c>
      <c r="Z25" s="95">
        <f t="shared" si="48"/>
        <v>0</v>
      </c>
      <c r="AA25" s="96">
        <f t="shared" si="16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</v>
      </c>
      <c r="AH25" s="99">
        <f t="shared" si="17"/>
        <v>1</v>
      </c>
      <c r="AI25" s="100">
        <f t="shared" si="49"/>
        <v>0.5</v>
      </c>
      <c r="AJ25" s="101"/>
      <c r="AK25" s="102">
        <f t="shared" si="35"/>
        <v>0</v>
      </c>
      <c r="AL25" s="101"/>
      <c r="AM25" s="103" t="str">
        <f t="shared" si="19"/>
        <v>EXCLUI</v>
      </c>
      <c r="AN25" s="94" t="str">
        <f t="shared" si="20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1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1</v>
      </c>
      <c r="BD25" s="2">
        <f t="shared" si="23"/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0</v>
      </c>
      <c r="BK25" s="54">
        <f t="shared" si="26"/>
        <v>0</v>
      </c>
      <c r="BL25" s="57" t="str">
        <f t="shared" si="27"/>
        <v/>
      </c>
      <c r="BM25" s="63">
        <f t="shared" si="28"/>
        <v>0</v>
      </c>
      <c r="BN25" s="57">
        <f t="shared" si="29"/>
        <v>0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" customHeight="1" thickTop="1" thickBot="1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0</v>
      </c>
      <c r="E26" s="292">
        <f>'IMPORTAÇÃO GENOTIPER'!AQ22</f>
        <v>0</v>
      </c>
      <c r="F26" s="292">
        <f>'IMPORTAÇÃO GENOTIPER'!AY22</f>
        <v>0</v>
      </c>
      <c r="G26" s="292">
        <f>'IMPORTAÇÃO GENOTIPER'!BG22</f>
        <v>0</v>
      </c>
      <c r="H26" s="293">
        <f t="shared" si="0"/>
        <v>0</v>
      </c>
      <c r="I26" s="293">
        <f t="shared" si="1"/>
        <v>0</v>
      </c>
      <c r="J26" s="293">
        <f t="shared" si="2"/>
        <v>0</v>
      </c>
      <c r="K26" s="293">
        <f t="shared" si="3"/>
        <v>0</v>
      </c>
      <c r="L26" s="293">
        <f t="shared" si="4"/>
        <v>0</v>
      </c>
      <c r="M26" s="293">
        <f t="shared" si="5"/>
        <v>0</v>
      </c>
      <c r="N26" s="91">
        <f t="shared" si="40"/>
        <v>0</v>
      </c>
      <c r="O26" s="91">
        <f t="shared" si="41"/>
        <v>0</v>
      </c>
      <c r="P26" s="91">
        <f t="shared" si="42"/>
        <v>0</v>
      </c>
      <c r="Q26" s="91">
        <f t="shared" si="43"/>
        <v>0</v>
      </c>
      <c r="R26" s="91">
        <f t="shared" si="44"/>
        <v>0</v>
      </c>
      <c r="S26" s="91">
        <f t="shared" si="45"/>
        <v>0</v>
      </c>
      <c r="T26" s="92">
        <f t="shared" si="46"/>
        <v>0</v>
      </c>
      <c r="U26" s="92">
        <f t="shared" si="47"/>
        <v>0</v>
      </c>
      <c r="V26" s="93">
        <f>(IF((OR((P26="&gt;21"),(Q26="&gt;21"))),2,(IF(((T26+U26)=(P26+Q26)),0,1))))</f>
        <v>0</v>
      </c>
      <c r="W26" s="92">
        <f t="shared" si="50"/>
        <v>0</v>
      </c>
      <c r="X26" s="116">
        <f t="shared" si="14"/>
        <v>0</v>
      </c>
      <c r="Y26" s="92">
        <f xml:space="preserve"> (IF((AND((T26=0),(U26=0))),E26,(IF((W26&lt;&gt;$AJ$7),0,Q26))))</f>
        <v>0</v>
      </c>
      <c r="Z26" s="95">
        <f t="shared" si="48"/>
        <v>0</v>
      </c>
      <c r="AA26" s="96">
        <f t="shared" si="16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306"/>
      <c r="AF26" s="97"/>
      <c r="AG26" s="98">
        <f t="shared" si="34"/>
        <v>0</v>
      </c>
      <c r="AH26" s="99">
        <f t="shared" si="17"/>
        <v>1</v>
      </c>
      <c r="AI26" s="100">
        <f t="shared" si="49"/>
        <v>0.5</v>
      </c>
      <c r="AJ26" s="101" t="s">
        <v>140</v>
      </c>
      <c r="AK26" s="102">
        <f t="shared" si="35"/>
        <v>0</v>
      </c>
      <c r="AL26" s="101"/>
      <c r="AM26" s="103" t="str">
        <f t="shared" si="19"/>
        <v>EXCLUI</v>
      </c>
      <c r="AN26" s="94" t="str">
        <f t="shared" si="20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1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1</v>
      </c>
      <c r="BD26" s="2">
        <f t="shared" si="23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24"/>
        <v/>
      </c>
      <c r="BJ26" s="54">
        <f t="shared" si="25"/>
        <v>0</v>
      </c>
      <c r="BK26" s="54">
        <f t="shared" si="26"/>
        <v>0</v>
      </c>
      <c r="BL26" s="57" t="str">
        <f t="shared" si="27"/>
        <v/>
      </c>
      <c r="BM26" s="57">
        <f t="shared" si="28"/>
        <v>0</v>
      </c>
      <c r="BN26" s="57">
        <f t="shared" si="29"/>
        <v>0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" customHeight="1" thickTop="1" thickBot="1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0</v>
      </c>
      <c r="E27" s="292">
        <f>'IMPORTAÇÃO GENOTIPER'!AQ23</f>
        <v>0</v>
      </c>
      <c r="F27" s="292">
        <f>'IMPORTAÇÃO GENOTIPER'!AY23</f>
        <v>0</v>
      </c>
      <c r="G27" s="292">
        <f>'IMPORTAÇÃO GENOTIPER'!BG23</f>
        <v>0</v>
      </c>
      <c r="H27" s="293">
        <f t="shared" si="0"/>
        <v>0</v>
      </c>
      <c r="I27" s="293">
        <f t="shared" si="1"/>
        <v>0</v>
      </c>
      <c r="J27" s="293">
        <f t="shared" si="2"/>
        <v>0</v>
      </c>
      <c r="K27" s="293">
        <f t="shared" si="3"/>
        <v>0</v>
      </c>
      <c r="L27" s="293">
        <f t="shared" si="4"/>
        <v>0</v>
      </c>
      <c r="M27" s="293">
        <f t="shared" si="5"/>
        <v>0</v>
      </c>
      <c r="N27" s="91">
        <f t="shared" si="40"/>
        <v>0</v>
      </c>
      <c r="O27" s="91">
        <f t="shared" si="41"/>
        <v>0</v>
      </c>
      <c r="P27" s="91">
        <f t="shared" si="42"/>
        <v>0</v>
      </c>
      <c r="Q27" s="91">
        <f t="shared" si="43"/>
        <v>0</v>
      </c>
      <c r="R27" s="91">
        <f t="shared" si="44"/>
        <v>0</v>
      </c>
      <c r="S27" s="91">
        <f t="shared" si="45"/>
        <v>0</v>
      </c>
      <c r="T27" s="92">
        <f t="shared" si="46"/>
        <v>0</v>
      </c>
      <c r="U27" s="92">
        <f t="shared" si="47"/>
        <v>0</v>
      </c>
      <c r="V27" s="93">
        <f>(IF((OR((P27="&gt;21"),(Q27="&gt;21"))),2,(IF(((T27+U27)=(P27+Q27)),0,1))))</f>
        <v>0</v>
      </c>
      <c r="W27" s="94">
        <f t="shared" si="50"/>
        <v>0</v>
      </c>
      <c r="X27" s="116">
        <f t="shared" si="14"/>
        <v>0</v>
      </c>
      <c r="Y27" s="92">
        <f t="shared" ref="Y27:Y42" si="52">(IF((AND((T27=0),(U27=0))),E27,(IF((W27&lt;&gt;$AJ$7),0,Q27))))</f>
        <v>0</v>
      </c>
      <c r="Z27" s="95">
        <f t="shared" si="48"/>
        <v>0</v>
      </c>
      <c r="AA27" s="96">
        <f t="shared" si="16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0</v>
      </c>
      <c r="AH27" s="99">
        <f t="shared" si="17"/>
        <v>1</v>
      </c>
      <c r="AI27" s="100">
        <f t="shared" si="49"/>
        <v>0.5</v>
      </c>
      <c r="AJ27" s="101" t="s">
        <v>163</v>
      </c>
      <c r="AK27" s="102">
        <f t="shared" si="35"/>
        <v>0</v>
      </c>
      <c r="AL27" s="101"/>
      <c r="AM27" s="103" t="str">
        <f t="shared" si="19"/>
        <v>EXCLUI</v>
      </c>
      <c r="AN27" s="94" t="str">
        <f t="shared" si="20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1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1</v>
      </c>
      <c r="BD27" s="2">
        <f t="shared" si="23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0</v>
      </c>
      <c r="BK27" s="54">
        <f t="shared" si="26"/>
        <v>0</v>
      </c>
      <c r="BL27" s="57" t="str">
        <f t="shared" si="27"/>
        <v/>
      </c>
      <c r="BM27" s="57">
        <f t="shared" si="28"/>
        <v>0</v>
      </c>
      <c r="BN27" s="57">
        <f t="shared" si="29"/>
        <v>0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" customHeight="1" thickTop="1" thickBot="1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0</v>
      </c>
      <c r="E28" s="292">
        <f>'IMPORTAÇÃO GENOTIPER'!AQ24</f>
        <v>0</v>
      </c>
      <c r="F28" s="292">
        <f>'IMPORTAÇÃO GENOTIPER'!AY24</f>
        <v>0</v>
      </c>
      <c r="G28" s="292">
        <f>'IMPORTAÇÃO GENOTIPER'!BG24</f>
        <v>0</v>
      </c>
      <c r="H28" s="293">
        <f t="shared" si="0"/>
        <v>0</v>
      </c>
      <c r="I28" s="293">
        <f t="shared" si="1"/>
        <v>0</v>
      </c>
      <c r="J28" s="293">
        <f t="shared" si="2"/>
        <v>0</v>
      </c>
      <c r="K28" s="293">
        <f t="shared" si="3"/>
        <v>0</v>
      </c>
      <c r="L28" s="293">
        <f t="shared" si="4"/>
        <v>0</v>
      </c>
      <c r="M28" s="293">
        <f t="shared" si="5"/>
        <v>0</v>
      </c>
      <c r="N28" s="91">
        <f t="shared" si="40"/>
        <v>0</v>
      </c>
      <c r="O28" s="91">
        <f t="shared" si="41"/>
        <v>0</v>
      </c>
      <c r="P28" s="91">
        <f t="shared" si="42"/>
        <v>0</v>
      </c>
      <c r="Q28" s="91">
        <f t="shared" si="43"/>
        <v>0</v>
      </c>
      <c r="R28" s="91">
        <f t="shared" si="44"/>
        <v>0</v>
      </c>
      <c r="S28" s="91">
        <f t="shared" si="45"/>
        <v>0</v>
      </c>
      <c r="T28" s="92">
        <f t="shared" si="46"/>
        <v>0</v>
      </c>
      <c r="U28" s="92">
        <f t="shared" si="47"/>
        <v>0</v>
      </c>
      <c r="V28" s="93">
        <f>(IF((OR((P28="&gt;20"),(Q28="&gt;20"))),2,(IF(((T28+U28)=(P28+Q28)),0,1))))</f>
        <v>0</v>
      </c>
      <c r="W28" s="94">
        <f t="shared" si="50"/>
        <v>0</v>
      </c>
      <c r="X28" s="116">
        <f t="shared" si="14"/>
        <v>0</v>
      </c>
      <c r="Y28" s="92">
        <f t="shared" si="52"/>
        <v>0</v>
      </c>
      <c r="Z28" s="95">
        <f t="shared" si="48"/>
        <v>0</v>
      </c>
      <c r="AA28" s="96">
        <f t="shared" si="16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</v>
      </c>
      <c r="AH28" s="99">
        <f t="shared" si="17"/>
        <v>1</v>
      </c>
      <c r="AI28" s="100">
        <f t="shared" si="49"/>
        <v>0.5</v>
      </c>
      <c r="AJ28" s="101"/>
      <c r="AK28" s="102">
        <f t="shared" si="35"/>
        <v>0</v>
      </c>
      <c r="AL28" s="101"/>
      <c r="AM28" s="103" t="str">
        <f t="shared" si="19"/>
        <v>EXCLUI</v>
      </c>
      <c r="AN28" s="94" t="str">
        <f t="shared" si="20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1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1</v>
      </c>
      <c r="BD28" s="2">
        <f t="shared" si="23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0</v>
      </c>
      <c r="BK28" s="54">
        <f t="shared" si="26"/>
        <v>0</v>
      </c>
      <c r="BL28" s="57" t="str">
        <f t="shared" si="27"/>
        <v/>
      </c>
      <c r="BM28" s="57">
        <f t="shared" si="28"/>
        <v>0</v>
      </c>
      <c r="BN28" s="57">
        <f t="shared" si="29"/>
        <v>0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" customHeight="1" thickTop="1" thickBot="1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0</v>
      </c>
      <c r="E29" s="292">
        <f>'IMPORTAÇÃO GENOTIPER'!AQ25</f>
        <v>0</v>
      </c>
      <c r="F29" s="292">
        <f>'IMPORTAÇÃO GENOTIPER'!AY25</f>
        <v>0</v>
      </c>
      <c r="G29" s="292">
        <f>'IMPORTAÇÃO GENOTIPER'!BG25</f>
        <v>0</v>
      </c>
      <c r="H29" s="293">
        <f t="shared" si="0"/>
        <v>0</v>
      </c>
      <c r="I29" s="293">
        <f t="shared" si="1"/>
        <v>0</v>
      </c>
      <c r="J29" s="293">
        <f t="shared" si="2"/>
        <v>0</v>
      </c>
      <c r="K29" s="293">
        <f t="shared" si="3"/>
        <v>0</v>
      </c>
      <c r="L29" s="293">
        <f t="shared" si="4"/>
        <v>0</v>
      </c>
      <c r="M29" s="293">
        <f t="shared" si="5"/>
        <v>0</v>
      </c>
      <c r="N29" s="91">
        <f t="shared" si="40"/>
        <v>0</v>
      </c>
      <c r="O29" s="91">
        <f t="shared" si="41"/>
        <v>0</v>
      </c>
      <c r="P29" s="91">
        <f t="shared" si="42"/>
        <v>0</v>
      </c>
      <c r="Q29" s="91">
        <f t="shared" si="43"/>
        <v>0</v>
      </c>
      <c r="R29" s="91">
        <f t="shared" si="44"/>
        <v>0</v>
      </c>
      <c r="S29" s="91">
        <f t="shared" si="45"/>
        <v>0</v>
      </c>
      <c r="T29" s="92">
        <f t="shared" si="46"/>
        <v>0</v>
      </c>
      <c r="U29" s="92">
        <f t="shared" si="47"/>
        <v>0</v>
      </c>
      <c r="V29" s="93">
        <f>(IF((OR((P29="&gt;23"),(Q29="&gt;23"))),2,(IF(((T29+U29)=(P29+Q29)),0,1))))</f>
        <v>0</v>
      </c>
      <c r="W29" s="94">
        <f t="shared" si="50"/>
        <v>0</v>
      </c>
      <c r="X29" s="116">
        <f t="shared" si="14"/>
        <v>0</v>
      </c>
      <c r="Y29" s="92">
        <f t="shared" si="52"/>
        <v>0</v>
      </c>
      <c r="Z29" s="95">
        <f t="shared" si="48"/>
        <v>0</v>
      </c>
      <c r="AA29" s="96">
        <f t="shared" si="16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</v>
      </c>
      <c r="AH29" s="99">
        <f t="shared" si="17"/>
        <v>1</v>
      </c>
      <c r="AI29" s="100">
        <f t="shared" si="49"/>
        <v>0.5</v>
      </c>
      <c r="AJ29" s="101"/>
      <c r="AK29" s="102">
        <f t="shared" si="35"/>
        <v>0</v>
      </c>
      <c r="AL29" s="101"/>
      <c r="AM29" s="103" t="str">
        <f t="shared" si="19"/>
        <v>EXCLUI</v>
      </c>
      <c r="AN29" s="94" t="str">
        <f t="shared" si="20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1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1</v>
      </c>
      <c r="BD29" s="2">
        <f t="shared" si="23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0</v>
      </c>
      <c r="BK29" s="54">
        <f t="shared" si="26"/>
        <v>0</v>
      </c>
      <c r="BL29" s="57" t="str">
        <f t="shared" si="27"/>
        <v/>
      </c>
      <c r="BM29" s="57">
        <f t="shared" si="28"/>
        <v>0</v>
      </c>
      <c r="BN29" s="57">
        <f t="shared" si="29"/>
        <v>0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" customHeight="1" thickTop="1" thickBot="1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0</v>
      </c>
      <c r="E30" s="292">
        <f>'IMPORTAÇÃO GENOTIPER'!AQ26</f>
        <v>0</v>
      </c>
      <c r="F30" s="292">
        <f>'IMPORTAÇÃO GENOTIPER'!AY26</f>
        <v>0</v>
      </c>
      <c r="G30" s="292">
        <f>'IMPORTAÇÃO GENOTIPER'!BG26</f>
        <v>0</v>
      </c>
      <c r="H30" s="293">
        <f t="shared" si="0"/>
        <v>0</v>
      </c>
      <c r="I30" s="293">
        <f t="shared" si="1"/>
        <v>0</v>
      </c>
      <c r="J30" s="293">
        <f t="shared" si="2"/>
        <v>0</v>
      </c>
      <c r="K30" s="293">
        <f t="shared" si="3"/>
        <v>0</v>
      </c>
      <c r="L30" s="293">
        <f t="shared" si="4"/>
        <v>0</v>
      </c>
      <c r="M30" s="293">
        <f t="shared" si="5"/>
        <v>0</v>
      </c>
      <c r="N30" s="91">
        <f t="shared" si="40"/>
        <v>0</v>
      </c>
      <c r="O30" s="91">
        <f t="shared" si="41"/>
        <v>0</v>
      </c>
      <c r="P30" s="91">
        <f t="shared" si="42"/>
        <v>0</v>
      </c>
      <c r="Q30" s="91">
        <f t="shared" si="43"/>
        <v>0</v>
      </c>
      <c r="R30" s="91">
        <f t="shared" si="44"/>
        <v>0</v>
      </c>
      <c r="S30" s="91">
        <f t="shared" si="45"/>
        <v>0</v>
      </c>
      <c r="T30" s="92">
        <f t="shared" si="46"/>
        <v>0</v>
      </c>
      <c r="U30" s="92">
        <f t="shared" si="47"/>
        <v>0</v>
      </c>
      <c r="V30" s="93">
        <f>(IF((OR((P30="&gt;22"),(Q30="&gt;22"))),2,(IF(((T30+U30)=(P30+Q30)),0,1))))</f>
        <v>0</v>
      </c>
      <c r="W30" s="94">
        <f t="shared" si="50"/>
        <v>0</v>
      </c>
      <c r="X30" s="116">
        <f t="shared" si="14"/>
        <v>0</v>
      </c>
      <c r="Y30" s="92">
        <f t="shared" si="52"/>
        <v>0</v>
      </c>
      <c r="Z30" s="95">
        <f t="shared" si="48"/>
        <v>0</v>
      </c>
      <c r="AA30" s="96">
        <f t="shared" si="16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 t="shared" si="34"/>
        <v>0</v>
      </c>
      <c r="AH30" s="99">
        <f t="shared" si="17"/>
        <v>1</v>
      </c>
      <c r="AI30" s="100">
        <f t="shared" si="49"/>
        <v>0.5</v>
      </c>
      <c r="AJ30" s="101"/>
      <c r="AK30" s="102">
        <f t="shared" si="35"/>
        <v>0</v>
      </c>
      <c r="AL30" s="101"/>
      <c r="AM30" s="103" t="str">
        <f t="shared" si="19"/>
        <v>EXCLUI</v>
      </c>
      <c r="AN30" s="94" t="str">
        <f t="shared" si="20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1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1</v>
      </c>
      <c r="BD30" s="2">
        <f t="shared" si="23"/>
        <v>1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>
        <f t="shared" si="25"/>
        <v>0</v>
      </c>
      <c r="BK30" s="54">
        <f t="shared" si="26"/>
        <v>0</v>
      </c>
      <c r="BL30" s="57" t="str">
        <f t="shared" si="27"/>
        <v/>
      </c>
      <c r="BM30" s="57">
        <f t="shared" si="28"/>
        <v>0</v>
      </c>
      <c r="BN30" s="57">
        <f t="shared" si="29"/>
        <v>0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EXCLUI</v>
      </c>
      <c r="AN31" s="94" t="str">
        <f t="shared" si="20"/>
        <v>EM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EXCLUI</v>
      </c>
      <c r="AN32" s="94" t="str">
        <f t="shared" si="20"/>
        <v>EM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EXCLUI</v>
      </c>
      <c r="AN33" s="94" t="str">
        <f t="shared" si="20"/>
        <v>EM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EXCLUI</v>
      </c>
      <c r="AN34" s="94" t="str">
        <f t="shared" si="20"/>
        <v>EM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EXCLUI</v>
      </c>
      <c r="AN35" s="94" t="str">
        <f t="shared" si="20"/>
        <v>EM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EXCLUI</v>
      </c>
      <c r="AN36" s="94" t="str">
        <f t="shared" si="20"/>
        <v>EM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EXCLUI</v>
      </c>
      <c r="AN37" s="94" t="str">
        <f t="shared" si="20"/>
        <v>EM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EXCLUI</v>
      </c>
      <c r="AN38" s="94" t="str">
        <f t="shared" si="20"/>
        <v>EM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EXCLUI</v>
      </c>
      <c r="AN39" s="94" t="str">
        <f t="shared" si="20"/>
        <v>EM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EXCLUI</v>
      </c>
      <c r="AN40" s="94" t="str">
        <f t="shared" si="20"/>
        <v>EM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EXCLUI</v>
      </c>
      <c r="AN41" s="94" t="str">
        <f t="shared" si="20"/>
        <v>EM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EXCLUI</v>
      </c>
      <c r="AN42" s="94" t="str">
        <f t="shared" si="20"/>
        <v>EM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803">
        <f>(IF((AND(($AX$48="N"),($AX$50="O"),($AX$47&lt;=2))),($BC$47),(IF(AND(((PRODUCT(AH9:AH42))&lt;&gt;0),($AX$47&lt;=2)),PRODUCT(AH9:AH42),"NIHIL"))))</f>
        <v>1</v>
      </c>
      <c r="AH43" s="803"/>
      <c r="AI43" s="803"/>
      <c r="AJ43" s="22"/>
      <c r="AK43" s="804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1</v>
      </c>
      <c r="AL43" s="804"/>
      <c r="AM43" s="210"/>
      <c r="AN43" s="17"/>
      <c r="AX43" s="52">
        <f>SUM(AX9:AX30)</f>
        <v>22</v>
      </c>
      <c r="BC43" s="40">
        <f>(IF((AND(($AX$44="N"),($AX$46="O"))),(BC9*BC10*BC11*BC12*BC13*BC14*BC15*BC16*BC17*BC18*BC19*BC20*BC21*BC22*BC23),0))</f>
        <v>0</v>
      </c>
      <c r="BD43" s="35">
        <f>SUM(BD9:BD23)</f>
        <v>15</v>
      </c>
      <c r="CD43" s="401"/>
    </row>
    <row r="44" spans="1:82" ht="14.4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805">
        <f>(IF((AND(($AX$48="N"),($AX$50="O"),($AX$47&lt;=2))),(ROUNDDOWN(($AG43/($AG43+1)),11)),(IF(((PRODUCT(AH9:AH42))&lt;&gt;0),(ROUNDDOWN(($AG43/($AG43+1)),11)),"NIHIL"))))</f>
        <v>0.5</v>
      </c>
      <c r="AH44" s="805"/>
      <c r="AI44" s="805"/>
      <c r="AJ44" s="805"/>
      <c r="AK44" s="805"/>
      <c r="AL44" s="805"/>
      <c r="AM44" s="805"/>
      <c r="AN44" s="73"/>
      <c r="AR44" s="1" t="s">
        <v>102</v>
      </c>
      <c r="AX44" s="300" t="s">
        <v>241</v>
      </c>
      <c r="AY44" s="47" t="s">
        <v>124</v>
      </c>
      <c r="CD44" s="402">
        <f>AG44</f>
        <v>0.5</v>
      </c>
    </row>
    <row r="45" spans="1:82" ht="14.4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06">
        <f>(IF((AND(((OR(($AX$47=1),($AX$47=2)))),($AX$48="N"),($AX$50="O"))),"CÁLCULO COM OMISSÃO DE LOCUS",(IF(((PRODUCT(AH9:AH42))&lt;&gt;0),(ROUNDDOWN((1-$AK43),11)),"EXCLUSÃO"))))</f>
        <v>0</v>
      </c>
      <c r="AH45" s="806"/>
      <c r="AI45" s="806"/>
      <c r="AJ45" s="806"/>
      <c r="AK45" s="806"/>
      <c r="AL45" s="806"/>
      <c r="AM45" s="806"/>
      <c r="AN45" s="72"/>
      <c r="AR45" s="1" t="s">
        <v>104</v>
      </c>
      <c r="AX45" s="301" t="s">
        <v>102</v>
      </c>
      <c r="AY45" s="47" t="s">
        <v>125</v>
      </c>
    </row>
    <row r="46" spans="1:82" ht="14.4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PATERNIDADE REMOTA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784" t="s">
        <v>223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6"/>
    </row>
    <row r="48" spans="1:82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9"/>
    </row>
    <row r="49" spans="1:74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9"/>
    </row>
    <row r="50" spans="1:74" ht="12" customHeight="1" thickBot="1">
      <c r="A50" s="790"/>
      <c r="B50" s="791"/>
      <c r="C50" s="791"/>
      <c r="D50" s="791"/>
      <c r="E50" s="791"/>
      <c r="F50" s="791"/>
      <c r="G50" s="791"/>
      <c r="H50" s="791"/>
      <c r="I50" s="791"/>
      <c r="J50" s="791"/>
      <c r="K50" s="791"/>
      <c r="L50" s="791"/>
      <c r="M50" s="791"/>
      <c r="N50" s="791"/>
      <c r="O50" s="791"/>
      <c r="P50" s="791"/>
      <c r="Q50" s="791"/>
      <c r="R50" s="791"/>
      <c r="S50" s="791"/>
      <c r="T50" s="791"/>
      <c r="U50" s="791"/>
      <c r="V50" s="791"/>
      <c r="W50" s="791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2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/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830">
        <f ca="1">TODAY()</f>
        <v>45709</v>
      </c>
      <c r="AH56" s="830"/>
      <c r="AI56" s="830"/>
      <c r="AJ56" s="830"/>
      <c r="AK56" s="830"/>
      <c r="AL56" s="830"/>
      <c r="AM56" s="830"/>
      <c r="AN56" s="831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>ATENÇÃO: Verificar ocorrência de repetição alélica entre 2 pessoas genotipadas</v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827" t="s">
        <v>249</v>
      </c>
      <c r="B61" s="828"/>
      <c r="C61" s="828"/>
      <c r="D61" s="828"/>
      <c r="E61" s="828"/>
      <c r="F61" s="828"/>
      <c r="G61" s="828"/>
      <c r="H61" s="828"/>
      <c r="I61" s="828"/>
      <c r="J61" s="828"/>
      <c r="K61" s="828"/>
      <c r="L61" s="828"/>
      <c r="M61" s="828"/>
      <c r="N61" s="828"/>
      <c r="O61" s="828"/>
      <c r="P61" s="828"/>
      <c r="Q61" s="828"/>
      <c r="R61" s="828"/>
      <c r="S61" s="828"/>
      <c r="T61" s="828"/>
      <c r="U61" s="828"/>
      <c r="V61" s="828"/>
      <c r="W61" s="828"/>
      <c r="X61" s="828"/>
      <c r="Y61" s="828"/>
      <c r="Z61" s="828"/>
      <c r="AA61" s="828"/>
      <c r="AB61" s="828"/>
      <c r="AC61" s="828"/>
      <c r="AD61" s="828"/>
      <c r="AE61" s="828"/>
      <c r="AF61" s="828"/>
      <c r="AG61" s="828"/>
      <c r="AH61" s="828"/>
      <c r="AI61" s="828"/>
      <c r="AJ61" s="828"/>
      <c r="AK61" s="828"/>
      <c r="AL61" s="828"/>
      <c r="AM61" s="828"/>
      <c r="AN61" s="829"/>
    </row>
    <row r="62" spans="1:74" ht="11.1" customHeight="1">
      <c r="A62" s="824" t="s">
        <v>242</v>
      </c>
      <c r="B62" s="825"/>
      <c r="C62" s="825"/>
      <c r="D62" s="825"/>
      <c r="E62" s="825"/>
      <c r="F62" s="825"/>
      <c r="G62" s="825"/>
      <c r="H62" s="825"/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825"/>
      <c r="W62" s="825"/>
      <c r="X62" s="825"/>
      <c r="Y62" s="825"/>
      <c r="Z62" s="825"/>
      <c r="AA62" s="825"/>
      <c r="AB62" s="825"/>
      <c r="AC62" s="825"/>
      <c r="AD62" s="825"/>
      <c r="AE62" s="825"/>
      <c r="AF62" s="825"/>
      <c r="AG62" s="825"/>
      <c r="AH62" s="825"/>
      <c r="AI62" s="825"/>
      <c r="AJ62" s="825"/>
      <c r="AK62" s="825"/>
      <c r="AL62" s="825"/>
      <c r="AM62" s="825"/>
      <c r="AN62" s="826"/>
    </row>
    <row r="63" spans="1:74" ht="11.1" customHeight="1" thickBot="1">
      <c r="A63" s="821" t="s">
        <v>243</v>
      </c>
      <c r="B63" s="822"/>
      <c r="C63" s="822"/>
      <c r="D63" s="822"/>
      <c r="E63" s="822"/>
      <c r="F63" s="822"/>
      <c r="G63" s="822"/>
      <c r="H63" s="822"/>
      <c r="I63" s="822"/>
      <c r="J63" s="822"/>
      <c r="K63" s="822"/>
      <c r="L63" s="822"/>
      <c r="M63" s="822"/>
      <c r="N63" s="822"/>
      <c r="O63" s="822"/>
      <c r="P63" s="822"/>
      <c r="Q63" s="822"/>
      <c r="R63" s="822"/>
      <c r="S63" s="822"/>
      <c r="T63" s="822"/>
      <c r="U63" s="822"/>
      <c r="V63" s="822"/>
      <c r="W63" s="822"/>
      <c r="X63" s="822"/>
      <c r="Y63" s="822"/>
      <c r="Z63" s="822"/>
      <c r="AA63" s="822"/>
      <c r="AB63" s="822"/>
      <c r="AC63" s="822"/>
      <c r="AD63" s="822"/>
      <c r="AE63" s="822"/>
      <c r="AF63" s="822"/>
      <c r="AG63" s="822"/>
      <c r="AH63" s="822"/>
      <c r="AI63" s="822"/>
      <c r="AJ63" s="822"/>
      <c r="AK63" s="822"/>
      <c r="AL63" s="822"/>
      <c r="AM63" s="822"/>
      <c r="AN63" s="823"/>
    </row>
    <row r="64" spans="1:74" ht="9" hidden="1" customHeight="1" thickBot="1">
      <c r="A64" s="818"/>
      <c r="B64" s="819"/>
      <c r="C64" s="819"/>
      <c r="D64" s="819"/>
      <c r="E64" s="819"/>
      <c r="F64" s="819"/>
      <c r="G64" s="819"/>
      <c r="H64" s="819"/>
      <c r="I64" s="819"/>
      <c r="J64" s="819"/>
      <c r="K64" s="819"/>
      <c r="L64" s="819"/>
      <c r="M64" s="819"/>
      <c r="N64" s="819"/>
      <c r="O64" s="819"/>
      <c r="P64" s="819"/>
      <c r="Q64" s="819"/>
      <c r="R64" s="819"/>
      <c r="S64" s="819"/>
      <c r="T64" s="819"/>
      <c r="U64" s="819"/>
      <c r="V64" s="819"/>
      <c r="W64" s="819"/>
      <c r="X64" s="819"/>
      <c r="Y64" s="819"/>
      <c r="Z64" s="819"/>
      <c r="AA64" s="819"/>
      <c r="AB64" s="819"/>
      <c r="AC64" s="819"/>
      <c r="AD64" s="819"/>
      <c r="AE64" s="819"/>
      <c r="AF64" s="819"/>
      <c r="AG64" s="819"/>
      <c r="AH64" s="819"/>
      <c r="AI64" s="819"/>
      <c r="AJ64" s="819"/>
      <c r="AK64" s="819"/>
      <c r="AL64" s="819"/>
      <c r="AM64" s="819"/>
      <c r="AN64" s="820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46" sqref="Y46:Z46"/>
    </sheetView>
  </sheetViews>
  <sheetFormatPr defaultColWidth="8.88671875" defaultRowHeight="13.2"/>
  <cols>
    <col min="1" max="1" width="10.44140625" style="485" customWidth="1"/>
    <col min="2" max="5" width="6.6640625" style="485" customWidth="1"/>
    <col min="6" max="7" width="7.109375" style="485" hidden="1" customWidth="1"/>
    <col min="8" max="8" width="6.6640625" style="485" hidden="1" customWidth="1"/>
    <col min="9" max="9" width="6.44140625" style="485" hidden="1" customWidth="1"/>
    <col min="10" max="10" width="6.33203125" style="485" hidden="1" customWidth="1"/>
    <col min="11" max="11" width="5.44140625" style="485" hidden="1" customWidth="1"/>
    <col min="12" max="12" width="6.6640625" style="485" hidden="1" customWidth="1"/>
    <col min="13" max="13" width="7.44140625" style="485" hidden="1" customWidth="1"/>
    <col min="14" max="14" width="6.44140625" style="485" hidden="1" customWidth="1"/>
    <col min="15" max="15" width="7.109375" style="485" hidden="1" customWidth="1"/>
    <col min="16" max="16" width="7.6640625" style="485" hidden="1" customWidth="1"/>
    <col min="17" max="17" width="8.44140625" style="485" hidden="1" customWidth="1"/>
    <col min="18" max="18" width="9.109375" style="485" hidden="1" customWidth="1"/>
    <col min="19" max="19" width="7.6640625" style="485" hidden="1" customWidth="1"/>
    <col min="20" max="20" width="8.33203125" style="485" hidden="1" customWidth="1"/>
    <col min="21" max="21" width="9.33203125" style="485" hidden="1" customWidth="1"/>
    <col min="22" max="22" width="10.33203125" style="485" hidden="1" customWidth="1"/>
    <col min="23" max="23" width="3.5546875" style="485" customWidth="1"/>
    <col min="24" max="24" width="10.6640625" style="485" customWidth="1"/>
    <col min="25" max="25" width="9.44140625" style="485" customWidth="1"/>
    <col min="26" max="26" width="12.33203125" style="485" customWidth="1"/>
    <col min="27" max="27" width="11.88671875" style="485" hidden="1" customWidth="1"/>
    <col min="28" max="28" width="9.6640625" style="485" customWidth="1"/>
    <col min="29" max="30" width="9.6640625" style="485" hidden="1" customWidth="1"/>
    <col min="31" max="31" width="12.33203125" style="485" hidden="1" customWidth="1"/>
    <col min="32" max="32" width="14.6640625" style="485" hidden="1" customWidth="1"/>
    <col min="33" max="36" width="14" style="485" hidden="1" customWidth="1"/>
    <col min="37" max="37" width="11.88671875" style="485" hidden="1" customWidth="1"/>
    <col min="38" max="38" width="12.6640625" style="485" hidden="1" customWidth="1"/>
    <col min="39" max="39" width="12.44140625" style="485" hidden="1" customWidth="1"/>
    <col min="40" max="40" width="10.44140625" style="485" hidden="1" customWidth="1"/>
    <col min="41" max="41" width="9.6640625" style="485" hidden="1" customWidth="1"/>
    <col min="42" max="42" width="13" style="485" hidden="1" customWidth="1"/>
    <col min="43" max="43" width="12.33203125" style="485" hidden="1" customWidth="1"/>
    <col min="44" max="44" width="16.33203125" style="485" hidden="1" customWidth="1"/>
    <col min="45" max="45" width="16" style="485" hidden="1" customWidth="1"/>
    <col min="46" max="46" width="16.6640625" style="485" hidden="1" customWidth="1"/>
    <col min="47" max="47" width="14" style="485" hidden="1" customWidth="1"/>
    <col min="48" max="48" width="14.33203125" style="485" hidden="1" customWidth="1"/>
    <col min="49" max="49" width="16.33203125" style="485" hidden="1" customWidth="1"/>
    <col min="50" max="50" width="14.6640625" style="485" hidden="1" customWidth="1"/>
    <col min="51" max="51" width="14.88671875" style="485" hidden="1" customWidth="1"/>
    <col min="52" max="52" width="13" style="485" hidden="1" customWidth="1"/>
    <col min="53" max="53" width="10.44140625" style="485" hidden="1" customWidth="1"/>
    <col min="54" max="54" width="7.88671875" style="485" hidden="1" customWidth="1"/>
    <col min="55" max="55" width="5.6640625" style="485" hidden="1" customWidth="1"/>
    <col min="56" max="56" width="8.88671875" style="485" hidden="1" customWidth="1"/>
    <col min="57" max="57" width="11.33203125" style="485" hidden="1" customWidth="1"/>
    <col min="58" max="58" width="14.109375" style="485" hidden="1" customWidth="1"/>
    <col min="59" max="59" width="12.6640625" style="485" hidden="1" customWidth="1"/>
    <col min="60" max="60" width="11.33203125" style="485" hidden="1" customWidth="1"/>
    <col min="61" max="16384" width="8.88671875" style="485"/>
  </cols>
  <sheetData>
    <row r="1" spans="1:58" ht="16.8" thickTop="1" thickBot="1">
      <c r="A1" s="854" t="s">
        <v>203</v>
      </c>
      <c r="B1" s="855"/>
      <c r="C1" s="855"/>
      <c r="D1" s="855"/>
      <c r="E1" s="855"/>
      <c r="F1" s="855"/>
      <c r="G1" s="855"/>
      <c r="H1" s="855"/>
      <c r="I1" s="855"/>
      <c r="J1" s="855"/>
      <c r="K1" s="855"/>
      <c r="L1" s="855"/>
      <c r="M1" s="855"/>
      <c r="N1" s="855"/>
      <c r="O1" s="855"/>
      <c r="P1" s="855"/>
      <c r="Q1" s="855"/>
      <c r="R1" s="855"/>
      <c r="S1" s="855"/>
      <c r="T1" s="855"/>
      <c r="U1" s="855"/>
      <c r="V1" s="855"/>
      <c r="W1" s="855"/>
      <c r="X1" s="855"/>
      <c r="Y1" s="855"/>
      <c r="Z1" s="855"/>
      <c r="AA1" s="855"/>
      <c r="AB1" s="856"/>
    </row>
    <row r="2" spans="1:58" ht="11.25" customHeight="1" thickTop="1">
      <c r="A2" s="486"/>
      <c r="B2" s="487"/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8" t="s">
        <v>122</v>
      </c>
      <c r="AC2" s="488"/>
      <c r="AD2" s="488"/>
      <c r="AE2" s="488"/>
      <c r="AF2" s="488"/>
      <c r="AG2" s="488"/>
    </row>
    <row r="3" spans="1:58" ht="13.5" customHeight="1">
      <c r="A3" s="489"/>
      <c r="B3" s="490"/>
      <c r="C3" s="490"/>
      <c r="D3" s="490"/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857">
        <f ca="1">TODAY()</f>
        <v>45709</v>
      </c>
      <c r="Y3" s="857"/>
      <c r="Z3" s="857"/>
      <c r="AA3" s="857"/>
      <c r="AB3" s="858"/>
      <c r="AC3" s="491"/>
      <c r="AD3" s="491"/>
      <c r="AE3" s="491"/>
      <c r="AF3" s="491"/>
      <c r="AG3" s="491"/>
    </row>
    <row r="4" spans="1:58" ht="11.25" customHeight="1">
      <c r="A4" s="489"/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2"/>
      <c r="AC4" s="491"/>
      <c r="AD4" s="491"/>
      <c r="AE4" s="491"/>
      <c r="AF4" s="491"/>
      <c r="AG4" s="491"/>
    </row>
    <row r="5" spans="1:58" ht="18" customHeight="1">
      <c r="A5" s="493" t="s">
        <v>81</v>
      </c>
      <c r="B5" s="859"/>
      <c r="C5" s="859"/>
      <c r="D5" s="859"/>
      <c r="E5" s="859"/>
      <c r="F5" s="494"/>
      <c r="G5" s="494"/>
      <c r="H5" s="494"/>
      <c r="I5" s="494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860" t="s">
        <v>329</v>
      </c>
      <c r="Z5" s="860"/>
      <c r="AB5" s="495"/>
    </row>
    <row r="6" spans="1:58" ht="13.8" hidden="1">
      <c r="A6" s="496" t="s">
        <v>330</v>
      </c>
      <c r="B6" s="497" t="s">
        <v>331</v>
      </c>
      <c r="C6" s="498"/>
      <c r="D6" s="498"/>
      <c r="E6" s="498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B6" s="499"/>
    </row>
    <row r="7" spans="1:58" ht="18" customHeight="1">
      <c r="A7" s="493" t="s">
        <v>162</v>
      </c>
      <c r="B7" s="497"/>
      <c r="C7" s="498"/>
      <c r="D7" s="498"/>
      <c r="E7" s="498"/>
      <c r="F7" s="494"/>
      <c r="G7" s="494"/>
      <c r="H7" s="494"/>
      <c r="I7" s="494"/>
      <c r="J7" s="494"/>
      <c r="K7" s="494"/>
      <c r="L7" s="494"/>
      <c r="M7" s="494"/>
      <c r="N7" s="494"/>
      <c r="O7" s="500"/>
      <c r="P7" s="500"/>
      <c r="Q7" s="501"/>
      <c r="R7" s="501"/>
      <c r="S7" s="501"/>
      <c r="T7" s="501"/>
      <c r="U7" s="494"/>
      <c r="V7" s="494"/>
      <c r="W7" s="494"/>
      <c r="X7" s="494"/>
      <c r="Y7" s="494"/>
      <c r="Z7" s="502" t="str">
        <f>(IF(('[1]IMPORTAÇÃO GENOTIPER'!AM4="Y"),"XY",(IF(('[1]IMPORTAÇÃO GENOTIPER'!AM4="X"),"XX","ERRO"))))</f>
        <v>ERRO</v>
      </c>
      <c r="AB7" s="499"/>
    </row>
    <row r="8" spans="1:58" ht="18" customHeight="1">
      <c r="A8" s="493" t="s">
        <v>332</v>
      </c>
      <c r="B8" s="497"/>
      <c r="C8" s="498"/>
      <c r="D8" s="498"/>
      <c r="E8" s="498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503"/>
      <c r="Z8" s="502" t="str">
        <f>(IF(('[1]IMPORTAÇÃO GENOTIPER'!BC4="Y"),"XY",(IF(('[1]IMPORTAÇÃO GENOTIPER'!BC4&lt;&gt;"Y"),"ERRO","ERRO"))))</f>
        <v>ERRO</v>
      </c>
      <c r="AB8" s="499"/>
    </row>
    <row r="9" spans="1:58" ht="18" customHeight="1">
      <c r="A9" s="504"/>
      <c r="B9" s="505"/>
      <c r="C9" s="506"/>
      <c r="D9" s="506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506"/>
      <c r="V9" s="506"/>
      <c r="W9" s="506"/>
      <c r="X9" s="506"/>
      <c r="Y9" s="507"/>
      <c r="Z9" s="508"/>
      <c r="AB9" s="499"/>
    </row>
    <row r="10" spans="1:58" ht="13.5" customHeight="1" thickBot="1">
      <c r="A10" s="509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10" t="s">
        <v>333</v>
      </c>
      <c r="Z10" s="508">
        <v>0.05</v>
      </c>
      <c r="AB10" s="499"/>
      <c r="AD10" s="485" t="s">
        <v>334</v>
      </c>
      <c r="AH10" s="485" t="s">
        <v>335</v>
      </c>
      <c r="AL10" s="485" t="s">
        <v>336</v>
      </c>
    </row>
    <row r="11" spans="1:58" ht="15" customHeight="1" thickTop="1" thickBot="1">
      <c r="A11" s="511" t="s">
        <v>50</v>
      </c>
      <c r="B11" s="861" t="s">
        <v>131</v>
      </c>
      <c r="C11" s="861"/>
      <c r="D11" s="861" t="s">
        <v>133</v>
      </c>
      <c r="E11" s="862"/>
      <c r="F11" s="863" t="s">
        <v>166</v>
      </c>
      <c r="G11" s="864"/>
      <c r="H11" s="865" t="s">
        <v>167</v>
      </c>
      <c r="I11" s="865"/>
      <c r="J11" s="512" t="s">
        <v>135</v>
      </c>
      <c r="K11" s="512" t="s">
        <v>136</v>
      </c>
      <c r="L11" s="512" t="s">
        <v>137</v>
      </c>
      <c r="M11" s="513" t="s">
        <v>134</v>
      </c>
      <c r="N11" s="865" t="s">
        <v>138</v>
      </c>
      <c r="O11" s="865"/>
      <c r="P11" s="865" t="s">
        <v>141</v>
      </c>
      <c r="Q11" s="865"/>
      <c r="R11" s="512" t="s">
        <v>145</v>
      </c>
      <c r="S11" s="512" t="s">
        <v>147</v>
      </c>
      <c r="T11" s="512" t="s">
        <v>146</v>
      </c>
      <c r="U11" s="512" t="s">
        <v>148</v>
      </c>
      <c r="V11" s="512" t="s">
        <v>160</v>
      </c>
      <c r="W11" s="512" t="s">
        <v>123</v>
      </c>
      <c r="X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2" t="s">
        <v>143</v>
      </c>
      <c r="AA11" s="514"/>
      <c r="AB11" s="515" t="s">
        <v>176</v>
      </c>
      <c r="AD11" s="485" t="s">
        <v>334</v>
      </c>
      <c r="AH11" s="848" t="s">
        <v>337</v>
      </c>
      <c r="AI11" s="849"/>
      <c r="AJ11" s="849"/>
      <c r="AK11" s="850"/>
      <c r="AL11" s="848" t="s">
        <v>338</v>
      </c>
      <c r="AM11" s="849"/>
      <c r="AN11" s="849"/>
      <c r="AO11" s="850"/>
      <c r="BF11" s="516">
        <f>PRODUCT(BF12:BF33)</f>
        <v>1</v>
      </c>
    </row>
    <row r="12" spans="1:58" ht="15" customHeight="1" thickTop="1" thickBot="1">
      <c r="A12" s="517" t="str">
        <f>'IMPORTAÇÃO GENOTIPER'!A5</f>
        <v>D3S1358</v>
      </c>
      <c r="B12" s="644">
        <f>'IMPORTAÇÃO GENOTIPER'!AI5</f>
        <v>0</v>
      </c>
      <c r="C12" s="645">
        <f>'IMPORTAÇÃO GENOTIPER'!AQ5</f>
        <v>0</v>
      </c>
      <c r="D12" s="645">
        <f>'IMPORTAÇÃO GENOTIPER'!AY5</f>
        <v>0</v>
      </c>
      <c r="E12" s="646">
        <f>'IMPORTAÇÃO GENOTIPER'!BG5</f>
        <v>0</v>
      </c>
      <c r="F12" s="521">
        <f t="shared" ref="F12:F45" si="0">IF((B12&gt;C12),C12,B12)</f>
        <v>0</v>
      </c>
      <c r="G12" s="521">
        <f t="shared" ref="G12:G45" si="1">IF((C12&gt;B12),C12,B12)</f>
        <v>0</v>
      </c>
      <c r="H12" s="521">
        <f t="shared" ref="H12:H45" si="2">IF((D12&gt;E12),E12,D12)</f>
        <v>0</v>
      </c>
      <c r="I12" s="521">
        <f t="shared" ref="I12:I45" si="3">IF((E12&gt;D12),E12,D12)</f>
        <v>0</v>
      </c>
      <c r="J12" s="522"/>
      <c r="K12" s="522"/>
      <c r="L12" s="522"/>
      <c r="M12" s="523"/>
      <c r="N12" s="522">
        <f t="shared" ref="N12:N45" si="4">IF(OR((H12=F12),(H12=G12)),H12,0)</f>
        <v>0</v>
      </c>
      <c r="O12" s="522">
        <f t="shared" ref="O12:O45" si="5">IF((H12=I12),0,(IF(OR((I12=G12),(I12=F12)),I12,0)))</f>
        <v>0</v>
      </c>
      <c r="P12" s="524">
        <f t="shared" ref="P12:P45" si="6">(IF(OR((N12=H12),(N12=I12)),N12,0))</f>
        <v>0</v>
      </c>
      <c r="Q12" s="525">
        <f t="shared" ref="Q12:Q45" si="7">(IF((O12&lt;&gt;0),(IF(OR((O12=H12),(O12=I12)),O12,0)),0))</f>
        <v>0</v>
      </c>
      <c r="R12" s="526"/>
      <c r="S12" s="526"/>
      <c r="T12" s="527">
        <f>IF(P12=0,0,VLOOKUP(P12,FREQUENCIAS!1:1048576,(IF(($A12=FREQUENCIAS!$B$1),2,"ERRO")),FREQUENCIAS!1:1048576))</f>
        <v>0</v>
      </c>
      <c r="U12" s="527">
        <f>IF(Q12=0,0,VLOOKUP(Q12,FREQUENCIAS!1:1048576,(IF(($A12=FREQUENCIAS!$B$1),2,"ERRO")),FREQUENCIAS!1:1048576))</f>
        <v>0</v>
      </c>
      <c r="V12" s="528"/>
      <c r="W12" s="529" t="str">
        <f t="shared" ref="W12:W45" si="8">IF(AND((Y12="EXCLUI"),($BE$46=1)),"M?","OK")</f>
        <v>OK</v>
      </c>
      <c r="X12" s="530">
        <f>(IF((A12="   ERRO-FT"),"8",(IF((AND((P12=0),(Q12=0))),0,(IF((R12+S12+T12+U12+V12)&lt;=$Z$10,$Z$10,(R12+S12+T12+U12+V12)))))))</f>
        <v>0</v>
      </c>
      <c r="Y12" s="531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1</v>
      </c>
      <c r="Z12" s="532">
        <f>IF(SUM(B12:E12)=0,0.5,IF((AND((P12=0),(Q12=0))),0,(Y12/(Y12+1))))</f>
        <v>0.5</v>
      </c>
      <c r="AA12" s="533"/>
      <c r="AB12" s="534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EXCLUI</v>
      </c>
      <c r="AC12" s="485" t="e">
        <f t="shared" ref="AC12:AC45" si="10">IF(AND(($F12=$G12),($G12=$H12),($H12=$I12)),(1/$X12),(1/(4*$X12)))</f>
        <v>#DIV/0!</v>
      </c>
      <c r="AD12" s="485" t="s">
        <v>334</v>
      </c>
      <c r="AE12" s="485" t="str">
        <f t="shared" ref="AE12:AE45" si="11">IF(AND(($F12=$G12),($G12=$H12),($H12=$I12)),($AD$16),($AD$26))</f>
        <v>1 / F</v>
      </c>
      <c r="AF12" s="535">
        <f t="shared" ref="AF12:AF45" si="12">(IF((B12=C12),((1-AK12)^2),(1-(AK12+AO12))^2))</f>
        <v>1</v>
      </c>
      <c r="AH12" s="536">
        <f>IF(B12=0,0,VLOOKUP(B12,FREQUENCIAS!$1:$1048576,(IF(($A12=FREQUENCIAS!$B$1),2,"ERRO")),FREQUENCIAS!$1:$1048576))</f>
        <v>0</v>
      </c>
      <c r="AI12" s="536"/>
      <c r="AJ12" s="536"/>
      <c r="AK12" s="537">
        <f t="shared" ref="AK12:AK45" si="13">SUM(AH12:AJ12)</f>
        <v>0</v>
      </c>
      <c r="AL12" s="536">
        <f>IF(C12=0,0,VLOOKUP(C12,FREQUENCIAS!$1:$1048576,(IF(($A12=FREQUENCIAS!$B$1),2,"ERRO")),FREQUENCIAS!$1:$1048576))</f>
        <v>0</v>
      </c>
      <c r="AM12" s="536"/>
      <c r="AN12" s="536"/>
      <c r="AO12" s="537">
        <f t="shared" ref="AO12:AO45" si="14">SUM(AL12:AN12)</f>
        <v>0</v>
      </c>
      <c r="AV12" s="538">
        <f>IF(B12=0,0,VLOOKUP(B12,FREQUENCIAS!$1:$1048576,(IF(($A12=FREQUENCIAS!$B$1),2,"ERRO")),FREQUENCIAS!$1:$1048576))</f>
        <v>0</v>
      </c>
      <c r="AW12" s="538">
        <f>IF(C12=0,0,VLOOKUP(C12,FREQUENCIAS!$1:$1048576,(IF(($A12=FREQUENCIAS!$B$1),2,"ERRO")),FREQUENCIAS!$1:$1048576))</f>
        <v>0</v>
      </c>
      <c r="AX12" s="538">
        <f>IF(D12=0,0,VLOOKUP(D12,FREQUENCIAS!$1:$1048576,(IF(($A12=FREQUENCIAS!$B$1),2,"ERRO")),FREQUENCIAS!$1:$1048576))</f>
        <v>0</v>
      </c>
      <c r="AY12" s="538">
        <f>IF(E12=0,0,VLOOKUP(E12,FREQUENCIAS!$1:$1048576,(IF(($A12=FREQUENCIAS!$B$1),2,"ERRO")),FREQUENCIAS!$1:$1048576))</f>
        <v>0</v>
      </c>
      <c r="BD12" s="485">
        <f>IF((AND((F12=H12),(G12=I12))),1,0)</f>
        <v>1</v>
      </c>
      <c r="BE12" s="485">
        <f>IF((Y12="EXCLUI"),1,0)</f>
        <v>0</v>
      </c>
      <c r="BF12" s="539">
        <f t="shared" ref="BF12:BF45" si="15">(IF((AND(($B$46&lt;=1),(Y12&lt;&gt;"EXCLUI"))),Y12,(IF((AND(($B$46&lt;=1),(Y12="EXCLUI"))),$BF$46,0))))</f>
        <v>1</v>
      </c>
    </row>
    <row r="13" spans="1:58" ht="15" customHeight="1" thickTop="1" thickBot="1">
      <c r="A13" s="517" t="str">
        <f>'IMPORTAÇÃO GENOTIPER'!A6</f>
        <v>D1S1656</v>
      </c>
      <c r="B13" s="644">
        <f>'IMPORTAÇÃO GENOTIPER'!AI6</f>
        <v>0</v>
      </c>
      <c r="C13" s="645">
        <f>'IMPORTAÇÃO GENOTIPER'!AQ6</f>
        <v>0</v>
      </c>
      <c r="D13" s="645">
        <f>'IMPORTAÇÃO GENOTIPER'!AY6</f>
        <v>0</v>
      </c>
      <c r="E13" s="646">
        <f>'IMPORTAÇÃO GENOTIPER'!BG6</f>
        <v>0</v>
      </c>
      <c r="F13" s="541">
        <f t="shared" si="0"/>
        <v>0</v>
      </c>
      <c r="G13" s="541">
        <f t="shared" si="1"/>
        <v>0</v>
      </c>
      <c r="H13" s="541">
        <f t="shared" si="2"/>
        <v>0</v>
      </c>
      <c r="I13" s="541">
        <f t="shared" si="3"/>
        <v>0</v>
      </c>
      <c r="J13" s="542"/>
      <c r="K13" s="542"/>
      <c r="L13" s="542"/>
      <c r="M13" s="543"/>
      <c r="N13" s="542">
        <f t="shared" si="4"/>
        <v>0</v>
      </c>
      <c r="O13" s="542">
        <f t="shared" si="5"/>
        <v>0</v>
      </c>
      <c r="P13" s="544">
        <f t="shared" si="6"/>
        <v>0</v>
      </c>
      <c r="Q13" s="545">
        <f t="shared" si="7"/>
        <v>0</v>
      </c>
      <c r="R13" s="546"/>
      <c r="S13" s="546"/>
      <c r="T13" s="527">
        <f>IF(P13=0,0,VLOOKUP(P13,FREQUENCIAS!1:1048576,(IF(($A13=FREQUENCIAS!$C$1),3,"ERRO")),FREQUENCIAS!1:1048576))</f>
        <v>0</v>
      </c>
      <c r="U13" s="527">
        <f>IF(Q13=0,0,VLOOKUP(Q13,FREQUENCIAS!1:1048576,(IF(($A13=FREQUENCIAS!$C$1),3,"ERRO")),FREQUENCIAS!1:1048576))</f>
        <v>0</v>
      </c>
      <c r="V13" s="547"/>
      <c r="W13" s="529" t="str">
        <f t="shared" si="8"/>
        <v>OK</v>
      </c>
      <c r="X13" s="548">
        <f>(IF((A13="   ERRO-FT"),"24",(IF((AND((P13=0),(Q13=0))),0,(IF((R13+S13+T13+U13+V13)&lt;=$Z$10,$Z$10,(R13+S13+T13+U13+V13)))))))</f>
        <v>0</v>
      </c>
      <c r="Y13" s="549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1</v>
      </c>
      <c r="Z13" s="532">
        <f t="shared" ref="Z13:Z45" si="17">IF(SUM(B13:E13)=0,0.5,IF((AND((P13=0),(Q13=0))),0,(Y13/(Y13+1))))</f>
        <v>0.5</v>
      </c>
      <c r="AA13" s="533"/>
      <c r="AB13" s="550" t="str">
        <f t="shared" si="9"/>
        <v>EXCLUI</v>
      </c>
      <c r="AC13" s="485" t="e">
        <f t="shared" si="10"/>
        <v>#DIV/0!</v>
      </c>
      <c r="AE13" s="485" t="str">
        <f t="shared" si="11"/>
        <v>1 / F</v>
      </c>
      <c r="AF13" s="535">
        <f t="shared" si="12"/>
        <v>1</v>
      </c>
      <c r="AH13" s="536">
        <f>IF(B13=0,0,VLOOKUP(B13,FREQUENCIAS!$1:$1048576,(IF(($A13=FREQUENCIAS!$C$1),3,"ERRO")),FREQUENCIAS!$1:$1048576))</f>
        <v>0</v>
      </c>
      <c r="AI13" s="536"/>
      <c r="AJ13" s="536"/>
      <c r="AK13" s="537">
        <f t="shared" si="13"/>
        <v>0</v>
      </c>
      <c r="AL13" s="536">
        <f>IF(C13=0,0,VLOOKUP(C13,FREQUENCIAS!$1:$1048576,(IF(($A13=FREQUENCIAS!$C$1),3,"ERRO")),FREQUENCIAS!$1:$1048576))</f>
        <v>0</v>
      </c>
      <c r="AM13" s="536"/>
      <c r="AN13" s="536"/>
      <c r="AO13" s="537">
        <f t="shared" si="14"/>
        <v>0</v>
      </c>
      <c r="AV13" s="551">
        <f>IF(B13=0,0,VLOOKUP(B13,FREQUENCIAS!$1:$1048576,(IF(($A13=FREQUENCIAS!$C$1),3,"ERRO")),FREQUENCIAS!$1:$1048576))</f>
        <v>0</v>
      </c>
      <c r="AW13" s="551">
        <f>IF(C13=0,0,VLOOKUP(C13,FREQUENCIAS!$1:$1048576,(IF(($A13=FREQUENCIAS!$C$1),3,"ERRO")),FREQUENCIAS!$1:$1048576))</f>
        <v>0</v>
      </c>
      <c r="AX13" s="551">
        <f>IF(D13=0,0,VLOOKUP(D13,FREQUENCIAS!$1:$1048576,(IF(($A13=FREQUENCIAS!$C$1),3,"ERRO")),FREQUENCIAS!$1:$1048576))</f>
        <v>0</v>
      </c>
      <c r="AY13" s="551">
        <f>IF(E13=0,0,VLOOKUP(E13,FREQUENCIAS!$1:$1048576,(IF(($A13=FREQUENCIAS!$C$1),3,"ERRO")),FREQUENCIAS!$1:$1048576))</f>
        <v>0</v>
      </c>
      <c r="AZ13" s="552">
        <f>IF((B13=35.2),1,0)</f>
        <v>0</v>
      </c>
      <c r="BA13" s="552">
        <f>IF((C13=35.2),1,0)</f>
        <v>0</v>
      </c>
      <c r="BB13" s="552">
        <f>IF((D13=35.2),1,0)</f>
        <v>0</v>
      </c>
      <c r="BC13" s="552">
        <f>IF((E13=35.2),1,0)</f>
        <v>0</v>
      </c>
      <c r="BD13" s="485">
        <f t="shared" ref="BD13:BD45" si="18">IF((AND((F13=H13),(G13=I13))),1,0)</f>
        <v>1</v>
      </c>
      <c r="BE13" s="485">
        <f t="shared" ref="BE13:BE45" si="19">IF((Y13="EXCLUI"),1,0)</f>
        <v>0</v>
      </c>
      <c r="BF13" s="539">
        <f t="shared" si="15"/>
        <v>1</v>
      </c>
    </row>
    <row r="14" spans="1:58" ht="15" customHeight="1" thickTop="1" thickBot="1">
      <c r="A14" s="517" t="str">
        <f>'IMPORTAÇÃO GENOTIPER'!A7</f>
        <v>D2S441</v>
      </c>
      <c r="B14" s="644">
        <f>'IMPORTAÇÃO GENOTIPER'!AI7</f>
        <v>0</v>
      </c>
      <c r="C14" s="645">
        <f>'IMPORTAÇÃO GENOTIPER'!AQ7</f>
        <v>0</v>
      </c>
      <c r="D14" s="645">
        <f>'IMPORTAÇÃO GENOTIPER'!AY7</f>
        <v>0</v>
      </c>
      <c r="E14" s="646">
        <f>'IMPORTAÇÃO GENOTIPER'!BG7</f>
        <v>0</v>
      </c>
      <c r="F14" s="541">
        <f t="shared" si="0"/>
        <v>0</v>
      </c>
      <c r="G14" s="541">
        <f t="shared" si="1"/>
        <v>0</v>
      </c>
      <c r="H14" s="541">
        <f t="shared" si="2"/>
        <v>0</v>
      </c>
      <c r="I14" s="541">
        <f t="shared" si="3"/>
        <v>0</v>
      </c>
      <c r="J14" s="542"/>
      <c r="K14" s="542"/>
      <c r="L14" s="542"/>
      <c r="M14" s="543"/>
      <c r="N14" s="542">
        <f t="shared" si="4"/>
        <v>0</v>
      </c>
      <c r="O14" s="542">
        <f t="shared" si="5"/>
        <v>0</v>
      </c>
      <c r="P14" s="544">
        <f t="shared" si="6"/>
        <v>0</v>
      </c>
      <c r="Q14" s="545">
        <f t="shared" si="7"/>
        <v>0</v>
      </c>
      <c r="R14" s="546"/>
      <c r="S14" s="546"/>
      <c r="T14" s="527">
        <f>IF(P14=0,0,VLOOKUP(P14,FREQUENCIAS!1:1048576,(IF(($A14=FREQUENCIAS!$D$1),4,"ERRO")),FREQUENCIAS!1:1048576))</f>
        <v>0</v>
      </c>
      <c r="U14" s="527">
        <f>IF(Q14=0,0,VLOOKUP(Q14,FREQUENCIAS!1:1048576,(IF(($A14=FREQUENCIAS!$D$1),4,"ERRO")),FREQUENCIAS!1:1048576))</f>
        <v>0</v>
      </c>
      <c r="V14" s="547"/>
      <c r="W14" s="529" t="str">
        <f t="shared" si="8"/>
        <v>OK</v>
      </c>
      <c r="X14" s="548">
        <f>(IF((A14="   ERRO-FT"),"6",(IF((AND((P14=0),(Q14=0))),0,(IF((R14+S14+T14+U14+V14)&lt;=$Z$10,$Z$10,(R14+S14+T14+U14+V14)))))))</f>
        <v>0</v>
      </c>
      <c r="Y14" s="549">
        <f t="shared" si="16"/>
        <v>1</v>
      </c>
      <c r="Z14" s="532">
        <f t="shared" si="17"/>
        <v>0.5</v>
      </c>
      <c r="AA14" s="533"/>
      <c r="AB14" s="550" t="str">
        <f t="shared" si="9"/>
        <v>EXCLUI</v>
      </c>
      <c r="AC14" s="485" t="e">
        <f t="shared" si="10"/>
        <v>#DIV/0!</v>
      </c>
      <c r="AE14" s="485" t="str">
        <f t="shared" si="11"/>
        <v>1 / F</v>
      </c>
      <c r="AF14" s="535">
        <f t="shared" si="12"/>
        <v>1</v>
      </c>
      <c r="AH14" s="536">
        <f>IF(B14=0,0,VLOOKUP(B14,FREQUENCIAS!$1:$1048576,(IF(($A14=FREQUENCIAS!$D$1),4,"ERRO")),FREQUENCIAS!$1:$1048576))</f>
        <v>0</v>
      </c>
      <c r="AI14" s="536"/>
      <c r="AJ14" s="536"/>
      <c r="AK14" s="537">
        <f t="shared" si="13"/>
        <v>0</v>
      </c>
      <c r="AL14" s="536">
        <f>IF(C14=0,0,VLOOKUP(C14,FREQUENCIAS!$1:$1048576,(IF(($A14=FREQUENCIAS!$D$1),4,"ERRO")),FREQUENCIAS!$1:$1048576))</f>
        <v>0</v>
      </c>
      <c r="AM14" s="536"/>
      <c r="AN14" s="536"/>
      <c r="AO14" s="537">
        <f t="shared" si="14"/>
        <v>0</v>
      </c>
      <c r="AV14" s="551">
        <f>IF(B14=0,0,VLOOKUP(B14,FREQUENCIAS!$1:$1048576,(IF(($A14=FREQUENCIAS!$D$1),4,"ERRO")),FREQUENCIAS!$1:$1048576))</f>
        <v>0</v>
      </c>
      <c r="AW14" s="551">
        <f>IF(C14=0,0,VLOOKUP(C14,FREQUENCIAS!$1:$1048576,(IF(($A14=FREQUENCIAS!$D$1),4,"ERRO")),FREQUENCIAS!$1:$1048576))</f>
        <v>0</v>
      </c>
      <c r="AX14" s="551">
        <f>IF(D14=0,0,VLOOKUP(D14,FREQUENCIAS!$1:$1048576,(IF(($A14=FREQUENCIAS!$D$1),4,"ERRO")),FREQUENCIAS!$1:$1048576))</f>
        <v>0</v>
      </c>
      <c r="AY14" s="551">
        <f>IF(E14=0,0,VLOOKUP(E14,FREQUENCIAS!$1:$1048576,(IF(($A14=FREQUENCIAS!$D$1),4,"ERRO")),FREQUENCIAS!$1:$1048576))</f>
        <v>0</v>
      </c>
      <c r="BD14" s="485">
        <f t="shared" si="18"/>
        <v>1</v>
      </c>
      <c r="BE14" s="485">
        <f t="shared" si="19"/>
        <v>0</v>
      </c>
      <c r="BF14" s="539">
        <f t="shared" si="15"/>
        <v>1</v>
      </c>
    </row>
    <row r="15" spans="1:58" ht="15" customHeight="1" thickTop="1" thickBot="1">
      <c r="A15" s="517" t="str">
        <f>'IMPORTAÇÃO GENOTIPER'!A8</f>
        <v>D10S1248</v>
      </c>
      <c r="B15" s="644">
        <f>'IMPORTAÇÃO GENOTIPER'!AI8</f>
        <v>0</v>
      </c>
      <c r="C15" s="645">
        <f>'IMPORTAÇÃO GENOTIPER'!AQ8</f>
        <v>0</v>
      </c>
      <c r="D15" s="645">
        <f>'IMPORTAÇÃO GENOTIPER'!AY8</f>
        <v>0</v>
      </c>
      <c r="E15" s="646">
        <f>'IMPORTAÇÃO GENOTIPER'!BG8</f>
        <v>0</v>
      </c>
      <c r="F15" s="541">
        <f t="shared" si="0"/>
        <v>0</v>
      </c>
      <c r="G15" s="541">
        <f t="shared" si="1"/>
        <v>0</v>
      </c>
      <c r="H15" s="541">
        <f t="shared" si="2"/>
        <v>0</v>
      </c>
      <c r="I15" s="541">
        <f t="shared" si="3"/>
        <v>0</v>
      </c>
      <c r="J15" s="542"/>
      <c r="K15" s="542"/>
      <c r="L15" s="542"/>
      <c r="M15" s="542"/>
      <c r="N15" s="542">
        <f t="shared" si="4"/>
        <v>0</v>
      </c>
      <c r="O15" s="542">
        <f t="shared" si="5"/>
        <v>0</v>
      </c>
      <c r="P15" s="544">
        <f t="shared" si="6"/>
        <v>0</v>
      </c>
      <c r="Q15" s="545">
        <f t="shared" si="7"/>
        <v>0</v>
      </c>
      <c r="R15" s="546"/>
      <c r="S15" s="546"/>
      <c r="T15" s="553">
        <f>IF(P15=0,0,VLOOKUP(P15,FREQUENCIAS!1:1048576,(IF(($A15=FREQUENCIAS!$E$1),5,"ERRO")),FREQUENCIAS!1:1048576))</f>
        <v>0</v>
      </c>
      <c r="U15" s="553">
        <f>IF(Q15=0,0,VLOOKUP(Q15,FREQUENCIAS!1:1048576,(IF(($A15=FREQUENCIAS!$E$1),5,"ERRO")),FREQUENCIAS!1:1048576))</f>
        <v>0</v>
      </c>
      <c r="V15" s="547"/>
      <c r="W15" s="529" t="str">
        <f t="shared" si="8"/>
        <v>OK</v>
      </c>
      <c r="X15" s="548">
        <f>(IF((A15="   ERRO-FT"),"6",(IF((AND((P15=0),(Q15=0))),0,(IF((R15+S15+T15+U15+V15)&lt;=$Z$10,$Z$10,(R15+S15+T15+U15+V15)))))))</f>
        <v>0</v>
      </c>
      <c r="Y15" s="549">
        <f t="shared" si="16"/>
        <v>1</v>
      </c>
      <c r="Z15" s="532">
        <f t="shared" si="17"/>
        <v>0.5</v>
      </c>
      <c r="AA15" s="533"/>
      <c r="AB15" s="550" t="str">
        <f t="shared" si="9"/>
        <v>EXCLUI</v>
      </c>
      <c r="AC15" s="485" t="e">
        <f t="shared" si="10"/>
        <v>#DIV/0!</v>
      </c>
      <c r="AE15" s="485" t="str">
        <f t="shared" si="11"/>
        <v>1 / F</v>
      </c>
      <c r="AF15" s="535">
        <f t="shared" si="12"/>
        <v>1</v>
      </c>
      <c r="AH15" s="554">
        <f>IF(B15=0,0,VLOOKUP(B15,FREQUENCIAS!$1:$1048576,(IF(($A15=FREQUENCIAS!$E$1),5,"ERRO")),FREQUENCIAS!$1:$1048576))</f>
        <v>0</v>
      </c>
      <c r="AI15" s="554"/>
      <c r="AJ15" s="554"/>
      <c r="AK15" s="537">
        <f t="shared" si="13"/>
        <v>0</v>
      </c>
      <c r="AL15" s="554">
        <f>IF(C15=0,0,VLOOKUP(C15,FREQUENCIAS!$1:$1048576,(IF(($A15=FREQUENCIAS!$E$1),5,"ERRO")),FREQUENCIAS!$1:$1048576))</f>
        <v>0</v>
      </c>
      <c r="AM15" s="554"/>
      <c r="AN15" s="554"/>
      <c r="AO15" s="537">
        <f t="shared" si="14"/>
        <v>0</v>
      </c>
      <c r="AV15" s="551">
        <f>IF(B15=0,0,VLOOKUP(B15,FREQUENCIAS!$1:$1048576,(IF(($A15=FREQUENCIAS!$E$1),5,"ERRO")),FREQUENCIAS!$1:$1048576))</f>
        <v>0</v>
      </c>
      <c r="AW15" s="551">
        <f>IF(C15=0,0,VLOOKUP(C15,FREQUENCIAS!$1:$1048576,(IF(($A15=FREQUENCIAS!$E$1),5,"ERRO")),FREQUENCIAS!$1:$1048576))</f>
        <v>0</v>
      </c>
      <c r="AX15" s="551">
        <f>IF(D15=0,0,VLOOKUP(D15,FREQUENCIAS!$1:$1048576,(IF(($A15=FREQUENCIAS!$E$1),5,"ERRO")),FREQUENCIAS!$1:$1048576))</f>
        <v>0</v>
      </c>
      <c r="AY15" s="551">
        <f>IF(E15=0,0,VLOOKUP(E15,FREQUENCIAS!$1:$1048576,(IF(($A15=FREQUENCIAS!$E$1),5,"ERRO")),FREQUENCIAS!$1:$1048576))</f>
        <v>0</v>
      </c>
      <c r="BD15" s="485">
        <f t="shared" si="18"/>
        <v>1</v>
      </c>
      <c r="BE15" s="485">
        <f t="shared" si="19"/>
        <v>0</v>
      </c>
      <c r="BF15" s="539">
        <f t="shared" si="15"/>
        <v>1</v>
      </c>
    </row>
    <row r="16" spans="1:58" ht="15" customHeight="1" thickTop="1" thickBot="1">
      <c r="A16" s="517" t="str">
        <f>'IMPORTAÇÃO GENOTIPER'!A9</f>
        <v>D13S317</v>
      </c>
      <c r="B16" s="644">
        <f>'IMPORTAÇÃO GENOTIPER'!AI9</f>
        <v>0</v>
      </c>
      <c r="C16" s="645">
        <f>'IMPORTAÇÃO GENOTIPER'!AQ9</f>
        <v>0</v>
      </c>
      <c r="D16" s="645">
        <f>'IMPORTAÇÃO GENOTIPER'!AY9</f>
        <v>0</v>
      </c>
      <c r="E16" s="646">
        <f>'IMPORTAÇÃO GENOTIPER'!BG9</f>
        <v>0</v>
      </c>
      <c r="F16" s="541">
        <f t="shared" si="0"/>
        <v>0</v>
      </c>
      <c r="G16" s="541">
        <f t="shared" si="1"/>
        <v>0</v>
      </c>
      <c r="H16" s="541">
        <f t="shared" si="2"/>
        <v>0</v>
      </c>
      <c r="I16" s="541">
        <f t="shared" si="3"/>
        <v>0</v>
      </c>
      <c r="J16" s="542"/>
      <c r="K16" s="542"/>
      <c r="L16" s="542"/>
      <c r="M16" s="543"/>
      <c r="N16" s="542">
        <f t="shared" si="4"/>
        <v>0</v>
      </c>
      <c r="O16" s="542">
        <f t="shared" si="5"/>
        <v>0</v>
      </c>
      <c r="P16" s="544">
        <f t="shared" si="6"/>
        <v>0</v>
      </c>
      <c r="Q16" s="545">
        <f t="shared" si="7"/>
        <v>0</v>
      </c>
      <c r="R16" s="546"/>
      <c r="S16" s="546"/>
      <c r="T16" s="527">
        <f>IF(P16=0,0,VLOOKUP(P16,FREQUENCIAS!1:1048576,(IF(($A16=FREQUENCIAS!$F$1),6,"ERRO")),FREQUENCIAS!1:1048576))</f>
        <v>0</v>
      </c>
      <c r="U16" s="527">
        <f>IF(Q16=0,0,VLOOKUP(Q16,FREQUENCIAS!1:1048576,(IF(($A16=FREQUENCIAS!$F$1),6,"ERRO")),FREQUENCIAS!1:1048576))</f>
        <v>0</v>
      </c>
      <c r="V16" s="547"/>
      <c r="W16" s="529" t="str">
        <f t="shared" si="8"/>
        <v>OK</v>
      </c>
      <c r="X16" s="548">
        <f>(IF((A16="   ERRO-FT"),"12",(IF((AND((P16=0),(Q16=0))),0,(IF((R16+S16+T16+U16+V16)&lt;=$Z$10,$Z$10,(R16+S16+T16+U16+V16)))))))</f>
        <v>0</v>
      </c>
      <c r="Y16" s="549">
        <f t="shared" si="16"/>
        <v>1</v>
      </c>
      <c r="Z16" s="532">
        <f t="shared" si="17"/>
        <v>0.5</v>
      </c>
      <c r="AA16" s="533"/>
      <c r="AB16" s="550" t="str">
        <f t="shared" si="9"/>
        <v>EXCLUI</v>
      </c>
      <c r="AC16" s="485" t="e">
        <f t="shared" si="10"/>
        <v>#DIV/0!</v>
      </c>
      <c r="AD16" s="485" t="s">
        <v>174</v>
      </c>
      <c r="AE16" s="485" t="str">
        <f t="shared" si="11"/>
        <v>1 / F</v>
      </c>
      <c r="AF16" s="535">
        <f t="shared" si="12"/>
        <v>1</v>
      </c>
      <c r="AH16" s="536">
        <f>IF(B16=0,0,VLOOKUP(B16,FREQUENCIAS!$1:$1048576,(IF(($A16=FREQUENCIAS!$F$1),6,"ERRO")),FREQUENCIAS!$1:$1048576))</f>
        <v>0</v>
      </c>
      <c r="AI16" s="536"/>
      <c r="AJ16" s="536"/>
      <c r="AK16" s="537">
        <f t="shared" si="13"/>
        <v>0</v>
      </c>
      <c r="AL16" s="536">
        <f>IF(C16=0,0,VLOOKUP(C16,FREQUENCIAS!$1:$1048576,(IF(($A16=FREQUENCIAS!$F$1),6,"ERRO")),FREQUENCIAS!$1:$1048576))</f>
        <v>0</v>
      </c>
      <c r="AM16" s="536"/>
      <c r="AN16" s="536"/>
      <c r="AO16" s="537">
        <f t="shared" si="14"/>
        <v>0</v>
      </c>
      <c r="AV16" s="551">
        <f>IF(B16=0,0,VLOOKUP(B16,FREQUENCIAS!$1:$1048576,(IF(($A16=FREQUENCIAS!$F$1),6,"ERRO")),FREQUENCIAS!$1:$1048576))</f>
        <v>0</v>
      </c>
      <c r="AW16" s="551">
        <f>IF(C16=0,0,VLOOKUP(C16,FREQUENCIAS!$1:$1048576,(IF(($A16=FREQUENCIAS!$F$1),6,"ERRO")),FREQUENCIAS!$1:$1048576))</f>
        <v>0</v>
      </c>
      <c r="AX16" s="551">
        <f>IF(D16=0,0,VLOOKUP(D16,FREQUENCIAS!$1:$1048576,(IF(($A16=FREQUENCIAS!$F$1),6,"ERRO")),FREQUENCIAS!$1:$1048576))</f>
        <v>0</v>
      </c>
      <c r="AY16" s="551">
        <f>IF(E16=0,0,VLOOKUP(E16,FREQUENCIAS!$1:$1048576,(IF(($A16=FREQUENCIAS!$F$1),6,"ERRO")),FREQUENCIAS!$1:$1048576))</f>
        <v>0</v>
      </c>
      <c r="BD16" s="485">
        <f t="shared" si="18"/>
        <v>1</v>
      </c>
      <c r="BE16" s="485">
        <f t="shared" si="19"/>
        <v>0</v>
      </c>
      <c r="BF16" s="539">
        <f t="shared" si="15"/>
        <v>1</v>
      </c>
    </row>
    <row r="17" spans="1:58" ht="15" customHeight="1" thickTop="1" thickBot="1">
      <c r="A17" s="517" t="str">
        <f>'IMPORTAÇÃO GENOTIPER'!A10</f>
        <v>Penta_E</v>
      </c>
      <c r="B17" s="644">
        <f>'IMPORTAÇÃO GENOTIPER'!AI10</f>
        <v>0</v>
      </c>
      <c r="C17" s="645">
        <f>'IMPORTAÇÃO GENOTIPER'!AQ10</f>
        <v>0</v>
      </c>
      <c r="D17" s="645">
        <f>'IMPORTAÇÃO GENOTIPER'!AY10</f>
        <v>0</v>
      </c>
      <c r="E17" s="646">
        <f>'IMPORTAÇÃO GENOTIPER'!BG10</f>
        <v>0</v>
      </c>
      <c r="F17" s="541">
        <f t="shared" si="0"/>
        <v>0</v>
      </c>
      <c r="G17" s="541">
        <f t="shared" si="1"/>
        <v>0</v>
      </c>
      <c r="H17" s="541">
        <f t="shared" si="2"/>
        <v>0</v>
      </c>
      <c r="I17" s="541">
        <f t="shared" si="3"/>
        <v>0</v>
      </c>
      <c r="J17" s="542"/>
      <c r="K17" s="542"/>
      <c r="L17" s="542"/>
      <c r="M17" s="543"/>
      <c r="N17" s="542">
        <f t="shared" si="4"/>
        <v>0</v>
      </c>
      <c r="O17" s="542">
        <f t="shared" si="5"/>
        <v>0</v>
      </c>
      <c r="P17" s="544">
        <f t="shared" si="6"/>
        <v>0</v>
      </c>
      <c r="Q17" s="545">
        <f t="shared" si="7"/>
        <v>0</v>
      </c>
      <c r="R17" s="546"/>
      <c r="S17" s="546"/>
      <c r="T17" s="527">
        <f>IF(P17=0,0,VLOOKUP(P17,FREQUENCIAS!1:1048576,(IF(($A17=FREQUENCIAS!$G$1),7,"ERRO")),FREQUENCIAS!1:1048576))</f>
        <v>0</v>
      </c>
      <c r="U17" s="527">
        <f>IF(Q17=0,0,VLOOKUP(Q17,FREQUENCIAS!1:1048576,(IF(($A17=FREQUENCIAS!$G$1),7,"ERRO")),FREQUENCIAS!1:1048576))</f>
        <v>0</v>
      </c>
      <c r="V17" s="547"/>
      <c r="W17" s="529" t="str">
        <f t="shared" si="8"/>
        <v>OK</v>
      </c>
      <c r="X17" s="548">
        <f>(IF((A17="   ERRO-FT"),"4",(IF((AND((P17=0),(Q17=0))),0,(IF((R17+S17+T17+U17+V17)&lt;=$Z$10,$Z$10,(R17+S17+T17+U17+V17)))))))</f>
        <v>0</v>
      </c>
      <c r="Y17" s="549">
        <f t="shared" si="16"/>
        <v>1</v>
      </c>
      <c r="Z17" s="532">
        <f t="shared" si="17"/>
        <v>0.5</v>
      </c>
      <c r="AA17" s="533"/>
      <c r="AB17" s="550" t="str">
        <f t="shared" si="9"/>
        <v>EXCLUI</v>
      </c>
      <c r="AC17" s="485" t="e">
        <f t="shared" si="10"/>
        <v>#DIV/0!</v>
      </c>
      <c r="AE17" s="485" t="str">
        <f t="shared" si="11"/>
        <v>1 / F</v>
      </c>
      <c r="AF17" s="535">
        <f t="shared" si="12"/>
        <v>1</v>
      </c>
      <c r="AH17" s="536">
        <f>IF(B17=0,0,VLOOKUP(B17,FREQUENCIAS!$1:$1048576,(IF(($A17=FREQUENCIAS!$G$1),7,"ERRO")),FREQUENCIAS!$1:$1048576))</f>
        <v>0</v>
      </c>
      <c r="AI17" s="536"/>
      <c r="AJ17" s="536"/>
      <c r="AK17" s="537">
        <f t="shared" si="13"/>
        <v>0</v>
      </c>
      <c r="AL17" s="536">
        <f>IF(C17=0,0,VLOOKUP(C17,FREQUENCIAS!$1:$1048576,(IF(($A17=FREQUENCIAS!$G$1),7,"ERRO")),FREQUENCIAS!$1:$1048576))</f>
        <v>0</v>
      </c>
      <c r="AM17" s="536"/>
      <c r="AN17" s="536"/>
      <c r="AO17" s="537">
        <f t="shared" si="14"/>
        <v>0</v>
      </c>
      <c r="AV17" s="551">
        <f>IF(B17=0,0,VLOOKUP(B17,FREQUENCIAS!$1:$1048576,(IF(($A17=FREQUENCIAS!$G$1),7,"ERRO")),FREQUENCIAS!$1:$1048576))</f>
        <v>0</v>
      </c>
      <c r="AW17" s="551">
        <f>IF(C17=0,0,VLOOKUP(C17,FREQUENCIAS!$1:$1048576,(IF(($A17=FREQUENCIAS!$G$1),7,"ERRO")),FREQUENCIAS!$1:$1048576))</f>
        <v>0</v>
      </c>
      <c r="AX17" s="551">
        <f>IF(D17=0,0,VLOOKUP(D17,FREQUENCIAS!$1:$1048576,(IF(($A17=FREQUENCIAS!$G$1),7,"ERRO")),FREQUENCIAS!$1:$1048576))</f>
        <v>0</v>
      </c>
      <c r="AY17" s="551">
        <f>IF(E17=0,0,VLOOKUP(E17,FREQUENCIAS!$1:$1048576,(IF(($A17=FREQUENCIAS!$G$1),7,"ERRO")),FREQUENCIAS!$1:$1048576))</f>
        <v>0</v>
      </c>
      <c r="BD17" s="485">
        <f t="shared" si="18"/>
        <v>1</v>
      </c>
      <c r="BE17" s="485">
        <f t="shared" si="19"/>
        <v>0</v>
      </c>
      <c r="BF17" s="539">
        <f t="shared" si="15"/>
        <v>1</v>
      </c>
    </row>
    <row r="18" spans="1:58" ht="15" customHeight="1" thickTop="1" thickBot="1">
      <c r="A18" s="517" t="str">
        <f>'IMPORTAÇÃO GENOTIPER'!A11</f>
        <v>D16S539</v>
      </c>
      <c r="B18" s="644">
        <f>'IMPORTAÇÃO GENOTIPER'!AI11</f>
        <v>0</v>
      </c>
      <c r="C18" s="645">
        <f>'IMPORTAÇÃO GENOTIPER'!AQ11</f>
        <v>0</v>
      </c>
      <c r="D18" s="645">
        <f>'IMPORTAÇÃO GENOTIPER'!AY11</f>
        <v>0</v>
      </c>
      <c r="E18" s="646">
        <f>'IMPORTAÇÃO GENOTIPER'!BG11</f>
        <v>0</v>
      </c>
      <c r="F18" s="541">
        <f t="shared" si="0"/>
        <v>0</v>
      </c>
      <c r="G18" s="541">
        <f t="shared" si="1"/>
        <v>0</v>
      </c>
      <c r="H18" s="541">
        <f t="shared" si="2"/>
        <v>0</v>
      </c>
      <c r="I18" s="541">
        <f t="shared" si="3"/>
        <v>0</v>
      </c>
      <c r="J18" s="542"/>
      <c r="K18" s="542"/>
      <c r="L18" s="542"/>
      <c r="M18" s="543"/>
      <c r="N18" s="542">
        <f t="shared" si="4"/>
        <v>0</v>
      </c>
      <c r="O18" s="542">
        <f t="shared" si="5"/>
        <v>0</v>
      </c>
      <c r="P18" s="544">
        <f t="shared" si="6"/>
        <v>0</v>
      </c>
      <c r="Q18" s="545">
        <f t="shared" si="7"/>
        <v>0</v>
      </c>
      <c r="R18" s="546"/>
      <c r="S18" s="546"/>
      <c r="T18" s="527">
        <f>IF(P18=0,0,VLOOKUP(P18,FREQUENCIAS!1:1048576,(IF(($A18=FREQUENCIAS!$H$1),8,"ERRO")),FREQUENCIAS!1:1048576))</f>
        <v>0</v>
      </c>
      <c r="U18" s="527">
        <f>IF(Q18=0,0,VLOOKUP(Q18,FREQUENCIAS!1:1048576,(IF(($A18=FREQUENCIAS!$H$1),8,"ERRO")),FREQUENCIAS!1:1048576))</f>
        <v>0</v>
      </c>
      <c r="V18" s="547"/>
      <c r="W18" s="529" t="str">
        <f t="shared" si="8"/>
        <v>OK</v>
      </c>
      <c r="X18" s="548">
        <f>(IF((A18="   ERRO-FT"),"8",(IF((AND((P18=0),(Q18=0))),0,(IF((R18+S18+T18+U18+V18)&lt;=$Z$10,$Z$10,(R18+S18+T18+U18+V18)))))))</f>
        <v>0</v>
      </c>
      <c r="Y18" s="549">
        <f t="shared" si="16"/>
        <v>1</v>
      </c>
      <c r="Z18" s="532">
        <f t="shared" si="17"/>
        <v>0.5</v>
      </c>
      <c r="AA18" s="533"/>
      <c r="AB18" s="550" t="str">
        <f t="shared" si="9"/>
        <v>EXCLUI</v>
      </c>
      <c r="AC18" s="485" t="e">
        <f t="shared" si="10"/>
        <v>#DIV/0!</v>
      </c>
      <c r="AE18" s="485" t="str">
        <f t="shared" si="11"/>
        <v>1 / F</v>
      </c>
      <c r="AF18" s="535">
        <f t="shared" si="12"/>
        <v>1</v>
      </c>
      <c r="AH18" s="536">
        <f>IF(B18=0,0,VLOOKUP(B18,FREQUENCIAS!$1:$1048576,(IF(($A18=FREQUENCIAS!$H$1),8,"ERRO")),FREQUENCIAS!$1:$1048576))</f>
        <v>0</v>
      </c>
      <c r="AI18" s="536"/>
      <c r="AJ18" s="536"/>
      <c r="AK18" s="537">
        <f t="shared" si="13"/>
        <v>0</v>
      </c>
      <c r="AL18" s="536">
        <f>IF(C18=0,0,VLOOKUP(C18,FREQUENCIAS!$1:$1048576,(IF(($A18=FREQUENCIAS!$H$1),8,"ERRO")),FREQUENCIAS!$1:$1048576))</f>
        <v>0</v>
      </c>
      <c r="AM18" s="536"/>
      <c r="AN18" s="536"/>
      <c r="AO18" s="537">
        <f t="shared" si="14"/>
        <v>0</v>
      </c>
      <c r="AV18" s="551">
        <f>IF(B18=0,0,VLOOKUP(B18,FREQUENCIAS!$1:$1048576,(IF(($A18=FREQUENCIAS!$H$1),8,"ERRO")),FREQUENCIAS!$1:$1048576))</f>
        <v>0</v>
      </c>
      <c r="AW18" s="551">
        <f>IF(C18=0,0,VLOOKUP(C18,FREQUENCIAS!$1:$1048576,(IF(($A18=FREQUENCIAS!$H$1),8,"ERRO")),FREQUENCIAS!$1:$1048576))</f>
        <v>0</v>
      </c>
      <c r="AX18" s="551">
        <f>IF(D18=0,0,VLOOKUP(D18,FREQUENCIAS!$1:$1048576,(IF(($A18=FREQUENCIAS!$H$1),8,"ERRO")),FREQUENCIAS!$1:$1048576))</f>
        <v>0</v>
      </c>
      <c r="AY18" s="551">
        <f>IF(E18=0,0,VLOOKUP(E18,FREQUENCIAS!$1:$1048576,(IF(($A18=FREQUENCIAS!$H$1),8,"ERRO")),FREQUENCIAS!$1:$1048576))</f>
        <v>0</v>
      </c>
      <c r="BD18" s="485">
        <f t="shared" si="18"/>
        <v>1</v>
      </c>
      <c r="BE18" s="485">
        <f t="shared" si="19"/>
        <v>0</v>
      </c>
      <c r="BF18" s="539">
        <f t="shared" si="15"/>
        <v>1</v>
      </c>
    </row>
    <row r="19" spans="1:58" ht="15" customHeight="1" thickTop="1" thickBot="1">
      <c r="A19" s="517" t="str">
        <f>'IMPORTAÇÃO GENOTIPER'!A12</f>
        <v>D18S51</v>
      </c>
      <c r="B19" s="644">
        <f>'IMPORTAÇÃO GENOTIPER'!AI12</f>
        <v>0</v>
      </c>
      <c r="C19" s="645">
        <f>'IMPORTAÇÃO GENOTIPER'!AQ12</f>
        <v>0</v>
      </c>
      <c r="D19" s="645">
        <f>'IMPORTAÇÃO GENOTIPER'!AY12</f>
        <v>0</v>
      </c>
      <c r="E19" s="646">
        <f>'IMPORTAÇÃO GENOTIPER'!BG12</f>
        <v>0</v>
      </c>
      <c r="F19" s="541">
        <f t="shared" si="0"/>
        <v>0</v>
      </c>
      <c r="G19" s="541">
        <f t="shared" si="1"/>
        <v>0</v>
      </c>
      <c r="H19" s="541">
        <f t="shared" si="2"/>
        <v>0</v>
      </c>
      <c r="I19" s="541">
        <f t="shared" si="3"/>
        <v>0</v>
      </c>
      <c r="J19" s="542"/>
      <c r="K19" s="542"/>
      <c r="L19" s="542"/>
      <c r="M19" s="543"/>
      <c r="N19" s="542">
        <f t="shared" si="4"/>
        <v>0</v>
      </c>
      <c r="O19" s="542">
        <f t="shared" si="5"/>
        <v>0</v>
      </c>
      <c r="P19" s="544">
        <f t="shared" si="6"/>
        <v>0</v>
      </c>
      <c r="Q19" s="545">
        <f t="shared" si="7"/>
        <v>0</v>
      </c>
      <c r="R19" s="546"/>
      <c r="S19" s="546"/>
      <c r="T19" s="527">
        <f>IF(P19=0,0,VLOOKUP(P19,FREQUENCIAS!1:1048576,(IF(($A19=FREQUENCIAS!$I$1),9,"ERRO")),FREQUENCIAS!1:1048576))</f>
        <v>0</v>
      </c>
      <c r="U19" s="527">
        <f>IF(Q19=0,0,VLOOKUP(Q19,FREQUENCIAS!1:1048576,(IF(($A19=FREQUENCIAS!$I$1),9,"ERRO")),FREQUENCIAS!1:1048576))</f>
        <v>0</v>
      </c>
      <c r="V19" s="547"/>
      <c r="W19" s="529" t="str">
        <f t="shared" si="8"/>
        <v>OK</v>
      </c>
      <c r="X19" s="548">
        <f>(IF((A19="   ERRO-FT"),"5",(IF((AND((P19=0),(Q19=0))),0,(IF((R19+S19+T19+U19+V19)&lt;=$Z$10,$Z$10,(R19+S19+T19+U19+V19)))))))</f>
        <v>0</v>
      </c>
      <c r="Y19" s="549">
        <f t="shared" si="16"/>
        <v>1</v>
      </c>
      <c r="Z19" s="532">
        <f t="shared" si="17"/>
        <v>0.5</v>
      </c>
      <c r="AA19" s="533"/>
      <c r="AB19" s="550" t="str">
        <f t="shared" si="9"/>
        <v>EXCLUI</v>
      </c>
      <c r="AC19" s="485" t="e">
        <f t="shared" si="10"/>
        <v>#DIV/0!</v>
      </c>
      <c r="AE19" s="485" t="str">
        <f t="shared" si="11"/>
        <v>1 / F</v>
      </c>
      <c r="AF19" s="535">
        <f t="shared" si="12"/>
        <v>1</v>
      </c>
      <c r="AH19" s="536">
        <f>IF(B19=0,0,VLOOKUP(B19,FREQUENCIAS!$1:$1048576,(IF(($A19=FREQUENCIAS!$I$1),9,"ERRO")),FREQUENCIAS!$1:$1048576))</f>
        <v>0</v>
      </c>
      <c r="AI19" s="536"/>
      <c r="AJ19" s="536"/>
      <c r="AK19" s="537">
        <f t="shared" si="13"/>
        <v>0</v>
      </c>
      <c r="AL19" s="536">
        <f>IF(C19=0,0,VLOOKUP(C19,FREQUENCIAS!$1:$1048576,(IF(($A19=FREQUENCIAS!$I$1),9,"ERRO")),FREQUENCIAS!$1:$1048576))</f>
        <v>0</v>
      </c>
      <c r="AM19" s="536"/>
      <c r="AN19" s="536"/>
      <c r="AO19" s="537">
        <f t="shared" si="14"/>
        <v>0</v>
      </c>
      <c r="AV19" s="551">
        <f>IF(B19=0,0,VLOOKUP(B19,FREQUENCIAS!$1:$1048576,(IF(($A19=FREQUENCIAS!$I$1),9,"ERRO")),FREQUENCIAS!$1:$1048576))</f>
        <v>0</v>
      </c>
      <c r="AW19" s="551">
        <f>IF(C19=0,0,VLOOKUP(C19,FREQUENCIAS!$1:$1048576,(IF(($A19=FREQUENCIAS!$I$1),9,"ERRO")),FREQUENCIAS!$1:$1048576))</f>
        <v>0</v>
      </c>
      <c r="AX19" s="551">
        <f>IF(D19=0,0,VLOOKUP(D19,FREQUENCIAS!$1:$1048576,(IF(($A19=FREQUENCIAS!$I$1),9,"ERRO")),FREQUENCIAS!$1:$1048576))</f>
        <v>0</v>
      </c>
      <c r="AY19" s="551">
        <f>IF(E19=0,0,VLOOKUP(E19,FREQUENCIAS!$1:$1048576,(IF(($A19=FREQUENCIAS!$I$1),9,"ERRO")),FREQUENCIAS!$1:$1048576))</f>
        <v>0</v>
      </c>
      <c r="BD19" s="485">
        <f t="shared" si="18"/>
        <v>1</v>
      </c>
      <c r="BE19" s="485">
        <f t="shared" si="19"/>
        <v>0</v>
      </c>
      <c r="BF19" s="539">
        <f t="shared" si="15"/>
        <v>1</v>
      </c>
    </row>
    <row r="20" spans="1:58" ht="15" customHeight="1" thickTop="1" thickBot="1">
      <c r="A20" s="517" t="str">
        <f>'IMPORTAÇÃO GENOTIPER'!A13</f>
        <v>D2S1338</v>
      </c>
      <c r="B20" s="644">
        <f>'IMPORTAÇÃO GENOTIPER'!AI13</f>
        <v>0</v>
      </c>
      <c r="C20" s="645">
        <f>'IMPORTAÇÃO GENOTIPER'!AQ13</f>
        <v>0</v>
      </c>
      <c r="D20" s="645">
        <f>'IMPORTAÇÃO GENOTIPER'!AY13</f>
        <v>0</v>
      </c>
      <c r="E20" s="646">
        <f>'IMPORTAÇÃO GENOTIPER'!BG13</f>
        <v>0</v>
      </c>
      <c r="F20" s="541">
        <f>IF((B20&gt;C20),C20,B20)</f>
        <v>0</v>
      </c>
      <c r="G20" s="541">
        <f>IF((C20&gt;B20),C20,B20)</f>
        <v>0</v>
      </c>
      <c r="H20" s="541">
        <f t="shared" si="2"/>
        <v>0</v>
      </c>
      <c r="I20" s="541">
        <f t="shared" si="3"/>
        <v>0</v>
      </c>
      <c r="J20" s="542"/>
      <c r="K20" s="542"/>
      <c r="L20" s="542"/>
      <c r="M20" s="543"/>
      <c r="N20" s="542">
        <f t="shared" si="4"/>
        <v>0</v>
      </c>
      <c r="O20" s="542">
        <f t="shared" si="5"/>
        <v>0</v>
      </c>
      <c r="P20" s="544">
        <f t="shared" si="6"/>
        <v>0</v>
      </c>
      <c r="Q20" s="545">
        <f t="shared" si="7"/>
        <v>0</v>
      </c>
      <c r="R20" s="546"/>
      <c r="S20" s="546"/>
      <c r="T20" s="527">
        <f>IF(P20=0,0,VLOOKUP(P20,FREQUENCIAS!1:1048576,(IF(($A20=FREQUENCIAS!$J$1),10,"ERRO")),FREQUENCIAS!1:1048576))</f>
        <v>0</v>
      </c>
      <c r="U20" s="527">
        <f>IF(Q20=0,0,VLOOKUP(Q20,FREQUENCIAS!1:1048576,(IF(($A20=FREQUENCIAS!$J$1),10,"ERRO")),FREQUENCIAS!1:1048576))</f>
        <v>0</v>
      </c>
      <c r="V20" s="547"/>
      <c r="W20" s="529" t="str">
        <f t="shared" si="8"/>
        <v>OK</v>
      </c>
      <c r="X20" s="548">
        <f>(IF((A20="   ERRO-FT"),"15",(IF((AND((P20=0),(Q20=0))),0,(IF((R20+S20+T20+U20+V20)&lt;=$Z$10,$Z$10,(R20+S20+T20+U20+V20)))))))</f>
        <v>0</v>
      </c>
      <c r="Y20" s="549">
        <f t="shared" si="16"/>
        <v>1</v>
      </c>
      <c r="Z20" s="532">
        <f t="shared" si="17"/>
        <v>0.5</v>
      </c>
      <c r="AA20" s="533"/>
      <c r="AB20" s="550" t="str">
        <f t="shared" si="9"/>
        <v>EXCLUI</v>
      </c>
      <c r="AC20" s="485" t="e">
        <f t="shared" si="10"/>
        <v>#DIV/0!</v>
      </c>
      <c r="AD20" s="485" t="s">
        <v>339</v>
      </c>
      <c r="AE20" s="485" t="str">
        <f t="shared" si="11"/>
        <v>1 / F</v>
      </c>
      <c r="AF20" s="535">
        <f t="shared" si="12"/>
        <v>1</v>
      </c>
      <c r="AH20" s="536">
        <f>IF(B20=0,0,VLOOKUP(B20,FREQUENCIAS!$1:$1048576,(IF(($A20=FREQUENCIAS!$J$1),10,"ERRO")),FREQUENCIAS!$1:$1048576))</f>
        <v>0</v>
      </c>
      <c r="AI20" s="536"/>
      <c r="AJ20" s="536"/>
      <c r="AK20" s="537">
        <f t="shared" si="13"/>
        <v>0</v>
      </c>
      <c r="AL20" s="536">
        <f>IF(C20=0,0,VLOOKUP(C20,FREQUENCIAS!$1:$1048576,(IF(($A20=FREQUENCIAS!$J$1),10,"ERRO")),FREQUENCIAS!$1:$1048576))</f>
        <v>0</v>
      </c>
      <c r="AM20" s="536"/>
      <c r="AN20" s="536"/>
      <c r="AO20" s="537">
        <f t="shared" si="14"/>
        <v>0</v>
      </c>
      <c r="AV20" s="551">
        <f>IF(B20=0,0,VLOOKUP(B20,FREQUENCIAS!$1:$1048576,(IF(($A20=FREQUENCIAS!$J$1),10,"ERRO")),FREQUENCIAS!$1:$1048576))</f>
        <v>0</v>
      </c>
      <c r="AW20" s="551">
        <f>IF(C20=0,0,VLOOKUP(C20,FREQUENCIAS!$1:$1048576,(IF(($A20=FREQUENCIAS!$J$1),10,"ERRO")),FREQUENCIAS!$1:$1048576))</f>
        <v>0</v>
      </c>
      <c r="AX20" s="551">
        <f>IF(D20=0,0,VLOOKUP(D20,FREQUENCIAS!$1:$1048576,(IF(($A20=FREQUENCIAS!$J$1),10,"ERRO")),FREQUENCIAS!$1:$1048576))</f>
        <v>0</v>
      </c>
      <c r="AY20" s="551">
        <f>IF(E20=0,0,VLOOKUP(E20,FREQUENCIAS!$1:$1048576,(IF(($A20=FREQUENCIAS!$J$1),10,"ERRO")),FREQUENCIAS!$1:$1048576))</f>
        <v>0</v>
      </c>
      <c r="BD20" s="485">
        <f t="shared" si="18"/>
        <v>1</v>
      </c>
      <c r="BE20" s="485">
        <f t="shared" si="19"/>
        <v>0</v>
      </c>
      <c r="BF20" s="539">
        <f t="shared" si="15"/>
        <v>1</v>
      </c>
    </row>
    <row r="21" spans="1:58" ht="15" customHeight="1" thickTop="1" thickBot="1">
      <c r="A21" s="517" t="str">
        <f>'IMPORTAÇÃO GENOTIPER'!A14</f>
        <v>CSF1PO</v>
      </c>
      <c r="B21" s="644">
        <f>'IMPORTAÇÃO GENOTIPER'!AI14</f>
        <v>0</v>
      </c>
      <c r="C21" s="645">
        <f>'IMPORTAÇÃO GENOTIPER'!AQ14</f>
        <v>0</v>
      </c>
      <c r="D21" s="645">
        <f>'IMPORTAÇÃO GENOTIPER'!AY14</f>
        <v>0</v>
      </c>
      <c r="E21" s="646">
        <f>'IMPORTAÇÃO GENOTIPER'!BG14</f>
        <v>0</v>
      </c>
      <c r="F21" s="541">
        <f t="shared" si="0"/>
        <v>0</v>
      </c>
      <c r="G21" s="541">
        <f t="shared" si="1"/>
        <v>0</v>
      </c>
      <c r="H21" s="541">
        <f t="shared" si="2"/>
        <v>0</v>
      </c>
      <c r="I21" s="541">
        <f t="shared" si="3"/>
        <v>0</v>
      </c>
      <c r="J21" s="542"/>
      <c r="K21" s="542"/>
      <c r="L21" s="542"/>
      <c r="M21" s="543"/>
      <c r="N21" s="542">
        <f t="shared" si="4"/>
        <v>0</v>
      </c>
      <c r="O21" s="542">
        <f t="shared" si="5"/>
        <v>0</v>
      </c>
      <c r="P21" s="544">
        <f t="shared" si="6"/>
        <v>0</v>
      </c>
      <c r="Q21" s="545">
        <f t="shared" si="7"/>
        <v>0</v>
      </c>
      <c r="R21" s="546"/>
      <c r="S21" s="546"/>
      <c r="T21" s="527">
        <f>IF(P21=0,0,VLOOKUP(P21,FREQUENCIAS!1:1048576,(IF(($A21=FREQUENCIAS!$K$1),11,"ERRO")),FREQUENCIAS!1:1048576))</f>
        <v>0</v>
      </c>
      <c r="U21" s="527">
        <f>IF(Q21=0,0,VLOOKUP(Q21,FREQUENCIAS!1:1048576,(IF(($A21=FREQUENCIAS!$K$1),11,"ERRO")),FREQUENCIAS!1:1048576))</f>
        <v>0</v>
      </c>
      <c r="V21" s="547"/>
      <c r="W21" s="529" t="str">
        <f t="shared" si="8"/>
        <v>OK</v>
      </c>
      <c r="X21" s="548">
        <f>(IF((A21="   ERRO-FT"),"9",(IF((AND((P21=0),(Q21=0))),0,(IF((R21+S21+T21+U21+V21)&lt;=$Z$10,$Z$10,(R21+S21+T21+U21+V21)))))))</f>
        <v>0</v>
      </c>
      <c r="Y21" s="549">
        <f t="shared" si="16"/>
        <v>1</v>
      </c>
      <c r="Z21" s="532">
        <f t="shared" si="17"/>
        <v>0.5</v>
      </c>
      <c r="AA21" s="533"/>
      <c r="AB21" s="550" t="str">
        <f t="shared" si="9"/>
        <v>EXCLUI</v>
      </c>
      <c r="AC21" s="485" t="e">
        <f t="shared" si="10"/>
        <v>#DIV/0!</v>
      </c>
      <c r="AE21" s="485" t="str">
        <f t="shared" si="11"/>
        <v>1 / F</v>
      </c>
      <c r="AF21" s="535">
        <f t="shared" si="12"/>
        <v>1</v>
      </c>
      <c r="AH21" s="536">
        <f>IF(B21=0,0,VLOOKUP(B21,FREQUENCIAS!$1:$1048576,(IF(($A21=FREQUENCIAS!$K$1),11,"ERRO")),FREQUENCIAS!$1:$1048576))</f>
        <v>0</v>
      </c>
      <c r="AI21" s="536"/>
      <c r="AJ21" s="536"/>
      <c r="AK21" s="537">
        <f t="shared" si="13"/>
        <v>0</v>
      </c>
      <c r="AL21" s="536">
        <f>IF(C21=0,0,VLOOKUP(C21,FREQUENCIAS!$1:$1048576,(IF(($A21=FREQUENCIAS!$K$1),11,"ERRO")),FREQUENCIAS!$1:$1048576))</f>
        <v>0</v>
      </c>
      <c r="AM21" s="536"/>
      <c r="AN21" s="536"/>
      <c r="AO21" s="537">
        <f t="shared" si="14"/>
        <v>0</v>
      </c>
      <c r="AV21" s="551">
        <f>IF(B21=0,0,VLOOKUP(B21,FREQUENCIAS!$1:$1048576,(IF(($A21=FREQUENCIAS!$K$1),11,"ERRO")),FREQUENCIAS!$1:$1048576))</f>
        <v>0</v>
      </c>
      <c r="AW21" s="551">
        <f>IF(C21=0,0,VLOOKUP(C21,FREQUENCIAS!$1:$1048576,(IF(($A21=FREQUENCIAS!$K$1),11,"ERRO")),FREQUENCIAS!$1:$1048576))</f>
        <v>0</v>
      </c>
      <c r="AX21" s="551">
        <f>IF(D21=0,0,VLOOKUP(D21,FREQUENCIAS!$1:$1048576,(IF(($A21=FREQUENCIAS!$K$1),11,"ERRO")),FREQUENCIAS!$1:$1048576))</f>
        <v>0</v>
      </c>
      <c r="AY21" s="551">
        <f>IF(E21=0,0,VLOOKUP(E21,FREQUENCIAS!$1:$1048576,(IF(($A21=FREQUENCIAS!$K$1),11,"ERRO")),FREQUENCIAS!$1:$1048576))</f>
        <v>0</v>
      </c>
      <c r="BD21" s="485">
        <f t="shared" si="18"/>
        <v>1</v>
      </c>
      <c r="BE21" s="485">
        <f t="shared" si="19"/>
        <v>0</v>
      </c>
      <c r="BF21" s="539">
        <f t="shared" si="15"/>
        <v>1</v>
      </c>
    </row>
    <row r="22" spans="1:58" ht="15" customHeight="1" thickTop="1" thickBot="1">
      <c r="A22" s="517" t="str">
        <f>'IMPORTAÇÃO GENOTIPER'!A15</f>
        <v>Penta_D</v>
      </c>
      <c r="B22" s="644">
        <f>'IMPORTAÇÃO GENOTIPER'!AI15</f>
        <v>0</v>
      </c>
      <c r="C22" s="645">
        <f>'IMPORTAÇÃO GENOTIPER'!AQ15</f>
        <v>0</v>
      </c>
      <c r="D22" s="645">
        <f>'IMPORTAÇÃO GENOTIPER'!AY15</f>
        <v>0</v>
      </c>
      <c r="E22" s="646">
        <f>'IMPORTAÇÃO GENOTIPER'!BG15</f>
        <v>0</v>
      </c>
      <c r="F22" s="541">
        <f t="shared" si="0"/>
        <v>0</v>
      </c>
      <c r="G22" s="541">
        <f t="shared" si="1"/>
        <v>0</v>
      </c>
      <c r="H22" s="541">
        <f t="shared" si="2"/>
        <v>0</v>
      </c>
      <c r="I22" s="541">
        <f t="shared" si="3"/>
        <v>0</v>
      </c>
      <c r="J22" s="542"/>
      <c r="K22" s="542"/>
      <c r="L22" s="542"/>
      <c r="M22" s="543"/>
      <c r="N22" s="542">
        <f t="shared" si="4"/>
        <v>0</v>
      </c>
      <c r="O22" s="542">
        <f t="shared" si="5"/>
        <v>0</v>
      </c>
      <c r="P22" s="544">
        <f t="shared" si="6"/>
        <v>0</v>
      </c>
      <c r="Q22" s="545">
        <f t="shared" si="7"/>
        <v>0</v>
      </c>
      <c r="R22" s="546"/>
      <c r="S22" s="546"/>
      <c r="T22" s="527">
        <f>IF(P22=0,0,VLOOKUP(P22,FREQUENCIAS!1:1048576,(IF(($A22=FREQUENCIAS!$L$1),12,"ERRO")),FREQUENCIAS!1:1048576))</f>
        <v>0</v>
      </c>
      <c r="U22" s="527">
        <f>IF(Q22=0,0,VLOOKUP(Q22,FREQUENCIAS!1:1048576,(IF(($A22=FREQUENCIAS!$L$1),12,"ERRO")),FREQUENCIAS!1:1048576))</f>
        <v>0</v>
      </c>
      <c r="V22" s="547"/>
      <c r="W22" s="529" t="str">
        <f t="shared" si="8"/>
        <v>OK</v>
      </c>
      <c r="X22" s="548">
        <f>(IF((A22="   ERRO-FT"),"11",(IF((AND((P22=0),(Q22=0))),0,(IF((R22+S22+T22+U22+V22)&lt;=$Z$10,$Z$10,(R22+S22+T22+U22+V22)))))))</f>
        <v>0</v>
      </c>
      <c r="Y22" s="549">
        <f t="shared" si="16"/>
        <v>1</v>
      </c>
      <c r="Z22" s="532">
        <f t="shared" si="17"/>
        <v>0.5</v>
      </c>
      <c r="AA22" s="533"/>
      <c r="AB22" s="550" t="str">
        <f t="shared" si="9"/>
        <v>EXCLUI</v>
      </c>
      <c r="AC22" s="485" t="e">
        <f t="shared" si="10"/>
        <v>#DIV/0!</v>
      </c>
      <c r="AD22" s="485" t="s">
        <v>340</v>
      </c>
      <c r="AE22" s="485" t="str">
        <f t="shared" si="11"/>
        <v>1 / F</v>
      </c>
      <c r="AF22" s="535">
        <f t="shared" si="12"/>
        <v>1</v>
      </c>
      <c r="AH22" s="536">
        <f>IF(B22=0,0,VLOOKUP(B22,FREQUENCIAS!$1:$1048576,(IF(($A22=FREQUENCIAS!$L$1),12,"ERRO")),FREQUENCIAS!$1:$1048576))</f>
        <v>0</v>
      </c>
      <c r="AI22" s="536"/>
      <c r="AJ22" s="536"/>
      <c r="AK22" s="537">
        <f t="shared" si="13"/>
        <v>0</v>
      </c>
      <c r="AL22" s="536">
        <f>IF(C22=0,0,VLOOKUP(C22,FREQUENCIAS!$1:$1048576,(IF(($A22=FREQUENCIAS!$L$1),12,"ERRO")),FREQUENCIAS!$1:$1048576))</f>
        <v>0</v>
      </c>
      <c r="AM22" s="536"/>
      <c r="AN22" s="536"/>
      <c r="AO22" s="537">
        <f t="shared" si="14"/>
        <v>0</v>
      </c>
      <c r="AV22" s="551">
        <f>IF(B22=0,0,VLOOKUP(B22,FREQUENCIAS!$1:$1048576,(IF(($A22=FREQUENCIAS!$L$1),12,"ERRO")),FREQUENCIAS!$1:$1048576))</f>
        <v>0</v>
      </c>
      <c r="AW22" s="551">
        <f>IF(C22=0,0,VLOOKUP(C22,FREQUENCIAS!$1:$1048576,(IF(($A22=FREQUENCIAS!$L$1),12,"ERRO")),FREQUENCIAS!$1:$1048576))</f>
        <v>0</v>
      </c>
      <c r="AX22" s="551">
        <f>IF(D22=0,0,VLOOKUP(D22,FREQUENCIAS!$1:$1048576,(IF(($A22=FREQUENCIAS!$L$1),12,"ERRO")),FREQUENCIAS!$1:$1048576))</f>
        <v>0</v>
      </c>
      <c r="AY22" s="551">
        <f>IF(E22=0,0,VLOOKUP(E22,FREQUENCIAS!$1:$1048576,(IF(($A22=FREQUENCIAS!$L$1),12,"ERRO")),FREQUENCIAS!$1:$1048576))</f>
        <v>0</v>
      </c>
      <c r="BD22" s="485">
        <f t="shared" si="18"/>
        <v>1</v>
      </c>
      <c r="BE22" s="485">
        <f t="shared" si="19"/>
        <v>0</v>
      </c>
      <c r="BF22" s="539">
        <f t="shared" si="15"/>
        <v>1</v>
      </c>
    </row>
    <row r="23" spans="1:58" ht="15" customHeight="1" thickTop="1" thickBot="1">
      <c r="A23" s="517" t="str">
        <f>'IMPORTAÇÃO GENOTIPER'!A16</f>
        <v>TH01</v>
      </c>
      <c r="B23" s="644">
        <f>'IMPORTAÇÃO GENOTIPER'!AI16</f>
        <v>0</v>
      </c>
      <c r="C23" s="645">
        <f>'IMPORTAÇÃO GENOTIPER'!AQ16</f>
        <v>0</v>
      </c>
      <c r="D23" s="645">
        <f>'IMPORTAÇÃO GENOTIPER'!AY16</f>
        <v>0</v>
      </c>
      <c r="E23" s="646">
        <f>'IMPORTAÇÃO GENOTIPER'!BG16</f>
        <v>0</v>
      </c>
      <c r="F23" s="541">
        <f t="shared" si="0"/>
        <v>0</v>
      </c>
      <c r="G23" s="541">
        <f t="shared" si="1"/>
        <v>0</v>
      </c>
      <c r="H23" s="541">
        <f t="shared" si="2"/>
        <v>0</v>
      </c>
      <c r="I23" s="541">
        <f t="shared" si="3"/>
        <v>0</v>
      </c>
      <c r="J23" s="542"/>
      <c r="K23" s="542"/>
      <c r="L23" s="542"/>
      <c r="M23" s="543"/>
      <c r="N23" s="542">
        <f t="shared" si="4"/>
        <v>0</v>
      </c>
      <c r="O23" s="542">
        <f t="shared" si="5"/>
        <v>0</v>
      </c>
      <c r="P23" s="544">
        <f t="shared" si="6"/>
        <v>0</v>
      </c>
      <c r="Q23" s="545">
        <f t="shared" si="7"/>
        <v>0</v>
      </c>
      <c r="R23" s="546"/>
      <c r="S23" s="546"/>
      <c r="T23" s="527">
        <f>IF(P23=0,0,VLOOKUP(P23,FREQUENCIAS!1:1048576,(IF(($A23=FREQUENCIAS!$M$1),13,"ERRO")),FREQUENCIAS!1:1048576))</f>
        <v>0</v>
      </c>
      <c r="U23" s="527">
        <f>IF(Q23=0,0,VLOOKUP(Q23,FREQUENCIAS!1:1048576,(IF(($A23=FREQUENCIAS!$M$1),13,"ERRO")),FREQUENCIAS!1:1048576))</f>
        <v>0</v>
      </c>
      <c r="V23" s="547"/>
      <c r="W23" s="529" t="str">
        <f t="shared" si="8"/>
        <v>OK</v>
      </c>
      <c r="X23" s="548">
        <f>(IF((A23="   ERRO-FT"),"6",(IF((AND((P23=0),(Q23=0))),0,(IF((R23+S23+T23+U23+V23)&lt;=$Z$10,$Z$10,(R23+S23+T23+U23+V23)))))))</f>
        <v>0</v>
      </c>
      <c r="Y23" s="549">
        <f t="shared" si="16"/>
        <v>1</v>
      </c>
      <c r="Z23" s="532">
        <f t="shared" si="17"/>
        <v>0.5</v>
      </c>
      <c r="AA23" s="533"/>
      <c r="AB23" s="550" t="str">
        <f t="shared" si="9"/>
        <v>EXCLUI</v>
      </c>
      <c r="AC23" s="485" t="e">
        <f t="shared" si="10"/>
        <v>#DIV/0!</v>
      </c>
      <c r="AE23" s="485" t="str">
        <f t="shared" si="11"/>
        <v>1 / F</v>
      </c>
      <c r="AF23" s="535">
        <f t="shared" si="12"/>
        <v>1</v>
      </c>
      <c r="AH23" s="536">
        <f>IF(B23=0,0,VLOOKUP(B23,FREQUENCIAS!$1:$1048576,(IF(($A23=FREQUENCIAS!$M$1),13,"ERRO")),FREQUENCIAS!$1:$1048576))</f>
        <v>0</v>
      </c>
      <c r="AI23" s="536"/>
      <c r="AJ23" s="536"/>
      <c r="AK23" s="537">
        <f t="shared" si="13"/>
        <v>0</v>
      </c>
      <c r="AL23" s="536">
        <f>IF(C23=0,0,VLOOKUP(C23,FREQUENCIAS!$1:$1048576,(IF(($A23=FREQUENCIAS!$M$1),13,"ERRO")),FREQUENCIAS!$1:$1048576))</f>
        <v>0</v>
      </c>
      <c r="AM23" s="536"/>
      <c r="AN23" s="536"/>
      <c r="AO23" s="537">
        <f t="shared" si="14"/>
        <v>0</v>
      </c>
      <c r="AV23" s="551">
        <f>IF(B23=0,0,VLOOKUP(B23,FREQUENCIAS!$1:$1048576,(IF(($A23=FREQUENCIAS!$M$1),13,"ERRO")),FREQUENCIAS!$1:$1048576))</f>
        <v>0</v>
      </c>
      <c r="AW23" s="551">
        <f>IF(C23=0,0,VLOOKUP(C23,FREQUENCIAS!$1:$1048576,(IF(($A23=FREQUENCIAS!$M$1),13,"ERRO")),FREQUENCIAS!$1:$1048576))</f>
        <v>0</v>
      </c>
      <c r="AX23" s="551">
        <f>IF(D23=0,0,VLOOKUP(D23,FREQUENCIAS!$1:$1048576,(IF(($A23=FREQUENCIAS!$M$1),13,"ERRO")),FREQUENCIAS!$1:$1048576))</f>
        <v>0</v>
      </c>
      <c r="AY23" s="551">
        <f>IF(E23=0,0,VLOOKUP(E23,FREQUENCIAS!$1:$1048576,(IF(($A23=FREQUENCIAS!$M$1),13,"ERRO")),FREQUENCIAS!$1:$1048576))</f>
        <v>0</v>
      </c>
      <c r="BD23" s="485">
        <f t="shared" si="18"/>
        <v>1</v>
      </c>
      <c r="BE23" s="485">
        <f t="shared" si="19"/>
        <v>0</v>
      </c>
      <c r="BF23" s="539">
        <f t="shared" si="15"/>
        <v>1</v>
      </c>
    </row>
    <row r="24" spans="1:58" ht="15" customHeight="1" thickTop="1" thickBot="1">
      <c r="A24" s="517" t="str">
        <f>'IMPORTAÇÃO GENOTIPER'!A17</f>
        <v>vWA</v>
      </c>
      <c r="B24" s="644">
        <f>'IMPORTAÇÃO GENOTIPER'!AI17</f>
        <v>0</v>
      </c>
      <c r="C24" s="645">
        <f>'IMPORTAÇÃO GENOTIPER'!AQ17</f>
        <v>0</v>
      </c>
      <c r="D24" s="645">
        <f>'IMPORTAÇÃO GENOTIPER'!AY17</f>
        <v>0</v>
      </c>
      <c r="E24" s="646">
        <f>'IMPORTAÇÃO GENOTIPER'!BG17</f>
        <v>0</v>
      </c>
      <c r="F24" s="541">
        <f t="shared" si="0"/>
        <v>0</v>
      </c>
      <c r="G24" s="541">
        <f t="shared" si="1"/>
        <v>0</v>
      </c>
      <c r="H24" s="541">
        <f t="shared" si="2"/>
        <v>0</v>
      </c>
      <c r="I24" s="541">
        <f t="shared" si="3"/>
        <v>0</v>
      </c>
      <c r="J24" s="542"/>
      <c r="K24" s="542"/>
      <c r="L24" s="542"/>
      <c r="M24" s="543"/>
      <c r="N24" s="542">
        <f t="shared" si="4"/>
        <v>0</v>
      </c>
      <c r="O24" s="542">
        <f t="shared" si="5"/>
        <v>0</v>
      </c>
      <c r="P24" s="544">
        <f t="shared" si="6"/>
        <v>0</v>
      </c>
      <c r="Q24" s="545">
        <f t="shared" si="7"/>
        <v>0</v>
      </c>
      <c r="R24" s="546"/>
      <c r="S24" s="546"/>
      <c r="T24" s="527">
        <f>IF(P24=0,0,VLOOKUP(P24,FREQUENCIAS!1:1048576,(IF(($A24=FREQUENCIAS!$N$1),14,"ERRO")),FREQUENCIAS!1:1048576))</f>
        <v>0</v>
      </c>
      <c r="U24" s="527">
        <f>IF(Q24=0,0,VLOOKUP(Q24,FREQUENCIAS!1:1048576,(IF(($A24=FREQUENCIAS!$N$1),14,"ERRO")),FREQUENCIAS!1:1048576))</f>
        <v>0</v>
      </c>
      <c r="V24" s="547"/>
      <c r="W24" s="529" t="str">
        <f t="shared" si="8"/>
        <v>OK</v>
      </c>
      <c r="X24" s="548">
        <f>(IF((A24="   ERRO-FT"),"7",(IF((AND((P24=0),(Q24=0))),0,(IF((R24+S24+T24+U24+V24)&lt;=$Z$10,$Z$10,(R24+S24+T24+U24+V24)))))))</f>
        <v>0</v>
      </c>
      <c r="Y24" s="549">
        <f t="shared" si="16"/>
        <v>1</v>
      </c>
      <c r="Z24" s="532">
        <f t="shared" si="17"/>
        <v>0.5</v>
      </c>
      <c r="AA24" s="533"/>
      <c r="AB24" s="550" t="str">
        <f t="shared" si="9"/>
        <v>EXCLUI</v>
      </c>
      <c r="AC24" s="485" t="e">
        <f t="shared" si="10"/>
        <v>#DIV/0!</v>
      </c>
      <c r="AE24" s="485" t="str">
        <f t="shared" si="11"/>
        <v>1 / F</v>
      </c>
      <c r="AF24" s="535">
        <f t="shared" si="12"/>
        <v>1</v>
      </c>
      <c r="AH24" s="536">
        <f>IF(B24=0,0,VLOOKUP(B24,FREQUENCIAS!$1:$1048576,(IF(($A24=FREQUENCIAS!$N$1),14,"ERRO")),FREQUENCIAS!$1:$1048576))</f>
        <v>0</v>
      </c>
      <c r="AI24" s="536"/>
      <c r="AJ24" s="536"/>
      <c r="AK24" s="537">
        <f t="shared" si="13"/>
        <v>0</v>
      </c>
      <c r="AL24" s="536">
        <f>IF(C24=0,0,VLOOKUP(C24,FREQUENCIAS!$1:$1048576,(IF(($A24=FREQUENCIAS!$N$1),14,"ERRO")),FREQUENCIAS!$1:$1048576))</f>
        <v>0</v>
      </c>
      <c r="AM24" s="536"/>
      <c r="AN24" s="536"/>
      <c r="AO24" s="537">
        <f t="shared" si="14"/>
        <v>0</v>
      </c>
      <c r="AV24" s="551">
        <f>IF(B24=0,0,VLOOKUP(B24,FREQUENCIAS!$1:$1048576,(IF(($A24=FREQUENCIAS!$N$1),14,"ERRO")),FREQUENCIAS!$1:$1048576))</f>
        <v>0</v>
      </c>
      <c r="AW24" s="551">
        <f>IF(C24=0,0,VLOOKUP(C24,FREQUENCIAS!$1:$1048576,(IF(($A24=FREQUENCIAS!$N$1),14,"ERRO")),FREQUENCIAS!$1:$1048576))</f>
        <v>0</v>
      </c>
      <c r="AX24" s="551">
        <f>IF(D24=0,0,VLOOKUP(D24,FREQUENCIAS!$1:$1048576,(IF(($A24=FREQUENCIAS!$N$1),14,"ERRO")),FREQUENCIAS!$1:$1048576))</f>
        <v>0</v>
      </c>
      <c r="AY24" s="551">
        <f>IF(E24=0,0,VLOOKUP(E24,FREQUENCIAS!$1:$1048576,(IF(($A24=FREQUENCIAS!$N$1),14,"ERRO")),FREQUENCIAS!$1:$1048576))</f>
        <v>0</v>
      </c>
      <c r="BD24" s="485">
        <f t="shared" si="18"/>
        <v>1</v>
      </c>
      <c r="BE24" s="485">
        <f t="shared" si="19"/>
        <v>0</v>
      </c>
      <c r="BF24" s="539">
        <f t="shared" si="15"/>
        <v>1</v>
      </c>
    </row>
    <row r="25" spans="1:58" ht="15" customHeight="1" thickTop="1" thickBot="1">
      <c r="A25" s="517" t="str">
        <f>'IMPORTAÇÃO GENOTIPER'!A18</f>
        <v>D21S11</v>
      </c>
      <c r="B25" s="644">
        <f>'IMPORTAÇÃO GENOTIPER'!AI18</f>
        <v>0</v>
      </c>
      <c r="C25" s="645">
        <f>'IMPORTAÇÃO GENOTIPER'!AQ18</f>
        <v>0</v>
      </c>
      <c r="D25" s="645">
        <f>'IMPORTAÇÃO GENOTIPER'!AY18</f>
        <v>0</v>
      </c>
      <c r="E25" s="646">
        <f>'IMPORTAÇÃO GENOTIPER'!BG18</f>
        <v>0</v>
      </c>
      <c r="F25" s="541">
        <f t="shared" si="0"/>
        <v>0</v>
      </c>
      <c r="G25" s="541">
        <f t="shared" si="1"/>
        <v>0</v>
      </c>
      <c r="H25" s="541">
        <f t="shared" si="2"/>
        <v>0</v>
      </c>
      <c r="I25" s="541">
        <f t="shared" si="3"/>
        <v>0</v>
      </c>
      <c r="J25" s="542"/>
      <c r="K25" s="542"/>
      <c r="L25" s="542"/>
      <c r="M25" s="543"/>
      <c r="N25" s="542">
        <f t="shared" si="4"/>
        <v>0</v>
      </c>
      <c r="O25" s="542">
        <f t="shared" si="5"/>
        <v>0</v>
      </c>
      <c r="P25" s="544">
        <f t="shared" si="6"/>
        <v>0</v>
      </c>
      <c r="Q25" s="545">
        <f t="shared" si="7"/>
        <v>0</v>
      </c>
      <c r="R25" s="546"/>
      <c r="S25" s="546"/>
      <c r="T25" s="527">
        <f>IF(P25=0,0,VLOOKUP(P25,FREQUENCIAS!1:1048576,(IF(($A25=FREQUENCIAS!$O$1),15,"ERRO")),FREQUENCIAS!1:1048576))</f>
        <v>0</v>
      </c>
      <c r="U25" s="527">
        <f>IF(Q25=0,0,VLOOKUP(Q25,FREQUENCIAS!1:1048576,(IF(($A25=FREQUENCIAS!$O$1),15,"ERRO")),FREQUENCIAS!1:1048576))</f>
        <v>0</v>
      </c>
      <c r="V25" s="547"/>
      <c r="W25" s="529" t="str">
        <f t="shared" si="8"/>
        <v>OK</v>
      </c>
      <c r="X25" s="548">
        <f>(IF((A25="   ERRO-FT"),"7",(IF((AND((P25=0),(Q25=0))),0,(IF((R25+S25+T25+U25+V25)&lt;=$Z$10,$Z$10,(R25+S25+T25+U25+V25)))))))</f>
        <v>0</v>
      </c>
      <c r="Y25" s="549">
        <f t="shared" si="16"/>
        <v>1</v>
      </c>
      <c r="Z25" s="532">
        <f t="shared" si="17"/>
        <v>0.5</v>
      </c>
      <c r="AA25" s="533"/>
      <c r="AB25" s="550" t="str">
        <f t="shared" si="9"/>
        <v>EXCLUI</v>
      </c>
      <c r="AC25" s="485" t="e">
        <f t="shared" si="10"/>
        <v>#DIV/0!</v>
      </c>
      <c r="AE25" s="485" t="str">
        <f t="shared" si="11"/>
        <v>1 / F</v>
      </c>
      <c r="AF25" s="535">
        <f t="shared" si="12"/>
        <v>1</v>
      </c>
      <c r="AH25" s="536">
        <f>IF(B25=0,0,VLOOKUP(B25,FREQUENCIAS!$1:$1048576,(IF(($A25=FREQUENCIAS!$O$1),15,"ERRO")),FREQUENCIAS!$1:$1048576))</f>
        <v>0</v>
      </c>
      <c r="AI25" s="536"/>
      <c r="AJ25" s="536"/>
      <c r="AK25" s="537">
        <f t="shared" si="13"/>
        <v>0</v>
      </c>
      <c r="AL25" s="536">
        <f>IF(C25=0,0,VLOOKUP(C25,FREQUENCIAS!$1:$1048576,(IF(($A25=FREQUENCIAS!$O$1),15,"ERRO")),FREQUENCIAS!$1:$1048576))</f>
        <v>0</v>
      </c>
      <c r="AM25" s="536"/>
      <c r="AN25" s="536"/>
      <c r="AO25" s="537">
        <f t="shared" si="14"/>
        <v>0</v>
      </c>
      <c r="AV25" s="551">
        <f>IF(B25=0,0,VLOOKUP(B25,FREQUENCIAS!$1:$1048576,(IF(($A25=FREQUENCIAS!$O$1),15,"ERRO")),FREQUENCIAS!$1:$1048576))</f>
        <v>0</v>
      </c>
      <c r="AW25" s="551">
        <f>IF(C25=0,0,VLOOKUP(C25,FREQUENCIAS!$1:$1048576,(IF(($A25=FREQUENCIAS!$O$1),15,"ERRO")),FREQUENCIAS!$1:$1048576))</f>
        <v>0</v>
      </c>
      <c r="AX25" s="551">
        <f>IF(D25=0,0,VLOOKUP(D25,FREQUENCIAS!$1:$1048576,(IF(($A25=FREQUENCIAS!$O$1),15,"ERRO")),FREQUENCIAS!$1:$1048576))</f>
        <v>0</v>
      </c>
      <c r="AY25" s="551">
        <f>IF(E25=0,0,VLOOKUP(E25,FREQUENCIAS!$1:$1048576,(IF(($A25=FREQUENCIAS!$O$1),15,"ERRO")),FREQUENCIAS!$1:$1048576))</f>
        <v>0</v>
      </c>
      <c r="BD25" s="485">
        <f t="shared" si="18"/>
        <v>1</v>
      </c>
      <c r="BE25" s="485">
        <f t="shared" si="19"/>
        <v>0</v>
      </c>
      <c r="BF25" s="539">
        <f t="shared" si="15"/>
        <v>1</v>
      </c>
    </row>
    <row r="26" spans="1:58" ht="15" customHeight="1" thickTop="1" thickBot="1">
      <c r="A26" s="517" t="str">
        <f>'IMPORTAÇÃO GENOTIPER'!A19</f>
        <v>D7S820</v>
      </c>
      <c r="B26" s="644">
        <f>'IMPORTAÇÃO GENOTIPER'!AI19</f>
        <v>0</v>
      </c>
      <c r="C26" s="645">
        <f>'IMPORTAÇÃO GENOTIPER'!AQ19</f>
        <v>0</v>
      </c>
      <c r="D26" s="645">
        <f>'IMPORTAÇÃO GENOTIPER'!AY19</f>
        <v>0</v>
      </c>
      <c r="E26" s="646">
        <f>'IMPORTAÇÃO GENOTIPER'!BG19</f>
        <v>0</v>
      </c>
      <c r="F26" s="541">
        <f t="shared" si="0"/>
        <v>0</v>
      </c>
      <c r="G26" s="541">
        <f t="shared" si="1"/>
        <v>0</v>
      </c>
      <c r="H26" s="541">
        <f t="shared" si="2"/>
        <v>0</v>
      </c>
      <c r="I26" s="541">
        <f t="shared" si="3"/>
        <v>0</v>
      </c>
      <c r="J26" s="542"/>
      <c r="K26" s="542"/>
      <c r="L26" s="542"/>
      <c r="M26" s="543"/>
      <c r="N26" s="542">
        <f t="shared" si="4"/>
        <v>0</v>
      </c>
      <c r="O26" s="542">
        <f t="shared" si="5"/>
        <v>0</v>
      </c>
      <c r="P26" s="544">
        <f t="shared" si="6"/>
        <v>0</v>
      </c>
      <c r="Q26" s="545">
        <f t="shared" si="7"/>
        <v>0</v>
      </c>
      <c r="R26" s="546"/>
      <c r="S26" s="546"/>
      <c r="T26" s="527">
        <f>IF(P26=0,0,VLOOKUP(P26,FREQUENCIAS!1:1048576,(IF(($A26=FREQUENCIAS!$P$1),16,"ERRO")),FREQUENCIAS!1:1048576))</f>
        <v>0</v>
      </c>
      <c r="U26" s="527">
        <f>IF(Q26=0,0,VLOOKUP(Q26,FREQUENCIAS!1:1048576,(IF(($A26=FREQUENCIAS!$P$1),16,"ERRO")),FREQUENCIAS!1:1048576))</f>
        <v>0</v>
      </c>
      <c r="V26" s="547"/>
      <c r="W26" s="529" t="str">
        <f t="shared" si="8"/>
        <v>OK</v>
      </c>
      <c r="X26" s="548">
        <f>(IF((A26="   ERRO-FT"),"16",(IF((AND((P26=0),(Q26=0))),0,(IF((R26+S26+T26+U26+V26)&lt;=$Z$10,$Z$10,(R26+S26+T26+U26+V26)))))))</f>
        <v>0</v>
      </c>
      <c r="Y26" s="549">
        <f t="shared" si="16"/>
        <v>1</v>
      </c>
      <c r="Z26" s="532">
        <f t="shared" si="17"/>
        <v>0.5</v>
      </c>
      <c r="AA26" s="555"/>
      <c r="AB26" s="550" t="str">
        <f t="shared" si="9"/>
        <v>EXCLUI</v>
      </c>
      <c r="AC26" s="485" t="e">
        <f t="shared" si="10"/>
        <v>#DIV/0!</v>
      </c>
      <c r="AD26" s="485" t="s">
        <v>339</v>
      </c>
      <c r="AE26" s="485" t="str">
        <f t="shared" si="11"/>
        <v>1 / F</v>
      </c>
      <c r="AF26" s="535">
        <f t="shared" si="12"/>
        <v>1</v>
      </c>
      <c r="AH26" s="536">
        <f>IF(B26=0,0,VLOOKUP(B26,FREQUENCIAS!$1:$1048576,(IF(($A26=FREQUENCIAS!$P$1),16,"ERRO")),FREQUENCIAS!$1:$1048576))</f>
        <v>0</v>
      </c>
      <c r="AI26" s="536"/>
      <c r="AJ26" s="536"/>
      <c r="AK26" s="537">
        <f t="shared" si="13"/>
        <v>0</v>
      </c>
      <c r="AL26" s="536">
        <f>IF(C26=0,0,VLOOKUP(C26,FREQUENCIAS!$1:$1048576,(IF(($A26=FREQUENCIAS!$P$1),16,"ERRO")),FREQUENCIAS!$1:$1048576))</f>
        <v>0</v>
      </c>
      <c r="AM26" s="536"/>
      <c r="AN26" s="536"/>
      <c r="AO26" s="537">
        <f t="shared" si="14"/>
        <v>0</v>
      </c>
      <c r="AV26" s="551">
        <f>IF(B26=0,0,VLOOKUP(B26,FREQUENCIAS!$1:$1048576,(IF(($A26=FREQUENCIAS!$P$1),16,"ERRO")),FREQUENCIAS!$1:$1048576))</f>
        <v>0</v>
      </c>
      <c r="AW26" s="551">
        <f>IF(C26=0,0,VLOOKUP(C26,FREQUENCIAS!$1:$1048576,(IF(($A26=FREQUENCIAS!$P$1),16,"ERRO")),FREQUENCIAS!$1:$1048576))</f>
        <v>0</v>
      </c>
      <c r="AX26" s="551">
        <f>IF(D26=0,0,VLOOKUP(D26,FREQUENCIAS!$1:$1048576,(IF(($A26=FREQUENCIAS!$P$1),16,"ERRO")),FREQUENCIAS!$1:$1048576))</f>
        <v>0</v>
      </c>
      <c r="AY26" s="551">
        <f>IF(E26=0,0,VLOOKUP(E26,FREQUENCIAS!$1:$1048576,(IF(($A26=FREQUENCIAS!$P$1),16,"ERRO")),FREQUENCIAS!$1:$1048576))</f>
        <v>0</v>
      </c>
      <c r="AZ26" s="552">
        <f>(IF((OR((B26=22.3),(B26=23.2),(B26=24.2),(B26=25.2),(B26=24.3),(B26=26.2),(B26=34.2),(B26="&gt;42,2"),(B26=42.2),(B26=43.2),(B26=44.2),(B26=45.2),(B26=46.2),(B26=47.2),(B26=48.2),(B26=50.2))),1,0))</f>
        <v>0</v>
      </c>
      <c r="BA26" s="552">
        <f>(IF((OR((C26=22.3),(C26=23.2),(C26=24.2),(C26=25.2),(C26=24.3),(C26=26.2),(C26=34.2),(C26="&gt;42,2"),(C26=42.2),(C26=43.2),(C26=44.2),(C26=45.2),(C26=46.2),(C26=47.2),(C26=48.2),(C26=50.2))),1,0))</f>
        <v>0</v>
      </c>
      <c r="BB26" s="552">
        <f>(IF((OR((D26=22.3),(D26=23.2),(D26=24.2),(D26=25.2),(D26=24.3),(D26=26.2),(D26=34.2),(D26="&gt;42,2"),(D26=42.2),(D26=43.2),(D26=44.2),(D26=45.2),(D26=46.2),(D26=47.2),(D26=48.2),(D26=50.2))),1,0))</f>
        <v>0</v>
      </c>
      <c r="BC26" s="552">
        <f>(IF((OR((E26=22.3),(E26=23.2),(E26=24.2),(E26=25.2),(E26=24.3),(E26=26.2),(E26=34.2),(E26="&gt;42,2"),(E26=42.2),(E26=43.2),(E26=44.2),(E26=45.2),(E26=46.2),(E26=47.2),(E26=48.2),(E26=50.2))),1,0))</f>
        <v>0</v>
      </c>
      <c r="BD26" s="485">
        <f t="shared" si="18"/>
        <v>1</v>
      </c>
      <c r="BE26" s="485">
        <f t="shared" si="19"/>
        <v>0</v>
      </c>
      <c r="BF26" s="539">
        <f t="shared" si="15"/>
        <v>1</v>
      </c>
    </row>
    <row r="27" spans="1:58" ht="15" customHeight="1" thickTop="1" thickBot="1">
      <c r="A27" s="517" t="str">
        <f>'IMPORTAÇÃO GENOTIPER'!A20</f>
        <v>D5S818</v>
      </c>
      <c r="B27" s="644">
        <f>'IMPORTAÇÃO GENOTIPER'!AI20</f>
        <v>0</v>
      </c>
      <c r="C27" s="645">
        <f>'IMPORTAÇÃO GENOTIPER'!AQ20</f>
        <v>0</v>
      </c>
      <c r="D27" s="645">
        <f>'IMPORTAÇÃO GENOTIPER'!AY20</f>
        <v>0</v>
      </c>
      <c r="E27" s="646">
        <f>'IMPORTAÇÃO GENOTIPER'!BG20</f>
        <v>0</v>
      </c>
      <c r="F27" s="541">
        <f t="shared" si="0"/>
        <v>0</v>
      </c>
      <c r="G27" s="541">
        <f t="shared" si="1"/>
        <v>0</v>
      </c>
      <c r="H27" s="541">
        <f t="shared" si="2"/>
        <v>0</v>
      </c>
      <c r="I27" s="541">
        <f t="shared" si="3"/>
        <v>0</v>
      </c>
      <c r="J27" s="542"/>
      <c r="K27" s="542"/>
      <c r="L27" s="542"/>
      <c r="M27" s="543"/>
      <c r="N27" s="542">
        <f t="shared" si="4"/>
        <v>0</v>
      </c>
      <c r="O27" s="542">
        <f t="shared" si="5"/>
        <v>0</v>
      </c>
      <c r="P27" s="544">
        <f t="shared" si="6"/>
        <v>0</v>
      </c>
      <c r="Q27" s="545">
        <f t="shared" si="7"/>
        <v>0</v>
      </c>
      <c r="R27" s="546"/>
      <c r="S27" s="546"/>
      <c r="T27" s="527">
        <f>IF(P27=0,0,VLOOKUP(P27,FREQUENCIAS!1:1048576,(IF(($A27=FREQUENCIAS!$Q$1),17,"ERRO")),FREQUENCIAS!1:1048576))</f>
        <v>0</v>
      </c>
      <c r="U27" s="527">
        <f>IF(Q27=0,0,VLOOKUP(Q27,FREQUENCIAS!1:1048576,(IF(($A27=FREQUENCIAS!$Q$1),17,"ERRO")),FREQUENCIAS!1:1048576))</f>
        <v>0</v>
      </c>
      <c r="V27" s="547"/>
      <c r="W27" s="529" t="str">
        <f t="shared" si="8"/>
        <v>OK</v>
      </c>
      <c r="X27" s="548">
        <f t="shared" ref="X27:X45" si="20">(IF((A27="   ERRO-FT"),"16",(IF((AND((P27=0),(Q27=0))),0,(IF((R27+S27+T27+U27+V27)&lt;=$Z$10,$Z$10,(R27+S27+T27+U27+V27)))))))</f>
        <v>0</v>
      </c>
      <c r="Y27" s="549">
        <f t="shared" si="16"/>
        <v>1</v>
      </c>
      <c r="Z27" s="532">
        <f t="shared" si="17"/>
        <v>0.5</v>
      </c>
      <c r="AA27" s="556"/>
      <c r="AB27" s="550" t="str">
        <f t="shared" si="9"/>
        <v>EXCLUI</v>
      </c>
      <c r="AC27" s="485" t="e">
        <f t="shared" si="10"/>
        <v>#DIV/0!</v>
      </c>
      <c r="AD27" s="485" t="s">
        <v>339</v>
      </c>
      <c r="AE27" s="485" t="str">
        <f t="shared" si="11"/>
        <v>1 / F</v>
      </c>
      <c r="AF27" s="535">
        <f t="shared" si="12"/>
        <v>1</v>
      </c>
      <c r="AH27" s="536">
        <f>IF(B27=0,0,VLOOKUP(B27,FREQUENCIAS!$1:$1048576,(IF(($A27=FREQUENCIAS!$Q$1),17,"ERRO")),FREQUENCIAS!$1:$1048576))</f>
        <v>0</v>
      </c>
      <c r="AI27" s="536"/>
      <c r="AJ27" s="536"/>
      <c r="AK27" s="537">
        <f t="shared" si="13"/>
        <v>0</v>
      </c>
      <c r="AL27" s="536">
        <f>IF(C27=0,0,VLOOKUP(C27,FREQUENCIAS!$1:$1048576,(IF(($A27=FREQUENCIAS!$Q$1),17,"ERRO")),FREQUENCIAS!$1:$1048576))</f>
        <v>0</v>
      </c>
      <c r="AM27" s="536"/>
      <c r="AN27" s="536"/>
      <c r="AO27" s="537">
        <f t="shared" si="14"/>
        <v>0</v>
      </c>
      <c r="AV27" s="551">
        <f>IF(B27=0,0,VLOOKUP(B27,FREQUENCIAS!$1:$1048576,(IF(($A27=FREQUENCIAS!$Q$1),17,"ERRO")),FREQUENCIAS!$1:$1048576))</f>
        <v>0</v>
      </c>
      <c r="AW27" s="551">
        <f>IF(C27=0,0,VLOOKUP(C27,FREQUENCIAS!$1:$1048576,(IF(($A27=FREQUENCIAS!$Q$1),17,"ERRO")),FREQUENCIAS!$1:$1048576))</f>
        <v>0</v>
      </c>
      <c r="AX27" s="551">
        <f>IF(D27=0,0,VLOOKUP(D27,FREQUENCIAS!$1:$1048576,(IF(($A27=FREQUENCIAS!$Q$1),17,"ERRO")),FREQUENCIAS!$1:$1048576))</f>
        <v>0</v>
      </c>
      <c r="AY27" s="551">
        <f>IF(E27=0,0,VLOOKUP(E27,FREQUENCIAS!$1:$1048576,(IF(($A27=FREQUENCIAS!$Q$1),17,"ERRO")),FREQUENCIAS!$1:$1048576))</f>
        <v>0</v>
      </c>
      <c r="AZ27" s="552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2">
        <f t="shared" si="21"/>
        <v>0</v>
      </c>
      <c r="BB27" s="552">
        <f t="shared" si="21"/>
        <v>0</v>
      </c>
      <c r="BC27" s="552">
        <f t="shared" si="21"/>
        <v>0</v>
      </c>
      <c r="BD27" s="485">
        <f t="shared" si="18"/>
        <v>1</v>
      </c>
      <c r="BE27" s="485">
        <f t="shared" si="19"/>
        <v>0</v>
      </c>
      <c r="BF27" s="539">
        <f t="shared" si="15"/>
        <v>1</v>
      </c>
    </row>
    <row r="28" spans="1:58" ht="15" customHeight="1" thickTop="1" thickBot="1">
      <c r="A28" s="517" t="str">
        <f>'IMPORTAÇÃO GENOTIPER'!A21</f>
        <v>TPOX</v>
      </c>
      <c r="B28" s="644">
        <f>'IMPORTAÇÃO GENOTIPER'!AI21</f>
        <v>0</v>
      </c>
      <c r="C28" s="645">
        <f>'IMPORTAÇÃO GENOTIPER'!AQ21</f>
        <v>0</v>
      </c>
      <c r="D28" s="645">
        <f>'IMPORTAÇÃO GENOTIPER'!AY21</f>
        <v>0</v>
      </c>
      <c r="E28" s="646">
        <f>'IMPORTAÇÃO GENOTIPER'!BG21</f>
        <v>0</v>
      </c>
      <c r="F28" s="541">
        <f t="shared" si="0"/>
        <v>0</v>
      </c>
      <c r="G28" s="541">
        <f t="shared" si="1"/>
        <v>0</v>
      </c>
      <c r="H28" s="541">
        <f t="shared" si="2"/>
        <v>0</v>
      </c>
      <c r="I28" s="541">
        <f t="shared" si="3"/>
        <v>0</v>
      </c>
      <c r="J28" s="542"/>
      <c r="K28" s="542"/>
      <c r="L28" s="542"/>
      <c r="M28" s="543"/>
      <c r="N28" s="542">
        <f t="shared" si="4"/>
        <v>0</v>
      </c>
      <c r="O28" s="542">
        <f t="shared" si="5"/>
        <v>0</v>
      </c>
      <c r="P28" s="544">
        <f t="shared" si="6"/>
        <v>0</v>
      </c>
      <c r="Q28" s="545">
        <f t="shared" si="7"/>
        <v>0</v>
      </c>
      <c r="R28" s="546"/>
      <c r="S28" s="546"/>
      <c r="T28" s="527">
        <f>IF(P28=0,0,VLOOKUP(P28,FREQUENCIAS!1:1048576,(IF(($A28=FREQUENCIAS!$R$1),18,"ERRO")),FREQUENCIAS!1:1048576))</f>
        <v>0</v>
      </c>
      <c r="U28" s="527">
        <f>IF(Q28=0,0,VLOOKUP(Q28,FREQUENCIAS!1:1048576,(IF(($A28=FREQUENCIAS!$R$1),18,"ERRO")),FREQUENCIAS!1:1048576))</f>
        <v>0</v>
      </c>
      <c r="V28" s="547"/>
      <c r="W28" s="529" t="str">
        <f t="shared" si="8"/>
        <v>OK</v>
      </c>
      <c r="X28" s="548">
        <f t="shared" si="20"/>
        <v>0</v>
      </c>
      <c r="Y28" s="549">
        <f t="shared" si="16"/>
        <v>1</v>
      </c>
      <c r="Z28" s="532">
        <f t="shared" si="17"/>
        <v>0.5</v>
      </c>
      <c r="AA28" s="556"/>
      <c r="AB28" s="550" t="str">
        <f t="shared" si="9"/>
        <v>EXCLUI</v>
      </c>
      <c r="AC28" s="485" t="e">
        <f t="shared" si="10"/>
        <v>#DIV/0!</v>
      </c>
      <c r="AD28" s="485" t="s">
        <v>339</v>
      </c>
      <c r="AE28" s="485" t="str">
        <f t="shared" si="11"/>
        <v>1 / F</v>
      </c>
      <c r="AF28" s="535">
        <f t="shared" si="12"/>
        <v>1</v>
      </c>
      <c r="AH28" s="536">
        <f>IF(B28=0,0,VLOOKUP(B28,FREQUENCIAS!$1:$1048576,(IF(($A28=FREQUENCIAS!$R$1),18,"ERRO")),FREQUENCIAS!$1:$1048576))</f>
        <v>0</v>
      </c>
      <c r="AI28" s="536"/>
      <c r="AJ28" s="536"/>
      <c r="AK28" s="537">
        <f t="shared" si="13"/>
        <v>0</v>
      </c>
      <c r="AL28" s="536">
        <f>IF(C28=0,0,VLOOKUP(C28,FREQUENCIAS!$1:$1048576,(IF(($A28=FREQUENCIAS!$R$1),18,"ERRO")),FREQUENCIAS!$1:$1048576))</f>
        <v>0</v>
      </c>
      <c r="AM28" s="536"/>
      <c r="AN28" s="536"/>
      <c r="AO28" s="537">
        <f t="shared" si="14"/>
        <v>0</v>
      </c>
      <c r="AV28" s="551">
        <f>IF(B28=0,0,VLOOKUP(B28,FREQUENCIAS!$1:$1048576,(IF(($A28=FREQUENCIAS!$R$1),18,"ERRO")),FREQUENCIAS!$1:$1048576))</f>
        <v>0</v>
      </c>
      <c r="AW28" s="551">
        <f>IF(C28=0,0,VLOOKUP(C28,FREQUENCIAS!$1:$1048576,(IF(($A28=FREQUENCIAS!$R$1),18,"ERRO")),FREQUENCIAS!$1:$1048576))</f>
        <v>0</v>
      </c>
      <c r="AX28" s="551">
        <f>IF(D28=0,0,VLOOKUP(D28,FREQUENCIAS!$1:$1048576,(IF(($A28=FREQUENCIAS!$R$1),18,"ERRO")),FREQUENCIAS!$1:$1048576))</f>
        <v>0</v>
      </c>
      <c r="AY28" s="551">
        <f>IF(E28=0,0,VLOOKUP(E28,FREQUENCIAS!$1:$1048576,(IF(($A28=FREQUENCIAS!$R$1),18,"ERRO")),FREQUENCIAS!$1:$1048576))</f>
        <v>0</v>
      </c>
      <c r="AZ28" s="552">
        <f t="shared" si="21"/>
        <v>0</v>
      </c>
      <c r="BA28" s="552">
        <f t="shared" si="21"/>
        <v>0</v>
      </c>
      <c r="BB28" s="552">
        <f t="shared" si="21"/>
        <v>0</v>
      </c>
      <c r="BC28" s="552">
        <f t="shared" si="21"/>
        <v>0</v>
      </c>
      <c r="BD28" s="485">
        <f t="shared" si="18"/>
        <v>1</v>
      </c>
      <c r="BE28" s="485">
        <f t="shared" si="19"/>
        <v>0</v>
      </c>
      <c r="BF28" s="539">
        <f t="shared" si="15"/>
        <v>1</v>
      </c>
    </row>
    <row r="29" spans="1:58" ht="15" customHeight="1" thickTop="1" thickBot="1">
      <c r="A29" s="517" t="str">
        <f>'IMPORTAÇÃO GENOTIPER'!A22</f>
        <v>D8S1179</v>
      </c>
      <c r="B29" s="644">
        <f>'IMPORTAÇÃO GENOTIPER'!AI22</f>
        <v>0</v>
      </c>
      <c r="C29" s="645">
        <f>'IMPORTAÇÃO GENOTIPER'!AQ22</f>
        <v>0</v>
      </c>
      <c r="D29" s="645">
        <f>'IMPORTAÇÃO GENOTIPER'!AY22</f>
        <v>0</v>
      </c>
      <c r="E29" s="646">
        <f>'IMPORTAÇÃO GENOTIPER'!BG22</f>
        <v>0</v>
      </c>
      <c r="F29" s="541">
        <f t="shared" si="0"/>
        <v>0</v>
      </c>
      <c r="G29" s="541">
        <f t="shared" si="1"/>
        <v>0</v>
      </c>
      <c r="H29" s="541">
        <f t="shared" si="2"/>
        <v>0</v>
      </c>
      <c r="I29" s="541">
        <f t="shared" si="3"/>
        <v>0</v>
      </c>
      <c r="J29" s="542"/>
      <c r="K29" s="542"/>
      <c r="L29" s="542"/>
      <c r="M29" s="543"/>
      <c r="N29" s="542">
        <f t="shared" si="4"/>
        <v>0</v>
      </c>
      <c r="O29" s="542">
        <f t="shared" si="5"/>
        <v>0</v>
      </c>
      <c r="P29" s="544">
        <f t="shared" si="6"/>
        <v>0</v>
      </c>
      <c r="Q29" s="545">
        <f t="shared" si="7"/>
        <v>0</v>
      </c>
      <c r="R29" s="546"/>
      <c r="S29" s="546"/>
      <c r="T29" s="527">
        <f>IF(P29=0,0,VLOOKUP(P29,FREQUENCIAS!1:1048576,(IF(($A29=FREQUENCIAS!$S$1),19,"ERRO")),FREQUENCIAS!1:1048576))</f>
        <v>0</v>
      </c>
      <c r="U29" s="527">
        <f>IF(Q29=0,0,VLOOKUP(Q29,FREQUENCIAS!1:1048576,(IF(($A29=FREQUENCIAS!$S$1),19,"ERRO")),FREQUENCIAS!1:1048576))</f>
        <v>0</v>
      </c>
      <c r="V29" s="547"/>
      <c r="W29" s="529" t="str">
        <f t="shared" si="8"/>
        <v>OK</v>
      </c>
      <c r="X29" s="548">
        <f t="shared" si="20"/>
        <v>0</v>
      </c>
      <c r="Y29" s="549">
        <f t="shared" si="16"/>
        <v>1</v>
      </c>
      <c r="Z29" s="532">
        <f t="shared" si="17"/>
        <v>0.5</v>
      </c>
      <c r="AA29" s="556"/>
      <c r="AB29" s="550" t="str">
        <f t="shared" si="9"/>
        <v>EXCLUI</v>
      </c>
      <c r="AC29" s="485" t="e">
        <f t="shared" si="10"/>
        <v>#DIV/0!</v>
      </c>
      <c r="AD29" s="485" t="s">
        <v>339</v>
      </c>
      <c r="AE29" s="485" t="str">
        <f t="shared" si="11"/>
        <v>1 / F</v>
      </c>
      <c r="AF29" s="535">
        <f t="shared" si="12"/>
        <v>1</v>
      </c>
      <c r="AH29" s="536">
        <f>IF(B29=0,0,VLOOKUP(B29,FREQUENCIAS!$1:$1048576,(IF(($A29=FREQUENCIAS!$S$1),19,"ERRO")),FREQUENCIAS!$1:$1048576))</f>
        <v>0</v>
      </c>
      <c r="AI29" s="536"/>
      <c r="AJ29" s="536"/>
      <c r="AK29" s="537">
        <f t="shared" si="13"/>
        <v>0</v>
      </c>
      <c r="AL29" s="536">
        <f>IF(C29=0,0,VLOOKUP(C29,FREQUENCIAS!$1:$1048576,(IF(($A29=FREQUENCIAS!$S$1),19,"ERRO")),FREQUENCIAS!$1:$1048576))</f>
        <v>0</v>
      </c>
      <c r="AM29" s="536"/>
      <c r="AN29" s="536"/>
      <c r="AO29" s="537">
        <f t="shared" si="14"/>
        <v>0</v>
      </c>
      <c r="AV29" s="551">
        <f>IF(B29=0,0,VLOOKUP(B29,FREQUENCIAS!$1:$1048576,(IF(($A29=FREQUENCIAS!$S$1),19,"ERRO")),FREQUENCIAS!$1:$1048576))</f>
        <v>0</v>
      </c>
      <c r="AW29" s="551">
        <f>IF(C29=0,0,VLOOKUP(C29,FREQUENCIAS!$1:$1048576,(IF(($A29=FREQUENCIAS!$S$1),19,"ERRO")),FREQUENCIAS!$1:$1048576))</f>
        <v>0</v>
      </c>
      <c r="AX29" s="551">
        <f>IF(D29=0,0,VLOOKUP(D29,FREQUENCIAS!$1:$1048576,(IF(($A29=FREQUENCIAS!$S$1),19,"ERRO")),FREQUENCIAS!$1:$1048576))</f>
        <v>0</v>
      </c>
      <c r="AY29" s="551">
        <f>IF(E29=0,0,VLOOKUP(E29,FREQUENCIAS!$1:$1048576,(IF(($A29=FREQUENCIAS!$S$1),19,"ERRO")),FREQUENCIAS!$1:$1048576))</f>
        <v>0</v>
      </c>
      <c r="AZ29" s="552">
        <f t="shared" si="21"/>
        <v>0</v>
      </c>
      <c r="BA29" s="552">
        <f t="shared" si="21"/>
        <v>0</v>
      </c>
      <c r="BB29" s="552">
        <f t="shared" si="21"/>
        <v>0</v>
      </c>
      <c r="BC29" s="552">
        <f t="shared" si="21"/>
        <v>0</v>
      </c>
      <c r="BD29" s="485">
        <f t="shared" si="18"/>
        <v>1</v>
      </c>
      <c r="BE29" s="485">
        <f t="shared" si="19"/>
        <v>0</v>
      </c>
      <c r="BF29" s="539">
        <f t="shared" si="15"/>
        <v>1</v>
      </c>
    </row>
    <row r="30" spans="1:58" ht="15" customHeight="1" thickTop="1" thickBot="1">
      <c r="A30" s="517" t="str">
        <f>'IMPORTAÇÃO GENOTIPER'!A23</f>
        <v>D12S391</v>
      </c>
      <c r="B30" s="644">
        <f>'IMPORTAÇÃO GENOTIPER'!AI23</f>
        <v>0</v>
      </c>
      <c r="C30" s="645">
        <f>'IMPORTAÇÃO GENOTIPER'!AQ23</f>
        <v>0</v>
      </c>
      <c r="D30" s="645">
        <f>'IMPORTAÇÃO GENOTIPER'!AY23</f>
        <v>0</v>
      </c>
      <c r="E30" s="646">
        <f>'IMPORTAÇÃO GENOTIPER'!BG23</f>
        <v>0</v>
      </c>
      <c r="F30" s="541">
        <f t="shared" si="0"/>
        <v>0</v>
      </c>
      <c r="G30" s="541">
        <f t="shared" si="1"/>
        <v>0</v>
      </c>
      <c r="H30" s="541">
        <f t="shared" si="2"/>
        <v>0</v>
      </c>
      <c r="I30" s="541">
        <f t="shared" si="3"/>
        <v>0</v>
      </c>
      <c r="J30" s="542"/>
      <c r="K30" s="542"/>
      <c r="L30" s="542"/>
      <c r="M30" s="543"/>
      <c r="N30" s="542">
        <f t="shared" si="4"/>
        <v>0</v>
      </c>
      <c r="O30" s="542">
        <f t="shared" si="5"/>
        <v>0</v>
      </c>
      <c r="P30" s="544">
        <f t="shared" si="6"/>
        <v>0</v>
      </c>
      <c r="Q30" s="545">
        <f t="shared" si="7"/>
        <v>0</v>
      </c>
      <c r="R30" s="546"/>
      <c r="S30" s="546"/>
      <c r="T30" s="527">
        <f>IF(P30=0,0,VLOOKUP(P30,FREQUENCIAS!1:1048576,(IF(($A30=FREQUENCIAS!$T$1),20,"ERRO")),FREQUENCIAS!1:1048576))</f>
        <v>0</v>
      </c>
      <c r="U30" s="527">
        <f>IF(Q30=0,0,VLOOKUP(Q30,FREQUENCIAS!1:1048576,(IF(($A30=FREQUENCIAS!$T$1),20,"ERRO")),FREQUENCIAS!1:1048576))</f>
        <v>0</v>
      </c>
      <c r="V30" s="547"/>
      <c r="W30" s="529" t="str">
        <f t="shared" si="8"/>
        <v>OK</v>
      </c>
      <c r="X30" s="548">
        <f t="shared" si="20"/>
        <v>0</v>
      </c>
      <c r="Y30" s="549">
        <f t="shared" si="16"/>
        <v>1</v>
      </c>
      <c r="Z30" s="532">
        <f t="shared" si="17"/>
        <v>0.5</v>
      </c>
      <c r="AA30" s="556"/>
      <c r="AB30" s="550" t="str">
        <f t="shared" si="9"/>
        <v>EXCLUI</v>
      </c>
      <c r="AC30" s="485" t="e">
        <f t="shared" si="10"/>
        <v>#DIV/0!</v>
      </c>
      <c r="AD30" s="485" t="s">
        <v>339</v>
      </c>
      <c r="AE30" s="485" t="str">
        <f t="shared" si="11"/>
        <v>1 / F</v>
      </c>
      <c r="AF30" s="535">
        <f t="shared" si="12"/>
        <v>1</v>
      </c>
      <c r="AH30" s="536">
        <f>IF(B30=0,0,VLOOKUP(B30,FREQUENCIAS!$1:$1048576,(IF(($A30=FREQUENCIAS!$T$1),20,"ERRO")),FREQUENCIAS!$1:$1048576))</f>
        <v>0</v>
      </c>
      <c r="AI30" s="536"/>
      <c r="AJ30" s="536"/>
      <c r="AK30" s="537">
        <f t="shared" si="13"/>
        <v>0</v>
      </c>
      <c r="AL30" s="536">
        <f>IF(C30=0,0,VLOOKUP(C30,FREQUENCIAS!$1:$1048576,(IF(($A30=FREQUENCIAS!$T$1),20,"ERRO")),FREQUENCIAS!$1:$1048576))</f>
        <v>0</v>
      </c>
      <c r="AM30" s="536"/>
      <c r="AN30" s="536"/>
      <c r="AO30" s="537">
        <f t="shared" si="14"/>
        <v>0</v>
      </c>
      <c r="AV30" s="551">
        <f>IF(B30=0,0,VLOOKUP(B30,FREQUENCIAS!$1:$1048576,(IF(($A30=FREQUENCIAS!$T$1),20,"ERRO")),FREQUENCIAS!$1:$1048576))</f>
        <v>0</v>
      </c>
      <c r="AW30" s="551">
        <f>IF(C30=0,0,VLOOKUP(C30,FREQUENCIAS!$1:$1048576,(IF(($A30=FREQUENCIAS!$T$1),20,"ERRO")),FREQUENCIAS!$1:$1048576))</f>
        <v>0</v>
      </c>
      <c r="AX30" s="551">
        <f>IF(D30=0,0,VLOOKUP(D30,FREQUENCIAS!$1:$1048576,(IF(($A30=FREQUENCIAS!$T$1),20,"ERRO")),FREQUENCIAS!$1:$1048576))</f>
        <v>0</v>
      </c>
      <c r="AY30" s="551">
        <f>IF(E30=0,0,VLOOKUP(E30,FREQUENCIAS!$1:$1048576,(IF(($A30=FREQUENCIAS!$T$1),20,"ERRO")),FREQUENCIAS!$1:$1048576))</f>
        <v>0</v>
      </c>
      <c r="AZ30" s="552">
        <f t="shared" si="21"/>
        <v>0</v>
      </c>
      <c r="BA30" s="552">
        <f t="shared" si="21"/>
        <v>0</v>
      </c>
      <c r="BB30" s="552">
        <f t="shared" si="21"/>
        <v>0</v>
      </c>
      <c r="BC30" s="552">
        <f t="shared" si="21"/>
        <v>0</v>
      </c>
      <c r="BD30" s="485">
        <f t="shared" si="18"/>
        <v>1</v>
      </c>
      <c r="BE30" s="485">
        <f t="shared" si="19"/>
        <v>0</v>
      </c>
      <c r="BF30" s="539">
        <f t="shared" si="15"/>
        <v>1</v>
      </c>
    </row>
    <row r="31" spans="1:58" ht="15" customHeight="1" thickTop="1" thickBot="1">
      <c r="A31" s="517" t="str">
        <f>'IMPORTAÇÃO GENOTIPER'!A24</f>
        <v>D19S433</v>
      </c>
      <c r="B31" s="644">
        <f>'IMPORTAÇÃO GENOTIPER'!AI24</f>
        <v>0</v>
      </c>
      <c r="C31" s="645">
        <f>'IMPORTAÇÃO GENOTIPER'!AQ24</f>
        <v>0</v>
      </c>
      <c r="D31" s="645">
        <f>'IMPORTAÇÃO GENOTIPER'!AY24</f>
        <v>0</v>
      </c>
      <c r="E31" s="646">
        <f>'IMPORTAÇÃO GENOTIPER'!BG24</f>
        <v>0</v>
      </c>
      <c r="F31" s="541">
        <f t="shared" si="0"/>
        <v>0</v>
      </c>
      <c r="G31" s="541">
        <f t="shared" si="1"/>
        <v>0</v>
      </c>
      <c r="H31" s="541">
        <f t="shared" si="2"/>
        <v>0</v>
      </c>
      <c r="I31" s="541">
        <f t="shared" si="3"/>
        <v>0</v>
      </c>
      <c r="J31" s="542"/>
      <c r="K31" s="542"/>
      <c r="L31" s="542"/>
      <c r="M31" s="543"/>
      <c r="N31" s="542">
        <f t="shared" si="4"/>
        <v>0</v>
      </c>
      <c r="O31" s="542">
        <f t="shared" si="5"/>
        <v>0</v>
      </c>
      <c r="P31" s="544">
        <f t="shared" si="6"/>
        <v>0</v>
      </c>
      <c r="Q31" s="545">
        <f t="shared" si="7"/>
        <v>0</v>
      </c>
      <c r="R31" s="546"/>
      <c r="S31" s="546"/>
      <c r="T31" s="527">
        <f>IF(P31=0,0,VLOOKUP(P31,FREQUENCIAS!1:1048576,(IF(($A31=FREQUENCIAS!$U$1),21,"ERRO")),FREQUENCIAS!1:1048576))</f>
        <v>0</v>
      </c>
      <c r="U31" s="527">
        <f>IF(Q31=0,0,VLOOKUP(Q31,FREQUENCIAS!1:1048576,(IF(($A31=FREQUENCIAS!$U$1),21,"ERRO")),FREQUENCIAS!1:1048576))</f>
        <v>0</v>
      </c>
      <c r="V31" s="547"/>
      <c r="W31" s="529" t="str">
        <f t="shared" si="8"/>
        <v>OK</v>
      </c>
      <c r="X31" s="548">
        <f t="shared" si="20"/>
        <v>0</v>
      </c>
      <c r="Y31" s="549">
        <f t="shared" si="16"/>
        <v>1</v>
      </c>
      <c r="Z31" s="532">
        <f t="shared" si="17"/>
        <v>0.5</v>
      </c>
      <c r="AA31" s="556"/>
      <c r="AB31" s="550" t="str">
        <f t="shared" si="9"/>
        <v>EXCLUI</v>
      </c>
      <c r="AC31" s="485" t="e">
        <f t="shared" si="10"/>
        <v>#DIV/0!</v>
      </c>
      <c r="AD31" s="485" t="s">
        <v>339</v>
      </c>
      <c r="AE31" s="485" t="str">
        <f t="shared" si="11"/>
        <v>1 / F</v>
      </c>
      <c r="AF31" s="535">
        <f t="shared" si="12"/>
        <v>1</v>
      </c>
      <c r="AH31" s="536">
        <f>IF(B31=0,0,VLOOKUP(B31,FREQUENCIAS!$1:$1048576,(IF(($A31=FREQUENCIAS!$U$1),21,"ERRO")),FREQUENCIAS!$1:$1048576))</f>
        <v>0</v>
      </c>
      <c r="AI31" s="536"/>
      <c r="AJ31" s="536"/>
      <c r="AK31" s="537">
        <f t="shared" si="13"/>
        <v>0</v>
      </c>
      <c r="AL31" s="536">
        <f>IF(C31=0,0,VLOOKUP(C31,FREQUENCIAS!$1:$1048576,(IF(($A31=FREQUENCIAS!$U$1),21,"ERRO")),FREQUENCIAS!$1:$1048576))</f>
        <v>0</v>
      </c>
      <c r="AM31" s="536"/>
      <c r="AN31" s="536"/>
      <c r="AO31" s="537">
        <f t="shared" si="14"/>
        <v>0</v>
      </c>
      <c r="AV31" s="551">
        <f>IF(B31=0,0,VLOOKUP(B31,FREQUENCIAS!$1:$1048576,(IF(($A31=FREQUENCIAS!$U$1),21,"ERRO")),FREQUENCIAS!$1:$1048576))</f>
        <v>0</v>
      </c>
      <c r="AW31" s="551">
        <f>IF(C31=0,0,VLOOKUP(C31,FREQUENCIAS!$1:$1048576,(IF(($A31=FREQUENCIAS!$U$1),21,"ERRO")),FREQUENCIAS!$1:$1048576))</f>
        <v>0</v>
      </c>
      <c r="AX31" s="551">
        <f>IF(D31=0,0,VLOOKUP(D31,FREQUENCIAS!$1:$1048576,(IF(($A31=FREQUENCIAS!$U$1),21,"ERRO")),FREQUENCIAS!$1:$1048576))</f>
        <v>0</v>
      </c>
      <c r="AY31" s="551">
        <f>IF(E31=0,0,VLOOKUP(E31,FREQUENCIAS!$1:$1048576,(IF(($A31=FREQUENCIAS!$U$1),21,"ERRO")),FREQUENCIAS!$1:$1048576))</f>
        <v>0</v>
      </c>
      <c r="AZ31" s="552">
        <f t="shared" si="21"/>
        <v>0</v>
      </c>
      <c r="BA31" s="552">
        <f t="shared" si="21"/>
        <v>0</v>
      </c>
      <c r="BB31" s="552">
        <f t="shared" si="21"/>
        <v>0</v>
      </c>
      <c r="BC31" s="552">
        <f t="shared" si="21"/>
        <v>0</v>
      </c>
      <c r="BD31" s="485">
        <f t="shared" si="18"/>
        <v>1</v>
      </c>
      <c r="BE31" s="485">
        <f t="shared" si="19"/>
        <v>0</v>
      </c>
      <c r="BF31" s="539">
        <f t="shared" si="15"/>
        <v>1</v>
      </c>
    </row>
    <row r="32" spans="1:58" ht="15" customHeight="1" thickTop="1" thickBot="1">
      <c r="A32" s="517" t="str">
        <f>'IMPORTAÇÃO GENOTIPER'!A25</f>
        <v>FGA</v>
      </c>
      <c r="B32" s="644">
        <f>'IMPORTAÇÃO GENOTIPER'!AI25</f>
        <v>0</v>
      </c>
      <c r="C32" s="645">
        <f>'IMPORTAÇÃO GENOTIPER'!AQ25</f>
        <v>0</v>
      </c>
      <c r="D32" s="645">
        <f>'IMPORTAÇÃO GENOTIPER'!AY25</f>
        <v>0</v>
      </c>
      <c r="E32" s="646">
        <f>'IMPORTAÇÃO GENOTIPER'!BG25</f>
        <v>0</v>
      </c>
      <c r="F32" s="541">
        <f t="shared" si="0"/>
        <v>0</v>
      </c>
      <c r="G32" s="541">
        <f t="shared" si="1"/>
        <v>0</v>
      </c>
      <c r="H32" s="541">
        <f t="shared" si="2"/>
        <v>0</v>
      </c>
      <c r="I32" s="541">
        <f t="shared" si="3"/>
        <v>0</v>
      </c>
      <c r="J32" s="542"/>
      <c r="K32" s="542"/>
      <c r="L32" s="542"/>
      <c r="M32" s="543"/>
      <c r="N32" s="542">
        <f t="shared" si="4"/>
        <v>0</v>
      </c>
      <c r="O32" s="542">
        <f t="shared" si="5"/>
        <v>0</v>
      </c>
      <c r="P32" s="544">
        <f t="shared" si="6"/>
        <v>0</v>
      </c>
      <c r="Q32" s="545">
        <f t="shared" si="7"/>
        <v>0</v>
      </c>
      <c r="R32" s="546"/>
      <c r="S32" s="546"/>
      <c r="T32" s="527">
        <f>IF(P32=0,0,VLOOKUP(P32,FREQUENCIAS!1:1048576,(IF(($A32=FREQUENCIAS!$V$1),22,"ERRO")),FREQUENCIAS!1:1048576))</f>
        <v>0</v>
      </c>
      <c r="U32" s="527">
        <f>IF(Q32=0,0,VLOOKUP(Q32,FREQUENCIAS!1:1048576,(IF(($A32=FREQUENCIAS!$V$1),22,"ERRO")),FREQUENCIAS!1:1048576))</f>
        <v>0</v>
      </c>
      <c r="V32" s="547"/>
      <c r="W32" s="529" t="str">
        <f t="shared" si="8"/>
        <v>OK</v>
      </c>
      <c r="X32" s="548">
        <f t="shared" si="20"/>
        <v>0</v>
      </c>
      <c r="Y32" s="549">
        <f t="shared" si="16"/>
        <v>1</v>
      </c>
      <c r="Z32" s="532">
        <f t="shared" si="17"/>
        <v>0.5</v>
      </c>
      <c r="AA32" s="556"/>
      <c r="AB32" s="550" t="str">
        <f t="shared" si="9"/>
        <v>EXCLUI</v>
      </c>
      <c r="AC32" s="485" t="e">
        <f t="shared" si="10"/>
        <v>#DIV/0!</v>
      </c>
      <c r="AD32" s="485" t="s">
        <v>339</v>
      </c>
      <c r="AE32" s="485" t="str">
        <f t="shared" si="11"/>
        <v>1 / F</v>
      </c>
      <c r="AF32" s="535">
        <f t="shared" si="12"/>
        <v>1</v>
      </c>
      <c r="AH32" s="536">
        <f>IF(B32=0,0,VLOOKUP(B32,FREQUENCIAS!$1:$1048576,(IF(($A32=FREQUENCIAS!$V$1),22,"ERRO")),FREQUENCIAS!$1:$1048576))</f>
        <v>0</v>
      </c>
      <c r="AI32" s="536"/>
      <c r="AJ32" s="536"/>
      <c r="AK32" s="537">
        <f t="shared" si="13"/>
        <v>0</v>
      </c>
      <c r="AL32" s="536">
        <f>IF(C32=0,0,VLOOKUP(C32,FREQUENCIAS!$1:$1048576,(IF(($A32=FREQUENCIAS!$V$1),22,"ERRO")),FREQUENCIAS!$1:$1048576))</f>
        <v>0</v>
      </c>
      <c r="AM32" s="536"/>
      <c r="AN32" s="536"/>
      <c r="AO32" s="537">
        <f t="shared" si="14"/>
        <v>0</v>
      </c>
      <c r="AV32" s="551">
        <f>IF(B32=0,0,VLOOKUP(B32,FREQUENCIAS!$1:$1048576,(IF(($A32=FREQUENCIAS!$V$1),22,"ERRO")),FREQUENCIAS!$1:$1048576))</f>
        <v>0</v>
      </c>
      <c r="AW32" s="551">
        <f>IF(C32=0,0,VLOOKUP(C32,FREQUENCIAS!$1:$1048576,(IF(($A32=FREQUENCIAS!$V$1),22,"ERRO")),FREQUENCIAS!$1:$1048576))</f>
        <v>0</v>
      </c>
      <c r="AX32" s="551">
        <f>IF(D32=0,0,VLOOKUP(D32,FREQUENCIAS!$1:$1048576,(IF(($A32=FREQUENCIAS!$V$1),22,"ERRO")),FREQUENCIAS!$1:$1048576))</f>
        <v>0</v>
      </c>
      <c r="AY32" s="551">
        <f>IF(E32=0,0,VLOOKUP(E32,FREQUENCIAS!$1:$1048576,(IF(($A32=FREQUENCIAS!$V$1),22,"ERRO")),FREQUENCIAS!$1:$1048576))</f>
        <v>0</v>
      </c>
      <c r="AZ32" s="552">
        <f t="shared" si="21"/>
        <v>0</v>
      </c>
      <c r="BA32" s="552">
        <f t="shared" si="21"/>
        <v>0</v>
      </c>
      <c r="BB32" s="552">
        <f t="shared" si="21"/>
        <v>0</v>
      </c>
      <c r="BC32" s="552">
        <f t="shared" si="21"/>
        <v>0</v>
      </c>
      <c r="BD32" s="485">
        <f t="shared" si="18"/>
        <v>1</v>
      </c>
      <c r="BE32" s="485">
        <f t="shared" si="19"/>
        <v>0</v>
      </c>
      <c r="BF32" s="539">
        <f t="shared" si="15"/>
        <v>1</v>
      </c>
    </row>
    <row r="33" spans="1:60" ht="15" customHeight="1" thickTop="1" thickBot="1">
      <c r="A33" s="517" t="str">
        <f>'IMPORTAÇÃO GENOTIPER'!A26</f>
        <v>D22S1045</v>
      </c>
      <c r="B33" s="644">
        <f>'IMPORTAÇÃO GENOTIPER'!AI26</f>
        <v>0</v>
      </c>
      <c r="C33" s="645">
        <f>'IMPORTAÇÃO GENOTIPER'!AQ26</f>
        <v>0</v>
      </c>
      <c r="D33" s="645">
        <f>'IMPORTAÇÃO GENOTIPER'!AY26</f>
        <v>0</v>
      </c>
      <c r="E33" s="646">
        <f>'IMPORTAÇÃO GENOTIPER'!BG26</f>
        <v>0</v>
      </c>
      <c r="F33" s="541">
        <f t="shared" si="0"/>
        <v>0</v>
      </c>
      <c r="G33" s="541">
        <f t="shared" si="1"/>
        <v>0</v>
      </c>
      <c r="H33" s="541">
        <f t="shared" si="2"/>
        <v>0</v>
      </c>
      <c r="I33" s="541">
        <f t="shared" si="3"/>
        <v>0</v>
      </c>
      <c r="J33" s="542"/>
      <c r="K33" s="542"/>
      <c r="L33" s="542"/>
      <c r="M33" s="543"/>
      <c r="N33" s="542">
        <f t="shared" si="4"/>
        <v>0</v>
      </c>
      <c r="O33" s="542">
        <f t="shared" si="5"/>
        <v>0</v>
      </c>
      <c r="P33" s="544">
        <f t="shared" si="6"/>
        <v>0</v>
      </c>
      <c r="Q33" s="545">
        <f t="shared" si="7"/>
        <v>0</v>
      </c>
      <c r="R33" s="546"/>
      <c r="S33" s="546"/>
      <c r="T33" s="527">
        <f>IF(P33=0,0,VLOOKUP(P33,FREQUENCIAS!1:1048576,(IF(($A33=FREQUENCIAS!$W$1),23,"ERRO")),FREQUENCIAS!1:1048576))</f>
        <v>0</v>
      </c>
      <c r="U33" s="527">
        <f>IF(Q33=0,0,VLOOKUP(Q33,FREQUENCIAS!1:1048576,(IF(($A33=FREQUENCIAS!$W$1),23,"ERRO")),FREQUENCIAS!1:1048576))</f>
        <v>0</v>
      </c>
      <c r="V33" s="547"/>
      <c r="W33" s="529" t="str">
        <f t="shared" si="8"/>
        <v>OK</v>
      </c>
      <c r="X33" s="548">
        <f t="shared" si="20"/>
        <v>0</v>
      </c>
      <c r="Y33" s="549">
        <f t="shared" si="16"/>
        <v>1</v>
      </c>
      <c r="Z33" s="532">
        <f t="shared" si="17"/>
        <v>0.5</v>
      </c>
      <c r="AA33" s="556"/>
      <c r="AB33" s="550" t="str">
        <f t="shared" si="9"/>
        <v>EXCLUI</v>
      </c>
      <c r="AC33" s="485" t="e">
        <f t="shared" si="10"/>
        <v>#DIV/0!</v>
      </c>
      <c r="AD33" s="485" t="s">
        <v>339</v>
      </c>
      <c r="AE33" s="485" t="str">
        <f t="shared" si="11"/>
        <v>1 / F</v>
      </c>
      <c r="AF33" s="535">
        <f t="shared" si="12"/>
        <v>1</v>
      </c>
      <c r="AH33" s="536">
        <f>IF(B33=0,0,VLOOKUP(B33,FREQUENCIAS!$1:$1048576,(IF(($A33=FREQUENCIAS!$W$1),23,"ERRO")),FREQUENCIAS!$1:$1048576))</f>
        <v>0</v>
      </c>
      <c r="AI33" s="536"/>
      <c r="AJ33" s="536"/>
      <c r="AK33" s="537">
        <f t="shared" si="13"/>
        <v>0</v>
      </c>
      <c r="AL33" s="536">
        <f>IF(C33=0,0,VLOOKUP(C33,FREQUENCIAS!$1:$1048576,(IF(($A33=FREQUENCIAS!$W$1),23,"ERRO")),FREQUENCIAS!$1:$1048576))</f>
        <v>0</v>
      </c>
      <c r="AM33" s="536"/>
      <c r="AN33" s="536"/>
      <c r="AO33" s="537">
        <f t="shared" si="14"/>
        <v>0</v>
      </c>
      <c r="AV33" s="551">
        <f>IF(B33=0,0,VLOOKUP(B33,FREQUENCIAS!$1:$1048576,(IF(($A33=FREQUENCIAS!$W$1),23,"ERRO")),FREQUENCIAS!$1:$1048576))</f>
        <v>0</v>
      </c>
      <c r="AW33" s="551">
        <f>IF(C33=0,0,VLOOKUP(C33,FREQUENCIAS!$1:$1048576,(IF(($A33=FREQUENCIAS!$W$1),23,"ERRO")),FREQUENCIAS!$1:$1048576))</f>
        <v>0</v>
      </c>
      <c r="AX33" s="551">
        <f>IF(D33=0,0,VLOOKUP(D33,FREQUENCIAS!$1:$1048576,(IF(($A33=FREQUENCIAS!$W$1),23,"ERRO")),FREQUENCIAS!$1:$1048576))</f>
        <v>0</v>
      </c>
      <c r="AY33" s="551">
        <f>IF(E33=0,0,VLOOKUP(E33,FREQUENCIAS!$1:$1048576,(IF(($A33=FREQUENCIAS!$W$1),23,"ERRO")),FREQUENCIAS!$1:$1048576))</f>
        <v>0</v>
      </c>
      <c r="AZ33" s="552">
        <f t="shared" si="21"/>
        <v>0</v>
      </c>
      <c r="BA33" s="552">
        <f t="shared" si="21"/>
        <v>0</v>
      </c>
      <c r="BB33" s="552">
        <f t="shared" si="21"/>
        <v>0</v>
      </c>
      <c r="BC33" s="552">
        <f t="shared" si="21"/>
        <v>0</v>
      </c>
      <c r="BD33" s="485">
        <f t="shared" si="18"/>
        <v>1</v>
      </c>
      <c r="BE33" s="485">
        <f t="shared" si="19"/>
        <v>0</v>
      </c>
      <c r="BF33" s="539">
        <f t="shared" si="15"/>
        <v>1</v>
      </c>
    </row>
    <row r="34" spans="1:60" ht="15" hidden="1" customHeight="1" thickTop="1" thickBot="1">
      <c r="A34" s="540" t="str">
        <f>'[1]IMPORTAÇÃO GENOTIPER'!A27</f>
        <v>SE33</v>
      </c>
      <c r="B34" s="518">
        <f>'[1]IMPORTAÇÃO GENOTIPER'!AE27</f>
        <v>0</v>
      </c>
      <c r="C34" s="519">
        <f>'[1]IMPORTAÇÃO GENOTIPER'!AM27</f>
        <v>0</v>
      </c>
      <c r="D34" s="519">
        <f>'[1]IMPORTAÇÃO GENOTIPER'!AU27</f>
        <v>0</v>
      </c>
      <c r="E34" s="520">
        <f>'[1]IMPORTAÇÃO GENOTIPER'!BC27</f>
        <v>0</v>
      </c>
      <c r="F34" s="557">
        <f t="shared" si="0"/>
        <v>0</v>
      </c>
      <c r="G34" s="557">
        <f t="shared" si="1"/>
        <v>0</v>
      </c>
      <c r="H34" s="557">
        <f t="shared" si="2"/>
        <v>0</v>
      </c>
      <c r="I34" s="557">
        <f t="shared" si="3"/>
        <v>0</v>
      </c>
      <c r="J34" s="558"/>
      <c r="K34" s="558"/>
      <c r="L34" s="558"/>
      <c r="M34" s="558"/>
      <c r="N34" s="558">
        <f t="shared" si="4"/>
        <v>0</v>
      </c>
      <c r="O34" s="558">
        <f t="shared" si="5"/>
        <v>0</v>
      </c>
      <c r="P34" s="559">
        <f t="shared" si="6"/>
        <v>0</v>
      </c>
      <c r="Q34" s="560">
        <f t="shared" si="7"/>
        <v>0</v>
      </c>
      <c r="R34" s="561"/>
      <c r="S34" s="561"/>
      <c r="T34" s="562">
        <f>IF(P34=0,0,VLOOKUP(P34,FREQUENCIAS!1:1048576,(IF(($A34=FREQUENCIAS!$X$1),24,"ERRO")),FREQUENCIAS!1:1048576))</f>
        <v>0</v>
      </c>
      <c r="U34" s="562">
        <f>IF(Q34=0,0,VLOOKUP(Q34,FREQUENCIAS!1:1048576,(IF(($A34=FREQUENCIAS!$X$1),24,"ERRO")),FREQUENCIAS!1:1048576))</f>
        <v>0</v>
      </c>
      <c r="V34" s="563"/>
      <c r="W34" s="529" t="str">
        <f t="shared" si="8"/>
        <v>OK</v>
      </c>
      <c r="X34" s="548">
        <f t="shared" si="20"/>
        <v>0</v>
      </c>
      <c r="Y34" s="549">
        <f t="shared" si="16"/>
        <v>1</v>
      </c>
      <c r="Z34" s="532">
        <f t="shared" si="17"/>
        <v>0.5</v>
      </c>
      <c r="AA34" s="556"/>
      <c r="AB34" s="550" t="str">
        <f t="shared" si="9"/>
        <v>EXCLUI</v>
      </c>
      <c r="AC34" s="485" t="e">
        <f t="shared" si="10"/>
        <v>#DIV/0!</v>
      </c>
      <c r="AD34" s="485" t="s">
        <v>339</v>
      </c>
      <c r="AE34" s="485" t="str">
        <f t="shared" si="11"/>
        <v>1 / F</v>
      </c>
      <c r="AF34" s="535">
        <f t="shared" si="12"/>
        <v>1</v>
      </c>
      <c r="AH34" s="536">
        <f>IF(B34=0,0,VLOOKUP(B34,FREQUENCIAS!$1:$1048576,(IF(($A34=FREQUENCIAS!$W$1),23,"ERRO")),FREQUENCIAS!$1:$1048576))</f>
        <v>0</v>
      </c>
      <c r="AI34" s="536"/>
      <c r="AJ34" s="536"/>
      <c r="AK34" s="537">
        <f t="shared" si="13"/>
        <v>0</v>
      </c>
      <c r="AL34" s="536">
        <f>IF(C34=0,0,VLOOKUP(C34,FREQUENCIAS!$1:$1048576,(IF(($A34=FREQUENCIAS!$W$1),23,"ERRO")),FREQUENCIAS!$1:$1048576))</f>
        <v>0</v>
      </c>
      <c r="AM34" s="536"/>
      <c r="AN34" s="536"/>
      <c r="AO34" s="537">
        <f t="shared" si="14"/>
        <v>0</v>
      </c>
      <c r="AV34" s="551">
        <f>IF(B34=0,0,VLOOKUP(B34,FREQUENCIAS!$1:$1048576,(IF(($A34=FREQUENCIAS!$W$1),23,"ERRO")),FREQUENCIAS!$1:$1048576))</f>
        <v>0</v>
      </c>
      <c r="AW34" s="551">
        <f>IF(C34=0,0,VLOOKUP(C34,FREQUENCIAS!$1:$1048576,(IF(($A34=FREQUENCIAS!$W$1),23,"ERRO")),FREQUENCIAS!$1:$1048576))</f>
        <v>0</v>
      </c>
      <c r="AX34" s="551">
        <f>IF(D34=0,0,VLOOKUP(D34,FREQUENCIAS!$1:$1048576,(IF(($A34=FREQUENCIAS!$W$1),23,"ERRO")),FREQUENCIAS!$1:$1048576))</f>
        <v>0</v>
      </c>
      <c r="AY34" s="551">
        <f>IF(E34=0,0,VLOOKUP(E34,FREQUENCIAS!$1:$1048576,(IF(($A34=FREQUENCIAS!$W$1),23,"ERRO")),FREQUENCIAS!$1:$1048576))</f>
        <v>0</v>
      </c>
      <c r="AZ34" s="552">
        <f t="shared" si="21"/>
        <v>0</v>
      </c>
      <c r="BA34" s="552">
        <f t="shared" si="21"/>
        <v>0</v>
      </c>
      <c r="BB34" s="552">
        <f t="shared" si="21"/>
        <v>0</v>
      </c>
      <c r="BC34" s="552">
        <f t="shared" si="21"/>
        <v>0</v>
      </c>
      <c r="BD34" s="485">
        <f t="shared" si="18"/>
        <v>1</v>
      </c>
      <c r="BE34" s="485">
        <f t="shared" si="19"/>
        <v>0</v>
      </c>
      <c r="BF34" s="539">
        <f t="shared" si="15"/>
        <v>1</v>
      </c>
    </row>
    <row r="35" spans="1:60" ht="15" hidden="1" customHeight="1" thickTop="1" thickBot="1">
      <c r="A35" s="564">
        <f>'[1]IMPORTAÇÃO GENOTIPER'!A28</f>
        <v>1</v>
      </c>
      <c r="B35" s="518">
        <f>'[1]IMPORTAÇÃO GENOTIPER'!AE28</f>
        <v>0</v>
      </c>
      <c r="C35" s="519">
        <f>'[1]IMPORTAÇÃO GENOTIPER'!AM28</f>
        <v>0</v>
      </c>
      <c r="D35" s="519">
        <f>'[1]IMPORTAÇÃO GENOTIPER'!AU28</f>
        <v>0</v>
      </c>
      <c r="E35" s="520">
        <f>'[1]IMPORTAÇÃO GENOTIPER'!BC28</f>
        <v>0</v>
      </c>
      <c r="F35" s="521">
        <f t="shared" si="0"/>
        <v>0</v>
      </c>
      <c r="G35" s="521">
        <f t="shared" si="1"/>
        <v>0</v>
      </c>
      <c r="H35" s="521">
        <f t="shared" si="2"/>
        <v>0</v>
      </c>
      <c r="I35" s="521">
        <f t="shared" si="3"/>
        <v>0</v>
      </c>
      <c r="J35" s="522"/>
      <c r="K35" s="522"/>
      <c r="L35" s="522"/>
      <c r="M35" s="523"/>
      <c r="N35" s="522">
        <f t="shared" si="4"/>
        <v>0</v>
      </c>
      <c r="O35" s="522">
        <f t="shared" si="5"/>
        <v>0</v>
      </c>
      <c r="P35" s="524">
        <f t="shared" si="6"/>
        <v>0</v>
      </c>
      <c r="Q35" s="525">
        <f t="shared" si="7"/>
        <v>0</v>
      </c>
      <c r="R35" s="526"/>
      <c r="S35" s="526"/>
      <c r="T35" s="565">
        <f>IF(P35=0,0,VLOOKUP(P35,FREQUENCIAS!1:1048576,(IF(($A35=FREQUENCIAS!$Y$1),24,"ERRO")),FREQUENCIAS!1:1048576))</f>
        <v>0</v>
      </c>
      <c r="U35" s="565">
        <f>IF(Q35=0,0,VLOOKUP(Q35,FREQUENCIAS!1:1048576,(IF(($A35=FREQUENCIAS!$Y$1),24,"ERRO")),FREQUENCIAS!1:1048576))</f>
        <v>0</v>
      </c>
      <c r="V35" s="528"/>
      <c r="W35" s="566" t="str">
        <f t="shared" si="8"/>
        <v>OK</v>
      </c>
      <c r="X35" s="567">
        <f t="shared" si="20"/>
        <v>0</v>
      </c>
      <c r="Y35" s="549">
        <f t="shared" si="16"/>
        <v>1</v>
      </c>
      <c r="Z35" s="532">
        <f t="shared" si="17"/>
        <v>0.5</v>
      </c>
      <c r="AA35" s="555"/>
      <c r="AB35" s="568" t="str">
        <f t="shared" si="9"/>
        <v>EXCLUI</v>
      </c>
      <c r="AC35" s="485" t="e">
        <f t="shared" si="10"/>
        <v>#DIV/0!</v>
      </c>
      <c r="AD35" s="485" t="s">
        <v>339</v>
      </c>
      <c r="AE35" s="485" t="str">
        <f t="shared" si="11"/>
        <v>1 / F</v>
      </c>
      <c r="AF35" s="535">
        <f t="shared" si="12"/>
        <v>1</v>
      </c>
      <c r="AH35" s="536">
        <f>IF(B35=0,0,VLOOKUP(B35,FREQUENCIAS!$1:$1048576,(IF(($A35=FREQUENCIAS!$W$1),23,"ERRO")),FREQUENCIAS!$1:$1048576))</f>
        <v>0</v>
      </c>
      <c r="AI35" s="536"/>
      <c r="AJ35" s="536"/>
      <c r="AK35" s="537">
        <f t="shared" si="13"/>
        <v>0</v>
      </c>
      <c r="AL35" s="536">
        <f>IF(C35=0,0,VLOOKUP(C35,FREQUENCIAS!$1:$1048576,(IF(($A35=FREQUENCIAS!$W$1),23,"ERRO")),FREQUENCIAS!$1:$1048576))</f>
        <v>0</v>
      </c>
      <c r="AM35" s="536"/>
      <c r="AN35" s="536"/>
      <c r="AO35" s="537">
        <f t="shared" si="14"/>
        <v>0</v>
      </c>
      <c r="AV35" s="551">
        <f>IF(B35=0,0,VLOOKUP(B35,FREQUENCIAS!$1:$1048576,(IF(($A35=FREQUENCIAS!$W$1),23,"ERRO")),FREQUENCIAS!$1:$1048576))</f>
        <v>0</v>
      </c>
      <c r="AW35" s="551">
        <f>IF(C35=0,0,VLOOKUP(C35,FREQUENCIAS!$1:$1048576,(IF(($A35=FREQUENCIAS!$W$1),23,"ERRO")),FREQUENCIAS!$1:$1048576))</f>
        <v>0</v>
      </c>
      <c r="AX35" s="551">
        <f>IF(D35=0,0,VLOOKUP(D35,FREQUENCIAS!$1:$1048576,(IF(($A35=FREQUENCIAS!$W$1),23,"ERRO")),FREQUENCIAS!$1:$1048576))</f>
        <v>0</v>
      </c>
      <c r="AY35" s="551">
        <f>IF(E35=0,0,VLOOKUP(E35,FREQUENCIAS!$1:$1048576,(IF(($A35=FREQUENCIAS!$W$1),23,"ERRO")),FREQUENCIAS!$1:$1048576))</f>
        <v>0</v>
      </c>
      <c r="AZ35" s="552">
        <f t="shared" si="21"/>
        <v>0</v>
      </c>
      <c r="BA35" s="552">
        <f t="shared" si="21"/>
        <v>0</v>
      </c>
      <c r="BB35" s="552">
        <f t="shared" si="21"/>
        <v>0</v>
      </c>
      <c r="BC35" s="552">
        <f t="shared" si="21"/>
        <v>0</v>
      </c>
      <c r="BD35" s="485">
        <f t="shared" si="18"/>
        <v>1</v>
      </c>
      <c r="BE35" s="485">
        <f t="shared" si="19"/>
        <v>0</v>
      </c>
      <c r="BF35" s="539">
        <f t="shared" si="15"/>
        <v>1</v>
      </c>
    </row>
    <row r="36" spans="1:60" ht="15" hidden="1" customHeight="1" thickTop="1" thickBot="1">
      <c r="A36" s="540">
        <f>'[1]IMPORTAÇÃO GENOTIPER'!A29</f>
        <v>2</v>
      </c>
      <c r="B36" s="518">
        <f>'[1]IMPORTAÇÃO GENOTIPER'!AE29</f>
        <v>0</v>
      </c>
      <c r="C36" s="519">
        <f>'[1]IMPORTAÇÃO GENOTIPER'!AM29</f>
        <v>0</v>
      </c>
      <c r="D36" s="519">
        <f>'[1]IMPORTAÇÃO GENOTIPER'!AU29</f>
        <v>0</v>
      </c>
      <c r="E36" s="520">
        <f>'[1]IMPORTAÇÃO GENOTIPER'!BC29</f>
        <v>0</v>
      </c>
      <c r="F36" s="541">
        <f t="shared" si="0"/>
        <v>0</v>
      </c>
      <c r="G36" s="541">
        <f t="shared" si="1"/>
        <v>0</v>
      </c>
      <c r="H36" s="541">
        <f t="shared" si="2"/>
        <v>0</v>
      </c>
      <c r="I36" s="541">
        <f t="shared" si="3"/>
        <v>0</v>
      </c>
      <c r="J36" s="542"/>
      <c r="K36" s="542"/>
      <c r="L36" s="542"/>
      <c r="M36" s="543"/>
      <c r="N36" s="542">
        <f t="shared" si="4"/>
        <v>0</v>
      </c>
      <c r="O36" s="542">
        <f t="shared" si="5"/>
        <v>0</v>
      </c>
      <c r="P36" s="544">
        <f t="shared" si="6"/>
        <v>0</v>
      </c>
      <c r="Q36" s="545">
        <f t="shared" si="7"/>
        <v>0</v>
      </c>
      <c r="R36" s="546"/>
      <c r="S36" s="546"/>
      <c r="T36" s="527">
        <f>IF(P36=0,0,VLOOKUP(P36,FREQUENCIAS!1:1048576,(IF(($A36=FREQUENCIAS!$Z$1),25,"ERRO")),FREQUENCIAS!1:1048576))</f>
        <v>0</v>
      </c>
      <c r="U36" s="527">
        <f>IF(Q36=0,0,VLOOKUP(Q36,FREQUENCIAS!1:1048576,(IF(($A36=FREQUENCIAS!$Z$1),25,"ERRO")),FREQUENCIAS!1:1048576))</f>
        <v>0</v>
      </c>
      <c r="V36" s="547"/>
      <c r="W36" s="529" t="str">
        <f t="shared" si="8"/>
        <v>OK</v>
      </c>
      <c r="X36" s="548">
        <f t="shared" si="20"/>
        <v>0</v>
      </c>
      <c r="Y36" s="549">
        <f t="shared" si="16"/>
        <v>1</v>
      </c>
      <c r="Z36" s="532">
        <f t="shared" si="17"/>
        <v>0.5</v>
      </c>
      <c r="AA36" s="556"/>
      <c r="AB36" s="550" t="str">
        <f t="shared" si="9"/>
        <v>EXCLUI</v>
      </c>
      <c r="AC36" s="485" t="e">
        <f t="shared" si="10"/>
        <v>#DIV/0!</v>
      </c>
      <c r="AD36" s="485" t="s">
        <v>339</v>
      </c>
      <c r="AE36" s="485" t="str">
        <f t="shared" si="11"/>
        <v>1 / F</v>
      </c>
      <c r="AF36" s="535">
        <f t="shared" si="12"/>
        <v>1</v>
      </c>
      <c r="AH36" s="536">
        <f>IF(B36=0,0,VLOOKUP(B36,FREQUENCIAS!$1:$1048576,(IF(($A36=FREQUENCIAS!$W$1),23,"ERRO")),FREQUENCIAS!$1:$1048576))</f>
        <v>0</v>
      </c>
      <c r="AI36" s="536"/>
      <c r="AJ36" s="536"/>
      <c r="AK36" s="537">
        <f t="shared" si="13"/>
        <v>0</v>
      </c>
      <c r="AL36" s="536">
        <f>IF(C36=0,0,VLOOKUP(C36,FREQUENCIAS!$1:$1048576,(IF(($A36=FREQUENCIAS!$W$1),23,"ERRO")),FREQUENCIAS!$1:$1048576))</f>
        <v>0</v>
      </c>
      <c r="AM36" s="536"/>
      <c r="AN36" s="536"/>
      <c r="AO36" s="537">
        <f t="shared" si="14"/>
        <v>0</v>
      </c>
      <c r="AV36" s="551">
        <f>IF(B36=0,0,VLOOKUP(B36,FREQUENCIAS!$1:$1048576,(IF(($A36=FREQUENCIAS!$W$1),23,"ERRO")),FREQUENCIAS!$1:$1048576))</f>
        <v>0</v>
      </c>
      <c r="AW36" s="551">
        <f>IF(C36=0,0,VLOOKUP(C36,FREQUENCIAS!$1:$1048576,(IF(($A36=FREQUENCIAS!$W$1),23,"ERRO")),FREQUENCIAS!$1:$1048576))</f>
        <v>0</v>
      </c>
      <c r="AX36" s="551">
        <f>IF(D36=0,0,VLOOKUP(D36,FREQUENCIAS!$1:$1048576,(IF(($A36=FREQUENCIAS!$W$1),23,"ERRO")),FREQUENCIAS!$1:$1048576))</f>
        <v>0</v>
      </c>
      <c r="AY36" s="551">
        <f>IF(E36=0,0,VLOOKUP(E36,FREQUENCIAS!$1:$1048576,(IF(($A36=FREQUENCIAS!$W$1),23,"ERRO")),FREQUENCIAS!$1:$1048576))</f>
        <v>0</v>
      </c>
      <c r="AZ36" s="552">
        <f t="shared" si="21"/>
        <v>0</v>
      </c>
      <c r="BA36" s="552">
        <f t="shared" si="21"/>
        <v>0</v>
      </c>
      <c r="BB36" s="552">
        <f t="shared" si="21"/>
        <v>0</v>
      </c>
      <c r="BC36" s="552">
        <f t="shared" si="21"/>
        <v>0</v>
      </c>
      <c r="BD36" s="485">
        <f t="shared" si="18"/>
        <v>1</v>
      </c>
      <c r="BE36" s="485">
        <f t="shared" si="19"/>
        <v>0</v>
      </c>
      <c r="BF36" s="539">
        <f t="shared" si="15"/>
        <v>1</v>
      </c>
    </row>
    <row r="37" spans="1:60" ht="15" hidden="1" customHeight="1" thickTop="1" thickBot="1">
      <c r="A37" s="540">
        <f>'[1]IMPORTAÇÃO GENOTIPER'!A30</f>
        <v>3</v>
      </c>
      <c r="B37" s="518">
        <f>'[1]IMPORTAÇÃO GENOTIPER'!AE30</f>
        <v>0</v>
      </c>
      <c r="C37" s="519">
        <f>'[1]IMPORTAÇÃO GENOTIPER'!AM30</f>
        <v>0</v>
      </c>
      <c r="D37" s="519">
        <f>'[1]IMPORTAÇÃO GENOTIPER'!AU30</f>
        <v>0</v>
      </c>
      <c r="E37" s="520">
        <f>'[1]IMPORTAÇÃO GENOTIPER'!BC30</f>
        <v>0</v>
      </c>
      <c r="F37" s="541">
        <f t="shared" si="0"/>
        <v>0</v>
      </c>
      <c r="G37" s="541">
        <f t="shared" si="1"/>
        <v>0</v>
      </c>
      <c r="H37" s="541">
        <f t="shared" si="2"/>
        <v>0</v>
      </c>
      <c r="I37" s="541">
        <f t="shared" si="3"/>
        <v>0</v>
      </c>
      <c r="J37" s="542"/>
      <c r="K37" s="542"/>
      <c r="L37" s="542"/>
      <c r="M37" s="543"/>
      <c r="N37" s="542">
        <f t="shared" si="4"/>
        <v>0</v>
      </c>
      <c r="O37" s="542">
        <f t="shared" si="5"/>
        <v>0</v>
      </c>
      <c r="P37" s="544">
        <f t="shared" si="6"/>
        <v>0</v>
      </c>
      <c r="Q37" s="545">
        <f t="shared" si="7"/>
        <v>0</v>
      </c>
      <c r="R37" s="546"/>
      <c r="S37" s="546"/>
      <c r="T37" s="527">
        <f>IF(P37=0,0,VLOOKUP(P37,FREQUENCIAS!1:1048576,(IF(($A37=FREQUENCIAS!$AA$1),27,"ERRO")),FREQUENCIAS!1:1048576))</f>
        <v>0</v>
      </c>
      <c r="U37" s="527">
        <f>IF(Q37=0,0,VLOOKUP(Q37,FREQUENCIAS!1:1048576,(IF(($A37=FREQUENCIAS!$AA$1),27,"ERRO")),FREQUENCIAS!1:1048576))</f>
        <v>0</v>
      </c>
      <c r="V37" s="547"/>
      <c r="W37" s="529" t="str">
        <f t="shared" si="8"/>
        <v>OK</v>
      </c>
      <c r="X37" s="548">
        <f t="shared" si="20"/>
        <v>0</v>
      </c>
      <c r="Y37" s="549">
        <f t="shared" si="16"/>
        <v>1</v>
      </c>
      <c r="Z37" s="532">
        <f t="shared" si="17"/>
        <v>0.5</v>
      </c>
      <c r="AA37" s="556"/>
      <c r="AB37" s="550" t="str">
        <f t="shared" si="9"/>
        <v>EXCLUI</v>
      </c>
      <c r="AC37" s="485" t="e">
        <f t="shared" si="10"/>
        <v>#DIV/0!</v>
      </c>
      <c r="AD37" s="485" t="s">
        <v>339</v>
      </c>
      <c r="AE37" s="485" t="str">
        <f t="shared" si="11"/>
        <v>1 / F</v>
      </c>
      <c r="AF37" s="535">
        <f t="shared" si="12"/>
        <v>1</v>
      </c>
      <c r="AH37" s="536">
        <f>IF(B37=0,0,VLOOKUP(B37,FREQUENCIAS!$1:$1048576,(IF(($A37=FREQUENCIAS!$W$1),23,"ERRO")),FREQUENCIAS!$1:$1048576))</f>
        <v>0</v>
      </c>
      <c r="AI37" s="536"/>
      <c r="AJ37" s="536"/>
      <c r="AK37" s="537">
        <f t="shared" si="13"/>
        <v>0</v>
      </c>
      <c r="AL37" s="536">
        <f>IF(C37=0,0,VLOOKUP(C37,FREQUENCIAS!$1:$1048576,(IF(($A37=FREQUENCIAS!$W$1),23,"ERRO")),FREQUENCIAS!$1:$1048576))</f>
        <v>0</v>
      </c>
      <c r="AM37" s="536"/>
      <c r="AN37" s="536"/>
      <c r="AO37" s="537">
        <f t="shared" si="14"/>
        <v>0</v>
      </c>
      <c r="AV37" s="551">
        <f>IF(B37=0,0,VLOOKUP(B37,FREQUENCIAS!$1:$1048576,(IF(($A37=FREQUENCIAS!$W$1),23,"ERRO")),FREQUENCIAS!$1:$1048576))</f>
        <v>0</v>
      </c>
      <c r="AW37" s="551">
        <f>IF(C37=0,0,VLOOKUP(C37,FREQUENCIAS!$1:$1048576,(IF(($A37=FREQUENCIAS!$W$1),23,"ERRO")),FREQUENCIAS!$1:$1048576))</f>
        <v>0</v>
      </c>
      <c r="AX37" s="551">
        <f>IF(D37=0,0,VLOOKUP(D37,FREQUENCIAS!$1:$1048576,(IF(($A37=FREQUENCIAS!$W$1),23,"ERRO")),FREQUENCIAS!$1:$1048576))</f>
        <v>0</v>
      </c>
      <c r="AY37" s="551">
        <f>IF(E37=0,0,VLOOKUP(E37,FREQUENCIAS!$1:$1048576,(IF(($A37=FREQUENCIAS!$W$1),23,"ERRO")),FREQUENCIAS!$1:$1048576))</f>
        <v>0</v>
      </c>
      <c r="AZ37" s="552">
        <f t="shared" si="21"/>
        <v>0</v>
      </c>
      <c r="BA37" s="552">
        <f t="shared" si="21"/>
        <v>0</v>
      </c>
      <c r="BB37" s="552">
        <f t="shared" si="21"/>
        <v>0</v>
      </c>
      <c r="BC37" s="552">
        <f t="shared" si="21"/>
        <v>0</v>
      </c>
      <c r="BD37" s="485">
        <f t="shared" si="18"/>
        <v>1</v>
      </c>
      <c r="BE37" s="485">
        <f t="shared" si="19"/>
        <v>0</v>
      </c>
      <c r="BF37" s="539">
        <f t="shared" si="15"/>
        <v>1</v>
      </c>
    </row>
    <row r="38" spans="1:60" ht="15" hidden="1" customHeight="1" thickTop="1" thickBot="1">
      <c r="A38" s="540">
        <f>'[1]IMPORTAÇÃO GENOTIPER'!A31</f>
        <v>4</v>
      </c>
      <c r="B38" s="518">
        <f>'[1]IMPORTAÇÃO GENOTIPER'!AE31</f>
        <v>0</v>
      </c>
      <c r="C38" s="519">
        <f>'[1]IMPORTAÇÃO GENOTIPER'!AM31</f>
        <v>0</v>
      </c>
      <c r="D38" s="519">
        <f>'[1]IMPORTAÇÃO GENOTIPER'!AU31</f>
        <v>0</v>
      </c>
      <c r="E38" s="520">
        <f>'[1]IMPORTAÇÃO GENOTIPER'!BC31</f>
        <v>0</v>
      </c>
      <c r="F38" s="541">
        <f t="shared" si="0"/>
        <v>0</v>
      </c>
      <c r="G38" s="541">
        <f t="shared" si="1"/>
        <v>0</v>
      </c>
      <c r="H38" s="541">
        <f t="shared" si="2"/>
        <v>0</v>
      </c>
      <c r="I38" s="541">
        <f t="shared" si="3"/>
        <v>0</v>
      </c>
      <c r="J38" s="542"/>
      <c r="K38" s="542"/>
      <c r="L38" s="542"/>
      <c r="M38" s="543"/>
      <c r="N38" s="542">
        <f t="shared" si="4"/>
        <v>0</v>
      </c>
      <c r="O38" s="542">
        <f t="shared" si="5"/>
        <v>0</v>
      </c>
      <c r="P38" s="544">
        <f t="shared" si="6"/>
        <v>0</v>
      </c>
      <c r="Q38" s="545">
        <f t="shared" si="7"/>
        <v>0</v>
      </c>
      <c r="R38" s="546"/>
      <c r="S38" s="546"/>
      <c r="T38" s="527">
        <f>IF(P38=0,0,VLOOKUP(P38,FREQUENCIAS!1:1048576,(IF(($A38=FREQUENCIAS!$AB$1),28,"ERRO")),FREQUENCIAS!1:1048576))</f>
        <v>0</v>
      </c>
      <c r="U38" s="527">
        <f>IF(Q38=0,0,VLOOKUP(Q38,FREQUENCIAS!1:1048576,(IF(($A38=FREQUENCIAS!$AB$1),28,"ERRO")),FREQUENCIAS!1:1048576))</f>
        <v>0</v>
      </c>
      <c r="V38" s="547"/>
      <c r="W38" s="529" t="str">
        <f t="shared" si="8"/>
        <v>OK</v>
      </c>
      <c r="X38" s="548">
        <f t="shared" si="20"/>
        <v>0</v>
      </c>
      <c r="Y38" s="549">
        <f t="shared" si="16"/>
        <v>1</v>
      </c>
      <c r="Z38" s="532">
        <f t="shared" si="17"/>
        <v>0.5</v>
      </c>
      <c r="AA38" s="556"/>
      <c r="AB38" s="550" t="str">
        <f t="shared" si="9"/>
        <v>EXCLUI</v>
      </c>
      <c r="AC38" s="485" t="e">
        <f t="shared" si="10"/>
        <v>#DIV/0!</v>
      </c>
      <c r="AD38" s="485" t="s">
        <v>339</v>
      </c>
      <c r="AE38" s="485" t="str">
        <f t="shared" si="11"/>
        <v>1 / F</v>
      </c>
      <c r="AF38" s="535">
        <f t="shared" si="12"/>
        <v>1</v>
      </c>
      <c r="AH38" s="536">
        <f>IF(B38=0,0,VLOOKUP(B38,FREQUENCIAS!$1:$1048576,(IF(($A38=FREQUENCIAS!$W$1),23,"ERRO")),FREQUENCIAS!$1:$1048576))</f>
        <v>0</v>
      </c>
      <c r="AI38" s="536"/>
      <c r="AJ38" s="536"/>
      <c r="AK38" s="537">
        <f t="shared" si="13"/>
        <v>0</v>
      </c>
      <c r="AL38" s="536">
        <f>IF(C38=0,0,VLOOKUP(C38,FREQUENCIAS!$1:$1048576,(IF(($A38=FREQUENCIAS!$W$1),23,"ERRO")),FREQUENCIAS!$1:$1048576))</f>
        <v>0</v>
      </c>
      <c r="AM38" s="536"/>
      <c r="AN38" s="536"/>
      <c r="AO38" s="537">
        <f t="shared" si="14"/>
        <v>0</v>
      </c>
      <c r="AV38" s="551">
        <f>IF(B38=0,0,VLOOKUP(B38,FREQUENCIAS!$1:$1048576,(IF(($A38=FREQUENCIAS!$W$1),23,"ERRO")),FREQUENCIAS!$1:$1048576))</f>
        <v>0</v>
      </c>
      <c r="AW38" s="551">
        <f>IF(C38=0,0,VLOOKUP(C38,FREQUENCIAS!$1:$1048576,(IF(($A38=FREQUENCIAS!$W$1),23,"ERRO")),FREQUENCIAS!$1:$1048576))</f>
        <v>0</v>
      </c>
      <c r="AX38" s="551">
        <f>IF(D38=0,0,VLOOKUP(D38,FREQUENCIAS!$1:$1048576,(IF(($A38=FREQUENCIAS!$W$1),23,"ERRO")),FREQUENCIAS!$1:$1048576))</f>
        <v>0</v>
      </c>
      <c r="AY38" s="551">
        <f>IF(E38=0,0,VLOOKUP(E38,FREQUENCIAS!$1:$1048576,(IF(($A38=FREQUENCIAS!$W$1),23,"ERRO")),FREQUENCIAS!$1:$1048576))</f>
        <v>0</v>
      </c>
      <c r="AZ38" s="552">
        <f t="shared" si="21"/>
        <v>0</v>
      </c>
      <c r="BA38" s="552">
        <f t="shared" si="21"/>
        <v>0</v>
      </c>
      <c r="BB38" s="552">
        <f t="shared" si="21"/>
        <v>0</v>
      </c>
      <c r="BC38" s="552">
        <f t="shared" si="21"/>
        <v>0</v>
      </c>
      <c r="BD38" s="485">
        <f t="shared" si="18"/>
        <v>1</v>
      </c>
      <c r="BE38" s="485">
        <f t="shared" si="19"/>
        <v>0</v>
      </c>
      <c r="BF38" s="539">
        <f t="shared" si="15"/>
        <v>1</v>
      </c>
    </row>
    <row r="39" spans="1:60" ht="15" hidden="1" customHeight="1" thickTop="1" thickBot="1">
      <c r="A39" s="540">
        <f>'[1]IMPORTAÇÃO GENOTIPER'!A32</f>
        <v>5</v>
      </c>
      <c r="B39" s="518">
        <f>'[1]IMPORTAÇÃO GENOTIPER'!AE32</f>
        <v>0</v>
      </c>
      <c r="C39" s="519">
        <f>'[1]IMPORTAÇÃO GENOTIPER'!AM32</f>
        <v>0</v>
      </c>
      <c r="D39" s="519">
        <f>'[1]IMPORTAÇÃO GENOTIPER'!AU32</f>
        <v>0</v>
      </c>
      <c r="E39" s="520">
        <f>'[1]IMPORTAÇÃO GENOTIPER'!BC32</f>
        <v>0</v>
      </c>
      <c r="F39" s="541">
        <f t="shared" si="0"/>
        <v>0</v>
      </c>
      <c r="G39" s="541">
        <f t="shared" si="1"/>
        <v>0</v>
      </c>
      <c r="H39" s="541">
        <f t="shared" si="2"/>
        <v>0</v>
      </c>
      <c r="I39" s="541">
        <f t="shared" si="3"/>
        <v>0</v>
      </c>
      <c r="J39" s="542"/>
      <c r="K39" s="542"/>
      <c r="L39" s="542"/>
      <c r="M39" s="543"/>
      <c r="N39" s="542">
        <f t="shared" si="4"/>
        <v>0</v>
      </c>
      <c r="O39" s="542">
        <f t="shared" si="5"/>
        <v>0</v>
      </c>
      <c r="P39" s="544">
        <f t="shared" si="6"/>
        <v>0</v>
      </c>
      <c r="Q39" s="545">
        <f t="shared" si="7"/>
        <v>0</v>
      </c>
      <c r="R39" s="546"/>
      <c r="S39" s="546"/>
      <c r="T39" s="527">
        <f>IF(P39=0,0,VLOOKUP(P39,FREQUENCIAS!1:1048576,(IF(($A39=FREQUENCIAS!$AC$1),29,"ERRO")),FREQUENCIAS!1:1048576))</f>
        <v>0</v>
      </c>
      <c r="U39" s="527">
        <f>IF(Q39=0,0,VLOOKUP(Q39,FREQUENCIAS!1:1048576,(IF(($A39=FREQUENCIAS!$AC$1),29,"ERRO")),FREQUENCIAS!1:1048576))</f>
        <v>0</v>
      </c>
      <c r="V39" s="547"/>
      <c r="W39" s="529" t="str">
        <f t="shared" si="8"/>
        <v>OK</v>
      </c>
      <c r="X39" s="548">
        <f t="shared" si="20"/>
        <v>0</v>
      </c>
      <c r="Y39" s="549">
        <f t="shared" si="16"/>
        <v>1</v>
      </c>
      <c r="Z39" s="532">
        <f t="shared" si="17"/>
        <v>0.5</v>
      </c>
      <c r="AA39" s="556"/>
      <c r="AB39" s="550" t="str">
        <f t="shared" si="9"/>
        <v>EXCLUI</v>
      </c>
      <c r="AC39" s="485" t="e">
        <f t="shared" si="10"/>
        <v>#DIV/0!</v>
      </c>
      <c r="AD39" s="485" t="s">
        <v>339</v>
      </c>
      <c r="AE39" s="485" t="str">
        <f t="shared" si="11"/>
        <v>1 / F</v>
      </c>
      <c r="AF39" s="535">
        <f t="shared" si="12"/>
        <v>1</v>
      </c>
      <c r="AH39" s="536">
        <f>IF(B39=0,0,VLOOKUP(B39,FREQUENCIAS!$1:$1048576,(IF(($A39=FREQUENCIAS!$W$1),23,"ERRO")),FREQUENCIAS!$1:$1048576))</f>
        <v>0</v>
      </c>
      <c r="AI39" s="536"/>
      <c r="AJ39" s="536"/>
      <c r="AK39" s="537">
        <f t="shared" si="13"/>
        <v>0</v>
      </c>
      <c r="AL39" s="536">
        <f>IF(C39=0,0,VLOOKUP(C39,FREQUENCIAS!$1:$1048576,(IF(($A39=FREQUENCIAS!$W$1),23,"ERRO")),FREQUENCIAS!$1:$1048576))</f>
        <v>0</v>
      </c>
      <c r="AM39" s="536"/>
      <c r="AN39" s="536"/>
      <c r="AO39" s="537">
        <f t="shared" si="14"/>
        <v>0</v>
      </c>
      <c r="AV39" s="551">
        <f>IF(B39=0,0,VLOOKUP(B39,FREQUENCIAS!$1:$1048576,(IF(($A39=FREQUENCIAS!$W$1),23,"ERRO")),FREQUENCIAS!$1:$1048576))</f>
        <v>0</v>
      </c>
      <c r="AW39" s="551">
        <f>IF(C39=0,0,VLOOKUP(C39,FREQUENCIAS!$1:$1048576,(IF(($A39=FREQUENCIAS!$W$1),23,"ERRO")),FREQUENCIAS!$1:$1048576))</f>
        <v>0</v>
      </c>
      <c r="AX39" s="551">
        <f>IF(D39=0,0,VLOOKUP(D39,FREQUENCIAS!$1:$1048576,(IF(($A39=FREQUENCIAS!$W$1),23,"ERRO")),FREQUENCIAS!$1:$1048576))</f>
        <v>0</v>
      </c>
      <c r="AY39" s="551">
        <f>IF(E39=0,0,VLOOKUP(E39,FREQUENCIAS!$1:$1048576,(IF(($A39=FREQUENCIAS!$W$1),23,"ERRO")),FREQUENCIAS!$1:$1048576))</f>
        <v>0</v>
      </c>
      <c r="AZ39" s="552">
        <f t="shared" si="21"/>
        <v>0</v>
      </c>
      <c r="BA39" s="552">
        <f t="shared" si="21"/>
        <v>0</v>
      </c>
      <c r="BB39" s="552">
        <f t="shared" si="21"/>
        <v>0</v>
      </c>
      <c r="BC39" s="552">
        <f t="shared" si="21"/>
        <v>0</v>
      </c>
      <c r="BD39" s="485">
        <f t="shared" si="18"/>
        <v>1</v>
      </c>
      <c r="BE39" s="485">
        <f t="shared" si="19"/>
        <v>0</v>
      </c>
      <c r="BF39" s="539">
        <f t="shared" si="15"/>
        <v>1</v>
      </c>
    </row>
    <row r="40" spans="1:60" ht="15" hidden="1" customHeight="1" thickTop="1" thickBot="1">
      <c r="A40" s="540">
        <f>'[1]IMPORTAÇÃO GENOTIPER'!A33</f>
        <v>6</v>
      </c>
      <c r="B40" s="518">
        <f>'[1]IMPORTAÇÃO GENOTIPER'!AE33</f>
        <v>0</v>
      </c>
      <c r="C40" s="519">
        <f>'[1]IMPORTAÇÃO GENOTIPER'!AM33</f>
        <v>0</v>
      </c>
      <c r="D40" s="519">
        <f>'[1]IMPORTAÇÃO GENOTIPER'!AU33</f>
        <v>0</v>
      </c>
      <c r="E40" s="520">
        <f>'[1]IMPORTAÇÃO GENOTIPER'!BC33</f>
        <v>0</v>
      </c>
      <c r="F40" s="541">
        <f t="shared" si="0"/>
        <v>0</v>
      </c>
      <c r="G40" s="541">
        <f t="shared" si="1"/>
        <v>0</v>
      </c>
      <c r="H40" s="541">
        <f t="shared" si="2"/>
        <v>0</v>
      </c>
      <c r="I40" s="541">
        <f t="shared" si="3"/>
        <v>0</v>
      </c>
      <c r="J40" s="542"/>
      <c r="K40" s="542"/>
      <c r="L40" s="542"/>
      <c r="M40" s="543"/>
      <c r="N40" s="542">
        <f t="shared" si="4"/>
        <v>0</v>
      </c>
      <c r="O40" s="542">
        <f t="shared" si="5"/>
        <v>0</v>
      </c>
      <c r="P40" s="544">
        <f t="shared" si="6"/>
        <v>0</v>
      </c>
      <c r="Q40" s="545">
        <f t="shared" si="7"/>
        <v>0</v>
      </c>
      <c r="R40" s="546"/>
      <c r="S40" s="546"/>
      <c r="T40" s="527">
        <f>IF(P40=0,0,VLOOKUP(P40,FREQUENCIAS!1:1048576,(IF(($A40=FREQUENCIAS!$AD$1),30,"ERRO")),FREQUENCIAS!1:1048576))</f>
        <v>0</v>
      </c>
      <c r="U40" s="527">
        <f>IF(Q40=0,0,VLOOKUP(Q40,FREQUENCIAS!1:1048576,(IF(($A40=FREQUENCIAS!$AD$1),30,"ERRO")),FREQUENCIAS!1:1048576))</f>
        <v>0</v>
      </c>
      <c r="V40" s="547"/>
      <c r="W40" s="529" t="str">
        <f t="shared" si="8"/>
        <v>OK</v>
      </c>
      <c r="X40" s="548">
        <f t="shared" si="20"/>
        <v>0</v>
      </c>
      <c r="Y40" s="549">
        <f t="shared" si="16"/>
        <v>1</v>
      </c>
      <c r="Z40" s="532">
        <f t="shared" si="17"/>
        <v>0.5</v>
      </c>
      <c r="AA40" s="556"/>
      <c r="AB40" s="550" t="str">
        <f t="shared" si="9"/>
        <v>EXCLUI</v>
      </c>
      <c r="AC40" s="485" t="e">
        <f t="shared" si="10"/>
        <v>#DIV/0!</v>
      </c>
      <c r="AD40" s="485" t="s">
        <v>339</v>
      </c>
      <c r="AE40" s="485" t="str">
        <f t="shared" si="11"/>
        <v>1 / F</v>
      </c>
      <c r="AF40" s="535">
        <f t="shared" si="12"/>
        <v>1</v>
      </c>
      <c r="AH40" s="536">
        <f>IF(B40=0,0,VLOOKUP(B40,FREQUENCIAS!$1:$1048576,(IF(($A40=FREQUENCIAS!$W$1),23,"ERRO")),FREQUENCIAS!$1:$1048576))</f>
        <v>0</v>
      </c>
      <c r="AI40" s="536"/>
      <c r="AJ40" s="536"/>
      <c r="AK40" s="537">
        <f t="shared" si="13"/>
        <v>0</v>
      </c>
      <c r="AL40" s="536">
        <f>IF(C40=0,0,VLOOKUP(C40,FREQUENCIAS!$1:$1048576,(IF(($A40=FREQUENCIAS!$W$1),23,"ERRO")),FREQUENCIAS!$1:$1048576))</f>
        <v>0</v>
      </c>
      <c r="AM40" s="536"/>
      <c r="AN40" s="536"/>
      <c r="AO40" s="537">
        <f t="shared" si="14"/>
        <v>0</v>
      </c>
      <c r="AV40" s="551">
        <f>IF(B40=0,0,VLOOKUP(B40,FREQUENCIAS!$1:$1048576,(IF(($A40=FREQUENCIAS!$W$1),23,"ERRO")),FREQUENCIAS!$1:$1048576))</f>
        <v>0</v>
      </c>
      <c r="AW40" s="551">
        <f>IF(C40=0,0,VLOOKUP(C40,FREQUENCIAS!$1:$1048576,(IF(($A40=FREQUENCIAS!$W$1),23,"ERRO")),FREQUENCIAS!$1:$1048576))</f>
        <v>0</v>
      </c>
      <c r="AX40" s="551">
        <f>IF(D40=0,0,VLOOKUP(D40,FREQUENCIAS!$1:$1048576,(IF(($A40=FREQUENCIAS!$W$1),23,"ERRO")),FREQUENCIAS!$1:$1048576))</f>
        <v>0</v>
      </c>
      <c r="AY40" s="551">
        <f>IF(E40=0,0,VLOOKUP(E40,FREQUENCIAS!$1:$1048576,(IF(($A40=FREQUENCIAS!$W$1),23,"ERRO")),FREQUENCIAS!$1:$1048576))</f>
        <v>0</v>
      </c>
      <c r="AZ40" s="552">
        <f t="shared" si="21"/>
        <v>0</v>
      </c>
      <c r="BA40" s="552">
        <f t="shared" si="21"/>
        <v>0</v>
      </c>
      <c r="BB40" s="552">
        <f t="shared" si="21"/>
        <v>0</v>
      </c>
      <c r="BC40" s="552">
        <f t="shared" si="21"/>
        <v>0</v>
      </c>
      <c r="BD40" s="485">
        <f t="shared" si="18"/>
        <v>1</v>
      </c>
      <c r="BE40" s="485">
        <f t="shared" si="19"/>
        <v>0</v>
      </c>
      <c r="BF40" s="539">
        <f t="shared" si="15"/>
        <v>1</v>
      </c>
    </row>
    <row r="41" spans="1:60" ht="15" hidden="1" customHeight="1" thickTop="1" thickBot="1">
      <c r="A41" s="540">
        <f>'[1]IMPORTAÇÃO GENOTIPER'!A34</f>
        <v>7</v>
      </c>
      <c r="B41" s="518">
        <f>'[1]IMPORTAÇÃO GENOTIPER'!AE34</f>
        <v>0</v>
      </c>
      <c r="C41" s="519">
        <f>'[1]IMPORTAÇÃO GENOTIPER'!AM34</f>
        <v>0</v>
      </c>
      <c r="D41" s="519">
        <f>'[1]IMPORTAÇÃO GENOTIPER'!AU34</f>
        <v>0</v>
      </c>
      <c r="E41" s="520">
        <f>'[1]IMPORTAÇÃO GENOTIPER'!BC34</f>
        <v>0</v>
      </c>
      <c r="F41" s="541">
        <f t="shared" si="0"/>
        <v>0</v>
      </c>
      <c r="G41" s="541">
        <f t="shared" si="1"/>
        <v>0</v>
      </c>
      <c r="H41" s="541">
        <f t="shared" si="2"/>
        <v>0</v>
      </c>
      <c r="I41" s="541">
        <f t="shared" si="3"/>
        <v>0</v>
      </c>
      <c r="J41" s="542"/>
      <c r="K41" s="542"/>
      <c r="L41" s="542"/>
      <c r="M41" s="543"/>
      <c r="N41" s="542">
        <f t="shared" si="4"/>
        <v>0</v>
      </c>
      <c r="O41" s="542">
        <f t="shared" si="5"/>
        <v>0</v>
      </c>
      <c r="P41" s="544">
        <f t="shared" si="6"/>
        <v>0</v>
      </c>
      <c r="Q41" s="545">
        <f t="shared" si="7"/>
        <v>0</v>
      </c>
      <c r="R41" s="546"/>
      <c r="S41" s="546"/>
      <c r="T41" s="527">
        <f>IF(P41=0,0,VLOOKUP(P41,FREQUENCIAS!1:1048576,(IF(($A41=FREQUENCIAS!$AE$1),31,"ERRO")),FREQUENCIAS!1:1048576))</f>
        <v>0</v>
      </c>
      <c r="U41" s="527">
        <f>IF(Q41=0,0,VLOOKUP(Q41,FREQUENCIAS!1:1048576,(IF(($A41=FREQUENCIAS!$AE$1),31,"ERRO")),FREQUENCIAS!1:1048576))</f>
        <v>0</v>
      </c>
      <c r="V41" s="547"/>
      <c r="W41" s="529" t="str">
        <f t="shared" si="8"/>
        <v>OK</v>
      </c>
      <c r="X41" s="548">
        <f t="shared" si="20"/>
        <v>0</v>
      </c>
      <c r="Y41" s="549">
        <f t="shared" si="16"/>
        <v>1</v>
      </c>
      <c r="Z41" s="532">
        <f t="shared" si="17"/>
        <v>0.5</v>
      </c>
      <c r="AA41" s="556"/>
      <c r="AB41" s="550" t="str">
        <f t="shared" si="9"/>
        <v>EXCLUI</v>
      </c>
      <c r="AC41" s="485" t="e">
        <f t="shared" si="10"/>
        <v>#DIV/0!</v>
      </c>
      <c r="AD41" s="485" t="s">
        <v>339</v>
      </c>
      <c r="AE41" s="485" t="str">
        <f t="shared" si="11"/>
        <v>1 / F</v>
      </c>
      <c r="AF41" s="535">
        <f t="shared" si="12"/>
        <v>1</v>
      </c>
      <c r="AH41" s="536">
        <f>IF(B41=0,0,VLOOKUP(B41,FREQUENCIAS!$1:$1048576,(IF(($A41=FREQUENCIAS!$W$1),23,"ERRO")),FREQUENCIAS!$1:$1048576))</f>
        <v>0</v>
      </c>
      <c r="AI41" s="536"/>
      <c r="AJ41" s="536"/>
      <c r="AK41" s="537">
        <f t="shared" si="13"/>
        <v>0</v>
      </c>
      <c r="AL41" s="536">
        <f>IF(C41=0,0,VLOOKUP(C41,FREQUENCIAS!$1:$1048576,(IF(($A41=FREQUENCIAS!$W$1),23,"ERRO")),FREQUENCIAS!$1:$1048576))</f>
        <v>0</v>
      </c>
      <c r="AM41" s="536"/>
      <c r="AN41" s="536"/>
      <c r="AO41" s="537">
        <f t="shared" si="14"/>
        <v>0</v>
      </c>
      <c r="AV41" s="551">
        <f>IF(B41=0,0,VLOOKUP(B41,FREQUENCIAS!$1:$1048576,(IF(($A41=FREQUENCIAS!$W$1),23,"ERRO")),FREQUENCIAS!$1:$1048576))</f>
        <v>0</v>
      </c>
      <c r="AW41" s="551">
        <f>IF(C41=0,0,VLOOKUP(C41,FREQUENCIAS!$1:$1048576,(IF(($A41=FREQUENCIAS!$W$1),23,"ERRO")),FREQUENCIAS!$1:$1048576))</f>
        <v>0</v>
      </c>
      <c r="AX41" s="551">
        <f>IF(D41=0,0,VLOOKUP(D41,FREQUENCIAS!$1:$1048576,(IF(($A41=FREQUENCIAS!$W$1),23,"ERRO")),FREQUENCIAS!$1:$1048576))</f>
        <v>0</v>
      </c>
      <c r="AY41" s="551">
        <f>IF(E41=0,0,VLOOKUP(E41,FREQUENCIAS!$1:$1048576,(IF(($A41=FREQUENCIAS!$W$1),23,"ERRO")),FREQUENCIAS!$1:$1048576))</f>
        <v>0</v>
      </c>
      <c r="AZ41" s="552">
        <f t="shared" si="21"/>
        <v>0</v>
      </c>
      <c r="BA41" s="552">
        <f t="shared" si="21"/>
        <v>0</v>
      </c>
      <c r="BB41" s="552">
        <f t="shared" si="21"/>
        <v>0</v>
      </c>
      <c r="BC41" s="552">
        <f t="shared" si="21"/>
        <v>0</v>
      </c>
      <c r="BD41" s="485">
        <f t="shared" si="18"/>
        <v>1</v>
      </c>
      <c r="BE41" s="485">
        <f t="shared" si="19"/>
        <v>0</v>
      </c>
      <c r="BF41" s="539">
        <f t="shared" si="15"/>
        <v>1</v>
      </c>
    </row>
    <row r="42" spans="1:60" ht="15" hidden="1" customHeight="1" thickTop="1" thickBot="1">
      <c r="A42" s="540">
        <f>'[1]IMPORTAÇÃO GENOTIPER'!A35</f>
        <v>8</v>
      </c>
      <c r="B42" s="518">
        <f>'[1]IMPORTAÇÃO GENOTIPER'!AE35</f>
        <v>0</v>
      </c>
      <c r="C42" s="519">
        <f>'[1]IMPORTAÇÃO GENOTIPER'!AM35</f>
        <v>0</v>
      </c>
      <c r="D42" s="519">
        <f>'[1]IMPORTAÇÃO GENOTIPER'!AU35</f>
        <v>0</v>
      </c>
      <c r="E42" s="520">
        <f>'[1]IMPORTAÇÃO GENOTIPER'!BC35</f>
        <v>0</v>
      </c>
      <c r="F42" s="557">
        <f t="shared" si="0"/>
        <v>0</v>
      </c>
      <c r="G42" s="557">
        <f t="shared" si="1"/>
        <v>0</v>
      </c>
      <c r="H42" s="557">
        <f t="shared" si="2"/>
        <v>0</v>
      </c>
      <c r="I42" s="557">
        <f t="shared" si="3"/>
        <v>0</v>
      </c>
      <c r="J42" s="558"/>
      <c r="K42" s="558"/>
      <c r="L42" s="558"/>
      <c r="M42" s="558"/>
      <c r="N42" s="558">
        <f t="shared" si="4"/>
        <v>0</v>
      </c>
      <c r="O42" s="558">
        <f t="shared" si="5"/>
        <v>0</v>
      </c>
      <c r="P42" s="559">
        <f t="shared" si="6"/>
        <v>0</v>
      </c>
      <c r="Q42" s="560">
        <f t="shared" si="7"/>
        <v>0</v>
      </c>
      <c r="R42" s="561"/>
      <c r="S42" s="561"/>
      <c r="T42" s="562">
        <f>IF(P42=0,0,VLOOKUP(P42,FREQUENCIAS!1:1048576,(IF(($A42=FREQUENCIAS!$AF$1),32,"ERRO")),FREQUENCIAS!1:1048576))</f>
        <v>0</v>
      </c>
      <c r="U42" s="562">
        <f>IF(Q42=0,0,VLOOKUP(Q42,FREQUENCIAS!1:1048576,(IF(($A42=FREQUENCIAS!$AF$1),32,"ERRO")),FREQUENCIAS!1:1048576))</f>
        <v>0</v>
      </c>
      <c r="V42" s="563"/>
      <c r="W42" s="529" t="str">
        <f t="shared" si="8"/>
        <v>OK</v>
      </c>
      <c r="X42" s="548">
        <f t="shared" si="20"/>
        <v>0</v>
      </c>
      <c r="Y42" s="549">
        <f t="shared" si="16"/>
        <v>1</v>
      </c>
      <c r="Z42" s="532">
        <f t="shared" si="17"/>
        <v>0.5</v>
      </c>
      <c r="AA42" s="556"/>
      <c r="AB42" s="550" t="str">
        <f t="shared" si="9"/>
        <v>EXCLUI</v>
      </c>
      <c r="AC42" s="485" t="e">
        <f t="shared" si="10"/>
        <v>#DIV/0!</v>
      </c>
      <c r="AD42" s="485" t="s">
        <v>339</v>
      </c>
      <c r="AE42" s="485" t="str">
        <f t="shared" si="11"/>
        <v>1 / F</v>
      </c>
      <c r="AF42" s="535">
        <f t="shared" si="12"/>
        <v>1</v>
      </c>
      <c r="AH42" s="536">
        <f>IF(B42=0,0,VLOOKUP(B42,FREQUENCIAS!$1:$1048576,(IF(($A42=FREQUENCIAS!$W$1),23,"ERRO")),FREQUENCIAS!$1:$1048576))</f>
        <v>0</v>
      </c>
      <c r="AI42" s="536"/>
      <c r="AJ42" s="536"/>
      <c r="AK42" s="537">
        <f t="shared" si="13"/>
        <v>0</v>
      </c>
      <c r="AL42" s="536">
        <f>IF(C42=0,0,VLOOKUP(C42,FREQUENCIAS!$1:$1048576,(IF(($A42=FREQUENCIAS!$W$1),23,"ERRO")),FREQUENCIAS!$1:$1048576))</f>
        <v>0</v>
      </c>
      <c r="AM42" s="536"/>
      <c r="AN42" s="536"/>
      <c r="AO42" s="537">
        <f t="shared" si="14"/>
        <v>0</v>
      </c>
      <c r="AV42" s="551">
        <f>IF(B42=0,0,VLOOKUP(B42,FREQUENCIAS!$1:$1048576,(IF(($A42=FREQUENCIAS!$W$1),23,"ERRO")),FREQUENCIAS!$1:$1048576))</f>
        <v>0</v>
      </c>
      <c r="AW42" s="551">
        <f>IF(C42=0,0,VLOOKUP(C42,FREQUENCIAS!$1:$1048576,(IF(($A42=FREQUENCIAS!$W$1),23,"ERRO")),FREQUENCIAS!$1:$1048576))</f>
        <v>0</v>
      </c>
      <c r="AX42" s="551">
        <f>IF(D42=0,0,VLOOKUP(D42,FREQUENCIAS!$1:$1048576,(IF(($A42=FREQUENCIAS!$W$1),23,"ERRO")),FREQUENCIAS!$1:$1048576))</f>
        <v>0</v>
      </c>
      <c r="AY42" s="551">
        <f>IF(E42=0,0,VLOOKUP(E42,FREQUENCIAS!$1:$1048576,(IF(($A42=FREQUENCIAS!$W$1),23,"ERRO")),FREQUENCIAS!$1:$1048576))</f>
        <v>0</v>
      </c>
      <c r="AZ42" s="552">
        <f t="shared" si="21"/>
        <v>0</v>
      </c>
      <c r="BA42" s="552">
        <f t="shared" si="21"/>
        <v>0</v>
      </c>
      <c r="BB42" s="552">
        <f t="shared" si="21"/>
        <v>0</v>
      </c>
      <c r="BC42" s="552">
        <f t="shared" si="21"/>
        <v>0</v>
      </c>
      <c r="BD42" s="485">
        <f t="shared" si="18"/>
        <v>1</v>
      </c>
      <c r="BE42" s="485">
        <f t="shared" si="19"/>
        <v>0</v>
      </c>
      <c r="BF42" s="539">
        <f t="shared" si="15"/>
        <v>1</v>
      </c>
    </row>
    <row r="43" spans="1:60" ht="15" hidden="1" customHeight="1" thickTop="1" thickBot="1">
      <c r="A43" s="540">
        <f>'[1]IMPORTAÇÃO GENOTIPER'!A36</f>
        <v>9</v>
      </c>
      <c r="B43" s="518">
        <f>'[1]IMPORTAÇÃO GENOTIPER'!AE36</f>
        <v>0</v>
      </c>
      <c r="C43" s="519">
        <f>'[1]IMPORTAÇÃO GENOTIPER'!AM36</f>
        <v>0</v>
      </c>
      <c r="D43" s="519">
        <f>'[1]IMPORTAÇÃO GENOTIPER'!AU36</f>
        <v>0</v>
      </c>
      <c r="E43" s="520">
        <f>'[1]IMPORTAÇÃO GENOTIPER'!BC36</f>
        <v>0</v>
      </c>
      <c r="F43" s="569">
        <f t="shared" si="0"/>
        <v>0</v>
      </c>
      <c r="G43" s="569">
        <f t="shared" si="1"/>
        <v>0</v>
      </c>
      <c r="H43" s="569">
        <f t="shared" si="2"/>
        <v>0</v>
      </c>
      <c r="I43" s="569">
        <f t="shared" si="3"/>
        <v>0</v>
      </c>
      <c r="J43" s="570"/>
      <c r="K43" s="570"/>
      <c r="L43" s="570"/>
      <c r="M43" s="570"/>
      <c r="N43" s="570">
        <f t="shared" si="4"/>
        <v>0</v>
      </c>
      <c r="O43" s="570">
        <f t="shared" si="5"/>
        <v>0</v>
      </c>
      <c r="P43" s="571">
        <f t="shared" si="6"/>
        <v>0</v>
      </c>
      <c r="Q43" s="572">
        <f t="shared" si="7"/>
        <v>0</v>
      </c>
      <c r="R43" s="573"/>
      <c r="S43" s="573"/>
      <c r="T43" s="574">
        <f>IF(P43=0,0,VLOOKUP(P43,FREQUENCIAS!1:1048576,(IF(($A43=FREQUENCIAS!$AG$1),33,"ERRO")),FREQUENCIAS!1:1048576))</f>
        <v>0</v>
      </c>
      <c r="U43" s="574">
        <f>IF(Q43=0,0,VLOOKUP(Q43,FREQUENCIAS!1:1048576,(IF(($A43=FREQUENCIAS!$AG$1),33,"ERRO")),FREQUENCIAS!1:1048576))</f>
        <v>0</v>
      </c>
      <c r="V43" s="575"/>
      <c r="W43" s="529" t="str">
        <f t="shared" si="8"/>
        <v>OK</v>
      </c>
      <c r="X43" s="548">
        <f t="shared" si="20"/>
        <v>0</v>
      </c>
      <c r="Y43" s="549">
        <f t="shared" si="16"/>
        <v>1</v>
      </c>
      <c r="Z43" s="532">
        <f t="shared" si="17"/>
        <v>0.5</v>
      </c>
      <c r="AA43" s="556"/>
      <c r="AB43" s="550" t="str">
        <f t="shared" si="9"/>
        <v>EXCLUI</v>
      </c>
      <c r="AC43" s="485" t="e">
        <f t="shared" si="10"/>
        <v>#DIV/0!</v>
      </c>
      <c r="AD43" s="485" t="s">
        <v>339</v>
      </c>
      <c r="AE43" s="485" t="str">
        <f t="shared" si="11"/>
        <v>1 / F</v>
      </c>
      <c r="AF43" s="535">
        <f t="shared" si="12"/>
        <v>1</v>
      </c>
      <c r="AH43" s="536">
        <f>IF(B43=0,0,VLOOKUP(B43,FREQUENCIAS!$1:$1048576,(IF(($A43=FREQUENCIAS!$W$1),23,"ERRO")),FREQUENCIAS!$1:$1048576))</f>
        <v>0</v>
      </c>
      <c r="AI43" s="536"/>
      <c r="AJ43" s="536"/>
      <c r="AK43" s="537">
        <f t="shared" si="13"/>
        <v>0</v>
      </c>
      <c r="AL43" s="536">
        <f>IF(C43=0,0,VLOOKUP(C43,FREQUENCIAS!$1:$1048576,(IF(($A43=FREQUENCIAS!$W$1),23,"ERRO")),FREQUENCIAS!$1:$1048576))</f>
        <v>0</v>
      </c>
      <c r="AM43" s="536"/>
      <c r="AN43" s="536"/>
      <c r="AO43" s="537">
        <f t="shared" si="14"/>
        <v>0</v>
      </c>
      <c r="AV43" s="551">
        <f>IF(B43=0,0,VLOOKUP(B43,FREQUENCIAS!$1:$1048576,(IF(($A43=FREQUENCIAS!$W$1),23,"ERRO")),FREQUENCIAS!$1:$1048576))</f>
        <v>0</v>
      </c>
      <c r="AW43" s="551">
        <f>IF(C43=0,0,VLOOKUP(C43,FREQUENCIAS!$1:$1048576,(IF(($A43=FREQUENCIAS!$W$1),23,"ERRO")),FREQUENCIAS!$1:$1048576))</f>
        <v>0</v>
      </c>
      <c r="AX43" s="551">
        <f>IF(D43=0,0,VLOOKUP(D43,FREQUENCIAS!$1:$1048576,(IF(($A43=FREQUENCIAS!$W$1),23,"ERRO")),FREQUENCIAS!$1:$1048576))</f>
        <v>0</v>
      </c>
      <c r="AY43" s="551">
        <f>IF(E43=0,0,VLOOKUP(E43,FREQUENCIAS!$1:$1048576,(IF(($A43=FREQUENCIAS!$W$1),23,"ERRO")),FREQUENCIAS!$1:$1048576))</f>
        <v>0</v>
      </c>
      <c r="AZ43" s="552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2">
        <f t="shared" si="22"/>
        <v>0</v>
      </c>
      <c r="BB43" s="552">
        <f t="shared" si="22"/>
        <v>0</v>
      </c>
      <c r="BC43" s="552">
        <f t="shared" si="22"/>
        <v>0</v>
      </c>
      <c r="BD43" s="485">
        <f t="shared" si="18"/>
        <v>1</v>
      </c>
      <c r="BE43" s="485">
        <f t="shared" si="19"/>
        <v>0</v>
      </c>
      <c r="BF43" s="539">
        <f t="shared" si="15"/>
        <v>1</v>
      </c>
    </row>
    <row r="44" spans="1:60" ht="15" hidden="1" customHeight="1" thickTop="1" thickBot="1">
      <c r="A44" s="540">
        <f>'[1]IMPORTAÇÃO GENOTIPER'!A37</f>
        <v>10</v>
      </c>
      <c r="B44" s="518">
        <f>'[1]IMPORTAÇÃO GENOTIPER'!AE37</f>
        <v>0</v>
      </c>
      <c r="C44" s="519">
        <f>'[1]IMPORTAÇÃO GENOTIPER'!AM37</f>
        <v>0</v>
      </c>
      <c r="D44" s="519">
        <f>'[1]IMPORTAÇÃO GENOTIPER'!AU37</f>
        <v>0</v>
      </c>
      <c r="E44" s="520">
        <f>'[1]IMPORTAÇÃO GENOTIPER'!BC37</f>
        <v>0</v>
      </c>
      <c r="F44" s="569">
        <f t="shared" si="0"/>
        <v>0</v>
      </c>
      <c r="G44" s="569">
        <f t="shared" si="1"/>
        <v>0</v>
      </c>
      <c r="H44" s="569">
        <f t="shared" si="2"/>
        <v>0</v>
      </c>
      <c r="I44" s="569">
        <f t="shared" si="3"/>
        <v>0</v>
      </c>
      <c r="J44" s="570"/>
      <c r="K44" s="570"/>
      <c r="L44" s="570"/>
      <c r="M44" s="570"/>
      <c r="N44" s="570">
        <f t="shared" si="4"/>
        <v>0</v>
      </c>
      <c r="O44" s="570">
        <f t="shared" si="5"/>
        <v>0</v>
      </c>
      <c r="P44" s="571">
        <f t="shared" si="6"/>
        <v>0</v>
      </c>
      <c r="Q44" s="572">
        <f t="shared" si="7"/>
        <v>0</v>
      </c>
      <c r="R44" s="573"/>
      <c r="S44" s="573"/>
      <c r="T44" s="574">
        <f>IF(P44=0,0,VLOOKUP(P44,FREQUENCIAS!1:1048576,(IF(($A44=FREQUENCIAS!$AH$1),34,"ERRO")),FREQUENCIAS!1:1048576))</f>
        <v>0</v>
      </c>
      <c r="U44" s="574">
        <f>IF(Q44=0,0,VLOOKUP(Q44,FREQUENCIAS!1:1048576,(IF(($A44=FREQUENCIAS!$AH$1),34,"ERRO")),FREQUENCIAS!1:1048576))</f>
        <v>0</v>
      </c>
      <c r="V44" s="575"/>
      <c r="W44" s="529" t="str">
        <f t="shared" si="8"/>
        <v>OK</v>
      </c>
      <c r="X44" s="548">
        <f t="shared" si="20"/>
        <v>0</v>
      </c>
      <c r="Y44" s="549">
        <f t="shared" si="16"/>
        <v>1</v>
      </c>
      <c r="Z44" s="532">
        <f t="shared" si="17"/>
        <v>0.5</v>
      </c>
      <c r="AA44" s="556"/>
      <c r="AB44" s="550" t="str">
        <f t="shared" si="9"/>
        <v>EXCLUI</v>
      </c>
      <c r="AC44" s="485" t="e">
        <f t="shared" si="10"/>
        <v>#DIV/0!</v>
      </c>
      <c r="AD44" s="485" t="s">
        <v>339</v>
      </c>
      <c r="AE44" s="485" t="str">
        <f t="shared" si="11"/>
        <v>1 / F</v>
      </c>
      <c r="AF44" s="535">
        <f t="shared" si="12"/>
        <v>1</v>
      </c>
      <c r="AH44" s="536">
        <f>IF(B44=0,0,VLOOKUP(B44,FREQUENCIAS!$1:$1048576,(IF(($A44=FREQUENCIAS!$W$1),23,"ERRO")),FREQUENCIAS!$1:$1048576))</f>
        <v>0</v>
      </c>
      <c r="AI44" s="536"/>
      <c r="AJ44" s="536"/>
      <c r="AK44" s="537">
        <f t="shared" si="13"/>
        <v>0</v>
      </c>
      <c r="AL44" s="536">
        <f>IF(C44=0,0,VLOOKUP(C44,FREQUENCIAS!$1:$1048576,(IF(($A44=FREQUENCIAS!$W$1),23,"ERRO")),FREQUENCIAS!$1:$1048576))</f>
        <v>0</v>
      </c>
      <c r="AM44" s="536"/>
      <c r="AN44" s="536"/>
      <c r="AO44" s="537">
        <f t="shared" si="14"/>
        <v>0</v>
      </c>
      <c r="AV44" s="551">
        <f>IF(B44=0,0,VLOOKUP(B44,FREQUENCIAS!$1:$1048576,(IF(($A44=FREQUENCIAS!$W$1),23,"ERRO")),FREQUENCIAS!$1:$1048576))</f>
        <v>0</v>
      </c>
      <c r="AW44" s="551">
        <f>IF(C44=0,0,VLOOKUP(C44,FREQUENCIAS!$1:$1048576,(IF(($A44=FREQUENCIAS!$W$1),23,"ERRO")),FREQUENCIAS!$1:$1048576))</f>
        <v>0</v>
      </c>
      <c r="AX44" s="551">
        <f>IF(D44=0,0,VLOOKUP(D44,FREQUENCIAS!$1:$1048576,(IF(($A44=FREQUENCIAS!$W$1),23,"ERRO")),FREQUENCIAS!$1:$1048576))</f>
        <v>0</v>
      </c>
      <c r="AY44" s="551">
        <f>IF(E44=0,0,VLOOKUP(E44,FREQUENCIAS!$1:$1048576,(IF(($A44=FREQUENCIAS!$W$1),23,"ERRO")),FREQUENCIAS!$1:$1048576))</f>
        <v>0</v>
      </c>
      <c r="AZ44" s="552">
        <f t="shared" si="22"/>
        <v>0</v>
      </c>
      <c r="BA44" s="552">
        <f t="shared" si="22"/>
        <v>0</v>
      </c>
      <c r="BB44" s="552">
        <f t="shared" si="22"/>
        <v>0</v>
      </c>
      <c r="BC44" s="552">
        <f t="shared" si="22"/>
        <v>0</v>
      </c>
      <c r="BD44" s="485">
        <f t="shared" si="18"/>
        <v>1</v>
      </c>
      <c r="BE44" s="485">
        <f t="shared" si="19"/>
        <v>0</v>
      </c>
      <c r="BF44" s="539">
        <f t="shared" si="15"/>
        <v>1</v>
      </c>
    </row>
    <row r="45" spans="1:60" ht="15" hidden="1" customHeight="1" thickTop="1" thickBot="1">
      <c r="A45" s="576">
        <f>'[1]IMPORTAÇÃO GENOTIPER'!A38</f>
        <v>11</v>
      </c>
      <c r="B45" s="518">
        <f>'[1]IMPORTAÇÃO GENOTIPER'!AE38</f>
        <v>0</v>
      </c>
      <c r="C45" s="519">
        <f>'[1]IMPORTAÇÃO GENOTIPER'!AM38</f>
        <v>0</v>
      </c>
      <c r="D45" s="519">
        <f>'[1]IMPORTAÇÃO GENOTIPER'!AU38</f>
        <v>0</v>
      </c>
      <c r="E45" s="520">
        <f>'[1]IMPORTAÇÃO GENOTIPER'!BC38</f>
        <v>0</v>
      </c>
      <c r="F45" s="577">
        <f t="shared" si="0"/>
        <v>0</v>
      </c>
      <c r="G45" s="577">
        <f t="shared" si="1"/>
        <v>0</v>
      </c>
      <c r="H45" s="577">
        <f t="shared" si="2"/>
        <v>0</v>
      </c>
      <c r="I45" s="577">
        <f t="shared" si="3"/>
        <v>0</v>
      </c>
      <c r="J45" s="578"/>
      <c r="K45" s="578"/>
      <c r="L45" s="578"/>
      <c r="M45" s="579"/>
      <c r="N45" s="578">
        <f t="shared" si="4"/>
        <v>0</v>
      </c>
      <c r="O45" s="578">
        <f t="shared" si="5"/>
        <v>0</v>
      </c>
      <c r="P45" s="580">
        <f t="shared" si="6"/>
        <v>0</v>
      </c>
      <c r="Q45" s="581">
        <f t="shared" si="7"/>
        <v>0</v>
      </c>
      <c r="R45" s="582"/>
      <c r="S45" s="582"/>
      <c r="T45" s="583">
        <f>IF(P45=0,0,VLOOKUP(P45,FREQUENCIAS!1:1048576,(IF(($A45=FREQUENCIAS!$AI$1),35,"ERRO")),FREQUENCIAS!1:1048576))</f>
        <v>0</v>
      </c>
      <c r="U45" s="583">
        <f>IF(Q45=0,0,VLOOKUP(Q45,FREQUENCIAS!1:1048576,(IF(($A45=FREQUENCIAS!$AI$1),35,"ERRO")),FREQUENCIAS!1:1048576))</f>
        <v>0</v>
      </c>
      <c r="V45" s="584"/>
      <c r="W45" s="585" t="str">
        <f t="shared" si="8"/>
        <v>OK</v>
      </c>
      <c r="X45" s="586">
        <f t="shared" si="20"/>
        <v>0</v>
      </c>
      <c r="Y45" s="587">
        <f t="shared" si="16"/>
        <v>1</v>
      </c>
      <c r="Z45" s="532">
        <f t="shared" si="17"/>
        <v>0.5</v>
      </c>
      <c r="AA45" s="588"/>
      <c r="AB45" s="589" t="str">
        <f t="shared" si="9"/>
        <v>EXCLUI</v>
      </c>
      <c r="AC45" s="485" t="e">
        <f t="shared" si="10"/>
        <v>#DIV/0!</v>
      </c>
      <c r="AD45" s="485" t="s">
        <v>339</v>
      </c>
      <c r="AE45" s="485" t="str">
        <f t="shared" si="11"/>
        <v>1 / F</v>
      </c>
      <c r="AF45" s="535">
        <f t="shared" si="12"/>
        <v>1</v>
      </c>
      <c r="AH45" s="536">
        <f>IF(B45=0,0,VLOOKUP(B45,FREQUENCIAS!$1:$1048576,(IF(($A45=FREQUENCIAS!$W$1),23,"ERRO")),FREQUENCIAS!$1:$1048576))</f>
        <v>0</v>
      </c>
      <c r="AI45" s="536"/>
      <c r="AJ45" s="536"/>
      <c r="AK45" s="537">
        <f t="shared" si="13"/>
        <v>0</v>
      </c>
      <c r="AL45" s="536">
        <f>IF(C45=0,0,VLOOKUP(C45,FREQUENCIAS!$1:$1048576,(IF(($A45=FREQUENCIAS!$W$1),23,"ERRO")),FREQUENCIAS!$1:$1048576))</f>
        <v>0</v>
      </c>
      <c r="AM45" s="536"/>
      <c r="AN45" s="536"/>
      <c r="AO45" s="537">
        <f t="shared" si="14"/>
        <v>0</v>
      </c>
      <c r="AV45" s="551">
        <f>IF(B45=0,0,VLOOKUP(B45,FREQUENCIAS!$1:$1048576,(IF(($A45=FREQUENCIAS!$W$1),23,"ERRO")),FREQUENCIAS!$1:$1048576))</f>
        <v>0</v>
      </c>
      <c r="AW45" s="551">
        <f>IF(C45=0,0,VLOOKUP(C45,FREQUENCIAS!$1:$1048576,(IF(($A45=FREQUENCIAS!$W$1),23,"ERRO")),FREQUENCIAS!$1:$1048576))</f>
        <v>0</v>
      </c>
      <c r="AX45" s="551">
        <f>IF(D45=0,0,VLOOKUP(D45,FREQUENCIAS!$1:$1048576,(IF(($A45=FREQUENCIAS!$W$1),23,"ERRO")),FREQUENCIAS!$1:$1048576))</f>
        <v>0</v>
      </c>
      <c r="AY45" s="551">
        <f>IF(E45=0,0,VLOOKUP(E45,FREQUENCIAS!$1:$1048576,(IF(($A45=FREQUENCIAS!$W$1),23,"ERRO")),FREQUENCIAS!$1:$1048576))</f>
        <v>0</v>
      </c>
      <c r="AZ45" s="552">
        <f t="shared" si="22"/>
        <v>0</v>
      </c>
      <c r="BA45" s="552">
        <f t="shared" si="22"/>
        <v>0</v>
      </c>
      <c r="BB45" s="552">
        <f t="shared" si="22"/>
        <v>0</v>
      </c>
      <c r="BC45" s="552">
        <f t="shared" si="22"/>
        <v>0</v>
      </c>
      <c r="BD45" s="485">
        <f t="shared" si="18"/>
        <v>1</v>
      </c>
      <c r="BE45" s="485">
        <f t="shared" si="19"/>
        <v>0</v>
      </c>
      <c r="BF45" s="539">
        <f t="shared" si="15"/>
        <v>1</v>
      </c>
    </row>
    <row r="46" spans="1:60" ht="12" customHeight="1" thickTop="1">
      <c r="A46" s="590"/>
      <c r="B46" s="591"/>
      <c r="C46" s="592"/>
      <c r="D46" s="592"/>
      <c r="E46" s="593"/>
      <c r="F46" s="594"/>
      <c r="G46" s="594"/>
      <c r="H46" s="594"/>
      <c r="I46" s="594"/>
      <c r="J46" s="594"/>
      <c r="K46" s="594"/>
      <c r="L46" s="594"/>
      <c r="M46" s="594"/>
      <c r="N46" s="594"/>
      <c r="O46" s="594"/>
      <c r="P46" s="594"/>
      <c r="Q46" s="594"/>
      <c r="R46" s="594"/>
      <c r="S46" s="594"/>
      <c r="T46" s="594"/>
      <c r="U46" s="594"/>
      <c r="V46" s="594"/>
      <c r="W46" s="595"/>
      <c r="X46" s="596" t="s">
        <v>346</v>
      </c>
      <c r="Y46" s="851">
        <f>(IF((AND(($BE$46=1),($Z$52="SIM"))),($BF$11),(IF((PRODUCT(Z12:Z45)&lt;&gt;0),PRODUCT(Y12:Y45),"NIHIL"))))</f>
        <v>1</v>
      </c>
      <c r="Z46" s="851"/>
      <c r="AA46" s="597"/>
      <c r="AB46" s="598"/>
      <c r="AF46" s="852">
        <f>(IF(($Y$46&lt;&gt;0),((1-AF12)*(1-AF13)*(1-AF14)*(1-AF15)*(1-AF16)*(1-AF17)*(1-AF18)*(1-AF19)*(1-AF20)*(1-AF21)*(1-AF22)*(1-AF23)*(1-AF24)*(1-AF25)*(1-AF26)*(1-AF27)*(1-AF28)*(1-AF29)*(1-AF30)*(1-AF31)*(1-AF32)*(1-AF33)),$AE$26))</f>
        <v>0</v>
      </c>
      <c r="AG46" s="852"/>
      <c r="BD46" s="485">
        <f>SUM(BD12:BD33)</f>
        <v>22</v>
      </c>
      <c r="BE46" s="485">
        <f>SUM(BE12:BE45)</f>
        <v>0</v>
      </c>
      <c r="BF46" s="599">
        <v>2.7E-2</v>
      </c>
      <c r="BG46" s="600" t="s">
        <v>341</v>
      </c>
      <c r="BH46" s="600"/>
    </row>
    <row r="47" spans="1:60" ht="12" customHeight="1">
      <c r="A47" s="601"/>
      <c r="B47" s="506"/>
      <c r="C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602" t="s">
        <v>345</v>
      </c>
      <c r="Y47" s="853">
        <f>(IF(AND((Y46&lt;&gt;"NIHIL"),(Y46&lt;&gt;0)),(ROUNDDOWN((Y46/(Y46+1)),11)),"EXCLUSÃO"))</f>
        <v>0.5</v>
      </c>
      <c r="Z47" s="853"/>
      <c r="AB47" s="603"/>
      <c r="BF47" s="604" t="s">
        <v>342</v>
      </c>
    </row>
    <row r="48" spans="1:60" ht="12" customHeight="1">
      <c r="A48" s="509"/>
      <c r="B48" s="506"/>
      <c r="C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602" t="s">
        <v>344</v>
      </c>
      <c r="Y48" s="853">
        <f>(IF(AND((Y46&lt;&gt;"NIHIL"),(Y46&lt;&gt;0)),(ROUNDDOWN((1-$AF46),11)),"EXCLUSÃO"))</f>
        <v>1</v>
      </c>
      <c r="Z48" s="853"/>
      <c r="AB48" s="605"/>
      <c r="BF48" s="485" t="s">
        <v>139</v>
      </c>
    </row>
    <row r="49" spans="1:58" ht="12" customHeight="1" thickBot="1">
      <c r="A49" s="606"/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  <c r="O49" s="607"/>
      <c r="P49" s="607"/>
      <c r="Q49" s="607"/>
      <c r="R49" s="607"/>
      <c r="S49" s="607"/>
      <c r="T49" s="607"/>
      <c r="U49" s="607"/>
      <c r="V49" s="607"/>
      <c r="W49" s="607"/>
      <c r="X49" s="608" t="str">
        <f>(IF(AND(($BE$46=1),($Z$52="SIM")),"RESULTADO CONSIDERANDO 1 MUTAÇÃO:     ","RESULTADO:"))</f>
        <v>RESULTADO:</v>
      </c>
      <c r="Y49" s="609" t="str">
        <f>(IF(AND(($BE$46=1),($Z$52="SIM")),"PATERNIDADE POSSÍVEL",(IF(AND((Y46&lt;&gt;"NIHIL"),(Y46&lt;&gt;0)),"VÍNCULO BIOLOGICAMENTE PROVADO","EXCLUSÃO"))))</f>
        <v>VÍNCULO BIOLOGICAMENTE PROVADO</v>
      </c>
      <c r="Z49" s="609"/>
      <c r="AA49" s="610"/>
      <c r="AB49" s="611"/>
      <c r="BF49" s="485" t="s">
        <v>140</v>
      </c>
    </row>
    <row r="50" spans="1:58" ht="14.4" hidden="1" thickTop="1" thickBot="1">
      <c r="A50" s="606"/>
      <c r="B50" s="506"/>
      <c r="C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B50" s="499"/>
    </row>
    <row r="51" spans="1:58" ht="14.4" hidden="1" thickTop="1" thickBot="1">
      <c r="A51" s="509"/>
      <c r="B51" s="506"/>
      <c r="C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B51" s="499"/>
    </row>
    <row r="52" spans="1:58" s="618" customFormat="1" ht="15.75" customHeight="1" thickTop="1">
      <c r="A52" s="509"/>
      <c r="B52" s="612"/>
      <c r="C52" s="612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613"/>
      <c r="Y52" s="614" t="s">
        <v>343</v>
      </c>
      <c r="Z52" s="615" t="s">
        <v>139</v>
      </c>
      <c r="AA52" s="616"/>
      <c r="AB52" s="617"/>
    </row>
    <row r="53" spans="1:58" s="618" customFormat="1" ht="15" hidden="1" customHeight="1">
      <c r="A53" s="619"/>
      <c r="B53" s="620"/>
      <c r="C53" s="620"/>
      <c r="D53" s="620"/>
      <c r="E53" s="620"/>
      <c r="F53" s="620"/>
      <c r="G53" s="620"/>
      <c r="H53" s="620"/>
      <c r="I53" s="620"/>
      <c r="J53" s="620"/>
      <c r="K53" s="620"/>
      <c r="L53" s="620"/>
      <c r="M53" s="620"/>
      <c r="N53" s="620"/>
      <c r="O53" s="620"/>
      <c r="P53" s="620"/>
      <c r="Q53" s="620"/>
      <c r="R53" s="620"/>
      <c r="S53" s="620"/>
      <c r="T53" s="620"/>
      <c r="U53" s="620"/>
      <c r="V53" s="620"/>
      <c r="W53" s="620"/>
      <c r="X53" s="620"/>
      <c r="Y53" s="620"/>
      <c r="Z53" s="620"/>
      <c r="AA53" s="620"/>
      <c r="AB53" s="621"/>
    </row>
    <row r="54" spans="1:58" s="618" customFormat="1" ht="9.75" customHeight="1">
      <c r="A54" s="622" t="str">
        <f>(IF(AND(($BE$46=1),($Z$52="SIM")),"Aconselhável a genotipagem dos materiais da Genitora do(a) Investigante",""))</f>
        <v/>
      </c>
      <c r="B54" s="620"/>
      <c r="C54" s="620"/>
      <c r="D54" s="620"/>
      <c r="E54" s="620"/>
      <c r="F54" s="620"/>
      <c r="G54" s="620"/>
      <c r="H54" s="620"/>
      <c r="I54" s="620"/>
      <c r="J54" s="620"/>
      <c r="K54" s="620"/>
      <c r="L54" s="620"/>
      <c r="M54" s="620"/>
      <c r="N54" s="620"/>
      <c r="O54" s="620"/>
      <c r="P54" s="620"/>
      <c r="Q54" s="620"/>
      <c r="R54" s="620"/>
      <c r="S54" s="620"/>
      <c r="T54" s="620"/>
      <c r="U54" s="620"/>
      <c r="V54" s="620"/>
      <c r="W54" s="620"/>
      <c r="X54" s="620"/>
      <c r="Y54" s="620"/>
      <c r="Z54" s="620"/>
      <c r="AA54" s="620"/>
      <c r="AB54" s="621"/>
    </row>
    <row r="55" spans="1:58" ht="9" customHeight="1">
      <c r="A55" s="623" t="str">
        <f>(IF(AND(($BE$46=1),($Z$52="SIM")),"Taxa de mutação empregada nos cálculos: 0,027",""))</f>
        <v/>
      </c>
      <c r="B55" s="506"/>
      <c r="C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B55" s="499"/>
    </row>
    <row r="56" spans="1:58" ht="38.25" customHeight="1">
      <c r="A56" s="509"/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B56" s="499"/>
    </row>
    <row r="57" spans="1:58" ht="11.1" customHeight="1">
      <c r="A57" s="835" t="s">
        <v>249</v>
      </c>
      <c r="B57" s="836"/>
      <c r="C57" s="836"/>
      <c r="D57" s="836"/>
      <c r="E57" s="836"/>
      <c r="F57" s="836"/>
      <c r="G57" s="836"/>
      <c r="H57" s="836"/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36"/>
      <c r="W57" s="836"/>
      <c r="X57" s="836"/>
      <c r="Y57" s="836"/>
      <c r="Z57" s="836"/>
      <c r="AA57" s="836"/>
      <c r="AB57" s="837"/>
      <c r="AC57" s="624"/>
      <c r="AD57" s="624"/>
      <c r="AE57" s="625"/>
      <c r="AF57" s="626"/>
      <c r="AG57" s="838" t="s">
        <v>205</v>
      </c>
      <c r="AH57" s="838"/>
      <c r="AI57" s="838"/>
      <c r="AJ57" s="838"/>
      <c r="AK57" s="838"/>
      <c r="AL57" s="838"/>
      <c r="AM57" s="838"/>
      <c r="AN57" s="839"/>
      <c r="AO57" s="627"/>
      <c r="AP57" s="627"/>
      <c r="AQ57" s="627"/>
      <c r="AR57" s="627"/>
      <c r="AS57" s="627"/>
      <c r="AT57" s="627"/>
      <c r="AU57" s="627"/>
      <c r="AV57" s="627"/>
      <c r="AW57" s="627"/>
      <c r="AX57" s="627"/>
      <c r="AY57" s="627"/>
      <c r="AZ57" s="627"/>
      <c r="BA57" s="627"/>
      <c r="BB57" s="627"/>
      <c r="BC57" s="627"/>
      <c r="BD57" s="628"/>
    </row>
    <row r="58" spans="1:58" ht="11.1" customHeight="1">
      <c r="A58" s="840" t="s">
        <v>242</v>
      </c>
      <c r="B58" s="841"/>
      <c r="C58" s="841"/>
      <c r="D58" s="841"/>
      <c r="E58" s="841"/>
      <c r="F58" s="841"/>
      <c r="G58" s="841"/>
      <c r="H58" s="841"/>
      <c r="I58" s="841"/>
      <c r="J58" s="841"/>
      <c r="K58" s="841"/>
      <c r="L58" s="841"/>
      <c r="M58" s="841"/>
      <c r="N58" s="841"/>
      <c r="O58" s="841"/>
      <c r="P58" s="841"/>
      <c r="Q58" s="841"/>
      <c r="R58" s="841"/>
      <c r="S58" s="841"/>
      <c r="T58" s="841"/>
      <c r="U58" s="841"/>
      <c r="V58" s="841"/>
      <c r="W58" s="841"/>
      <c r="X58" s="841"/>
      <c r="Y58" s="841"/>
      <c r="Z58" s="841"/>
      <c r="AA58" s="841"/>
      <c r="AB58" s="842"/>
      <c r="AC58" s="626"/>
      <c r="AD58" s="626"/>
      <c r="AE58" s="629"/>
      <c r="AF58" s="626"/>
      <c r="AG58" s="843" t="s">
        <v>206</v>
      </c>
      <c r="AH58" s="843"/>
      <c r="AI58" s="843"/>
      <c r="AJ58" s="843"/>
      <c r="AK58" s="843"/>
      <c r="AL58" s="843"/>
      <c r="AM58" s="843"/>
      <c r="AN58" s="844"/>
      <c r="AO58" s="627"/>
      <c r="AP58" s="627"/>
      <c r="AQ58" s="627"/>
      <c r="AR58" s="627"/>
      <c r="AS58" s="627"/>
      <c r="AT58" s="627"/>
      <c r="AU58" s="627"/>
      <c r="AV58" s="627"/>
      <c r="AW58" s="627"/>
      <c r="AX58" s="627"/>
      <c r="AY58" s="627"/>
      <c r="AZ58" s="627"/>
      <c r="BA58" s="627"/>
      <c r="BB58" s="627"/>
      <c r="BC58" s="627"/>
      <c r="BD58" s="628"/>
    </row>
    <row r="59" spans="1:58" ht="11.1" customHeight="1" thickBot="1">
      <c r="A59" s="845" t="s">
        <v>243</v>
      </c>
      <c r="B59" s="846"/>
      <c r="C59" s="846"/>
      <c r="D59" s="846"/>
      <c r="E59" s="846"/>
      <c r="F59" s="846"/>
      <c r="G59" s="846"/>
      <c r="H59" s="846"/>
      <c r="I59" s="846"/>
      <c r="J59" s="846"/>
      <c r="K59" s="846"/>
      <c r="L59" s="846"/>
      <c r="M59" s="846"/>
      <c r="N59" s="846"/>
      <c r="O59" s="846"/>
      <c r="P59" s="846"/>
      <c r="Q59" s="846"/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7"/>
      <c r="AC59" s="626"/>
      <c r="AD59" s="626"/>
      <c r="AE59" s="629"/>
      <c r="AF59" s="626"/>
      <c r="AG59" s="843" t="s">
        <v>207</v>
      </c>
      <c r="AH59" s="843"/>
      <c r="AI59" s="843"/>
      <c r="AJ59" s="843"/>
      <c r="AK59" s="843"/>
      <c r="AL59" s="843"/>
      <c r="AM59" s="843"/>
      <c r="AN59" s="844"/>
      <c r="AO59" s="627"/>
      <c r="AP59" s="627"/>
      <c r="AQ59" s="627"/>
      <c r="AR59" s="627"/>
      <c r="AS59" s="627"/>
      <c r="AT59" s="627"/>
      <c r="AU59" s="627"/>
      <c r="AV59" s="627"/>
      <c r="AW59" s="627"/>
      <c r="AX59" s="627"/>
      <c r="AY59" s="627"/>
      <c r="AZ59" s="627"/>
      <c r="BA59" s="627"/>
      <c r="BB59" s="627"/>
      <c r="BC59" s="627"/>
      <c r="BD59" s="628"/>
    </row>
    <row r="60" spans="1:58" ht="9.75" hidden="1" customHeight="1" thickBot="1">
      <c r="A60" s="832"/>
      <c r="B60" s="833"/>
      <c r="C60" s="833"/>
      <c r="D60" s="833"/>
      <c r="E60" s="833"/>
      <c r="F60" s="833"/>
      <c r="G60" s="833"/>
      <c r="H60" s="833"/>
      <c r="I60" s="833"/>
      <c r="J60" s="833"/>
      <c r="K60" s="833"/>
      <c r="L60" s="833"/>
      <c r="M60" s="833"/>
      <c r="N60" s="833"/>
      <c r="O60" s="833"/>
      <c r="P60" s="833"/>
      <c r="Q60" s="833"/>
      <c r="R60" s="833"/>
      <c r="S60" s="833"/>
      <c r="T60" s="833"/>
      <c r="U60" s="833"/>
      <c r="V60" s="833"/>
      <c r="W60" s="833"/>
      <c r="X60" s="833"/>
      <c r="Y60" s="833"/>
      <c r="Z60" s="833"/>
      <c r="AA60" s="833"/>
      <c r="AB60" s="834"/>
      <c r="AC60" s="630"/>
      <c r="AD60" s="630"/>
      <c r="AE60" s="630"/>
      <c r="AF60" s="630"/>
      <c r="AG60" s="630"/>
      <c r="AH60" s="630"/>
      <c r="AI60" s="630"/>
      <c r="AJ60" s="630"/>
      <c r="AK60" s="630"/>
      <c r="AL60" s="630"/>
      <c r="AM60" s="630"/>
      <c r="AN60" s="631"/>
      <c r="AO60" s="627"/>
      <c r="AP60" s="627"/>
      <c r="AQ60" s="627"/>
      <c r="AR60" s="627"/>
      <c r="AS60" s="627"/>
      <c r="AT60" s="627"/>
      <c r="AU60" s="627"/>
      <c r="AV60" s="627"/>
      <c r="AW60" s="627"/>
      <c r="AX60" s="627"/>
      <c r="AY60" s="627"/>
      <c r="AZ60" s="627"/>
      <c r="BA60" s="627"/>
      <c r="BB60" s="627"/>
      <c r="BC60" s="627"/>
      <c r="BD60" s="628"/>
    </row>
    <row r="61" spans="1:58" ht="25.5" customHeight="1" thickTop="1">
      <c r="B61" s="632" t="s">
        <v>197</v>
      </c>
      <c r="C61" s="632" t="s">
        <v>198</v>
      </c>
      <c r="D61" s="632" t="s">
        <v>199</v>
      </c>
      <c r="E61" s="632" t="s">
        <v>200</v>
      </c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/>
      <c r="V61" s="632"/>
      <c r="W61" s="632"/>
      <c r="X61" s="632" t="s">
        <v>201</v>
      </c>
      <c r="Y61" s="632"/>
      <c r="AB61" s="633" t="s">
        <v>195</v>
      </c>
    </row>
    <row r="62" spans="1:58" ht="11.25" customHeight="1">
      <c r="A62" s="632" t="s">
        <v>195</v>
      </c>
      <c r="AB62" s="634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09375" defaultRowHeight="13.8"/>
  <cols>
    <col min="1" max="1" width="10.33203125" style="1" customWidth="1"/>
    <col min="2" max="2" width="5.33203125" style="1" customWidth="1"/>
    <col min="3" max="3" width="5.33203125" style="226" customWidth="1"/>
    <col min="4" max="7" width="5.33203125" style="1" customWidth="1"/>
    <col min="8" max="8" width="4.44140625" style="1" customWidth="1"/>
    <col min="9" max="9" width="5.33203125" style="1" customWidth="1"/>
    <col min="10" max="38" width="10.6640625" style="1" hidden="1" customWidth="1"/>
    <col min="39" max="39" width="7.88671875" style="1" customWidth="1"/>
    <col min="40" max="40" width="7.44140625" style="1" customWidth="1"/>
    <col min="41" max="41" width="9" style="1" customWidth="1"/>
    <col min="42" max="42" width="20.109375" style="1" hidden="1" customWidth="1"/>
    <col min="43" max="43" width="12.5546875" style="1" hidden="1" customWidth="1"/>
    <col min="44" max="44" width="9" style="1" hidden="1" customWidth="1"/>
    <col min="45" max="45" width="7.109375" style="1" customWidth="1"/>
    <col min="46" max="46" width="6.6640625" style="1" customWidth="1"/>
    <col min="47" max="47" width="10.6640625" style="1" hidden="1" customWidth="1"/>
    <col min="48" max="48" width="10.33203125" style="1" hidden="1" customWidth="1"/>
    <col min="49" max="49" width="10" style="1" hidden="1" customWidth="1"/>
    <col min="50" max="50" width="9.33203125" style="1" hidden="1" customWidth="1"/>
    <col min="51" max="52" width="8.5546875" style="1" hidden="1" customWidth="1"/>
    <col min="53" max="53" width="9.88671875" style="1" hidden="1" customWidth="1"/>
    <col min="54" max="54" width="10.109375" style="1" hidden="1" customWidth="1"/>
    <col min="55" max="55" width="10.5546875" style="1" hidden="1" customWidth="1"/>
    <col min="56" max="56" width="9.5546875" style="1" hidden="1" customWidth="1"/>
    <col min="57" max="57" width="10.44140625" style="1" hidden="1" customWidth="1"/>
    <col min="58" max="58" width="8.33203125" style="1" hidden="1" customWidth="1"/>
    <col min="59" max="59" width="8.88671875" style="1" hidden="1" customWidth="1"/>
    <col min="60" max="60" width="8.33203125" style="1" hidden="1" customWidth="1"/>
    <col min="61" max="61" width="8.6640625" style="1" hidden="1" customWidth="1"/>
    <col min="62" max="62" width="8.33203125" style="1" hidden="1" customWidth="1"/>
    <col min="63" max="63" width="7.6640625" style="1" hidden="1" customWidth="1"/>
    <col min="64" max="64" width="8.5546875" style="2" hidden="1" customWidth="1"/>
    <col min="65" max="65" width="7.5546875" style="2" hidden="1" customWidth="1"/>
    <col min="66" max="66" width="8.88671875" style="1" hidden="1" customWidth="1"/>
    <col min="67" max="67" width="9.88671875" style="1" hidden="1" customWidth="1"/>
    <col min="68" max="69" width="7.88671875" style="1" hidden="1" customWidth="1"/>
    <col min="70" max="70" width="10.6640625" style="1" hidden="1" customWidth="1"/>
    <col min="71" max="72" width="7.6640625" style="1" hidden="1" customWidth="1"/>
    <col min="73" max="73" width="9.5546875" style="1" hidden="1" customWidth="1"/>
    <col min="74" max="74" width="10.5546875" style="1" hidden="1" customWidth="1"/>
    <col min="75" max="75" width="8.33203125" style="1" hidden="1" customWidth="1"/>
    <col min="76" max="77" width="9" style="1" hidden="1" customWidth="1"/>
    <col min="78" max="78" width="8.33203125" style="1" hidden="1" customWidth="1"/>
    <col min="79" max="79" width="9.5546875" style="1" hidden="1" customWidth="1"/>
    <col min="80" max="80" width="9.44140625" style="1" hidden="1" customWidth="1"/>
    <col min="81" max="81" width="9.5546875" style="1" hidden="1" customWidth="1"/>
    <col min="82" max="82" width="8.33203125" style="1" hidden="1" customWidth="1"/>
    <col min="83" max="83" width="8.5546875" style="1" hidden="1" customWidth="1"/>
    <col min="84" max="84" width="8.33203125" style="1" hidden="1" customWidth="1"/>
    <col min="85" max="85" width="9.6640625" style="1" hidden="1" customWidth="1"/>
    <col min="86" max="86" width="8.6640625" style="1" hidden="1" customWidth="1"/>
    <col min="87" max="87" width="9" style="1" hidden="1" customWidth="1"/>
    <col min="88" max="88" width="8" style="1" hidden="1" customWidth="1"/>
    <col min="89" max="89" width="7.5546875" style="1" hidden="1" customWidth="1"/>
    <col min="90" max="90" width="9.6640625" style="1" hidden="1" customWidth="1"/>
    <col min="91" max="92" width="10.33203125" style="1" hidden="1" customWidth="1"/>
    <col min="93" max="93" width="10.5546875" style="1" hidden="1" customWidth="1"/>
    <col min="94" max="94" width="10" style="1" hidden="1" customWidth="1"/>
    <col min="95" max="95" width="11.44140625" style="1" hidden="1" customWidth="1"/>
    <col min="96" max="96" width="13" style="1" hidden="1" customWidth="1"/>
    <col min="97" max="97" width="9.44140625" style="1" hidden="1" customWidth="1"/>
    <col min="98" max="98" width="9.88671875" style="1" customWidth="1"/>
    <col min="99" max="99" width="10.44140625" style="1" customWidth="1"/>
    <col min="100" max="100" width="9.88671875" style="1" customWidth="1"/>
    <col min="101" max="101" width="9.5546875" style="1" customWidth="1"/>
    <col min="102" max="102" width="9.88671875" style="1" customWidth="1"/>
    <col min="103" max="104" width="10.44140625" style="1" customWidth="1"/>
    <col min="105" max="16384" width="9.109375" style="1"/>
  </cols>
  <sheetData>
    <row r="1" spans="1:96" ht="16.8" thickTop="1" thickBot="1">
      <c r="A1" s="794" t="s">
        <v>203</v>
      </c>
      <c r="B1" s="893"/>
      <c r="C1" s="893"/>
      <c r="D1" s="893"/>
      <c r="E1" s="893"/>
      <c r="F1" s="893"/>
      <c r="G1" s="893"/>
      <c r="H1" s="893"/>
      <c r="I1" s="893"/>
      <c r="J1" s="893"/>
      <c r="K1" s="893"/>
      <c r="L1" s="893"/>
      <c r="M1" s="893"/>
      <c r="N1" s="893"/>
      <c r="O1" s="893"/>
      <c r="P1" s="893"/>
      <c r="Q1" s="893"/>
      <c r="R1" s="893"/>
      <c r="S1" s="893"/>
      <c r="T1" s="893"/>
      <c r="U1" s="893"/>
      <c r="V1" s="893"/>
      <c r="W1" s="893"/>
      <c r="X1" s="893"/>
      <c r="Y1" s="893"/>
      <c r="Z1" s="893"/>
      <c r="AA1" s="893"/>
      <c r="AB1" s="893"/>
      <c r="AC1" s="893"/>
      <c r="AD1" s="893"/>
      <c r="AE1" s="893"/>
      <c r="AF1" s="893"/>
      <c r="AG1" s="893"/>
      <c r="AH1" s="893"/>
      <c r="AI1" s="893"/>
      <c r="AJ1" s="893"/>
      <c r="AK1" s="893"/>
      <c r="AL1" s="893"/>
      <c r="AM1" s="893"/>
      <c r="AN1" s="893"/>
      <c r="AO1" s="893"/>
      <c r="AP1" s="893"/>
      <c r="AQ1" s="893"/>
      <c r="AR1" s="893"/>
      <c r="AS1" s="893"/>
      <c r="AT1" s="894"/>
      <c r="AU1" s="20"/>
      <c r="AV1" s="21"/>
    </row>
    <row r="2" spans="1:96" ht="21.75" customHeight="1" thickTop="1">
      <c r="A2" s="224" t="s">
        <v>81</v>
      </c>
      <c r="B2" s="797"/>
      <c r="C2" s="797"/>
      <c r="D2" s="797"/>
      <c r="E2" s="797"/>
      <c r="F2" s="797"/>
      <c r="G2" s="797"/>
      <c r="H2" s="6"/>
      <c r="I2" s="41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6" t="s">
        <v>302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7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8"/>
      <c r="AH4" s="418"/>
      <c r="AI4" s="418"/>
      <c r="AJ4" s="418"/>
      <c r="AK4" s="6"/>
      <c r="AL4" s="6"/>
      <c r="AM4" s="6"/>
      <c r="AN4" s="6"/>
      <c r="AO4" s="419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303</v>
      </c>
      <c r="B5" s="304"/>
      <c r="C5" s="305"/>
      <c r="D5" s="420"/>
      <c r="E5" s="305"/>
      <c r="F5" s="305"/>
      <c r="G5" s="305"/>
      <c r="H5" s="6"/>
      <c r="I5" s="42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1"/>
      <c r="AH5" s="6"/>
      <c r="AI5" s="6"/>
      <c r="AJ5" s="6"/>
      <c r="AK5" s="6"/>
      <c r="AL5" s="6"/>
      <c r="AM5" s="6"/>
      <c r="AN5" s="9"/>
      <c r="AO5" s="422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798" t="s">
        <v>88</v>
      </c>
      <c r="BG5" s="799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304</v>
      </c>
      <c r="B6" s="304"/>
      <c r="C6" s="305"/>
      <c r="D6" s="420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7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798" t="s">
        <v>88</v>
      </c>
      <c r="BG6" s="799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3"/>
      <c r="D7" s="423"/>
      <c r="E7" s="423"/>
      <c r="F7" s="424"/>
      <c r="G7" s="423"/>
      <c r="H7" s="423"/>
      <c r="I7" s="423"/>
      <c r="J7" s="425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 t="s">
        <v>305</v>
      </c>
      <c r="AI7" s="423" t="s">
        <v>306</v>
      </c>
      <c r="AJ7" s="423"/>
      <c r="AK7" s="423"/>
      <c r="AL7" s="423"/>
      <c r="AM7" s="423"/>
      <c r="AN7" s="11" t="s">
        <v>91</v>
      </c>
      <c r="AO7" s="426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798" t="s">
        <v>87</v>
      </c>
      <c r="BG7" s="799"/>
      <c r="BH7" s="892"/>
      <c r="BO7" s="798" t="s">
        <v>108</v>
      </c>
      <c r="BP7" s="799"/>
      <c r="BQ7" s="892"/>
      <c r="BR7" s="884" t="s">
        <v>109</v>
      </c>
      <c r="BS7" s="885"/>
      <c r="BT7" s="886"/>
      <c r="BU7" s="887" t="s">
        <v>111</v>
      </c>
      <c r="BV7" s="888"/>
      <c r="BW7" s="889"/>
    </row>
    <row r="8" spans="1:96" ht="14.25" customHeight="1" thickTop="1" thickBot="1">
      <c r="A8" s="427" t="s">
        <v>50</v>
      </c>
      <c r="B8" s="890" t="s">
        <v>130</v>
      </c>
      <c r="C8" s="891"/>
      <c r="D8" s="890" t="s">
        <v>307</v>
      </c>
      <c r="E8" s="891"/>
      <c r="F8" s="890" t="s">
        <v>308</v>
      </c>
      <c r="G8" s="891"/>
      <c r="H8" s="890" t="s">
        <v>309</v>
      </c>
      <c r="I8" s="891"/>
      <c r="J8" s="874" t="s">
        <v>97</v>
      </c>
      <c r="K8" s="875"/>
      <c r="L8" s="874" t="s">
        <v>98</v>
      </c>
      <c r="M8" s="875"/>
      <c r="N8" s="874" t="s">
        <v>310</v>
      </c>
      <c r="O8" s="875"/>
      <c r="P8" s="874" t="s">
        <v>311</v>
      </c>
      <c r="Q8" s="875"/>
      <c r="R8" s="874" t="s">
        <v>165</v>
      </c>
      <c r="S8" s="875"/>
      <c r="T8" s="874" t="s">
        <v>166</v>
      </c>
      <c r="U8" s="875"/>
      <c r="V8" s="874" t="s">
        <v>312</v>
      </c>
      <c r="W8" s="875"/>
      <c r="X8" s="874" t="s">
        <v>313</v>
      </c>
      <c r="Y8" s="875"/>
      <c r="Z8" s="428" t="s">
        <v>135</v>
      </c>
      <c r="AA8" s="428" t="s">
        <v>136</v>
      </c>
      <c r="AB8" s="428" t="s">
        <v>137</v>
      </c>
      <c r="AC8" s="429" t="s">
        <v>134</v>
      </c>
      <c r="AD8" s="876" t="s">
        <v>138</v>
      </c>
      <c r="AE8" s="877"/>
      <c r="AF8" s="876" t="s">
        <v>141</v>
      </c>
      <c r="AG8" s="877"/>
      <c r="AH8" s="428" t="s">
        <v>145</v>
      </c>
      <c r="AI8" s="428" t="s">
        <v>147</v>
      </c>
      <c r="AJ8" s="428" t="s">
        <v>146</v>
      </c>
      <c r="AK8" s="428" t="s">
        <v>148</v>
      </c>
      <c r="AL8" s="428" t="s">
        <v>160</v>
      </c>
      <c r="AM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1" t="s">
        <v>143</v>
      </c>
      <c r="AP8" s="328" t="s">
        <v>139</v>
      </c>
      <c r="AQ8" s="328"/>
      <c r="AR8" s="328"/>
      <c r="AS8" s="431" t="s">
        <v>176</v>
      </c>
      <c r="AT8" s="431" t="s">
        <v>129</v>
      </c>
      <c r="AW8" s="867" t="s">
        <v>314</v>
      </c>
      <c r="AX8" s="868"/>
      <c r="AY8" s="868"/>
      <c r="AZ8" s="868"/>
      <c r="BA8" s="868"/>
      <c r="BB8" s="868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0</v>
      </c>
      <c r="E9" s="292">
        <f>'IMPORTAÇÃO GENOTIPER'!AQ5</f>
        <v>0</v>
      </c>
      <c r="F9" s="432">
        <f>'IMPORTAÇÃO GENOTIPER'!BO5</f>
        <v>0</v>
      </c>
      <c r="G9" s="432">
        <f>'IMPORTAÇÃO GENOTIPER'!BW5</f>
        <v>0</v>
      </c>
      <c r="H9" s="432">
        <f>'IMPORTAÇÃO GENOTIPER'!CE5</f>
        <v>0</v>
      </c>
      <c r="I9" s="432">
        <f>'IMPORTAÇÃO GENOTIPER'!CM5</f>
        <v>0</v>
      </c>
      <c r="J9" s="433">
        <f>(IF(CODE(D9)=(60),($BL9-1),(IF(CODE(D9)=(62),($BM9+1),B9))))</f>
        <v>0</v>
      </c>
      <c r="K9" s="433">
        <f>(IF(CODE(E9)=(60),($BL9-1),(IF(CODE(E9)=(62),($BM9+1),C9))))</f>
        <v>0</v>
      </c>
      <c r="L9" s="433">
        <f>(IF(CODE(F9)=(60),($BL9-1),(IF(CODE(F9)=(62),($BM9+1),D9))))</f>
        <v>0</v>
      </c>
      <c r="M9" s="433">
        <f>(IF(CODE(G9)=(60),($BH9-1),(IF(CODE(G9)=(62),($BI9+1),E9))))</f>
        <v>0</v>
      </c>
      <c r="N9" s="433">
        <f>(IF(CODE(H9)=(60),($BL9-1),(IF(CODE(H9)=(62),($BM9+1),F9))))</f>
        <v>0</v>
      </c>
      <c r="O9" s="433">
        <f>(IF(CODE(I9)=(60),($BL9-1),(IF(CODE(I9)=(62),($BM9+1),G9))))</f>
        <v>0</v>
      </c>
      <c r="P9" s="433">
        <f>(IF(CODE(J9)=(60),($BL9-1),(IF(CODE(J9)=(62),($BM9+1),H9))))</f>
        <v>0</v>
      </c>
      <c r="Q9" s="433">
        <f>(IF(CODE(K9)=(60),($BL9-1),(IF(CODE(K9)=(62),($BM9+1),I9))))</f>
        <v>0</v>
      </c>
      <c r="R9" s="434">
        <f t="shared" ref="R9:T24" si="0">IF((J9&gt;K9),K9,J9)</f>
        <v>0</v>
      </c>
      <c r="S9" s="434">
        <f t="shared" ref="S9:S42" si="1">IF((K9&gt;J9),K9,J9)</f>
        <v>0</v>
      </c>
      <c r="T9" s="434">
        <f t="shared" si="0"/>
        <v>0</v>
      </c>
      <c r="U9" s="434">
        <f t="shared" ref="U9:U42" si="2">IF((M9&gt;L9),M9,L9)</f>
        <v>0</v>
      </c>
      <c r="V9" s="434">
        <f t="shared" ref="V9:V42" si="3">IF((N9&gt;O9),O9,N9)</f>
        <v>0</v>
      </c>
      <c r="W9" s="434">
        <f t="shared" ref="W9:W42" si="4">IF((O9&gt;N9),O9,N9)</f>
        <v>0</v>
      </c>
      <c r="X9" s="434">
        <f>IF((P9&gt;Q9),Q9,P9)</f>
        <v>0</v>
      </c>
      <c r="Y9" s="434">
        <f>IF((Q9&gt;P9),Q9,P9)</f>
        <v>0</v>
      </c>
      <c r="Z9" s="435">
        <f t="shared" ref="Z9:Z42" si="5">IF((T9=R9),T9,(IF((T9=S9),T9,0)))</f>
        <v>0</v>
      </c>
      <c r="AA9" s="435">
        <f t="shared" ref="AA9:AA42" si="6">IF((U9=R9),U9,(IF((U9=S9),U9,0)))</f>
        <v>0</v>
      </c>
      <c r="AB9" s="436">
        <f>(IF((OR((T9="&gt;18"),(U9="&gt;18"))),2,(IF(((Z9+AA9)=(T9+U9)),0,1))))</f>
        <v>0</v>
      </c>
      <c r="AC9" s="437">
        <f>IF(OR(($Z9=$AA9),($AA9=0)),$Z9,(IF(AND(($Z9=0),($AA9&lt;&gt;0)),$AA9,"NÃO DEF")))</f>
        <v>0</v>
      </c>
      <c r="AD9" s="438">
        <f>(IF((AC9&lt;&gt;"NÃO DEF"),(T9+U9-AC9),T9))</f>
        <v>0</v>
      </c>
      <c r="AE9" s="438">
        <f>(IF((AC9&lt;&gt;"NÃO DEF"),0,U9))</f>
        <v>0</v>
      </c>
      <c r="AF9" s="439">
        <f>(IF(OR((AD9=V9),(AD9=W9),(AD9=X9),(AD9=Y9)),AD9,0))</f>
        <v>0</v>
      </c>
      <c r="AG9" s="440">
        <f>(IF((AE9&lt;&gt;0),(IF(OR((AE9=V9),(AE9=W9),(AE9=X9),(AE9=Y9)),AE9,(IF(AND((AC9="NÃO DEF"),(OR((AE9=V9),(AE9=W9),(AE9=X9),(AE9=Y9),(AF9=V9),(AF9=W9),(AF9=X9),(AF9=Y9)))),0,0)))),0))</f>
        <v>0</v>
      </c>
      <c r="AH9" s="441">
        <f>IF(AF9=0,0,VLOOKUP(AF9,FREQUENCIAS!$1:$1048576,(IF(($A9=FREQUENCIAS!$B$1),2,"ERRO")),FREQUENCIAS!$1:$1048576))</f>
        <v>0</v>
      </c>
      <c r="AI9" s="441">
        <f>IF(AG9=0,0,VLOOKUP(AG9,FREQUENCIAS!$1:$1048576,(IF(($A9=FREQUENCIAS!$B$1),2,"ERRO")),FREQUENCIAS!$1:$1048576))</f>
        <v>0</v>
      </c>
      <c r="AJ9" s="442"/>
      <c r="AK9" s="442"/>
      <c r="AL9" s="442"/>
      <c r="AM9" s="120">
        <f>IF(B9=0,1,(IF((A9="ERRO-FT"),"11",(IF((AND(($AF9=0),($AG9=0),(AX$43="S"))),0,(IF(SUM(AH9:AL9)&lt;=$AO$7,$AO$7,SUM(AH9:AL9))))))))</f>
        <v>1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1</v>
      </c>
      <c r="AO9" s="122">
        <f t="shared" ref="AO9:AO42" si="8">(IF((A9="ERRO-FT"),"ERRO",(IF((AN9=0),0,(AN9/(AN9+1))))))</f>
        <v>0.5</v>
      </c>
      <c r="AP9" s="328"/>
      <c r="AQ9" s="443">
        <f t="shared" ref="AQ9:AQ41" si="9">(IF((AND((BD9=1),($BD$43=1),($AS$43="MUT"))),0,((1-AM9)^2)))</f>
        <v>0</v>
      </c>
      <c r="AR9" s="328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MUTAÇÃO</v>
      </c>
      <c r="AT9" s="432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1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1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1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1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1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1</v>
      </c>
      <c r="BD9" s="444">
        <f>IF(($AM9=0),1,0)</f>
        <v>0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1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45" t="str">
        <f t="shared" ref="BO9:BO42" si="12">IF(($AC9=($BL9-1)),"&lt;",IF(($AC9=($BM9+1)),"&gt;",""))</f>
        <v/>
      </c>
      <c r="BP9" s="445">
        <f t="shared" ref="BP9:BP42" si="13">IF(($AC9=($BL9-1)),$BL9,IF(($AC9=($BM9-1)),$BM9,$AC9))</f>
        <v>0</v>
      </c>
      <c r="BQ9" s="445">
        <f t="shared" ref="BQ9:BQ42" si="14">(IF((OR(($AC9=($BL9-1)),($AC9=($BM9+1)))),(CONCATENATE((BO9),(BP9))),$AC9))</f>
        <v>0</v>
      </c>
      <c r="BR9" s="446" t="str">
        <f t="shared" ref="BR9:BR42" si="15">IF(($AF9=($BL9-1)),"&lt;",IF(($AF9=($BM9+1)),"&gt;",""))</f>
        <v/>
      </c>
      <c r="BS9" s="446">
        <f t="shared" ref="BS9:BS42" si="16">IF(($AF9=($BL9-1)),$BL9,IF(($AF9=($BM9+1)),$BM9,$AF9))</f>
        <v>0</v>
      </c>
      <c r="BT9" s="446">
        <f t="shared" ref="BT9:BT42" si="17">(IF((OR(($AF9=($BL9-1)),($AF9=($BM9+1)))),(CONCATENATE((BR9),(BS9))),$AF9))</f>
        <v>0</v>
      </c>
      <c r="BU9" s="438" t="str">
        <f>IF(($AG9=($BL9-1)),"&lt;",IF(($AG9=($BM9+1)),"&gt;",""))</f>
        <v/>
      </c>
      <c r="BV9" s="438">
        <f t="shared" ref="BV9:BV42" si="18">IF((AG9=($BL9-1)),BM9,IF((AG9=($BM9+1)),$BM9,AG9))</f>
        <v>0</v>
      </c>
      <c r="BW9" s="438">
        <f t="shared" ref="BW9:BW42" si="19">(IF((OR(($AG9=($BL9-1)),($AG9=($BM9+1)))),(CONCATENATE((BU9),(BV9))),$AG9))</f>
        <v>0</v>
      </c>
      <c r="BZ9" s="447">
        <v>9</v>
      </c>
      <c r="CA9" s="448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0</v>
      </c>
      <c r="E10" s="292">
        <f>'IMPORTAÇÃO GENOTIPER'!AQ6</f>
        <v>0</v>
      </c>
      <c r="F10" s="432">
        <f>'IMPORTAÇÃO GENOTIPER'!BO6</f>
        <v>0</v>
      </c>
      <c r="G10" s="432">
        <f>'IMPORTAÇÃO GENOTIPER'!BW6</f>
        <v>0</v>
      </c>
      <c r="H10" s="432">
        <f>'IMPORTAÇÃO GENOTIPER'!CE6</f>
        <v>0</v>
      </c>
      <c r="I10" s="432">
        <f>'IMPORTAÇÃO GENOTIPER'!CM6</f>
        <v>0</v>
      </c>
      <c r="J10" s="433">
        <f t="shared" ref="J10:L25" si="29">(IF(CODE(D10)=(60),($BL10-1),(IF(CODE(D10)=(62),($BM10+1),B10))))</f>
        <v>0</v>
      </c>
      <c r="K10" s="433">
        <f t="shared" si="29"/>
        <v>0</v>
      </c>
      <c r="L10" s="433">
        <f t="shared" si="29"/>
        <v>0</v>
      </c>
      <c r="M10" s="433">
        <f t="shared" ref="M10:M42" si="30">(IF(CODE(G10)=(60),($BH10-1),(IF(CODE(G10)=(62),($BI10+1),E10))))</f>
        <v>0</v>
      </c>
      <c r="N10" s="433">
        <f t="shared" ref="N10:Q25" si="31">(IF(CODE(H10)=(60),($BL10-1),(IF(CODE(H10)=(62),($BM10+1),F10))))</f>
        <v>0</v>
      </c>
      <c r="O10" s="433">
        <f t="shared" si="31"/>
        <v>0</v>
      </c>
      <c r="P10" s="433">
        <f t="shared" si="31"/>
        <v>0</v>
      </c>
      <c r="Q10" s="433">
        <f t="shared" si="31"/>
        <v>0</v>
      </c>
      <c r="R10" s="434">
        <f t="shared" si="0"/>
        <v>0</v>
      </c>
      <c r="S10" s="434">
        <f t="shared" si="1"/>
        <v>0</v>
      </c>
      <c r="T10" s="434">
        <f t="shared" si="0"/>
        <v>0</v>
      </c>
      <c r="U10" s="434">
        <f t="shared" si="2"/>
        <v>0</v>
      </c>
      <c r="V10" s="434">
        <f t="shared" si="3"/>
        <v>0</v>
      </c>
      <c r="W10" s="434">
        <f t="shared" si="4"/>
        <v>0</v>
      </c>
      <c r="X10" s="434">
        <f t="shared" ref="X10:X42" si="32">IF((P10&gt;Q10),Q10,P10)</f>
        <v>0</v>
      </c>
      <c r="Y10" s="434">
        <f t="shared" ref="Y10:Y42" si="33">IF((Q10&gt;P10),Q10,P10)</f>
        <v>0</v>
      </c>
      <c r="Z10" s="435">
        <f t="shared" si="5"/>
        <v>0</v>
      </c>
      <c r="AA10" s="435">
        <f t="shared" si="6"/>
        <v>0</v>
      </c>
      <c r="AB10" s="436">
        <f>(IF((OR((T10="&gt;36"),(U10="&gt;36"))),2,(IF(((Z10+AA10)=(T10+U10)),0,1))))</f>
        <v>0</v>
      </c>
      <c r="AC10" s="437">
        <f t="shared" ref="AC10:AC42" si="34">IF(OR((Z10=AA10),(AA10=0)),Z10,(IF(AND((Z10=0),(AA10&lt;&gt;0)),AA10,$AP$7)))</f>
        <v>0</v>
      </c>
      <c r="AD10" s="438">
        <f t="shared" ref="AD10:AD42" si="35">(IF((AC10&lt;&gt;"NÃO DEF"),(T10+U10-AC10),T10))</f>
        <v>0</v>
      </c>
      <c r="AE10" s="438">
        <f t="shared" ref="AE10:AE42" si="36">(IF((AC10&lt;&gt;"NÃO DEF"),0,U10))</f>
        <v>0</v>
      </c>
      <c r="AF10" s="439">
        <f t="shared" ref="AF10:AF42" si="37">(IF(OR((AD10=V10),(AD10=W10),(AD10=X10),(AD10=Y10)),AD10,0))</f>
        <v>0</v>
      </c>
      <c r="AG10" s="440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1">
        <f>IF(AF10=0,0,VLOOKUP(AF10,FREQUENCIAS!$1:$1048576,(IF(($A10=FREQUENCIAS!$C$1),3,"ERRO")),FREQUENCIAS!$1:$1048576))</f>
        <v>0</v>
      </c>
      <c r="AI10" s="441">
        <f>IF(AG10=0,0,VLOOKUP(AG10,FREQUENCIAS!$1:$1048576,(IF(($A10=FREQUENCIAS!$C$1),3,"ERRO")),FREQUENCIAS!$1:$1048576))</f>
        <v>0</v>
      </c>
      <c r="AJ10" s="442"/>
      <c r="AK10" s="442"/>
      <c r="AL10" s="442"/>
      <c r="AM10" s="120">
        <f t="shared" ref="AM10:AM42" si="39">IF(B10=0,1,(IF((A10="ERRO-FT"),"11",(IF((AND(($AF10=0),($AG10=0),(AX$43="S"))),0,(IF(SUM(AH10:AL10)&lt;=$AO$7,$AO$7,SUM(AH10:AL10))))))))</f>
        <v>1</v>
      </c>
      <c r="AN10" s="121">
        <f t="shared" si="7"/>
        <v>1</v>
      </c>
      <c r="AO10" s="122">
        <f t="shared" si="8"/>
        <v>0.5</v>
      </c>
      <c r="AP10" s="328"/>
      <c r="AQ10" s="443">
        <f t="shared" si="9"/>
        <v>0</v>
      </c>
      <c r="AR10" s="328"/>
      <c r="AS10" s="125" t="str">
        <f t="shared" si="10"/>
        <v>MUTAÇÃO</v>
      </c>
      <c r="AT10" s="432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1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1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1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1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1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1</v>
      </c>
      <c r="BC10" s="1" t="s">
        <v>318</v>
      </c>
      <c r="BD10" s="444">
        <f t="shared" ref="BD10:BD42" si="41">IF(($AM10=0),1,0)</f>
        <v>0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1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5" t="str">
        <f t="shared" si="12"/>
        <v/>
      </c>
      <c r="BP10" s="445">
        <f t="shared" si="13"/>
        <v>0</v>
      </c>
      <c r="BQ10" s="445">
        <f t="shared" si="14"/>
        <v>0</v>
      </c>
      <c r="BR10" s="446" t="str">
        <f t="shared" si="15"/>
        <v/>
      </c>
      <c r="BS10" s="449">
        <f t="shared" si="16"/>
        <v>0</v>
      </c>
      <c r="BT10" s="446">
        <f t="shared" si="17"/>
        <v>0</v>
      </c>
      <c r="BU10" s="438" t="str">
        <f t="shared" ref="BU10:BU42" si="44">IF(($AG10=($BL10-1)),"&lt;",IF(($AG10=($BM10+1)),"&gt;",""))</f>
        <v/>
      </c>
      <c r="BV10" s="438">
        <f t="shared" si="18"/>
        <v>0</v>
      </c>
      <c r="BW10" s="438">
        <f t="shared" si="19"/>
        <v>0</v>
      </c>
      <c r="BZ10" s="447">
        <v>24</v>
      </c>
      <c r="CA10" s="448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0</v>
      </c>
      <c r="E11" s="292">
        <f>'IMPORTAÇÃO GENOTIPER'!AQ7</f>
        <v>0</v>
      </c>
      <c r="F11" s="432">
        <f>'IMPORTAÇÃO GENOTIPER'!BO7</f>
        <v>0</v>
      </c>
      <c r="G11" s="432">
        <f>'IMPORTAÇÃO GENOTIPER'!BW7</f>
        <v>0</v>
      </c>
      <c r="H11" s="432">
        <f>'IMPORTAÇÃO GENOTIPER'!CE7</f>
        <v>0</v>
      </c>
      <c r="I11" s="432">
        <f>'IMPORTAÇÃO GENOTIPER'!CM7</f>
        <v>0</v>
      </c>
      <c r="J11" s="433">
        <f t="shared" si="29"/>
        <v>0</v>
      </c>
      <c r="K11" s="433">
        <f t="shared" si="29"/>
        <v>0</v>
      </c>
      <c r="L11" s="433">
        <f t="shared" si="29"/>
        <v>0</v>
      </c>
      <c r="M11" s="433">
        <f t="shared" si="30"/>
        <v>0</v>
      </c>
      <c r="N11" s="433">
        <f t="shared" si="31"/>
        <v>0</v>
      </c>
      <c r="O11" s="433">
        <f t="shared" si="31"/>
        <v>0</v>
      </c>
      <c r="P11" s="433">
        <f t="shared" si="31"/>
        <v>0</v>
      </c>
      <c r="Q11" s="433">
        <f t="shared" si="31"/>
        <v>0</v>
      </c>
      <c r="R11" s="434">
        <f t="shared" si="0"/>
        <v>0</v>
      </c>
      <c r="S11" s="434">
        <f t="shared" si="1"/>
        <v>0</v>
      </c>
      <c r="T11" s="434">
        <f t="shared" si="0"/>
        <v>0</v>
      </c>
      <c r="U11" s="434">
        <f t="shared" si="2"/>
        <v>0</v>
      </c>
      <c r="V11" s="434">
        <f t="shared" si="3"/>
        <v>0</v>
      </c>
      <c r="W11" s="434">
        <f t="shared" si="4"/>
        <v>0</v>
      </c>
      <c r="X11" s="434">
        <f t="shared" si="32"/>
        <v>0</v>
      </c>
      <c r="Y11" s="434">
        <f t="shared" si="33"/>
        <v>0</v>
      </c>
      <c r="Z11" s="435">
        <f t="shared" si="5"/>
        <v>0</v>
      </c>
      <c r="AA11" s="435">
        <f t="shared" si="6"/>
        <v>0</v>
      </c>
      <c r="AB11" s="436">
        <f>(IF((OR((T11="&gt;22"),(U11="&gt;22"))),2,(IF(((Z11+AA11)=(T11+U11)),0,1))))</f>
        <v>0</v>
      </c>
      <c r="AC11" s="437">
        <f t="shared" si="34"/>
        <v>0</v>
      </c>
      <c r="AD11" s="438">
        <f t="shared" si="35"/>
        <v>0</v>
      </c>
      <c r="AE11" s="438">
        <f t="shared" si="36"/>
        <v>0</v>
      </c>
      <c r="AF11" s="439">
        <f t="shared" si="37"/>
        <v>0</v>
      </c>
      <c r="AG11" s="440">
        <f t="shared" si="38"/>
        <v>0</v>
      </c>
      <c r="AH11" s="441">
        <f>IF(AF11=0,0,VLOOKUP(AF11,FREQUENCIAS!$1:$1048576,(IF(($A11=FREQUENCIAS!$D$1),4,"ERRO")),FREQUENCIAS!$1:$1048576))</f>
        <v>0</v>
      </c>
      <c r="AI11" s="441">
        <f>IF(AG11=0,0,VLOOKUP(AG11,FREQUENCIAS!$1:$1048576,(IF(($A11=FREQUENCIAS!$D$1),4,"ERRO")),FREQUENCIAS!$1:$1048576))</f>
        <v>0</v>
      </c>
      <c r="AJ11" s="442"/>
      <c r="AK11" s="442"/>
      <c r="AL11" s="442"/>
      <c r="AM11" s="120">
        <f t="shared" si="39"/>
        <v>1</v>
      </c>
      <c r="AN11" s="121">
        <f t="shared" si="7"/>
        <v>1</v>
      </c>
      <c r="AO11" s="122">
        <f t="shared" si="8"/>
        <v>0.5</v>
      </c>
      <c r="AP11" s="328"/>
      <c r="AQ11" s="443">
        <f t="shared" si="9"/>
        <v>0</v>
      </c>
      <c r="AR11" s="328"/>
      <c r="AS11" s="125" t="str">
        <f t="shared" si="10"/>
        <v>MUTAÇÃO</v>
      </c>
      <c r="AT11" s="432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1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1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1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1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1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44">
        <f t="shared" si="41"/>
        <v>0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0">
        <f>IF($A11=FREQUENCIAS!$D$1,FREQUENCIAS!$D$3,"ERRO NA MUT")</f>
        <v>2.7000000000000001E-3</v>
      </c>
      <c r="BI11" s="40">
        <f t="shared" si="11"/>
        <v>1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45" t="str">
        <f t="shared" si="12"/>
        <v/>
      </c>
      <c r="BP11" s="445">
        <f t="shared" si="13"/>
        <v>0</v>
      </c>
      <c r="BQ11" s="445">
        <f t="shared" si="14"/>
        <v>0</v>
      </c>
      <c r="BR11" s="446" t="str">
        <f t="shared" si="15"/>
        <v/>
      </c>
      <c r="BS11" s="446">
        <f t="shared" si="16"/>
        <v>0</v>
      </c>
      <c r="BT11" s="446">
        <f t="shared" si="17"/>
        <v>0</v>
      </c>
      <c r="BU11" s="438" t="str">
        <f t="shared" si="44"/>
        <v/>
      </c>
      <c r="BV11" s="438">
        <f t="shared" si="18"/>
        <v>0</v>
      </c>
      <c r="BW11" s="438">
        <f t="shared" si="19"/>
        <v>0</v>
      </c>
      <c r="BZ11" s="447">
        <v>10</v>
      </c>
      <c r="CA11" s="448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0</v>
      </c>
      <c r="E12" s="296">
        <f>'IMPORTAÇÃO GENOTIPER'!AQ8</f>
        <v>0</v>
      </c>
      <c r="F12" s="432">
        <f>'IMPORTAÇÃO GENOTIPER'!BO8</f>
        <v>0</v>
      </c>
      <c r="G12" s="432">
        <f>'IMPORTAÇÃO GENOTIPER'!BW8</f>
        <v>0</v>
      </c>
      <c r="H12" s="432">
        <f>'IMPORTAÇÃO GENOTIPER'!CE8</f>
        <v>0</v>
      </c>
      <c r="I12" s="432">
        <f>'IMPORTAÇÃO GENOTIPER'!CM8</f>
        <v>0</v>
      </c>
      <c r="J12" s="433">
        <f t="shared" si="29"/>
        <v>0</v>
      </c>
      <c r="K12" s="433">
        <f t="shared" si="29"/>
        <v>0</v>
      </c>
      <c r="L12" s="433">
        <f t="shared" si="29"/>
        <v>0</v>
      </c>
      <c r="M12" s="433">
        <f t="shared" si="30"/>
        <v>0</v>
      </c>
      <c r="N12" s="433">
        <f t="shared" si="31"/>
        <v>0</v>
      </c>
      <c r="O12" s="433">
        <f t="shared" si="31"/>
        <v>0</v>
      </c>
      <c r="P12" s="433">
        <f t="shared" si="31"/>
        <v>0</v>
      </c>
      <c r="Q12" s="433">
        <f t="shared" si="31"/>
        <v>0</v>
      </c>
      <c r="R12" s="434">
        <f t="shared" si="0"/>
        <v>0</v>
      </c>
      <c r="S12" s="434">
        <f t="shared" si="1"/>
        <v>0</v>
      </c>
      <c r="T12" s="434">
        <f t="shared" si="0"/>
        <v>0</v>
      </c>
      <c r="U12" s="434">
        <f t="shared" si="2"/>
        <v>0</v>
      </c>
      <c r="V12" s="434">
        <f t="shared" si="3"/>
        <v>0</v>
      </c>
      <c r="W12" s="434">
        <f t="shared" si="4"/>
        <v>0</v>
      </c>
      <c r="X12" s="434">
        <f t="shared" si="32"/>
        <v>0</v>
      </c>
      <c r="Y12" s="434">
        <f t="shared" si="33"/>
        <v>0</v>
      </c>
      <c r="Z12" s="435">
        <f t="shared" si="5"/>
        <v>0</v>
      </c>
      <c r="AA12" s="435">
        <f t="shared" si="6"/>
        <v>0</v>
      </c>
      <c r="AB12" s="436">
        <f>(IF((OR((T12="&gt;21"),(U12="&gt;21"))),2,(IF(((Z12+AA12)=(T12+U12)),0,1))))</f>
        <v>0</v>
      </c>
      <c r="AC12" s="435">
        <f t="shared" si="34"/>
        <v>0</v>
      </c>
      <c r="AD12" s="438">
        <f t="shared" si="35"/>
        <v>0</v>
      </c>
      <c r="AE12" s="438">
        <f t="shared" si="36"/>
        <v>0</v>
      </c>
      <c r="AF12" s="439">
        <f t="shared" si="37"/>
        <v>0</v>
      </c>
      <c r="AG12" s="440">
        <f t="shared" si="38"/>
        <v>0</v>
      </c>
      <c r="AH12" s="451">
        <f>IF(AF12=0,0,VLOOKUP(AF12,FREQUENCIAS!$1:$1048576,(IF(($A12=FREQUENCIAS!$E$1),5,"ERRO")),FREQUENCIAS!$1:$1048576))</f>
        <v>0</v>
      </c>
      <c r="AI12" s="451">
        <f>IF(AG12=0,0,VLOOKUP(AG12,FREQUENCIAS!$1:$1048576,(IF(($A12=FREQUENCIAS!$E$1),5,"ERRO")),FREQUENCIAS!$1:$1048576))</f>
        <v>0</v>
      </c>
      <c r="AJ12" s="442"/>
      <c r="AK12" s="442"/>
      <c r="AL12" s="442"/>
      <c r="AM12" s="120">
        <f t="shared" si="39"/>
        <v>1</v>
      </c>
      <c r="AN12" s="121">
        <f t="shared" si="7"/>
        <v>1</v>
      </c>
      <c r="AO12" s="122">
        <f t="shared" si="8"/>
        <v>0.5</v>
      </c>
      <c r="AP12" s="328" t="s">
        <v>140</v>
      </c>
      <c r="AQ12" s="443">
        <f t="shared" si="9"/>
        <v>0</v>
      </c>
      <c r="AR12" s="328"/>
      <c r="AS12" s="125" t="str">
        <f t="shared" si="10"/>
        <v>MUTAÇÃO</v>
      </c>
      <c r="AT12" s="432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1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1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1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1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1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44">
        <f t="shared" si="41"/>
        <v>0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0">
        <f>IF($A12=FREQUENCIAS!$E$1,FREQUENCIAS!$E$3,"ERRO NA MUT")</f>
        <v>2.7000000000000001E-3</v>
      </c>
      <c r="BI12" s="40">
        <f t="shared" si="11"/>
        <v>1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45" t="str">
        <f t="shared" si="12"/>
        <v/>
      </c>
      <c r="BP12" s="445">
        <f t="shared" si="13"/>
        <v>0</v>
      </c>
      <c r="BQ12" s="445">
        <f t="shared" si="14"/>
        <v>0</v>
      </c>
      <c r="BR12" s="446" t="str">
        <f t="shared" si="15"/>
        <v/>
      </c>
      <c r="BS12" s="446">
        <f t="shared" si="16"/>
        <v>0</v>
      </c>
      <c r="BT12" s="446">
        <f t="shared" si="17"/>
        <v>0</v>
      </c>
      <c r="BU12" s="438" t="str">
        <f t="shared" si="44"/>
        <v/>
      </c>
      <c r="BV12" s="438">
        <f t="shared" si="18"/>
        <v>0</v>
      </c>
      <c r="BW12" s="438">
        <f t="shared" si="19"/>
        <v>0</v>
      </c>
      <c r="BZ12" s="447">
        <v>9</v>
      </c>
      <c r="CA12" s="448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0</v>
      </c>
      <c r="E13" s="292">
        <f>'IMPORTAÇÃO GENOTIPER'!AQ9</f>
        <v>0</v>
      </c>
      <c r="F13" s="432">
        <f>'IMPORTAÇÃO GENOTIPER'!BO9</f>
        <v>0</v>
      </c>
      <c r="G13" s="432">
        <f>'IMPORTAÇÃO GENOTIPER'!BW9</f>
        <v>0</v>
      </c>
      <c r="H13" s="432">
        <f>'IMPORTAÇÃO GENOTIPER'!CE9</f>
        <v>0</v>
      </c>
      <c r="I13" s="432">
        <f>'IMPORTAÇÃO GENOTIPER'!CM9</f>
        <v>0</v>
      </c>
      <c r="J13" s="433">
        <f t="shared" si="29"/>
        <v>0</v>
      </c>
      <c r="K13" s="433">
        <f t="shared" si="29"/>
        <v>0</v>
      </c>
      <c r="L13" s="433">
        <f t="shared" si="29"/>
        <v>0</v>
      </c>
      <c r="M13" s="433">
        <f t="shared" si="30"/>
        <v>0</v>
      </c>
      <c r="N13" s="433">
        <f t="shared" si="31"/>
        <v>0</v>
      </c>
      <c r="O13" s="433">
        <f t="shared" si="31"/>
        <v>0</v>
      </c>
      <c r="P13" s="433">
        <f t="shared" si="31"/>
        <v>0</v>
      </c>
      <c r="Q13" s="433">
        <f t="shared" si="31"/>
        <v>0</v>
      </c>
      <c r="R13" s="434">
        <f t="shared" si="0"/>
        <v>0</v>
      </c>
      <c r="S13" s="434">
        <f t="shared" si="1"/>
        <v>0</v>
      </c>
      <c r="T13" s="434">
        <f t="shared" si="0"/>
        <v>0</v>
      </c>
      <c r="U13" s="434">
        <f t="shared" si="2"/>
        <v>0</v>
      </c>
      <c r="V13" s="434">
        <f t="shared" si="3"/>
        <v>0</v>
      </c>
      <c r="W13" s="434">
        <f t="shared" si="4"/>
        <v>0</v>
      </c>
      <c r="X13" s="434">
        <f t="shared" si="32"/>
        <v>0</v>
      </c>
      <c r="Y13" s="434">
        <f t="shared" si="33"/>
        <v>0</v>
      </c>
      <c r="Z13" s="435">
        <f t="shared" si="5"/>
        <v>0</v>
      </c>
      <c r="AA13" s="435">
        <f t="shared" si="6"/>
        <v>0</v>
      </c>
      <c r="AB13" s="436">
        <f>(IF((OR((T13="&gt;21"),(U13="&gt;21"))),2,(IF(((Z13+AA13)=(T13+U13)),0,1))))</f>
        <v>0</v>
      </c>
      <c r="AC13" s="437">
        <f t="shared" si="34"/>
        <v>0</v>
      </c>
      <c r="AD13" s="438">
        <f t="shared" si="35"/>
        <v>0</v>
      </c>
      <c r="AE13" s="438">
        <f t="shared" si="36"/>
        <v>0</v>
      </c>
      <c r="AF13" s="439">
        <f t="shared" si="37"/>
        <v>0</v>
      </c>
      <c r="AG13" s="440">
        <f t="shared" si="38"/>
        <v>0</v>
      </c>
      <c r="AH13" s="441">
        <f>IF(AF13=0,0,VLOOKUP(AF13,FREQUENCIAS!$1:$1048576,(IF(($A13=FREQUENCIAS!$F$1),6,"ERRO")),FREQUENCIAS!$1:$1048576))</f>
        <v>0</v>
      </c>
      <c r="AI13" s="441">
        <f>IF(AG13=0,0,VLOOKUP(AG13,FREQUENCIAS!$1:$1048576,(IF(($A13=FREQUENCIAS!$F$1),6,"ERRO")),FREQUENCIAS!$1:$1048576))</f>
        <v>0</v>
      </c>
      <c r="AJ13" s="442"/>
      <c r="AK13" s="442"/>
      <c r="AL13" s="442"/>
      <c r="AM13" s="120">
        <f t="shared" si="39"/>
        <v>1</v>
      </c>
      <c r="AN13" s="121">
        <f t="shared" si="7"/>
        <v>1</v>
      </c>
      <c r="AO13" s="122">
        <f t="shared" si="8"/>
        <v>0.5</v>
      </c>
      <c r="AP13" s="328" t="s">
        <v>163</v>
      </c>
      <c r="AQ13" s="443">
        <f t="shared" si="9"/>
        <v>0</v>
      </c>
      <c r="AR13" s="328"/>
      <c r="AS13" s="125" t="str">
        <f t="shared" si="10"/>
        <v>MUTAÇÃO</v>
      </c>
      <c r="AT13" s="432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4">
        <f t="shared" si="41"/>
        <v>0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0">
        <f>IF($A13=FREQUENCIAS!$F$1,FREQUENCIAS!$F$3,"ERRO NA MUT")</f>
        <v>1.4E-3</v>
      </c>
      <c r="BI13" s="40">
        <f t="shared" si="11"/>
        <v>1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45" t="str">
        <f t="shared" si="12"/>
        <v/>
      </c>
      <c r="BP13" s="445">
        <f t="shared" si="13"/>
        <v>0</v>
      </c>
      <c r="BQ13" s="445">
        <f t="shared" si="14"/>
        <v>0</v>
      </c>
      <c r="BR13" s="446" t="str">
        <f t="shared" si="15"/>
        <v/>
      </c>
      <c r="BS13" s="446">
        <f t="shared" si="16"/>
        <v>0</v>
      </c>
      <c r="BT13" s="446">
        <f t="shared" si="17"/>
        <v>0</v>
      </c>
      <c r="BU13" s="438" t="str">
        <f t="shared" si="44"/>
        <v/>
      </c>
      <c r="BV13" s="438">
        <f t="shared" si="18"/>
        <v>0</v>
      </c>
      <c r="BW13" s="438">
        <f t="shared" si="19"/>
        <v>0</v>
      </c>
      <c r="BZ13" s="447">
        <v>12</v>
      </c>
      <c r="CA13" s="448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0</v>
      </c>
      <c r="E14" s="292">
        <f>'IMPORTAÇÃO GENOTIPER'!AQ10</f>
        <v>0</v>
      </c>
      <c r="F14" s="432">
        <f>'IMPORTAÇÃO GENOTIPER'!BO10</f>
        <v>0</v>
      </c>
      <c r="G14" s="432">
        <f>'IMPORTAÇÃO GENOTIPER'!BW10</f>
        <v>0</v>
      </c>
      <c r="H14" s="432">
        <f>'IMPORTAÇÃO GENOTIPER'!CE10</f>
        <v>0</v>
      </c>
      <c r="I14" s="432">
        <f>'IMPORTAÇÃO GENOTIPER'!CM10</f>
        <v>0</v>
      </c>
      <c r="J14" s="433">
        <f t="shared" si="29"/>
        <v>0</v>
      </c>
      <c r="K14" s="433">
        <f t="shared" si="29"/>
        <v>0</v>
      </c>
      <c r="L14" s="433">
        <f t="shared" si="29"/>
        <v>0</v>
      </c>
      <c r="M14" s="433">
        <f t="shared" si="30"/>
        <v>0</v>
      </c>
      <c r="N14" s="433">
        <f t="shared" si="31"/>
        <v>0</v>
      </c>
      <c r="O14" s="433">
        <f t="shared" si="31"/>
        <v>0</v>
      </c>
      <c r="P14" s="433">
        <f t="shared" si="31"/>
        <v>0</v>
      </c>
      <c r="Q14" s="433">
        <f t="shared" si="31"/>
        <v>0</v>
      </c>
      <c r="R14" s="434">
        <f t="shared" si="0"/>
        <v>0</v>
      </c>
      <c r="S14" s="434">
        <f t="shared" si="1"/>
        <v>0</v>
      </c>
      <c r="T14" s="434">
        <f t="shared" si="0"/>
        <v>0</v>
      </c>
      <c r="U14" s="434">
        <f t="shared" si="2"/>
        <v>0</v>
      </c>
      <c r="V14" s="434">
        <f t="shared" si="3"/>
        <v>0</v>
      </c>
      <c r="W14" s="434">
        <f t="shared" si="4"/>
        <v>0</v>
      </c>
      <c r="X14" s="434">
        <f t="shared" si="32"/>
        <v>0</v>
      </c>
      <c r="Y14" s="434">
        <f t="shared" si="33"/>
        <v>0</v>
      </c>
      <c r="Z14" s="435">
        <f t="shared" si="5"/>
        <v>0</v>
      </c>
      <c r="AA14" s="435">
        <f t="shared" si="6"/>
        <v>0</v>
      </c>
      <c r="AB14" s="436">
        <f>(IF((OR((T14="&gt;20"),(U14="&gt;20"))),2,(IF(((Z14+AA14)=(T14+U14)),0,1))))</f>
        <v>0</v>
      </c>
      <c r="AC14" s="437">
        <f t="shared" si="34"/>
        <v>0</v>
      </c>
      <c r="AD14" s="438">
        <f t="shared" si="35"/>
        <v>0</v>
      </c>
      <c r="AE14" s="438">
        <f t="shared" si="36"/>
        <v>0</v>
      </c>
      <c r="AF14" s="439">
        <f t="shared" si="37"/>
        <v>0</v>
      </c>
      <c r="AG14" s="440">
        <f t="shared" si="38"/>
        <v>0</v>
      </c>
      <c r="AH14" s="441">
        <f>IF(AF14=0,0,VLOOKUP(AF14,FREQUENCIAS!$1:$1048576,(IF(($A14=FREQUENCIAS!$G$1),7,"ERRO")),FREQUENCIAS!$1:$1048576))</f>
        <v>0</v>
      </c>
      <c r="AI14" s="441">
        <f>IF(AG14=0,0,VLOOKUP(AG14,FREQUENCIAS!$1:$1048576,(IF(($A14=FREQUENCIAS!$G$1),7,"ERRO")),FREQUENCIAS!$1:$1048576))</f>
        <v>0</v>
      </c>
      <c r="AJ14" s="442"/>
      <c r="AK14" s="442"/>
      <c r="AL14" s="442"/>
      <c r="AM14" s="120">
        <f t="shared" si="39"/>
        <v>1</v>
      </c>
      <c r="AN14" s="121">
        <f t="shared" si="7"/>
        <v>1</v>
      </c>
      <c r="AO14" s="122">
        <f t="shared" si="8"/>
        <v>0.5</v>
      </c>
      <c r="AP14" s="328"/>
      <c r="AQ14" s="443">
        <f t="shared" si="9"/>
        <v>0</v>
      </c>
      <c r="AR14" s="328"/>
      <c r="AS14" s="125" t="str">
        <f t="shared" si="10"/>
        <v>MUTAÇÃO</v>
      </c>
      <c r="AT14" s="432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1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1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1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1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44">
        <f>IF(($AM14=0),1,0)</f>
        <v>0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0">
        <f>IF($A14=FREQUENCIAS!$G$1,FREQUENCIAS!$G$3,"ERRO NA MUT")</f>
        <v>1.6000000000000001E-3</v>
      </c>
      <c r="BI14" s="40">
        <f t="shared" si="11"/>
        <v>1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5" t="str">
        <f t="shared" si="12"/>
        <v/>
      </c>
      <c r="BP14" s="445">
        <f t="shared" si="13"/>
        <v>0</v>
      </c>
      <c r="BQ14" s="445">
        <f t="shared" si="14"/>
        <v>0</v>
      </c>
      <c r="BR14" s="446" t="str">
        <f t="shared" si="15"/>
        <v/>
      </c>
      <c r="BS14" s="446">
        <f t="shared" si="16"/>
        <v>0</v>
      </c>
      <c r="BT14" s="446">
        <f t="shared" si="17"/>
        <v>0</v>
      </c>
      <c r="BU14" s="438" t="str">
        <f t="shared" si="44"/>
        <v/>
      </c>
      <c r="BV14" s="438">
        <f t="shared" si="18"/>
        <v>0</v>
      </c>
      <c r="BW14" s="438">
        <f t="shared" si="19"/>
        <v>0</v>
      </c>
      <c r="BZ14" s="447">
        <v>5</v>
      </c>
      <c r="CA14" s="448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0</v>
      </c>
      <c r="E15" s="292">
        <f>'IMPORTAÇÃO GENOTIPER'!AQ11</f>
        <v>0</v>
      </c>
      <c r="F15" s="432">
        <f>'IMPORTAÇÃO GENOTIPER'!BO11</f>
        <v>0</v>
      </c>
      <c r="G15" s="432">
        <f>'IMPORTAÇÃO GENOTIPER'!BW11</f>
        <v>0</v>
      </c>
      <c r="H15" s="432">
        <f>'IMPORTAÇÃO GENOTIPER'!CE11</f>
        <v>0</v>
      </c>
      <c r="I15" s="432">
        <f>'IMPORTAÇÃO GENOTIPER'!CM11</f>
        <v>0</v>
      </c>
      <c r="J15" s="433">
        <f t="shared" si="29"/>
        <v>0</v>
      </c>
      <c r="K15" s="433">
        <f t="shared" si="29"/>
        <v>0</v>
      </c>
      <c r="L15" s="433">
        <f t="shared" si="29"/>
        <v>0</v>
      </c>
      <c r="M15" s="433">
        <f t="shared" si="30"/>
        <v>0</v>
      </c>
      <c r="N15" s="433">
        <f t="shared" si="31"/>
        <v>0</v>
      </c>
      <c r="O15" s="433">
        <f t="shared" si="31"/>
        <v>0</v>
      </c>
      <c r="P15" s="433">
        <f t="shared" si="31"/>
        <v>0</v>
      </c>
      <c r="Q15" s="433">
        <f t="shared" si="31"/>
        <v>0</v>
      </c>
      <c r="R15" s="434">
        <f t="shared" si="0"/>
        <v>0</v>
      </c>
      <c r="S15" s="434">
        <f t="shared" si="1"/>
        <v>0</v>
      </c>
      <c r="T15" s="434">
        <f t="shared" si="0"/>
        <v>0</v>
      </c>
      <c r="U15" s="434">
        <f t="shared" si="2"/>
        <v>0</v>
      </c>
      <c r="V15" s="434">
        <f t="shared" si="3"/>
        <v>0</v>
      </c>
      <c r="W15" s="434">
        <f t="shared" si="4"/>
        <v>0</v>
      </c>
      <c r="X15" s="434">
        <f t="shared" si="32"/>
        <v>0</v>
      </c>
      <c r="Y15" s="434">
        <f t="shared" si="33"/>
        <v>0</v>
      </c>
      <c r="Z15" s="435">
        <f t="shared" si="5"/>
        <v>0</v>
      </c>
      <c r="AA15" s="435">
        <f t="shared" si="6"/>
        <v>0</v>
      </c>
      <c r="AB15" s="436">
        <f>(IF((OR((T15="&gt;23"),(U15="&gt;23"))),2,(IF(((Z15+AA15)=(T15+U15)),0,1))))</f>
        <v>0</v>
      </c>
      <c r="AC15" s="437">
        <f t="shared" si="34"/>
        <v>0</v>
      </c>
      <c r="AD15" s="438">
        <f t="shared" si="35"/>
        <v>0</v>
      </c>
      <c r="AE15" s="438">
        <f t="shared" si="36"/>
        <v>0</v>
      </c>
      <c r="AF15" s="439">
        <f t="shared" si="37"/>
        <v>0</v>
      </c>
      <c r="AG15" s="440">
        <f t="shared" si="38"/>
        <v>0</v>
      </c>
      <c r="AH15" s="441">
        <f>IF(AF15=0,0,VLOOKUP(AF15,FREQUENCIAS!$1:$1048576,(IF(($A15=FREQUENCIAS!$H$1),8,"ERRO")),FREQUENCIAS!$1:$1048576))</f>
        <v>0</v>
      </c>
      <c r="AI15" s="441">
        <f>IF(AG15=0,0,VLOOKUP(AG15,FREQUENCIAS!$1:$1048576,(IF(($A15=FREQUENCIAS!$H$1),8,"ERRO")),FREQUENCIAS!$1:$1048576))</f>
        <v>0</v>
      </c>
      <c r="AJ15" s="442"/>
      <c r="AK15" s="442"/>
      <c r="AL15" s="442"/>
      <c r="AM15" s="120">
        <f t="shared" si="39"/>
        <v>1</v>
      </c>
      <c r="AN15" s="121">
        <f t="shared" si="7"/>
        <v>1</v>
      </c>
      <c r="AO15" s="122">
        <f t="shared" si="8"/>
        <v>0.5</v>
      </c>
      <c r="AP15" s="328"/>
      <c r="AQ15" s="443">
        <f t="shared" si="9"/>
        <v>0</v>
      </c>
      <c r="AR15" s="328"/>
      <c r="AS15" s="125" t="str">
        <f t="shared" si="10"/>
        <v>MUTAÇÃO</v>
      </c>
      <c r="AT15" s="432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4">
        <f t="shared" si="41"/>
        <v>0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0">
        <f>IF($A15=FREQUENCIAS!$H$1,FREQUENCIAS!$H$3,"ERRO NA MUT")</f>
        <v>1.1000000000000001E-3</v>
      </c>
      <c r="BI15" s="40">
        <f t="shared" si="11"/>
        <v>1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45" t="str">
        <f t="shared" si="12"/>
        <v/>
      </c>
      <c r="BP15" s="445">
        <f t="shared" si="13"/>
        <v>0</v>
      </c>
      <c r="BQ15" s="445">
        <f t="shared" si="14"/>
        <v>0</v>
      </c>
      <c r="BR15" s="446" t="str">
        <f t="shared" si="15"/>
        <v/>
      </c>
      <c r="BS15" s="446">
        <f t="shared" si="16"/>
        <v>0</v>
      </c>
      <c r="BT15" s="446">
        <f t="shared" si="17"/>
        <v>0</v>
      </c>
      <c r="BU15" s="438" t="str">
        <f t="shared" si="44"/>
        <v/>
      </c>
      <c r="BV15" s="438">
        <f t="shared" si="18"/>
        <v>0</v>
      </c>
      <c r="BW15" s="438">
        <f t="shared" si="19"/>
        <v>0</v>
      </c>
      <c r="BZ15" s="447">
        <v>8</v>
      </c>
      <c r="CA15" s="448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0</v>
      </c>
      <c r="E16" s="292">
        <f>'IMPORTAÇÃO GENOTIPER'!AQ12</f>
        <v>0</v>
      </c>
      <c r="F16" s="432">
        <f>'IMPORTAÇÃO GENOTIPER'!BO12</f>
        <v>0</v>
      </c>
      <c r="G16" s="432">
        <f>'IMPORTAÇÃO GENOTIPER'!BW12</f>
        <v>0</v>
      </c>
      <c r="H16" s="432">
        <f>'IMPORTAÇÃO GENOTIPER'!CE12</f>
        <v>0</v>
      </c>
      <c r="I16" s="432">
        <f>'IMPORTAÇÃO GENOTIPER'!CM12</f>
        <v>0</v>
      </c>
      <c r="J16" s="433">
        <f t="shared" si="29"/>
        <v>0</v>
      </c>
      <c r="K16" s="433">
        <f t="shared" si="29"/>
        <v>0</v>
      </c>
      <c r="L16" s="433">
        <f t="shared" si="29"/>
        <v>0</v>
      </c>
      <c r="M16" s="433">
        <f t="shared" si="30"/>
        <v>0</v>
      </c>
      <c r="N16" s="433">
        <f t="shared" si="31"/>
        <v>0</v>
      </c>
      <c r="O16" s="433">
        <f t="shared" si="31"/>
        <v>0</v>
      </c>
      <c r="P16" s="433">
        <f t="shared" si="31"/>
        <v>0</v>
      </c>
      <c r="Q16" s="433">
        <f t="shared" si="31"/>
        <v>0</v>
      </c>
      <c r="R16" s="434">
        <f t="shared" si="0"/>
        <v>0</v>
      </c>
      <c r="S16" s="434">
        <f t="shared" si="1"/>
        <v>0</v>
      </c>
      <c r="T16" s="434">
        <f t="shared" si="0"/>
        <v>0</v>
      </c>
      <c r="U16" s="434">
        <f t="shared" si="2"/>
        <v>0</v>
      </c>
      <c r="V16" s="434">
        <f t="shared" si="3"/>
        <v>0</v>
      </c>
      <c r="W16" s="434">
        <f t="shared" si="4"/>
        <v>0</v>
      </c>
      <c r="X16" s="434">
        <f t="shared" si="32"/>
        <v>0</v>
      </c>
      <c r="Y16" s="434">
        <f t="shared" si="33"/>
        <v>0</v>
      </c>
      <c r="Z16" s="435">
        <f t="shared" si="5"/>
        <v>0</v>
      </c>
      <c r="AA16" s="435">
        <f t="shared" si="6"/>
        <v>0</v>
      </c>
      <c r="AB16" s="436">
        <f>(IF((OR((T16="&gt;22"),(U16="&gt;22"))),2,(IF(((Z16+AA16)=(T16+U16)),0,1))))</f>
        <v>0</v>
      </c>
      <c r="AC16" s="437">
        <f t="shared" si="34"/>
        <v>0</v>
      </c>
      <c r="AD16" s="438">
        <f t="shared" si="35"/>
        <v>0</v>
      </c>
      <c r="AE16" s="438">
        <f t="shared" si="36"/>
        <v>0</v>
      </c>
      <c r="AF16" s="439">
        <f t="shared" si="37"/>
        <v>0</v>
      </c>
      <c r="AG16" s="440">
        <f t="shared" si="38"/>
        <v>0</v>
      </c>
      <c r="AH16" s="441">
        <f>IF(AF16=0,0,VLOOKUP(AF16,FREQUENCIAS!$1:$1048576,(IF(($A16=FREQUENCIAS!$I$1),9,"ERRO")),FREQUENCIAS!$1:$1048576))</f>
        <v>0</v>
      </c>
      <c r="AI16" s="441">
        <f>IF(AG16=0,0,VLOOKUP(AG16,FREQUENCIAS!$1:$1048576,(IF(($A16=FREQUENCIAS!$I$1),9,"ERRO")),FREQUENCIAS!$1:$1048576))</f>
        <v>0</v>
      </c>
      <c r="AJ16" s="442"/>
      <c r="AK16" s="442"/>
      <c r="AL16" s="442"/>
      <c r="AM16" s="120">
        <f t="shared" si="39"/>
        <v>1</v>
      </c>
      <c r="AN16" s="121">
        <f t="shared" si="7"/>
        <v>1</v>
      </c>
      <c r="AO16" s="122">
        <f t="shared" si="8"/>
        <v>0.5</v>
      </c>
      <c r="AP16" s="328"/>
      <c r="AQ16" s="443">
        <f t="shared" si="9"/>
        <v>0</v>
      </c>
      <c r="AR16" s="328"/>
      <c r="AS16" s="125" t="str">
        <f t="shared" si="10"/>
        <v>MUTAÇÃO</v>
      </c>
      <c r="AT16" s="432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1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1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1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1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1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1</v>
      </c>
      <c r="BD16" s="444">
        <f t="shared" si="41"/>
        <v>0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0">
        <f>IF($A16=FREQUENCIAS!$I$1,FREQUENCIAS!$I$3,"ERRO NA MUT")</f>
        <v>2.2000000000000001E-3</v>
      </c>
      <c r="BI16" s="40">
        <f t="shared" si="11"/>
        <v>1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5" t="str">
        <f t="shared" si="12"/>
        <v/>
      </c>
      <c r="BP16" s="445">
        <f t="shared" si="13"/>
        <v>0</v>
      </c>
      <c r="BQ16" s="445">
        <f t="shared" si="14"/>
        <v>0</v>
      </c>
      <c r="BR16" s="446" t="str">
        <f t="shared" si="15"/>
        <v/>
      </c>
      <c r="BS16" s="446">
        <f t="shared" si="16"/>
        <v>0</v>
      </c>
      <c r="BT16" s="446">
        <f t="shared" si="17"/>
        <v>0</v>
      </c>
      <c r="BU16" s="438" t="str">
        <f t="shared" si="44"/>
        <v/>
      </c>
      <c r="BV16" s="438">
        <f t="shared" si="18"/>
        <v>0</v>
      </c>
      <c r="BW16" s="438">
        <f t="shared" si="19"/>
        <v>0</v>
      </c>
      <c r="BZ16" s="447">
        <v>9</v>
      </c>
      <c r="CA16" s="448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0</v>
      </c>
      <c r="E17" s="292">
        <f>'IMPORTAÇÃO GENOTIPER'!AQ13</f>
        <v>0</v>
      </c>
      <c r="F17" s="432">
        <f>'IMPORTAÇÃO GENOTIPER'!BO13</f>
        <v>0</v>
      </c>
      <c r="G17" s="432">
        <f>'IMPORTAÇÃO GENOTIPER'!BW13</f>
        <v>0</v>
      </c>
      <c r="H17" s="432">
        <f>'IMPORTAÇÃO GENOTIPER'!CE13</f>
        <v>0</v>
      </c>
      <c r="I17" s="432">
        <f>'IMPORTAÇÃO GENOTIPER'!CM13</f>
        <v>0</v>
      </c>
      <c r="J17" s="433">
        <f t="shared" si="29"/>
        <v>0</v>
      </c>
      <c r="K17" s="433">
        <f t="shared" si="29"/>
        <v>0</v>
      </c>
      <c r="L17" s="433">
        <f t="shared" si="29"/>
        <v>0</v>
      </c>
      <c r="M17" s="433">
        <f t="shared" si="30"/>
        <v>0</v>
      </c>
      <c r="N17" s="433">
        <f t="shared" si="31"/>
        <v>0</v>
      </c>
      <c r="O17" s="433">
        <f t="shared" si="31"/>
        <v>0</v>
      </c>
      <c r="P17" s="433">
        <f t="shared" si="31"/>
        <v>0</v>
      </c>
      <c r="Q17" s="433">
        <f t="shared" si="31"/>
        <v>0</v>
      </c>
      <c r="R17" s="434">
        <f t="shared" si="0"/>
        <v>0</v>
      </c>
      <c r="S17" s="434">
        <f t="shared" si="1"/>
        <v>0</v>
      </c>
      <c r="T17" s="434">
        <f t="shared" si="0"/>
        <v>0</v>
      </c>
      <c r="U17" s="434">
        <f t="shared" si="2"/>
        <v>0</v>
      </c>
      <c r="V17" s="434">
        <f t="shared" si="3"/>
        <v>0</v>
      </c>
      <c r="W17" s="434">
        <f t="shared" si="4"/>
        <v>0</v>
      </c>
      <c r="X17" s="434">
        <f t="shared" si="32"/>
        <v>0</v>
      </c>
      <c r="Y17" s="434">
        <f t="shared" si="33"/>
        <v>0</v>
      </c>
      <c r="Z17" s="435">
        <f t="shared" si="5"/>
        <v>0</v>
      </c>
      <c r="AA17" s="435">
        <f t="shared" si="6"/>
        <v>0</v>
      </c>
      <c r="AB17" s="436">
        <f>(IF((OR((T17="&gt;28"),(U17="&gt;28"))),2,(IF(((Z17+AA17)=(T17+U17)),0,1))))</f>
        <v>0</v>
      </c>
      <c r="AC17" s="437">
        <f t="shared" si="34"/>
        <v>0</v>
      </c>
      <c r="AD17" s="438">
        <f t="shared" si="35"/>
        <v>0</v>
      </c>
      <c r="AE17" s="438">
        <f t="shared" si="36"/>
        <v>0</v>
      </c>
      <c r="AF17" s="439">
        <f t="shared" si="37"/>
        <v>0</v>
      </c>
      <c r="AG17" s="440">
        <f t="shared" si="38"/>
        <v>0</v>
      </c>
      <c r="AH17" s="441">
        <f>IF(AF17=0,0,VLOOKUP(AF17,FREQUENCIAS!$1:$1048576,(IF(($A17=FREQUENCIAS!$J$1),10,"ERRO")),FREQUENCIAS!$1:$1048576))</f>
        <v>0</v>
      </c>
      <c r="AI17" s="441">
        <f>IF(AG17=0,0,VLOOKUP(AG17,FREQUENCIAS!$1:$1048576,(IF(($A17=FREQUENCIAS!$J$1),10,"ERRO")),FREQUENCIAS!$1:$1048576))</f>
        <v>0</v>
      </c>
      <c r="AJ17" s="442"/>
      <c r="AK17" s="442"/>
      <c r="AL17" s="442"/>
      <c r="AM17" s="120">
        <f t="shared" si="39"/>
        <v>1</v>
      </c>
      <c r="AN17" s="121">
        <f t="shared" si="7"/>
        <v>1</v>
      </c>
      <c r="AO17" s="122">
        <f t="shared" si="8"/>
        <v>0.5</v>
      </c>
      <c r="AP17" s="328" t="s">
        <v>173</v>
      </c>
      <c r="AQ17" s="443">
        <f t="shared" si="9"/>
        <v>0</v>
      </c>
      <c r="AR17" s="328"/>
      <c r="AS17" s="125" t="str">
        <f t="shared" si="10"/>
        <v>MUTAÇÃO</v>
      </c>
      <c r="AT17" s="432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1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1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1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1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1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1</v>
      </c>
      <c r="BD17" s="444">
        <f t="shared" si="41"/>
        <v>0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0">
        <f>IF($A17=FREQUENCIAS!$J$1,FREQUENCIAS!$J$3,"ERRO NA MUT")</f>
        <v>1.1999999999999999E-3</v>
      </c>
      <c r="BI17" s="40">
        <f t="shared" si="11"/>
        <v>1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45" t="str">
        <f t="shared" si="12"/>
        <v/>
      </c>
      <c r="BP17" s="445">
        <f t="shared" si="13"/>
        <v>0</v>
      </c>
      <c r="BQ17" s="445">
        <f t="shared" si="14"/>
        <v>0</v>
      </c>
      <c r="BR17" s="446" t="str">
        <f t="shared" si="15"/>
        <v/>
      </c>
      <c r="BS17" s="446">
        <f t="shared" si="16"/>
        <v>0</v>
      </c>
      <c r="BT17" s="446">
        <f t="shared" si="17"/>
        <v>0</v>
      </c>
      <c r="BU17" s="438" t="str">
        <f t="shared" si="44"/>
        <v/>
      </c>
      <c r="BV17" s="438">
        <f t="shared" si="18"/>
        <v>0</v>
      </c>
      <c r="BW17" s="438">
        <f t="shared" si="19"/>
        <v>0</v>
      </c>
      <c r="BZ17" s="447">
        <v>23</v>
      </c>
      <c r="CA17" s="448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0</v>
      </c>
      <c r="E18" s="292">
        <f>'IMPORTAÇÃO GENOTIPER'!AQ14</f>
        <v>0</v>
      </c>
      <c r="F18" s="432">
        <f>'IMPORTAÇÃO GENOTIPER'!BO14</f>
        <v>0</v>
      </c>
      <c r="G18" s="432">
        <f>'IMPORTAÇÃO GENOTIPER'!BW14</f>
        <v>0</v>
      </c>
      <c r="H18" s="432">
        <f>'IMPORTAÇÃO GENOTIPER'!CE14</f>
        <v>0</v>
      </c>
      <c r="I18" s="432">
        <f>'IMPORTAÇÃO GENOTIPER'!CM14</f>
        <v>0</v>
      </c>
      <c r="J18" s="433">
        <f t="shared" si="29"/>
        <v>0</v>
      </c>
      <c r="K18" s="433">
        <f t="shared" si="29"/>
        <v>0</v>
      </c>
      <c r="L18" s="433">
        <f t="shared" si="29"/>
        <v>0</v>
      </c>
      <c r="M18" s="433">
        <f t="shared" si="30"/>
        <v>0</v>
      </c>
      <c r="N18" s="433">
        <f t="shared" si="31"/>
        <v>0</v>
      </c>
      <c r="O18" s="433">
        <f t="shared" si="31"/>
        <v>0</v>
      </c>
      <c r="P18" s="433">
        <f t="shared" si="31"/>
        <v>0</v>
      </c>
      <c r="Q18" s="433">
        <f t="shared" si="31"/>
        <v>0</v>
      </c>
      <c r="R18" s="434">
        <f t="shared" si="0"/>
        <v>0</v>
      </c>
      <c r="S18" s="434">
        <f t="shared" si="1"/>
        <v>0</v>
      </c>
      <c r="T18" s="434">
        <f t="shared" si="0"/>
        <v>0</v>
      </c>
      <c r="U18" s="434">
        <f t="shared" si="2"/>
        <v>0</v>
      </c>
      <c r="V18" s="434">
        <f t="shared" si="3"/>
        <v>0</v>
      </c>
      <c r="W18" s="434">
        <f t="shared" si="4"/>
        <v>0</v>
      </c>
      <c r="X18" s="434">
        <f t="shared" si="32"/>
        <v>0</v>
      </c>
      <c r="Y18" s="434">
        <f t="shared" si="33"/>
        <v>0</v>
      </c>
      <c r="Z18" s="435">
        <f t="shared" si="5"/>
        <v>0</v>
      </c>
      <c r="AA18" s="435">
        <f t="shared" si="6"/>
        <v>0</v>
      </c>
      <c r="AB18" s="436">
        <f>(IF((OR((T18="&gt;17,2"),(U18="&gt;17,2"))),2,(IF(((Z18+AA18)=(T18+U18)),0,1))))</f>
        <v>0</v>
      </c>
      <c r="AC18" s="437">
        <f t="shared" si="34"/>
        <v>0</v>
      </c>
      <c r="AD18" s="438">
        <f t="shared" si="35"/>
        <v>0</v>
      </c>
      <c r="AE18" s="438">
        <f t="shared" si="36"/>
        <v>0</v>
      </c>
      <c r="AF18" s="439">
        <f t="shared" si="37"/>
        <v>0</v>
      </c>
      <c r="AG18" s="440">
        <f t="shared" si="38"/>
        <v>0</v>
      </c>
      <c r="AH18" s="441">
        <f>IF(AF18=0,0,VLOOKUP(AF18,FREQUENCIAS!$1:$1048576,(IF(($A18=FREQUENCIAS!$K$1),11,"ERRO")),FREQUENCIAS!$1:$1048576))</f>
        <v>0</v>
      </c>
      <c r="AI18" s="441">
        <f>IF(AG18=0,0,VLOOKUP(AG18,FREQUENCIAS!$1:$1048576,(IF(($A18=FREQUENCIAS!$K$1),11,"ERRO")),FREQUENCIAS!$1:$1048576))</f>
        <v>0</v>
      </c>
      <c r="AJ18" s="442"/>
      <c r="AK18" s="442"/>
      <c r="AL18" s="442"/>
      <c r="AM18" s="120">
        <f t="shared" si="39"/>
        <v>1</v>
      </c>
      <c r="AN18" s="121">
        <f t="shared" si="7"/>
        <v>1</v>
      </c>
      <c r="AO18" s="122">
        <f t="shared" si="8"/>
        <v>0.5</v>
      </c>
      <c r="AP18" s="328"/>
      <c r="AQ18" s="443">
        <f t="shared" si="9"/>
        <v>0</v>
      </c>
      <c r="AR18" s="328"/>
      <c r="AS18" s="125" t="str">
        <f t="shared" si="10"/>
        <v>MUTAÇÃO</v>
      </c>
      <c r="AT18" s="432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1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1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1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1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1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1</v>
      </c>
      <c r="BD18" s="444">
        <f t="shared" si="41"/>
        <v>0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0">
        <f>IF($A18=FREQUENCIAS!$K$1,FREQUENCIAS!$K$3,"ERRO NA MUT")</f>
        <v>1.6000000000000001E-3</v>
      </c>
      <c r="BI18" s="40">
        <f t="shared" si="11"/>
        <v>1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45" t="str">
        <f t="shared" si="12"/>
        <v/>
      </c>
      <c r="BP18" s="445">
        <f t="shared" si="13"/>
        <v>0</v>
      </c>
      <c r="BQ18" s="445">
        <f t="shared" si="14"/>
        <v>0</v>
      </c>
      <c r="BR18" s="446" t="str">
        <f t="shared" si="15"/>
        <v/>
      </c>
      <c r="BS18" s="446">
        <f t="shared" si="16"/>
        <v>0</v>
      </c>
      <c r="BT18" s="446">
        <f t="shared" si="17"/>
        <v>0</v>
      </c>
      <c r="BU18" s="438" t="str">
        <f t="shared" si="44"/>
        <v/>
      </c>
      <c r="BV18" s="438">
        <f t="shared" si="18"/>
        <v>0</v>
      </c>
      <c r="BW18" s="438">
        <f t="shared" si="19"/>
        <v>0</v>
      </c>
      <c r="BZ18" s="447">
        <v>15</v>
      </c>
      <c r="CA18" s="448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0</v>
      </c>
      <c r="E19" s="292">
        <f>'IMPORTAÇÃO GENOTIPER'!AQ15</f>
        <v>0</v>
      </c>
      <c r="F19" s="432">
        <f>'IMPORTAÇÃO GENOTIPER'!BO15</f>
        <v>0</v>
      </c>
      <c r="G19" s="432">
        <f>'IMPORTAÇÃO GENOTIPER'!BW15</f>
        <v>0</v>
      </c>
      <c r="H19" s="432">
        <f>'IMPORTAÇÃO GENOTIPER'!CE15</f>
        <v>0</v>
      </c>
      <c r="I19" s="432">
        <f>'IMPORTAÇÃO GENOTIPER'!CM15</f>
        <v>0</v>
      </c>
      <c r="J19" s="433">
        <f t="shared" si="29"/>
        <v>0</v>
      </c>
      <c r="K19" s="433">
        <f t="shared" si="29"/>
        <v>0</v>
      </c>
      <c r="L19" s="433">
        <f t="shared" si="29"/>
        <v>0</v>
      </c>
      <c r="M19" s="433">
        <f t="shared" si="30"/>
        <v>0</v>
      </c>
      <c r="N19" s="433">
        <f t="shared" si="31"/>
        <v>0</v>
      </c>
      <c r="O19" s="433">
        <f t="shared" si="31"/>
        <v>0</v>
      </c>
      <c r="P19" s="433">
        <f t="shared" si="31"/>
        <v>0</v>
      </c>
      <c r="Q19" s="433">
        <f t="shared" si="31"/>
        <v>0</v>
      </c>
      <c r="R19" s="434">
        <f t="shared" si="0"/>
        <v>0</v>
      </c>
      <c r="S19" s="434">
        <f t="shared" si="1"/>
        <v>0</v>
      </c>
      <c r="T19" s="434">
        <f t="shared" si="0"/>
        <v>0</v>
      </c>
      <c r="U19" s="434">
        <f t="shared" si="2"/>
        <v>0</v>
      </c>
      <c r="V19" s="434">
        <f t="shared" si="3"/>
        <v>0</v>
      </c>
      <c r="W19" s="434">
        <f t="shared" si="4"/>
        <v>0</v>
      </c>
      <c r="X19" s="434">
        <f t="shared" si="32"/>
        <v>0</v>
      </c>
      <c r="Y19" s="434">
        <f t="shared" si="33"/>
        <v>0</v>
      </c>
      <c r="Z19" s="435">
        <f t="shared" si="5"/>
        <v>0</v>
      </c>
      <c r="AA19" s="435">
        <f t="shared" si="6"/>
        <v>0</v>
      </c>
      <c r="AB19" s="436">
        <f>(IF((OR((T19="&gt;21"),(U19="&gt;21"))),2,(IF(((Z19+AA19)=(T19+U19)),0,1))))</f>
        <v>0</v>
      </c>
      <c r="AC19" s="437">
        <f t="shared" si="34"/>
        <v>0</v>
      </c>
      <c r="AD19" s="438">
        <f t="shared" si="35"/>
        <v>0</v>
      </c>
      <c r="AE19" s="438">
        <f t="shared" si="36"/>
        <v>0</v>
      </c>
      <c r="AF19" s="439">
        <f t="shared" si="37"/>
        <v>0</v>
      </c>
      <c r="AG19" s="440">
        <f t="shared" si="38"/>
        <v>0</v>
      </c>
      <c r="AH19" s="441">
        <f>IF(AF19=0,0,VLOOKUP(AF19,FREQUENCIAS!$1:$1048576,(IF(($A19=FREQUENCIAS!$L$1),12,"ERRO")),FREQUENCIAS!$1:$1048576))</f>
        <v>0</v>
      </c>
      <c r="AI19" s="441">
        <f>IF(AG19=0,0,VLOOKUP(AG19,FREQUENCIAS!$1:$1048576,(IF(($A19=FREQUENCIAS!$L$1),12,"ERRO")),FREQUENCIAS!$1:$1048576))</f>
        <v>0</v>
      </c>
      <c r="AJ19" s="442"/>
      <c r="AK19" s="442"/>
      <c r="AL19" s="442"/>
      <c r="AM19" s="120">
        <f t="shared" si="39"/>
        <v>1</v>
      </c>
      <c r="AN19" s="121">
        <f t="shared" si="7"/>
        <v>1</v>
      </c>
      <c r="AO19" s="122">
        <f t="shared" si="8"/>
        <v>0.5</v>
      </c>
      <c r="AP19" s="328" t="s">
        <v>164</v>
      </c>
      <c r="AQ19" s="443">
        <f t="shared" si="9"/>
        <v>0</v>
      </c>
      <c r="AR19" s="328"/>
      <c r="AS19" s="125" t="str">
        <f t="shared" si="10"/>
        <v>MUTAÇÃO</v>
      </c>
      <c r="AT19" s="432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1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1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1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1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1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1</v>
      </c>
      <c r="BD19" s="444">
        <f t="shared" si="41"/>
        <v>0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0">
        <f>IF($A19=FREQUENCIAS!$L$1,FREQUENCIAS!$L$3,"ERRO NA MUT")</f>
        <v>1.4E-3</v>
      </c>
      <c r="BI19" s="40">
        <f t="shared" si="11"/>
        <v>1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5" t="str">
        <f t="shared" si="12"/>
        <v/>
      </c>
      <c r="BP19" s="445">
        <f t="shared" si="13"/>
        <v>0</v>
      </c>
      <c r="BQ19" s="445">
        <f t="shared" si="14"/>
        <v>0</v>
      </c>
      <c r="BR19" s="446" t="str">
        <f t="shared" si="15"/>
        <v/>
      </c>
      <c r="BS19" s="446">
        <f t="shared" si="16"/>
        <v>0</v>
      </c>
      <c r="BT19" s="446">
        <f t="shared" si="17"/>
        <v>0</v>
      </c>
      <c r="BU19" s="438" t="str">
        <f t="shared" si="44"/>
        <v/>
      </c>
      <c r="BV19" s="438">
        <f t="shared" si="18"/>
        <v>0</v>
      </c>
      <c r="BW19" s="438">
        <f t="shared" si="19"/>
        <v>0</v>
      </c>
      <c r="BZ19" s="447">
        <v>15</v>
      </c>
      <c r="CA19" s="448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0</v>
      </c>
      <c r="E20" s="292">
        <f>'IMPORTAÇÃO GENOTIPER'!AQ16</f>
        <v>0</v>
      </c>
      <c r="F20" s="432">
        <f>'IMPORTAÇÃO GENOTIPER'!BO16</f>
        <v>0</v>
      </c>
      <c r="G20" s="432">
        <f>'IMPORTAÇÃO GENOTIPER'!BW16</f>
        <v>0</v>
      </c>
      <c r="H20" s="432">
        <f>'IMPORTAÇÃO GENOTIPER'!CE16</f>
        <v>0</v>
      </c>
      <c r="I20" s="432">
        <f>'IMPORTAÇÃO GENOTIPER'!CM16</f>
        <v>0</v>
      </c>
      <c r="J20" s="433">
        <f t="shared" si="29"/>
        <v>0</v>
      </c>
      <c r="K20" s="433">
        <f t="shared" si="29"/>
        <v>0</v>
      </c>
      <c r="L20" s="433">
        <f t="shared" si="29"/>
        <v>0</v>
      </c>
      <c r="M20" s="433">
        <f t="shared" si="30"/>
        <v>0</v>
      </c>
      <c r="N20" s="433">
        <f t="shared" si="31"/>
        <v>0</v>
      </c>
      <c r="O20" s="433">
        <f t="shared" si="31"/>
        <v>0</v>
      </c>
      <c r="P20" s="433">
        <f t="shared" si="31"/>
        <v>0</v>
      </c>
      <c r="Q20" s="433">
        <f t="shared" si="31"/>
        <v>0</v>
      </c>
      <c r="R20" s="434">
        <f t="shared" si="0"/>
        <v>0</v>
      </c>
      <c r="S20" s="434">
        <f t="shared" si="1"/>
        <v>0</v>
      </c>
      <c r="T20" s="434">
        <f t="shared" si="0"/>
        <v>0</v>
      </c>
      <c r="U20" s="434">
        <f t="shared" si="2"/>
        <v>0</v>
      </c>
      <c r="V20" s="434">
        <f t="shared" si="3"/>
        <v>0</v>
      </c>
      <c r="W20" s="434">
        <f t="shared" si="4"/>
        <v>0</v>
      </c>
      <c r="X20" s="434">
        <f t="shared" si="32"/>
        <v>0</v>
      </c>
      <c r="Y20" s="434">
        <f t="shared" si="33"/>
        <v>0</v>
      </c>
      <c r="Z20" s="435">
        <f t="shared" si="5"/>
        <v>0</v>
      </c>
      <c r="AA20" s="435">
        <f t="shared" si="6"/>
        <v>0</v>
      </c>
      <c r="AB20" s="436">
        <f>(IF((OR((T20="&gt;20"),(U20="&gt;20"))),2,(IF(((Z20+AA20)=(T20+U20)),0,1))))</f>
        <v>0</v>
      </c>
      <c r="AC20" s="437">
        <f t="shared" si="34"/>
        <v>0</v>
      </c>
      <c r="AD20" s="438">
        <f t="shared" si="35"/>
        <v>0</v>
      </c>
      <c r="AE20" s="438">
        <f t="shared" si="36"/>
        <v>0</v>
      </c>
      <c r="AF20" s="439">
        <f t="shared" si="37"/>
        <v>0</v>
      </c>
      <c r="AG20" s="440">
        <f t="shared" si="38"/>
        <v>0</v>
      </c>
      <c r="AH20" s="441">
        <f>IF(AF20=0,0,VLOOKUP(AF20,FREQUENCIAS!$1:$1048576,(IF(($A20=FREQUENCIAS!$M$1),13,"ERRO")),FREQUENCIAS!$1:$1048576))</f>
        <v>0</v>
      </c>
      <c r="AI20" s="441">
        <f>IF(AG20=0,0,VLOOKUP(AG20,FREQUENCIAS!$1:$1048576,(IF(($A20=FREQUENCIAS!$M$1),13,"ERRO")),FREQUENCIAS!$1:$1048576))</f>
        <v>0</v>
      </c>
      <c r="AJ20" s="442"/>
      <c r="AK20" s="442"/>
      <c r="AL20" s="442"/>
      <c r="AM20" s="120">
        <f t="shared" si="39"/>
        <v>1</v>
      </c>
      <c r="AN20" s="121">
        <f t="shared" si="7"/>
        <v>1</v>
      </c>
      <c r="AO20" s="122">
        <f t="shared" si="8"/>
        <v>0.5</v>
      </c>
      <c r="AP20" s="328"/>
      <c r="AQ20" s="443">
        <f t="shared" si="9"/>
        <v>0</v>
      </c>
      <c r="AR20" s="328"/>
      <c r="AS20" s="125" t="str">
        <f t="shared" si="10"/>
        <v>MUTAÇÃO</v>
      </c>
      <c r="AT20" s="432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1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1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1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1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1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1</v>
      </c>
      <c r="BD20" s="444">
        <f>IF(($AM20=0),1,0)</f>
        <v>0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0">
        <f>IF($A20=FREQUENCIAS!$M$1,FREQUENCIAS!$M$3,"ERRO NA MUT")</f>
        <v>1E-4</v>
      </c>
      <c r="BI20" s="40">
        <f t="shared" si="11"/>
        <v>1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45" t="str">
        <f t="shared" si="12"/>
        <v/>
      </c>
      <c r="BP20" s="445">
        <f t="shared" si="13"/>
        <v>0</v>
      </c>
      <c r="BQ20" s="445">
        <f t="shared" si="14"/>
        <v>0</v>
      </c>
      <c r="BR20" s="446" t="str">
        <f t="shared" si="15"/>
        <v/>
      </c>
      <c r="BS20" s="446">
        <f t="shared" si="16"/>
        <v>0</v>
      </c>
      <c r="BT20" s="446">
        <f t="shared" si="17"/>
        <v>0</v>
      </c>
      <c r="BU20" s="438" t="str">
        <f t="shared" si="44"/>
        <v/>
      </c>
      <c r="BV20" s="438">
        <f t="shared" si="18"/>
        <v>0</v>
      </c>
      <c r="BW20" s="438">
        <f t="shared" si="19"/>
        <v>0</v>
      </c>
      <c r="BZ20" s="447">
        <v>11</v>
      </c>
      <c r="CA20" s="448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0</v>
      </c>
      <c r="E21" s="292">
        <f>'IMPORTAÇÃO GENOTIPER'!AQ17</f>
        <v>0</v>
      </c>
      <c r="F21" s="432">
        <f>'IMPORTAÇÃO GENOTIPER'!BO17</f>
        <v>0</v>
      </c>
      <c r="G21" s="432">
        <f>'IMPORTAÇÃO GENOTIPER'!BW17</f>
        <v>0</v>
      </c>
      <c r="H21" s="432">
        <f>'IMPORTAÇÃO GENOTIPER'!CE17</f>
        <v>0</v>
      </c>
      <c r="I21" s="432">
        <f>'IMPORTAÇÃO GENOTIPER'!CM17</f>
        <v>0</v>
      </c>
      <c r="J21" s="433">
        <f t="shared" si="29"/>
        <v>0</v>
      </c>
      <c r="K21" s="433">
        <f t="shared" si="29"/>
        <v>0</v>
      </c>
      <c r="L21" s="433">
        <f t="shared" si="29"/>
        <v>0</v>
      </c>
      <c r="M21" s="433">
        <f t="shared" si="30"/>
        <v>0</v>
      </c>
      <c r="N21" s="433">
        <f t="shared" si="31"/>
        <v>0</v>
      </c>
      <c r="O21" s="433">
        <f t="shared" si="31"/>
        <v>0</v>
      </c>
      <c r="P21" s="433">
        <f t="shared" si="31"/>
        <v>0</v>
      </c>
      <c r="Q21" s="433">
        <f t="shared" si="31"/>
        <v>0</v>
      </c>
      <c r="R21" s="434">
        <f t="shared" si="0"/>
        <v>0</v>
      </c>
      <c r="S21" s="434">
        <f t="shared" si="1"/>
        <v>0</v>
      </c>
      <c r="T21" s="434">
        <f t="shared" si="0"/>
        <v>0</v>
      </c>
      <c r="U21" s="434">
        <f t="shared" si="2"/>
        <v>0</v>
      </c>
      <c r="V21" s="434">
        <f t="shared" si="3"/>
        <v>0</v>
      </c>
      <c r="W21" s="434">
        <f t="shared" si="4"/>
        <v>0</v>
      </c>
      <c r="X21" s="434">
        <f t="shared" si="32"/>
        <v>0</v>
      </c>
      <c r="Y21" s="434">
        <f t="shared" si="33"/>
        <v>0</v>
      </c>
      <c r="Z21" s="435">
        <f t="shared" si="5"/>
        <v>0</v>
      </c>
      <c r="AA21" s="435">
        <f t="shared" si="6"/>
        <v>0</v>
      </c>
      <c r="AB21" s="436">
        <f>(IF((OR((T21="&gt;24"),(U21="&gt;24"))),2,(IF(((Z21+AA21)=(T21+U21)),0,1))))</f>
        <v>0</v>
      </c>
      <c r="AC21" s="437">
        <f t="shared" si="34"/>
        <v>0</v>
      </c>
      <c r="AD21" s="438">
        <f t="shared" si="35"/>
        <v>0</v>
      </c>
      <c r="AE21" s="438">
        <f t="shared" si="36"/>
        <v>0</v>
      </c>
      <c r="AF21" s="439">
        <f t="shared" si="37"/>
        <v>0</v>
      </c>
      <c r="AG21" s="440">
        <f t="shared" si="38"/>
        <v>0</v>
      </c>
      <c r="AH21" s="441">
        <f>IF(AF21=0,0,VLOOKUP(AF21,FREQUENCIAS!$1:$1048576,(IF(($A21=FREQUENCIAS!$N$1),14,"ERRO")),FREQUENCIAS!$1:$1048576))</f>
        <v>0</v>
      </c>
      <c r="AI21" s="441">
        <f>IF(AG21=0,0,VLOOKUP(AG21,FREQUENCIAS!$1:$1048576,(IF(($A21=FREQUENCIAS!$N$1),14,"ERRO")),FREQUENCIAS!$1:$1048576))</f>
        <v>0</v>
      </c>
      <c r="AJ21" s="442"/>
      <c r="AK21" s="442"/>
      <c r="AL21" s="442"/>
      <c r="AM21" s="120">
        <f t="shared" si="39"/>
        <v>1</v>
      </c>
      <c r="AN21" s="121">
        <f t="shared" si="7"/>
        <v>1</v>
      </c>
      <c r="AO21" s="122">
        <f t="shared" si="8"/>
        <v>0.5</v>
      </c>
      <c r="AP21" s="328"/>
      <c r="AQ21" s="443">
        <f t="shared" si="9"/>
        <v>0</v>
      </c>
      <c r="AR21" s="328"/>
      <c r="AS21" s="125" t="str">
        <f t="shared" si="10"/>
        <v>MUTAÇÃO</v>
      </c>
      <c r="AT21" s="432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1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1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1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1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1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1</v>
      </c>
      <c r="BD21" s="444">
        <f t="shared" si="41"/>
        <v>0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0">
        <f>IF($A21=FREQUENCIAS!$N$1,FREQUENCIAS!$N$3,"ERRO NA MUT")</f>
        <v>1.6999999999999999E-3</v>
      </c>
      <c r="BI21" s="40">
        <f t="shared" si="11"/>
        <v>1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45" t="str">
        <f t="shared" si="12"/>
        <v/>
      </c>
      <c r="BP21" s="445">
        <f t="shared" si="13"/>
        <v>0</v>
      </c>
      <c r="BQ21" s="445">
        <f t="shared" si="14"/>
        <v>0</v>
      </c>
      <c r="BR21" s="446" t="str">
        <f t="shared" si="15"/>
        <v/>
      </c>
      <c r="BS21" s="446">
        <f t="shared" si="16"/>
        <v>0</v>
      </c>
      <c r="BT21" s="446">
        <f t="shared" si="17"/>
        <v>0</v>
      </c>
      <c r="BU21" s="438" t="str">
        <f t="shared" si="44"/>
        <v/>
      </c>
      <c r="BV21" s="438">
        <f t="shared" si="18"/>
        <v>0</v>
      </c>
      <c r="BW21" s="438">
        <f t="shared" si="19"/>
        <v>0</v>
      </c>
      <c r="BZ21" s="447">
        <v>12</v>
      </c>
      <c r="CA21" s="448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0</v>
      </c>
      <c r="E22" s="292">
        <f>'IMPORTAÇÃO GENOTIPER'!AQ18</f>
        <v>0</v>
      </c>
      <c r="F22" s="432">
        <f>'IMPORTAÇÃO GENOTIPER'!BO18</f>
        <v>0</v>
      </c>
      <c r="G22" s="432">
        <f>'IMPORTAÇÃO GENOTIPER'!BW18</f>
        <v>0</v>
      </c>
      <c r="H22" s="432">
        <f>'IMPORTAÇÃO GENOTIPER'!CE18</f>
        <v>0</v>
      </c>
      <c r="I22" s="432">
        <f>'IMPORTAÇÃO GENOTIPER'!CM18</f>
        <v>0</v>
      </c>
      <c r="J22" s="433">
        <f t="shared" si="29"/>
        <v>0</v>
      </c>
      <c r="K22" s="433">
        <f t="shared" si="29"/>
        <v>0</v>
      </c>
      <c r="L22" s="433">
        <f t="shared" si="29"/>
        <v>0</v>
      </c>
      <c r="M22" s="433">
        <f t="shared" si="30"/>
        <v>0</v>
      </c>
      <c r="N22" s="433">
        <f t="shared" si="31"/>
        <v>0</v>
      </c>
      <c r="O22" s="433">
        <f t="shared" si="31"/>
        <v>0</v>
      </c>
      <c r="P22" s="433">
        <f t="shared" si="31"/>
        <v>0</v>
      </c>
      <c r="Q22" s="433">
        <f t="shared" si="31"/>
        <v>0</v>
      </c>
      <c r="R22" s="434">
        <f t="shared" si="0"/>
        <v>0</v>
      </c>
      <c r="S22" s="434">
        <f t="shared" si="1"/>
        <v>0</v>
      </c>
      <c r="T22" s="434">
        <f t="shared" si="0"/>
        <v>0</v>
      </c>
      <c r="U22" s="434">
        <f t="shared" si="2"/>
        <v>0</v>
      </c>
      <c r="V22" s="434">
        <f t="shared" si="3"/>
        <v>0</v>
      </c>
      <c r="W22" s="434">
        <f t="shared" si="4"/>
        <v>0</v>
      </c>
      <c r="X22" s="434">
        <f t="shared" si="32"/>
        <v>0</v>
      </c>
      <c r="Y22" s="434">
        <f t="shared" si="33"/>
        <v>0</v>
      </c>
      <c r="Z22" s="435">
        <f t="shared" si="5"/>
        <v>0</v>
      </c>
      <c r="AA22" s="435">
        <f t="shared" si="6"/>
        <v>0</v>
      </c>
      <c r="AB22" s="436">
        <f>(IF((OR((T22="&gt;22"),(U22="&gt;22"))),2,(IF(((Z22+AA22)=(T22+U22)),0,1))))</f>
        <v>0</v>
      </c>
      <c r="AC22" s="437">
        <f t="shared" si="34"/>
        <v>0</v>
      </c>
      <c r="AD22" s="438">
        <f t="shared" si="35"/>
        <v>0</v>
      </c>
      <c r="AE22" s="438">
        <f t="shared" si="36"/>
        <v>0</v>
      </c>
      <c r="AF22" s="439">
        <f t="shared" si="37"/>
        <v>0</v>
      </c>
      <c r="AG22" s="440">
        <f t="shared" si="38"/>
        <v>0</v>
      </c>
      <c r="AH22" s="441">
        <f>IFERROR(IF(AF22=0,0,VLOOKUP(AF22,FREQUENCIAS!$1:$1048576,(IF(($A22=FREQUENCIAS!$O$1),15,"ERRO")),FREQUENCIAS!$1:$1048576)),0)</f>
        <v>0</v>
      </c>
      <c r="AI22" s="441">
        <f>IF(AG22=0,0,VLOOKUP(AG22,FREQUENCIAS!$1:$1048576,(IF(($A22=FREQUENCIAS!$O$1),15,"ERRO")),FREQUENCIAS!$1:$1048576))</f>
        <v>0</v>
      </c>
      <c r="AJ22" s="442"/>
      <c r="AK22" s="442"/>
      <c r="AL22" s="442"/>
      <c r="AM22" s="120">
        <f t="shared" si="39"/>
        <v>1</v>
      </c>
      <c r="AN22" s="121">
        <f t="shared" si="7"/>
        <v>1</v>
      </c>
      <c r="AO22" s="122">
        <f t="shared" si="8"/>
        <v>0.5</v>
      </c>
      <c r="AP22" s="328"/>
      <c r="AQ22" s="443">
        <f t="shared" si="9"/>
        <v>0</v>
      </c>
      <c r="AR22" s="328"/>
      <c r="AS22" s="125" t="str">
        <f t="shared" si="10"/>
        <v>MUTAÇÃO</v>
      </c>
      <c r="AT22" s="432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1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1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1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1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1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1</v>
      </c>
      <c r="BD22" s="444">
        <f t="shared" si="41"/>
        <v>0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0">
        <f>IF($A22=FREQUENCIAS!$O$1,FREQUENCIAS!$O$3,"ERRO NA MUT")</f>
        <v>1.9E-3</v>
      </c>
      <c r="BI22" s="40">
        <f t="shared" si="11"/>
        <v>1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5" t="str">
        <f t="shared" si="12"/>
        <v/>
      </c>
      <c r="BP22" s="445">
        <f t="shared" si="13"/>
        <v>0</v>
      </c>
      <c r="BQ22" s="445">
        <f t="shared" si="14"/>
        <v>0</v>
      </c>
      <c r="BR22" s="446" t="str">
        <f t="shared" si="15"/>
        <v/>
      </c>
      <c r="BS22" s="446">
        <f t="shared" si="16"/>
        <v>0</v>
      </c>
      <c r="BT22" s="446">
        <f t="shared" si="17"/>
        <v>0</v>
      </c>
      <c r="BU22" s="438" t="str">
        <f t="shared" si="44"/>
        <v/>
      </c>
      <c r="BV22" s="438">
        <f t="shared" si="18"/>
        <v>0</v>
      </c>
      <c r="BW22" s="438">
        <f t="shared" si="19"/>
        <v>0</v>
      </c>
      <c r="BZ22" s="447">
        <v>13</v>
      </c>
      <c r="CA22" s="448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0</v>
      </c>
      <c r="E23" s="292">
        <f>'IMPORTAÇÃO GENOTIPER'!AQ19</f>
        <v>0</v>
      </c>
      <c r="F23" s="432">
        <f>'IMPORTAÇÃO GENOTIPER'!BO19</f>
        <v>0</v>
      </c>
      <c r="G23" s="432">
        <f>'IMPORTAÇÃO GENOTIPER'!BW19</f>
        <v>0</v>
      </c>
      <c r="H23" s="432">
        <f>'IMPORTAÇÃO GENOTIPER'!CE19</f>
        <v>0</v>
      </c>
      <c r="I23" s="432">
        <f>'IMPORTAÇÃO GENOTIPER'!CM19</f>
        <v>0</v>
      </c>
      <c r="J23" s="433">
        <f t="shared" si="29"/>
        <v>0</v>
      </c>
      <c r="K23" s="433">
        <f t="shared" si="29"/>
        <v>0</v>
      </c>
      <c r="L23" s="433">
        <f t="shared" si="29"/>
        <v>0</v>
      </c>
      <c r="M23" s="433">
        <f t="shared" si="30"/>
        <v>0</v>
      </c>
      <c r="N23" s="433">
        <f t="shared" si="31"/>
        <v>0</v>
      </c>
      <c r="O23" s="433">
        <f t="shared" si="31"/>
        <v>0</v>
      </c>
      <c r="P23" s="433">
        <f t="shared" si="31"/>
        <v>0</v>
      </c>
      <c r="Q23" s="433">
        <f t="shared" si="31"/>
        <v>0</v>
      </c>
      <c r="R23" s="434">
        <f t="shared" si="0"/>
        <v>0</v>
      </c>
      <c r="S23" s="434">
        <f t="shared" si="1"/>
        <v>0</v>
      </c>
      <c r="T23" s="434">
        <f t="shared" si="0"/>
        <v>0</v>
      </c>
      <c r="U23" s="434">
        <f t="shared" si="2"/>
        <v>0</v>
      </c>
      <c r="V23" s="434">
        <f t="shared" si="3"/>
        <v>0</v>
      </c>
      <c r="W23" s="434">
        <f t="shared" si="4"/>
        <v>0</v>
      </c>
      <c r="X23" s="434">
        <f t="shared" si="32"/>
        <v>0</v>
      </c>
      <c r="Y23" s="434">
        <f t="shared" si="33"/>
        <v>0</v>
      </c>
      <c r="Z23" s="435">
        <f t="shared" si="5"/>
        <v>0</v>
      </c>
      <c r="AA23" s="435">
        <f t="shared" si="6"/>
        <v>0</v>
      </c>
      <c r="AB23" s="436">
        <f>(IF((OR((T23="&gt;32"),(U23="&gt;32"))),2,(IF(((Z23+AA23)=(T23+U23)),0,1))))</f>
        <v>0</v>
      </c>
      <c r="AC23" s="437">
        <f t="shared" si="34"/>
        <v>0</v>
      </c>
      <c r="AD23" s="438">
        <f t="shared" si="35"/>
        <v>0</v>
      </c>
      <c r="AE23" s="438">
        <f t="shared" si="36"/>
        <v>0</v>
      </c>
      <c r="AF23" s="439">
        <f t="shared" si="37"/>
        <v>0</v>
      </c>
      <c r="AG23" s="440">
        <f t="shared" si="38"/>
        <v>0</v>
      </c>
      <c r="AH23" s="441">
        <f>IF(AF23=0,0,VLOOKUP(AF23,FREQUENCIAS!$1:$1048576,(IF(($A23=FREQUENCIAS!$P$1),16,"ERRO")),FREQUENCIAS!$1:$1048576))</f>
        <v>0</v>
      </c>
      <c r="AI23" s="441">
        <f>IF(AG23=0,0,VLOOKUP(AG23,FREQUENCIAS!$1:$1048576,(IF(($A23=FREQUENCIAS!$P$1),16,"ERRO")),FREQUENCIAS!$1:$1048576))</f>
        <v>0</v>
      </c>
      <c r="AJ23" s="442"/>
      <c r="AK23" s="442"/>
      <c r="AL23" s="442"/>
      <c r="AM23" s="120">
        <f t="shared" si="39"/>
        <v>1</v>
      </c>
      <c r="AN23" s="121">
        <f t="shared" si="7"/>
        <v>1</v>
      </c>
      <c r="AO23" s="122">
        <f t="shared" si="8"/>
        <v>0.5</v>
      </c>
      <c r="AP23" s="328" t="s">
        <v>173</v>
      </c>
      <c r="AQ23" s="443">
        <f t="shared" si="9"/>
        <v>0</v>
      </c>
      <c r="AR23" s="328"/>
      <c r="AS23" s="125" t="str">
        <f t="shared" si="10"/>
        <v>MUTAÇÃO</v>
      </c>
      <c r="AT23" s="432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1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1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1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1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1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1</v>
      </c>
      <c r="BC23" s="1" t="s">
        <v>318</v>
      </c>
      <c r="BD23" s="444">
        <f t="shared" si="41"/>
        <v>0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0">
        <f>IF($A23=FREQUENCIAS!$P$1,FREQUENCIAS!$P$3,"ERRO NA MUT")</f>
        <v>1E-3</v>
      </c>
      <c r="BI23" s="40">
        <f t="shared" si="11"/>
        <v>1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2" t="str">
        <f t="shared" si="12"/>
        <v/>
      </c>
      <c r="BP23" s="452">
        <f t="shared" si="13"/>
        <v>0</v>
      </c>
      <c r="BQ23" s="452">
        <f t="shared" si="14"/>
        <v>0</v>
      </c>
      <c r="BR23" s="453" t="str">
        <f t="shared" si="15"/>
        <v/>
      </c>
      <c r="BS23" s="453">
        <f t="shared" si="16"/>
        <v>0</v>
      </c>
      <c r="BT23" s="453">
        <f t="shared" si="17"/>
        <v>0</v>
      </c>
      <c r="BU23" s="454" t="str">
        <f t="shared" si="44"/>
        <v/>
      </c>
      <c r="BV23" s="454">
        <f t="shared" si="18"/>
        <v>0</v>
      </c>
      <c r="BW23" s="454">
        <f t="shared" si="19"/>
        <v>0</v>
      </c>
      <c r="BZ23" s="447">
        <v>17</v>
      </c>
      <c r="CA23" s="448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0</v>
      </c>
      <c r="E24" s="292">
        <f>'IMPORTAÇÃO GENOTIPER'!AQ20</f>
        <v>0</v>
      </c>
      <c r="F24" s="432">
        <f>'IMPORTAÇÃO GENOTIPER'!BO20</f>
        <v>0</v>
      </c>
      <c r="G24" s="432">
        <f>'IMPORTAÇÃO GENOTIPER'!BW20</f>
        <v>0</v>
      </c>
      <c r="H24" s="432">
        <f>'IMPORTAÇÃO GENOTIPER'!CE20</f>
        <v>0</v>
      </c>
      <c r="I24" s="432">
        <f>'IMPORTAÇÃO GENOTIPER'!CM20</f>
        <v>0</v>
      </c>
      <c r="J24" s="433">
        <f t="shared" si="29"/>
        <v>0</v>
      </c>
      <c r="K24" s="433">
        <f t="shared" si="29"/>
        <v>0</v>
      </c>
      <c r="L24" s="433">
        <f t="shared" si="29"/>
        <v>0</v>
      </c>
      <c r="M24" s="433">
        <f t="shared" si="30"/>
        <v>0</v>
      </c>
      <c r="N24" s="433">
        <f t="shared" si="31"/>
        <v>0</v>
      </c>
      <c r="O24" s="433">
        <f t="shared" si="31"/>
        <v>0</v>
      </c>
      <c r="P24" s="433">
        <f t="shared" si="31"/>
        <v>0</v>
      </c>
      <c r="Q24" s="433">
        <f t="shared" si="31"/>
        <v>0</v>
      </c>
      <c r="R24" s="434">
        <f t="shared" si="0"/>
        <v>0</v>
      </c>
      <c r="S24" s="434">
        <f t="shared" si="1"/>
        <v>0</v>
      </c>
      <c r="T24" s="434">
        <f t="shared" si="0"/>
        <v>0</v>
      </c>
      <c r="U24" s="434">
        <f t="shared" si="2"/>
        <v>0</v>
      </c>
      <c r="V24" s="434">
        <f t="shared" si="3"/>
        <v>0</v>
      </c>
      <c r="W24" s="434">
        <f t="shared" si="4"/>
        <v>0</v>
      </c>
      <c r="X24" s="434">
        <f t="shared" si="32"/>
        <v>0</v>
      </c>
      <c r="Y24" s="434">
        <f t="shared" si="33"/>
        <v>0</v>
      </c>
      <c r="Z24" s="435">
        <f t="shared" si="5"/>
        <v>0</v>
      </c>
      <c r="AA24" s="435">
        <f t="shared" si="6"/>
        <v>0</v>
      </c>
      <c r="AB24" s="436">
        <f t="shared" ref="AB24:AB42" si="47">(IF((OR((T24="&gt;32"),(U24="&gt;32"))),2,(IF(((Z24+AA24)=(T24+U24)),0,1))))</f>
        <v>0</v>
      </c>
      <c r="AC24" s="437">
        <f t="shared" si="34"/>
        <v>0</v>
      </c>
      <c r="AD24" s="438">
        <f t="shared" si="35"/>
        <v>0</v>
      </c>
      <c r="AE24" s="438">
        <f t="shared" si="36"/>
        <v>0</v>
      </c>
      <c r="AF24" s="439">
        <f t="shared" si="37"/>
        <v>0</v>
      </c>
      <c r="AG24" s="440">
        <f t="shared" si="38"/>
        <v>0</v>
      </c>
      <c r="AH24" s="441">
        <f>IF(AF24=0,0,VLOOKUP(AF24,FREQUENCIAS!$1:$1048576,(IF(($A24=FREQUENCIAS!$Q$1),17,"ERRO")),FREQUENCIAS!$1:$1048576))</f>
        <v>0</v>
      </c>
      <c r="AI24" s="441">
        <f>IF(AG24=0,0,VLOOKUP(AG24,FREQUENCIAS!$1:$1048576,(IF(($A24=FREQUENCIAS!$Q$1),17,"ERRO")),FREQUENCIAS!$1:$1048576))</f>
        <v>0</v>
      </c>
      <c r="AJ24" s="442"/>
      <c r="AK24" s="442"/>
      <c r="AL24" s="442"/>
      <c r="AM24" s="120">
        <f t="shared" si="39"/>
        <v>1</v>
      </c>
      <c r="AN24" s="121">
        <f t="shared" si="7"/>
        <v>1</v>
      </c>
      <c r="AO24" s="122">
        <f t="shared" si="8"/>
        <v>0.5</v>
      </c>
      <c r="AP24" s="328" t="s">
        <v>173</v>
      </c>
      <c r="AQ24" s="443">
        <f t="shared" si="9"/>
        <v>0</v>
      </c>
      <c r="AR24" s="328"/>
      <c r="AS24" s="125" t="str">
        <f t="shared" si="10"/>
        <v>MUTAÇÃO</v>
      </c>
      <c r="AT24" s="432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1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1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1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1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1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1</v>
      </c>
      <c r="BC24" s="1" t="s">
        <v>318</v>
      </c>
      <c r="BD24" s="444">
        <f t="shared" si="41"/>
        <v>0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0">
        <f>IF($A24=FREQUENCIAS!$Q$1,FREQUENCIAS!$Q$3,"ERRO NA MUT")</f>
        <v>1.1000000000000001E-3</v>
      </c>
      <c r="BI24" s="40">
        <f t="shared" si="11"/>
        <v>1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2" t="str">
        <f t="shared" si="12"/>
        <v/>
      </c>
      <c r="BP24" s="452">
        <f t="shared" si="13"/>
        <v>0</v>
      </c>
      <c r="BQ24" s="452">
        <f t="shared" si="14"/>
        <v>0</v>
      </c>
      <c r="BR24" s="453" t="str">
        <f t="shared" si="15"/>
        <v/>
      </c>
      <c r="BS24" s="453">
        <f t="shared" si="16"/>
        <v>0</v>
      </c>
      <c r="BT24" s="453">
        <f t="shared" si="17"/>
        <v>0</v>
      </c>
      <c r="BU24" s="454" t="str">
        <f t="shared" si="44"/>
        <v/>
      </c>
      <c r="BV24" s="454">
        <f t="shared" si="18"/>
        <v>0</v>
      </c>
      <c r="BW24" s="454">
        <f t="shared" si="19"/>
        <v>0</v>
      </c>
      <c r="BZ24" s="447">
        <v>17</v>
      </c>
      <c r="CA24" s="448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0</v>
      </c>
      <c r="E25" s="292">
        <f>'IMPORTAÇÃO GENOTIPER'!AQ21</f>
        <v>0</v>
      </c>
      <c r="F25" s="432">
        <f>'IMPORTAÇÃO GENOTIPER'!BO21</f>
        <v>0</v>
      </c>
      <c r="G25" s="432">
        <f>'IMPORTAÇÃO GENOTIPER'!BW21</f>
        <v>0</v>
      </c>
      <c r="H25" s="432">
        <f>'IMPORTAÇÃO GENOTIPER'!CE21</f>
        <v>0</v>
      </c>
      <c r="I25" s="432">
        <f>'IMPORTAÇÃO GENOTIPER'!CM21</f>
        <v>0</v>
      </c>
      <c r="J25" s="433">
        <f t="shared" si="29"/>
        <v>0</v>
      </c>
      <c r="K25" s="433">
        <f t="shared" si="29"/>
        <v>0</v>
      </c>
      <c r="L25" s="433">
        <f t="shared" si="29"/>
        <v>0</v>
      </c>
      <c r="M25" s="433">
        <f t="shared" si="30"/>
        <v>0</v>
      </c>
      <c r="N25" s="433">
        <f t="shared" si="31"/>
        <v>0</v>
      </c>
      <c r="O25" s="433">
        <f t="shared" si="31"/>
        <v>0</v>
      </c>
      <c r="P25" s="433">
        <f t="shared" si="31"/>
        <v>0</v>
      </c>
      <c r="Q25" s="433">
        <f t="shared" si="31"/>
        <v>0</v>
      </c>
      <c r="R25" s="434">
        <f t="shared" ref="R25:R42" si="50">IF((J25&gt;K25),K25,J25)</f>
        <v>0</v>
      </c>
      <c r="S25" s="434">
        <f t="shared" si="1"/>
        <v>0</v>
      </c>
      <c r="T25" s="434">
        <f t="shared" ref="T25:T42" si="51">IF((L25&gt;M25),M25,L25)</f>
        <v>0</v>
      </c>
      <c r="U25" s="434">
        <f t="shared" si="2"/>
        <v>0</v>
      </c>
      <c r="V25" s="434">
        <f t="shared" si="3"/>
        <v>0</v>
      </c>
      <c r="W25" s="434">
        <f t="shared" si="4"/>
        <v>0</v>
      </c>
      <c r="X25" s="434">
        <f t="shared" si="32"/>
        <v>0</v>
      </c>
      <c r="Y25" s="434">
        <f t="shared" si="33"/>
        <v>0</v>
      </c>
      <c r="Z25" s="435">
        <f t="shared" si="5"/>
        <v>0</v>
      </c>
      <c r="AA25" s="435">
        <f t="shared" si="6"/>
        <v>0</v>
      </c>
      <c r="AB25" s="436">
        <f t="shared" si="47"/>
        <v>0</v>
      </c>
      <c r="AC25" s="437">
        <f t="shared" si="34"/>
        <v>0</v>
      </c>
      <c r="AD25" s="438">
        <f t="shared" si="35"/>
        <v>0</v>
      </c>
      <c r="AE25" s="438">
        <f t="shared" si="36"/>
        <v>0</v>
      </c>
      <c r="AF25" s="439">
        <f t="shared" si="37"/>
        <v>0</v>
      </c>
      <c r="AG25" s="440">
        <f t="shared" si="38"/>
        <v>0</v>
      </c>
      <c r="AH25" s="441">
        <f>IF(AF25=0,0,VLOOKUP(AF25,FREQUENCIAS!$1:$1048576,(IF(($A25=FREQUENCIAS!$R$1),18,"ERRO")),FREQUENCIAS!$1:$1048576))</f>
        <v>0</v>
      </c>
      <c r="AI25" s="441">
        <f>IF(AG25=0,0,VLOOKUP(AG25,FREQUENCIAS!$1:$1048576,(IF(($A25=FREQUENCIAS!$R$1),18,"ERRO")),FREQUENCIAS!$1:$1048576))</f>
        <v>0</v>
      </c>
      <c r="AJ25" s="442"/>
      <c r="AK25" s="442"/>
      <c r="AL25" s="442"/>
      <c r="AM25" s="120">
        <f t="shared" si="39"/>
        <v>1</v>
      </c>
      <c r="AN25" s="121">
        <f t="shared" si="7"/>
        <v>1</v>
      </c>
      <c r="AO25" s="122">
        <f t="shared" si="8"/>
        <v>0.5</v>
      </c>
      <c r="AP25" s="328" t="s">
        <v>173</v>
      </c>
      <c r="AQ25" s="443">
        <f t="shared" si="9"/>
        <v>0</v>
      </c>
      <c r="AR25" s="328"/>
      <c r="AS25" s="125" t="str">
        <f t="shared" si="10"/>
        <v>MUTAÇÃO</v>
      </c>
      <c r="AT25" s="432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1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1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1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1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1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1</v>
      </c>
      <c r="BC25" s="1" t="s">
        <v>318</v>
      </c>
      <c r="BD25" s="444">
        <f t="shared" si="41"/>
        <v>0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0">
        <f>IF($A25=FREQUENCIAS!$R$1,FREQUENCIAS!$R$3,"ERRO NA MUT")</f>
        <v>1E-4</v>
      </c>
      <c r="BI25" s="40">
        <f t="shared" si="11"/>
        <v>1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2" t="str">
        <f t="shared" si="12"/>
        <v/>
      </c>
      <c r="BP25" s="452">
        <f t="shared" si="13"/>
        <v>0</v>
      </c>
      <c r="BQ25" s="452">
        <f t="shared" si="14"/>
        <v>0</v>
      </c>
      <c r="BR25" s="453" t="str">
        <f t="shared" si="15"/>
        <v/>
      </c>
      <c r="BS25" s="453">
        <f t="shared" si="16"/>
        <v>0</v>
      </c>
      <c r="BT25" s="453">
        <f t="shared" si="17"/>
        <v>0</v>
      </c>
      <c r="BU25" s="454" t="str">
        <f t="shared" si="44"/>
        <v/>
      </c>
      <c r="BV25" s="454">
        <f t="shared" si="18"/>
        <v>0</v>
      </c>
      <c r="BW25" s="454">
        <f t="shared" si="19"/>
        <v>0</v>
      </c>
      <c r="BZ25" s="447">
        <v>17</v>
      </c>
      <c r="CA25" s="448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0</v>
      </c>
      <c r="E26" s="292">
        <f>'IMPORTAÇÃO GENOTIPER'!AQ22</f>
        <v>0</v>
      </c>
      <c r="F26" s="432">
        <f>'IMPORTAÇÃO GENOTIPER'!BO22</f>
        <v>0</v>
      </c>
      <c r="G26" s="432">
        <f>'IMPORTAÇÃO GENOTIPER'!BW22</f>
        <v>0</v>
      </c>
      <c r="H26" s="432">
        <f>'IMPORTAÇÃO GENOTIPER'!CE22</f>
        <v>0</v>
      </c>
      <c r="I26" s="432">
        <f>'IMPORTAÇÃO GENOTIPER'!CM22</f>
        <v>0</v>
      </c>
      <c r="J26" s="433">
        <f t="shared" ref="J26:L41" si="52">(IF(CODE(D26)=(60),($BL26-1),(IF(CODE(D26)=(62),($BM26+1),B26))))</f>
        <v>0</v>
      </c>
      <c r="K26" s="433">
        <f t="shared" si="52"/>
        <v>0</v>
      </c>
      <c r="L26" s="433">
        <f t="shared" si="52"/>
        <v>0</v>
      </c>
      <c r="M26" s="433">
        <f t="shared" si="30"/>
        <v>0</v>
      </c>
      <c r="N26" s="433">
        <f t="shared" ref="N26:Q41" si="53">(IF(CODE(H26)=(60),($BL26-1),(IF(CODE(H26)=(62),($BM26+1),F26))))</f>
        <v>0</v>
      </c>
      <c r="O26" s="433">
        <f t="shared" si="53"/>
        <v>0</v>
      </c>
      <c r="P26" s="433">
        <f t="shared" si="53"/>
        <v>0</v>
      </c>
      <c r="Q26" s="433">
        <f t="shared" si="53"/>
        <v>0</v>
      </c>
      <c r="R26" s="434">
        <f t="shared" si="50"/>
        <v>0</v>
      </c>
      <c r="S26" s="434">
        <f t="shared" si="1"/>
        <v>0</v>
      </c>
      <c r="T26" s="434">
        <f t="shared" si="51"/>
        <v>0</v>
      </c>
      <c r="U26" s="434">
        <f t="shared" si="2"/>
        <v>0</v>
      </c>
      <c r="V26" s="434">
        <f t="shared" si="3"/>
        <v>0</v>
      </c>
      <c r="W26" s="434">
        <f t="shared" si="4"/>
        <v>0</v>
      </c>
      <c r="X26" s="434">
        <f t="shared" si="32"/>
        <v>0</v>
      </c>
      <c r="Y26" s="434">
        <f t="shared" si="33"/>
        <v>0</v>
      </c>
      <c r="Z26" s="435">
        <f t="shared" si="5"/>
        <v>0</v>
      </c>
      <c r="AA26" s="435">
        <f t="shared" si="6"/>
        <v>0</v>
      </c>
      <c r="AB26" s="436">
        <f t="shared" si="47"/>
        <v>0</v>
      </c>
      <c r="AC26" s="437">
        <f t="shared" si="34"/>
        <v>0</v>
      </c>
      <c r="AD26" s="438">
        <f t="shared" si="35"/>
        <v>0</v>
      </c>
      <c r="AE26" s="438">
        <f t="shared" si="36"/>
        <v>0</v>
      </c>
      <c r="AF26" s="439">
        <f t="shared" si="37"/>
        <v>0</v>
      </c>
      <c r="AG26" s="440">
        <f t="shared" si="38"/>
        <v>0</v>
      </c>
      <c r="AH26" s="441">
        <f>IF(AF26=0,0,VLOOKUP(AF26,FREQUENCIAS!$1:$1048576,(IF(($A26=FREQUENCIAS!$S$1),19,"ERRO")),FREQUENCIAS!$1:$1048576))</f>
        <v>0</v>
      </c>
      <c r="AI26" s="441">
        <f>IF(AG26=0,0,VLOOKUP(AG26,FREQUENCIAS!$1:$1048576,(IF(($A26=FREQUENCIAS!$S$1),19,"ERRO")),FREQUENCIAS!$1:$1048576))</f>
        <v>0</v>
      </c>
      <c r="AJ26" s="442"/>
      <c r="AK26" s="442"/>
      <c r="AL26" s="442"/>
      <c r="AM26" s="120">
        <f t="shared" si="39"/>
        <v>1</v>
      </c>
      <c r="AN26" s="121">
        <f t="shared" si="7"/>
        <v>1</v>
      </c>
      <c r="AO26" s="122">
        <f t="shared" si="8"/>
        <v>0.5</v>
      </c>
      <c r="AP26" s="328" t="s">
        <v>173</v>
      </c>
      <c r="AQ26" s="443">
        <f t="shared" si="9"/>
        <v>0</v>
      </c>
      <c r="AR26" s="328"/>
      <c r="AS26" s="125" t="str">
        <f t="shared" si="10"/>
        <v>MUTAÇÃO</v>
      </c>
      <c r="AT26" s="432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1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1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1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1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1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1</v>
      </c>
      <c r="BC26" s="1" t="s">
        <v>318</v>
      </c>
      <c r="BD26" s="444">
        <f t="shared" si="41"/>
        <v>0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0">
        <f>IF($A26=FREQUENCIAS!$S$1,FREQUENCIAS!$S$3,"ERRO NA MUT")</f>
        <v>1.4E-3</v>
      </c>
      <c r="BI26" s="40">
        <f t="shared" si="11"/>
        <v>1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2" t="str">
        <f t="shared" si="12"/>
        <v/>
      </c>
      <c r="BP26" s="452">
        <f t="shared" si="13"/>
        <v>0</v>
      </c>
      <c r="BQ26" s="452">
        <f t="shared" si="14"/>
        <v>0</v>
      </c>
      <c r="BR26" s="453" t="str">
        <f t="shared" si="15"/>
        <v/>
      </c>
      <c r="BS26" s="453">
        <f t="shared" si="16"/>
        <v>0</v>
      </c>
      <c r="BT26" s="453">
        <f t="shared" si="17"/>
        <v>0</v>
      </c>
      <c r="BU26" s="454" t="str">
        <f t="shared" si="44"/>
        <v/>
      </c>
      <c r="BV26" s="454">
        <f t="shared" si="18"/>
        <v>0</v>
      </c>
      <c r="BW26" s="454">
        <f t="shared" si="19"/>
        <v>0</v>
      </c>
      <c r="BZ26" s="447">
        <v>17</v>
      </c>
      <c r="CA26" s="448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0</v>
      </c>
      <c r="E27" s="292">
        <f>'IMPORTAÇÃO GENOTIPER'!AQ23</f>
        <v>0</v>
      </c>
      <c r="F27" s="432">
        <f>'IMPORTAÇÃO GENOTIPER'!BO23</f>
        <v>0</v>
      </c>
      <c r="G27" s="432">
        <f>'IMPORTAÇÃO GENOTIPER'!BW23</f>
        <v>0</v>
      </c>
      <c r="H27" s="432">
        <f>'IMPORTAÇÃO GENOTIPER'!CE23</f>
        <v>0</v>
      </c>
      <c r="I27" s="432">
        <f>'IMPORTAÇÃO GENOTIPER'!CM23</f>
        <v>0</v>
      </c>
      <c r="J27" s="433">
        <f t="shared" si="52"/>
        <v>0</v>
      </c>
      <c r="K27" s="433">
        <f t="shared" si="52"/>
        <v>0</v>
      </c>
      <c r="L27" s="433">
        <f t="shared" si="52"/>
        <v>0</v>
      </c>
      <c r="M27" s="433">
        <f t="shared" si="30"/>
        <v>0</v>
      </c>
      <c r="N27" s="433">
        <f t="shared" si="53"/>
        <v>0</v>
      </c>
      <c r="O27" s="433">
        <f t="shared" si="53"/>
        <v>0</v>
      </c>
      <c r="P27" s="433">
        <f t="shared" si="53"/>
        <v>0</v>
      </c>
      <c r="Q27" s="433">
        <f t="shared" si="53"/>
        <v>0</v>
      </c>
      <c r="R27" s="434">
        <f t="shared" si="50"/>
        <v>0</v>
      </c>
      <c r="S27" s="434">
        <f t="shared" si="1"/>
        <v>0</v>
      </c>
      <c r="T27" s="434">
        <f t="shared" si="51"/>
        <v>0</v>
      </c>
      <c r="U27" s="434">
        <f t="shared" si="2"/>
        <v>0</v>
      </c>
      <c r="V27" s="434">
        <f t="shared" si="3"/>
        <v>0</v>
      </c>
      <c r="W27" s="434">
        <f t="shared" si="4"/>
        <v>0</v>
      </c>
      <c r="X27" s="434">
        <f t="shared" si="32"/>
        <v>0</v>
      </c>
      <c r="Y27" s="434">
        <f t="shared" si="33"/>
        <v>0</v>
      </c>
      <c r="Z27" s="435">
        <f t="shared" si="5"/>
        <v>0</v>
      </c>
      <c r="AA27" s="435">
        <f t="shared" si="6"/>
        <v>0</v>
      </c>
      <c r="AB27" s="436">
        <f t="shared" si="47"/>
        <v>0</v>
      </c>
      <c r="AC27" s="437">
        <f t="shared" si="34"/>
        <v>0</v>
      </c>
      <c r="AD27" s="438">
        <f t="shared" si="35"/>
        <v>0</v>
      </c>
      <c r="AE27" s="438">
        <f t="shared" si="36"/>
        <v>0</v>
      </c>
      <c r="AF27" s="439">
        <f t="shared" si="37"/>
        <v>0</v>
      </c>
      <c r="AG27" s="440">
        <f t="shared" si="38"/>
        <v>0</v>
      </c>
      <c r="AH27" s="441">
        <f>IF(AF27=0,0,VLOOKUP(AF27,FREQUENCIAS!$1:$1048576,(IF(($A27=FREQUENCIAS!$T$1),20,"ERRO")),FREQUENCIAS!$1:$1048576))</f>
        <v>0</v>
      </c>
      <c r="AI27" s="441">
        <f>IF(AG27=0,0,VLOOKUP(AG27,FREQUENCIAS!$1:$1048576,(IF(($A27=FREQUENCIAS!$T$1),20,"ERRO")),FREQUENCIAS!$1:$1048576))</f>
        <v>0</v>
      </c>
      <c r="AJ27" s="442"/>
      <c r="AK27" s="442"/>
      <c r="AL27" s="442"/>
      <c r="AM27" s="120">
        <f t="shared" si="39"/>
        <v>1</v>
      </c>
      <c r="AN27" s="121">
        <f t="shared" si="7"/>
        <v>1</v>
      </c>
      <c r="AO27" s="122">
        <f t="shared" si="8"/>
        <v>0.5</v>
      </c>
      <c r="AP27" s="328" t="s">
        <v>173</v>
      </c>
      <c r="AQ27" s="443">
        <f t="shared" si="9"/>
        <v>0</v>
      </c>
      <c r="AR27" s="328"/>
      <c r="AS27" s="125" t="str">
        <f t="shared" si="10"/>
        <v>MUTAÇÃO</v>
      </c>
      <c r="AT27" s="432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1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1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1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1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1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1</v>
      </c>
      <c r="BC27" s="1" t="s">
        <v>318</v>
      </c>
      <c r="BD27" s="444">
        <f t="shared" si="41"/>
        <v>0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0">
        <f>IF($A27=FREQUENCIAS!$T$1,FREQUENCIAS!$T$3,"ERRO NA MUT")</f>
        <v>2.7000000000000001E-3</v>
      </c>
      <c r="BI27" s="40">
        <f t="shared" si="11"/>
        <v>1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ALELO ERRADO</v>
      </c>
      <c r="BO27" s="452" t="str">
        <f t="shared" si="12"/>
        <v/>
      </c>
      <c r="BP27" s="452">
        <f t="shared" si="13"/>
        <v>0</v>
      </c>
      <c r="BQ27" s="452">
        <f t="shared" si="14"/>
        <v>0</v>
      </c>
      <c r="BR27" s="453" t="str">
        <f t="shared" si="15"/>
        <v/>
      </c>
      <c r="BS27" s="453">
        <f t="shared" si="16"/>
        <v>0</v>
      </c>
      <c r="BT27" s="453">
        <f t="shared" si="17"/>
        <v>0</v>
      </c>
      <c r="BU27" s="454" t="str">
        <f t="shared" si="44"/>
        <v/>
      </c>
      <c r="BV27" s="454">
        <f t="shared" si="18"/>
        <v>0</v>
      </c>
      <c r="BW27" s="454">
        <f t="shared" si="19"/>
        <v>0</v>
      </c>
      <c r="BZ27" s="447">
        <v>17</v>
      </c>
      <c r="CA27" s="448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0</v>
      </c>
      <c r="E28" s="292">
        <f>'IMPORTAÇÃO GENOTIPER'!AQ24</f>
        <v>0</v>
      </c>
      <c r="F28" s="432">
        <f>'IMPORTAÇÃO GENOTIPER'!BO24</f>
        <v>0</v>
      </c>
      <c r="G28" s="432">
        <f>'IMPORTAÇÃO GENOTIPER'!BW24</f>
        <v>0</v>
      </c>
      <c r="H28" s="432">
        <f>'IMPORTAÇÃO GENOTIPER'!CE24</f>
        <v>0</v>
      </c>
      <c r="I28" s="432">
        <f>'IMPORTAÇÃO GENOTIPER'!CM24</f>
        <v>0</v>
      </c>
      <c r="J28" s="433">
        <f t="shared" si="52"/>
        <v>0</v>
      </c>
      <c r="K28" s="433">
        <f t="shared" si="52"/>
        <v>0</v>
      </c>
      <c r="L28" s="433">
        <f t="shared" si="52"/>
        <v>0</v>
      </c>
      <c r="M28" s="433">
        <f t="shared" si="30"/>
        <v>0</v>
      </c>
      <c r="N28" s="433">
        <f t="shared" si="53"/>
        <v>0</v>
      </c>
      <c r="O28" s="433">
        <f t="shared" si="53"/>
        <v>0</v>
      </c>
      <c r="P28" s="433">
        <f t="shared" si="53"/>
        <v>0</v>
      </c>
      <c r="Q28" s="433">
        <f t="shared" si="53"/>
        <v>0</v>
      </c>
      <c r="R28" s="434">
        <f t="shared" si="50"/>
        <v>0</v>
      </c>
      <c r="S28" s="434">
        <f t="shared" si="1"/>
        <v>0</v>
      </c>
      <c r="T28" s="434">
        <f t="shared" si="51"/>
        <v>0</v>
      </c>
      <c r="U28" s="434">
        <f t="shared" si="2"/>
        <v>0</v>
      </c>
      <c r="V28" s="434">
        <f t="shared" si="3"/>
        <v>0</v>
      </c>
      <c r="W28" s="434">
        <f t="shared" si="4"/>
        <v>0</v>
      </c>
      <c r="X28" s="434">
        <f t="shared" si="32"/>
        <v>0</v>
      </c>
      <c r="Y28" s="434">
        <f t="shared" si="33"/>
        <v>0</v>
      </c>
      <c r="Z28" s="435">
        <f t="shared" si="5"/>
        <v>0</v>
      </c>
      <c r="AA28" s="435">
        <f t="shared" si="6"/>
        <v>0</v>
      </c>
      <c r="AB28" s="436">
        <f t="shared" si="47"/>
        <v>0</v>
      </c>
      <c r="AC28" s="437">
        <f t="shared" si="34"/>
        <v>0</v>
      </c>
      <c r="AD28" s="438">
        <f t="shared" si="35"/>
        <v>0</v>
      </c>
      <c r="AE28" s="438">
        <f t="shared" si="36"/>
        <v>0</v>
      </c>
      <c r="AF28" s="439">
        <f t="shared" si="37"/>
        <v>0</v>
      </c>
      <c r="AG28" s="440">
        <f t="shared" si="38"/>
        <v>0</v>
      </c>
      <c r="AH28" s="441">
        <f>IF(AF28=0,0,VLOOKUP(AF28,FREQUENCIAS!$1:$1048576,(IF(($A28=FREQUENCIAS!$U$1),21,"ERRO")),FREQUENCIAS!$1:$1048576))</f>
        <v>0</v>
      </c>
      <c r="AI28" s="441">
        <f>IF(AG28=0,0,VLOOKUP(AG28,FREQUENCIAS!$1:$1048576,(IF(($A28=FREQUENCIAS!$U$1),21,"ERRO")),FREQUENCIAS!$1:$1048576))</f>
        <v>0</v>
      </c>
      <c r="AJ28" s="442"/>
      <c r="AK28" s="442"/>
      <c r="AL28" s="442"/>
      <c r="AM28" s="120">
        <f t="shared" si="39"/>
        <v>1</v>
      </c>
      <c r="AN28" s="121">
        <f t="shared" si="7"/>
        <v>1</v>
      </c>
      <c r="AO28" s="122">
        <f t="shared" si="8"/>
        <v>0.5</v>
      </c>
      <c r="AP28" s="328" t="s">
        <v>173</v>
      </c>
      <c r="AQ28" s="443">
        <f t="shared" si="9"/>
        <v>0</v>
      </c>
      <c r="AR28" s="328"/>
      <c r="AS28" s="125" t="str">
        <f t="shared" si="10"/>
        <v>MUTAÇÃO</v>
      </c>
      <c r="AT28" s="432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1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1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1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1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1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1</v>
      </c>
      <c r="BC28" s="1" t="s">
        <v>318</v>
      </c>
      <c r="BD28" s="444">
        <f t="shared" si="41"/>
        <v>0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0">
        <f>IF($A28=FREQUENCIAS!$U$1,FREQUENCIAS!$U$3,"ERRO NA MUT")</f>
        <v>1.1000000000000001E-3</v>
      </c>
      <c r="BI28" s="40">
        <f t="shared" si="11"/>
        <v>1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2" t="str">
        <f t="shared" si="12"/>
        <v/>
      </c>
      <c r="BP28" s="452">
        <f t="shared" si="13"/>
        <v>0</v>
      </c>
      <c r="BQ28" s="452">
        <f t="shared" si="14"/>
        <v>0</v>
      </c>
      <c r="BR28" s="453" t="str">
        <f t="shared" si="15"/>
        <v/>
      </c>
      <c r="BS28" s="453">
        <f t="shared" si="16"/>
        <v>0</v>
      </c>
      <c r="BT28" s="453">
        <f t="shared" si="17"/>
        <v>0</v>
      </c>
      <c r="BU28" s="454" t="str">
        <f t="shared" si="44"/>
        <v/>
      </c>
      <c r="BV28" s="454">
        <f t="shared" si="18"/>
        <v>0</v>
      </c>
      <c r="BW28" s="454">
        <f t="shared" si="19"/>
        <v>0</v>
      </c>
      <c r="BZ28" s="447">
        <v>17</v>
      </c>
      <c r="CA28" s="448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0</v>
      </c>
      <c r="E29" s="292">
        <f>'IMPORTAÇÃO GENOTIPER'!AQ25</f>
        <v>0</v>
      </c>
      <c r="F29" s="432">
        <f>'IMPORTAÇÃO GENOTIPER'!BO25</f>
        <v>0</v>
      </c>
      <c r="G29" s="432">
        <f>'IMPORTAÇÃO GENOTIPER'!BW25</f>
        <v>0</v>
      </c>
      <c r="H29" s="432">
        <f>'IMPORTAÇÃO GENOTIPER'!CE25</f>
        <v>0</v>
      </c>
      <c r="I29" s="432">
        <f>'IMPORTAÇÃO GENOTIPER'!CM25</f>
        <v>0</v>
      </c>
      <c r="J29" s="433">
        <f t="shared" si="52"/>
        <v>0</v>
      </c>
      <c r="K29" s="433">
        <f t="shared" si="52"/>
        <v>0</v>
      </c>
      <c r="L29" s="433">
        <f t="shared" si="52"/>
        <v>0</v>
      </c>
      <c r="M29" s="433">
        <f t="shared" si="30"/>
        <v>0</v>
      </c>
      <c r="N29" s="433">
        <f t="shared" si="53"/>
        <v>0</v>
      </c>
      <c r="O29" s="433">
        <f t="shared" si="53"/>
        <v>0</v>
      </c>
      <c r="P29" s="433">
        <f t="shared" si="53"/>
        <v>0</v>
      </c>
      <c r="Q29" s="433">
        <f t="shared" si="53"/>
        <v>0</v>
      </c>
      <c r="R29" s="434">
        <f t="shared" si="50"/>
        <v>0</v>
      </c>
      <c r="S29" s="434">
        <f t="shared" si="1"/>
        <v>0</v>
      </c>
      <c r="T29" s="434">
        <f t="shared" si="51"/>
        <v>0</v>
      </c>
      <c r="U29" s="434">
        <f t="shared" si="2"/>
        <v>0</v>
      </c>
      <c r="V29" s="434">
        <f t="shared" si="3"/>
        <v>0</v>
      </c>
      <c r="W29" s="434">
        <f t="shared" si="4"/>
        <v>0</v>
      </c>
      <c r="X29" s="434">
        <f t="shared" si="32"/>
        <v>0</v>
      </c>
      <c r="Y29" s="434">
        <f t="shared" si="33"/>
        <v>0</v>
      </c>
      <c r="Z29" s="435">
        <f t="shared" si="5"/>
        <v>0</v>
      </c>
      <c r="AA29" s="435">
        <f t="shared" si="6"/>
        <v>0</v>
      </c>
      <c r="AB29" s="436">
        <f t="shared" si="47"/>
        <v>0</v>
      </c>
      <c r="AC29" s="437">
        <f t="shared" si="34"/>
        <v>0</v>
      </c>
      <c r="AD29" s="438">
        <f t="shared" si="35"/>
        <v>0</v>
      </c>
      <c r="AE29" s="438">
        <f t="shared" si="36"/>
        <v>0</v>
      </c>
      <c r="AF29" s="439">
        <f t="shared" si="37"/>
        <v>0</v>
      </c>
      <c r="AG29" s="440">
        <f t="shared" si="38"/>
        <v>0</v>
      </c>
      <c r="AH29" s="441">
        <f>IF(AF29=0,0,VLOOKUP(AF29,FREQUENCIAS!$1:$1048576,(IF(($A29=FREQUENCIAS!$V$1),22,"ERRO")),FREQUENCIAS!$1:$1048576))</f>
        <v>0</v>
      </c>
      <c r="AI29" s="441">
        <f>IF(AG29=0,0,VLOOKUP(AG29,FREQUENCIAS!$1:$1048576,(IF(($A29=FREQUENCIAS!$V$1),22,"ERRO")),FREQUENCIAS!$1:$1048576))</f>
        <v>0</v>
      </c>
      <c r="AJ29" s="442"/>
      <c r="AK29" s="442"/>
      <c r="AL29" s="442"/>
      <c r="AM29" s="120">
        <f t="shared" si="39"/>
        <v>1</v>
      </c>
      <c r="AN29" s="121">
        <f t="shared" si="7"/>
        <v>1</v>
      </c>
      <c r="AO29" s="122">
        <f t="shared" si="8"/>
        <v>0.5</v>
      </c>
      <c r="AP29" s="328" t="s">
        <v>173</v>
      </c>
      <c r="AQ29" s="443">
        <f t="shared" si="9"/>
        <v>0</v>
      </c>
      <c r="AR29" s="328"/>
      <c r="AS29" s="125" t="str">
        <f t="shared" si="10"/>
        <v>MUTAÇÃO</v>
      </c>
      <c r="AT29" s="432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1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1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1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1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1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1</v>
      </c>
      <c r="BC29" s="1" t="s">
        <v>318</v>
      </c>
      <c r="BD29" s="444">
        <f t="shared" si="41"/>
        <v>0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0">
        <f>IF($A29=FREQUENCIAS!$V$1,FREQUENCIAS!$V$3,"ERRO NA MUT")</f>
        <v>2.8E-3</v>
      </c>
      <c r="BI29" s="40">
        <f t="shared" si="11"/>
        <v>1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ALELO ERRADO</v>
      </c>
      <c r="BO29" s="452" t="str">
        <f t="shared" si="12"/>
        <v/>
      </c>
      <c r="BP29" s="452">
        <f t="shared" si="13"/>
        <v>0</v>
      </c>
      <c r="BQ29" s="452">
        <f t="shared" si="14"/>
        <v>0</v>
      </c>
      <c r="BR29" s="453" t="str">
        <f t="shared" si="15"/>
        <v/>
      </c>
      <c r="BS29" s="453">
        <f t="shared" si="16"/>
        <v>0</v>
      </c>
      <c r="BT29" s="453">
        <f t="shared" si="17"/>
        <v>0</v>
      </c>
      <c r="BU29" s="454" t="str">
        <f t="shared" si="44"/>
        <v/>
      </c>
      <c r="BV29" s="454">
        <f t="shared" si="18"/>
        <v>0</v>
      </c>
      <c r="BW29" s="454">
        <f t="shared" si="19"/>
        <v>0</v>
      </c>
      <c r="BZ29" s="447">
        <v>17</v>
      </c>
      <c r="CA29" s="448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0</v>
      </c>
      <c r="E30" s="292">
        <f>'IMPORTAÇÃO GENOTIPER'!AQ26</f>
        <v>0</v>
      </c>
      <c r="F30" s="432">
        <f>'IMPORTAÇÃO GENOTIPER'!BO26</f>
        <v>0</v>
      </c>
      <c r="G30" s="432">
        <f>'IMPORTAÇÃO GENOTIPER'!BW26</f>
        <v>0</v>
      </c>
      <c r="H30" s="432">
        <f>'IMPORTAÇÃO GENOTIPER'!CE26</f>
        <v>0</v>
      </c>
      <c r="I30" s="432">
        <f>'IMPORTAÇÃO GENOTIPER'!CM26</f>
        <v>0</v>
      </c>
      <c r="J30" s="433">
        <f t="shared" si="52"/>
        <v>0</v>
      </c>
      <c r="K30" s="433">
        <f t="shared" si="52"/>
        <v>0</v>
      </c>
      <c r="L30" s="433">
        <f t="shared" si="52"/>
        <v>0</v>
      </c>
      <c r="M30" s="433">
        <f t="shared" si="30"/>
        <v>0</v>
      </c>
      <c r="N30" s="433">
        <f t="shared" si="53"/>
        <v>0</v>
      </c>
      <c r="O30" s="433">
        <f t="shared" si="53"/>
        <v>0</v>
      </c>
      <c r="P30" s="433">
        <f t="shared" si="53"/>
        <v>0</v>
      </c>
      <c r="Q30" s="433">
        <f t="shared" si="53"/>
        <v>0</v>
      </c>
      <c r="R30" s="434">
        <f t="shared" si="50"/>
        <v>0</v>
      </c>
      <c r="S30" s="434">
        <f t="shared" si="1"/>
        <v>0</v>
      </c>
      <c r="T30" s="434">
        <f t="shared" si="51"/>
        <v>0</v>
      </c>
      <c r="U30" s="434">
        <f t="shared" si="2"/>
        <v>0</v>
      </c>
      <c r="V30" s="434">
        <f t="shared" si="3"/>
        <v>0</v>
      </c>
      <c r="W30" s="434">
        <f t="shared" si="4"/>
        <v>0</v>
      </c>
      <c r="X30" s="434">
        <f t="shared" si="32"/>
        <v>0</v>
      </c>
      <c r="Y30" s="434">
        <f t="shared" si="33"/>
        <v>0</v>
      </c>
      <c r="Z30" s="435">
        <f t="shared" si="5"/>
        <v>0</v>
      </c>
      <c r="AA30" s="435">
        <f t="shared" si="6"/>
        <v>0</v>
      </c>
      <c r="AB30" s="436">
        <f t="shared" si="47"/>
        <v>0</v>
      </c>
      <c r="AC30" s="437">
        <f t="shared" si="34"/>
        <v>0</v>
      </c>
      <c r="AD30" s="438">
        <f t="shared" si="35"/>
        <v>0</v>
      </c>
      <c r="AE30" s="438">
        <f t="shared" si="36"/>
        <v>0</v>
      </c>
      <c r="AF30" s="439">
        <f t="shared" si="37"/>
        <v>0</v>
      </c>
      <c r="AG30" s="440">
        <f t="shared" si="38"/>
        <v>0</v>
      </c>
      <c r="AH30" s="441">
        <f>IF(AF30=0,0,VLOOKUP(AF30,FREQUENCIAS!$1:$1048576,(IF(($A30=FREQUENCIAS!$W$1),23,"ERRO")),FREQUENCIAS!$1:$1048576))</f>
        <v>0</v>
      </c>
      <c r="AI30" s="441">
        <f>IF(AG30=0,0,VLOOKUP(AG30,FREQUENCIAS!$1:$1048576,(IF(($A30=FREQUENCIAS!$W$1),23,"ERRO")),FREQUENCIAS!$1:$1048576))</f>
        <v>0</v>
      </c>
      <c r="AJ30" s="442"/>
      <c r="AK30" s="442"/>
      <c r="AL30" s="442"/>
      <c r="AM30" s="120">
        <f t="shared" si="39"/>
        <v>1</v>
      </c>
      <c r="AN30" s="121">
        <f t="shared" si="7"/>
        <v>1</v>
      </c>
      <c r="AO30" s="122">
        <f t="shared" si="8"/>
        <v>0.5</v>
      </c>
      <c r="AP30" s="328" t="s">
        <v>173</v>
      </c>
      <c r="AQ30" s="443">
        <f t="shared" si="9"/>
        <v>0</v>
      </c>
      <c r="AR30" s="328"/>
      <c r="AS30" s="125" t="str">
        <f t="shared" si="10"/>
        <v>MUTAÇÃO</v>
      </c>
      <c r="AT30" s="432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1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1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318</v>
      </c>
      <c r="BD30" s="444">
        <f t="shared" si="41"/>
        <v>0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0">
        <f>IF($A30=FREQUENCIAS!$W$1,FREQUENCIAS!$W$3,"ERRO NA MUT")</f>
        <v>2.7000000000000001E-3</v>
      </c>
      <c r="BI30" s="40">
        <f t="shared" si="11"/>
        <v>1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2" t="str">
        <f t="shared" si="12"/>
        <v/>
      </c>
      <c r="BP30" s="452">
        <f t="shared" si="13"/>
        <v>0</v>
      </c>
      <c r="BQ30" s="452">
        <f t="shared" si="14"/>
        <v>0</v>
      </c>
      <c r="BR30" s="453" t="str">
        <f t="shared" si="15"/>
        <v/>
      </c>
      <c r="BS30" s="453">
        <f t="shared" si="16"/>
        <v>0</v>
      </c>
      <c r="BT30" s="453">
        <f t="shared" si="17"/>
        <v>0</v>
      </c>
      <c r="BU30" s="454" t="str">
        <f t="shared" si="44"/>
        <v/>
      </c>
      <c r="BV30" s="454">
        <f t="shared" si="18"/>
        <v>0</v>
      </c>
      <c r="BW30" s="454">
        <f t="shared" si="19"/>
        <v>0</v>
      </c>
      <c r="BZ30" s="447">
        <v>17</v>
      </c>
      <c r="CA30" s="448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2">
        <f>'IMPORTAÇÃO GENOTIPER'!BO27</f>
        <v>0</v>
      </c>
      <c r="G31" s="432">
        <f>'IMPORTAÇÃO GENOTIPER'!BW27</f>
        <v>0</v>
      </c>
      <c r="H31" s="432">
        <f>'IMPORTAÇÃO GENOTIPER'!CE27</f>
        <v>0</v>
      </c>
      <c r="I31" s="432">
        <f>'IMPORTAÇÃO GENOTIPER'!CM27</f>
        <v>0</v>
      </c>
      <c r="J31" s="433">
        <f t="shared" si="52"/>
        <v>0</v>
      </c>
      <c r="K31" s="433">
        <f t="shared" si="52"/>
        <v>0</v>
      </c>
      <c r="L31" s="433">
        <f t="shared" si="52"/>
        <v>0</v>
      </c>
      <c r="M31" s="433">
        <f t="shared" si="30"/>
        <v>0</v>
      </c>
      <c r="N31" s="433">
        <f t="shared" si="53"/>
        <v>0</v>
      </c>
      <c r="O31" s="433">
        <f t="shared" si="53"/>
        <v>0</v>
      </c>
      <c r="P31" s="433">
        <f t="shared" si="53"/>
        <v>0</v>
      </c>
      <c r="Q31" s="433">
        <f t="shared" si="53"/>
        <v>0</v>
      </c>
      <c r="R31" s="434">
        <f t="shared" si="50"/>
        <v>0</v>
      </c>
      <c r="S31" s="434">
        <f t="shared" si="1"/>
        <v>0</v>
      </c>
      <c r="T31" s="434">
        <f t="shared" si="51"/>
        <v>0</v>
      </c>
      <c r="U31" s="434">
        <f t="shared" si="2"/>
        <v>0</v>
      </c>
      <c r="V31" s="434">
        <f t="shared" si="3"/>
        <v>0</v>
      </c>
      <c r="W31" s="434">
        <f t="shared" si="4"/>
        <v>0</v>
      </c>
      <c r="X31" s="434">
        <f t="shared" si="32"/>
        <v>0</v>
      </c>
      <c r="Y31" s="434">
        <f t="shared" si="33"/>
        <v>0</v>
      </c>
      <c r="Z31" s="435">
        <f t="shared" si="5"/>
        <v>0</v>
      </c>
      <c r="AA31" s="435">
        <f t="shared" si="6"/>
        <v>0</v>
      </c>
      <c r="AB31" s="436">
        <f t="shared" si="47"/>
        <v>0</v>
      </c>
      <c r="AC31" s="437">
        <f t="shared" si="34"/>
        <v>0</v>
      </c>
      <c r="AD31" s="438">
        <f t="shared" si="35"/>
        <v>0</v>
      </c>
      <c r="AE31" s="438">
        <f t="shared" si="36"/>
        <v>0</v>
      </c>
      <c r="AF31" s="439">
        <f t="shared" si="37"/>
        <v>0</v>
      </c>
      <c r="AG31" s="440">
        <f t="shared" si="38"/>
        <v>0</v>
      </c>
      <c r="AH31" s="441">
        <f>IF(AF31=0,0,VLOOKUP(AF31,FREQUENCIAS!$1:$1048576,(IF(($A31=FREQUENCIAS!$X$1),24,"ERRO")),FREQUENCIAS!$1:$1048576))</f>
        <v>0</v>
      </c>
      <c r="AI31" s="441">
        <f>IF(AG31=0,0,VLOOKUP(AG31,FREQUENCIAS!$1:$1048576,(IF(($A31=FREQUENCIAS!$X$1),24,"ERRO")),FREQUENCIAS!$1:$1048576))</f>
        <v>0</v>
      </c>
      <c r="AJ31" s="442"/>
      <c r="AK31" s="442"/>
      <c r="AL31" s="442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3">
        <f t="shared" si="9"/>
        <v>0</v>
      </c>
      <c r="AR31" s="328"/>
      <c r="AS31" s="125" t="str">
        <f t="shared" si="10"/>
        <v>MUTAÇÃO</v>
      </c>
      <c r="AT31" s="432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4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0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2" t="str">
        <f t="shared" si="12"/>
        <v/>
      </c>
      <c r="BP31" s="452">
        <f t="shared" si="13"/>
        <v>0</v>
      </c>
      <c r="BQ31" s="452">
        <f t="shared" si="14"/>
        <v>0</v>
      </c>
      <c r="BR31" s="453" t="str">
        <f t="shared" si="15"/>
        <v/>
      </c>
      <c r="BS31" s="453">
        <f t="shared" si="16"/>
        <v>0</v>
      </c>
      <c r="BT31" s="453">
        <f t="shared" si="17"/>
        <v>0</v>
      </c>
      <c r="BU31" s="454" t="str">
        <f t="shared" si="44"/>
        <v/>
      </c>
      <c r="BV31" s="454">
        <f t="shared" si="18"/>
        <v>0</v>
      </c>
      <c r="BW31" s="454">
        <f t="shared" si="19"/>
        <v>0</v>
      </c>
      <c r="BZ31" s="447">
        <v>17</v>
      </c>
      <c r="CA31" s="448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2">
        <f>'IMPORTAÇÃO GENOTIPER'!BO28</f>
        <v>0</v>
      </c>
      <c r="G32" s="432">
        <f>'IMPORTAÇÃO GENOTIPER'!BW28</f>
        <v>0</v>
      </c>
      <c r="H32" s="432">
        <f>'IMPORTAÇÃO GENOTIPER'!CE28</f>
        <v>0</v>
      </c>
      <c r="I32" s="432">
        <f>'IMPORTAÇÃO GENOTIPER'!CM28</f>
        <v>0</v>
      </c>
      <c r="J32" s="433">
        <f t="shared" si="52"/>
        <v>0</v>
      </c>
      <c r="K32" s="433">
        <f t="shared" si="52"/>
        <v>0</v>
      </c>
      <c r="L32" s="433">
        <f t="shared" si="52"/>
        <v>0</v>
      </c>
      <c r="M32" s="433">
        <f t="shared" si="30"/>
        <v>0</v>
      </c>
      <c r="N32" s="433">
        <f t="shared" si="53"/>
        <v>0</v>
      </c>
      <c r="O32" s="433">
        <f t="shared" si="53"/>
        <v>0</v>
      </c>
      <c r="P32" s="433">
        <f t="shared" si="53"/>
        <v>0</v>
      </c>
      <c r="Q32" s="433">
        <f t="shared" si="53"/>
        <v>0</v>
      </c>
      <c r="R32" s="434">
        <f t="shared" si="50"/>
        <v>0</v>
      </c>
      <c r="S32" s="434">
        <f t="shared" si="1"/>
        <v>0</v>
      </c>
      <c r="T32" s="434">
        <f t="shared" si="51"/>
        <v>0</v>
      </c>
      <c r="U32" s="434">
        <f t="shared" si="2"/>
        <v>0</v>
      </c>
      <c r="V32" s="434">
        <f t="shared" si="3"/>
        <v>0</v>
      </c>
      <c r="W32" s="434">
        <f t="shared" si="4"/>
        <v>0</v>
      </c>
      <c r="X32" s="434">
        <f t="shared" si="32"/>
        <v>0</v>
      </c>
      <c r="Y32" s="434">
        <f t="shared" si="33"/>
        <v>0</v>
      </c>
      <c r="Z32" s="435">
        <f t="shared" si="5"/>
        <v>0</v>
      </c>
      <c r="AA32" s="435">
        <f t="shared" si="6"/>
        <v>0</v>
      </c>
      <c r="AB32" s="436">
        <f t="shared" si="47"/>
        <v>0</v>
      </c>
      <c r="AC32" s="437">
        <f t="shared" si="34"/>
        <v>0</v>
      </c>
      <c r="AD32" s="438">
        <f t="shared" si="35"/>
        <v>0</v>
      </c>
      <c r="AE32" s="438">
        <f t="shared" si="36"/>
        <v>0</v>
      </c>
      <c r="AF32" s="439">
        <f t="shared" si="37"/>
        <v>0</v>
      </c>
      <c r="AG32" s="440">
        <f t="shared" si="38"/>
        <v>0</v>
      </c>
      <c r="AH32" s="441">
        <f>IF(AF32=0,0,VLOOKUP(AF32,FREQUENCIAS!$1:$1048576,(IF(($A32=FREQUENCIAS!$Y$1),24,"ERRO")),FREQUENCIAS!$1:$1048576))</f>
        <v>0</v>
      </c>
      <c r="AI32" s="441">
        <f>IF(AG32=0,0,VLOOKUP(AG32,FREQUENCIAS!$1:$1048576,(IF(($A32=FREQUENCIAS!$Y$1),24,"ERRO")),FREQUENCIAS!$1:$1048576))</f>
        <v>0</v>
      </c>
      <c r="AJ32" s="442"/>
      <c r="AK32" s="442"/>
      <c r="AL32" s="442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3">
        <f t="shared" si="9"/>
        <v>0</v>
      </c>
      <c r="AR32" s="328"/>
      <c r="AS32" s="125" t="str">
        <f t="shared" si="10"/>
        <v>MUTAÇÃO</v>
      </c>
      <c r="AT32" s="432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4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0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2" t="str">
        <f t="shared" si="12"/>
        <v/>
      </c>
      <c r="BP32" s="452">
        <f t="shared" si="13"/>
        <v>0</v>
      </c>
      <c r="BQ32" s="452">
        <f t="shared" si="14"/>
        <v>0</v>
      </c>
      <c r="BR32" s="453" t="str">
        <f t="shared" si="15"/>
        <v/>
      </c>
      <c r="BS32" s="453">
        <f t="shared" si="16"/>
        <v>0</v>
      </c>
      <c r="BT32" s="453">
        <f t="shared" si="17"/>
        <v>0</v>
      </c>
      <c r="BU32" s="454" t="str">
        <f t="shared" si="44"/>
        <v/>
      </c>
      <c r="BV32" s="454">
        <f t="shared" si="18"/>
        <v>0</v>
      </c>
      <c r="BW32" s="454">
        <f t="shared" si="19"/>
        <v>0</v>
      </c>
      <c r="BZ32" s="447">
        <v>17</v>
      </c>
      <c r="CA32" s="448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2">
        <f>'IMPORTAÇÃO GENOTIPER'!BO29</f>
        <v>0</v>
      </c>
      <c r="G33" s="432">
        <f>'IMPORTAÇÃO GENOTIPER'!BW29</f>
        <v>0</v>
      </c>
      <c r="H33" s="432">
        <f>'IMPORTAÇÃO GENOTIPER'!CE29</f>
        <v>0</v>
      </c>
      <c r="I33" s="432">
        <f>'IMPORTAÇÃO GENOTIPER'!CM29</f>
        <v>0</v>
      </c>
      <c r="J33" s="433">
        <f t="shared" si="52"/>
        <v>0</v>
      </c>
      <c r="K33" s="433">
        <f t="shared" si="52"/>
        <v>0</v>
      </c>
      <c r="L33" s="433">
        <f t="shared" si="52"/>
        <v>0</v>
      </c>
      <c r="M33" s="433">
        <f t="shared" si="30"/>
        <v>0</v>
      </c>
      <c r="N33" s="433">
        <f t="shared" si="53"/>
        <v>0</v>
      </c>
      <c r="O33" s="433">
        <f t="shared" si="53"/>
        <v>0</v>
      </c>
      <c r="P33" s="433">
        <f t="shared" si="53"/>
        <v>0</v>
      </c>
      <c r="Q33" s="433">
        <f t="shared" si="53"/>
        <v>0</v>
      </c>
      <c r="R33" s="434">
        <f t="shared" si="50"/>
        <v>0</v>
      </c>
      <c r="S33" s="434">
        <f t="shared" si="1"/>
        <v>0</v>
      </c>
      <c r="T33" s="434">
        <f t="shared" si="51"/>
        <v>0</v>
      </c>
      <c r="U33" s="434">
        <f t="shared" si="2"/>
        <v>0</v>
      </c>
      <c r="V33" s="434">
        <f t="shared" si="3"/>
        <v>0</v>
      </c>
      <c r="W33" s="434">
        <f t="shared" si="4"/>
        <v>0</v>
      </c>
      <c r="X33" s="434">
        <f t="shared" si="32"/>
        <v>0</v>
      </c>
      <c r="Y33" s="434">
        <f t="shared" si="33"/>
        <v>0</v>
      </c>
      <c r="Z33" s="435">
        <f t="shared" si="5"/>
        <v>0</v>
      </c>
      <c r="AA33" s="435">
        <f t="shared" si="6"/>
        <v>0</v>
      </c>
      <c r="AB33" s="436">
        <f t="shared" si="47"/>
        <v>0</v>
      </c>
      <c r="AC33" s="437">
        <f t="shared" si="34"/>
        <v>0</v>
      </c>
      <c r="AD33" s="438">
        <f t="shared" si="35"/>
        <v>0</v>
      </c>
      <c r="AE33" s="438">
        <f t="shared" si="36"/>
        <v>0</v>
      </c>
      <c r="AF33" s="439">
        <f t="shared" si="37"/>
        <v>0</v>
      </c>
      <c r="AG33" s="440">
        <f t="shared" si="38"/>
        <v>0</v>
      </c>
      <c r="AH33" s="441">
        <f>IF(AF33=0,0,VLOOKUP(AF33,FREQUENCIAS!$1:$1048576,(IF(($A33=FREQUENCIAS!$Z$1),25,"ERRO")),FREQUENCIAS!$1:$1048576))</f>
        <v>0</v>
      </c>
      <c r="AI33" s="441">
        <f>IF(AG33=0,0,VLOOKUP(AG33,FREQUENCIAS!$1:$1048576,(IF(($A33=FREQUENCIAS!$Z$1),25,"ERRO")),FREQUENCIAS!$1:$1048576))</f>
        <v>0</v>
      </c>
      <c r="AJ33" s="442"/>
      <c r="AK33" s="442"/>
      <c r="AL33" s="442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3">
        <f t="shared" si="9"/>
        <v>0</v>
      </c>
      <c r="AR33" s="328"/>
      <c r="AS33" s="125" t="str">
        <f t="shared" si="10"/>
        <v>MUTAÇÃO</v>
      </c>
      <c r="AT33" s="432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4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0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2" t="str">
        <f t="shared" si="12"/>
        <v/>
      </c>
      <c r="BP33" s="452">
        <f t="shared" si="13"/>
        <v>0</v>
      </c>
      <c r="BQ33" s="452">
        <f t="shared" si="14"/>
        <v>0</v>
      </c>
      <c r="BR33" s="453" t="str">
        <f t="shared" si="15"/>
        <v/>
      </c>
      <c r="BS33" s="453">
        <f t="shared" si="16"/>
        <v>0</v>
      </c>
      <c r="BT33" s="453">
        <f t="shared" si="17"/>
        <v>0</v>
      </c>
      <c r="BU33" s="454" t="str">
        <f t="shared" si="44"/>
        <v/>
      </c>
      <c r="BV33" s="454">
        <f t="shared" si="18"/>
        <v>0</v>
      </c>
      <c r="BW33" s="454">
        <f t="shared" si="19"/>
        <v>0</v>
      </c>
      <c r="BZ33" s="447">
        <v>17</v>
      </c>
      <c r="CA33" s="448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2">
        <f>'IMPORTAÇÃO GENOTIPER'!BO30</f>
        <v>0</v>
      </c>
      <c r="G34" s="432">
        <f>'IMPORTAÇÃO GENOTIPER'!BW30</f>
        <v>0</v>
      </c>
      <c r="H34" s="432">
        <f>'IMPORTAÇÃO GENOTIPER'!CE30</f>
        <v>0</v>
      </c>
      <c r="I34" s="432">
        <f>'IMPORTAÇÃO GENOTIPER'!CM30</f>
        <v>0</v>
      </c>
      <c r="J34" s="433">
        <f t="shared" si="52"/>
        <v>0</v>
      </c>
      <c r="K34" s="433">
        <f t="shared" si="52"/>
        <v>0</v>
      </c>
      <c r="L34" s="433">
        <f t="shared" si="52"/>
        <v>0</v>
      </c>
      <c r="M34" s="433">
        <f t="shared" si="30"/>
        <v>0</v>
      </c>
      <c r="N34" s="433">
        <f t="shared" si="53"/>
        <v>0</v>
      </c>
      <c r="O34" s="433">
        <f t="shared" si="53"/>
        <v>0</v>
      </c>
      <c r="P34" s="433">
        <f t="shared" si="53"/>
        <v>0</v>
      </c>
      <c r="Q34" s="433">
        <f t="shared" si="53"/>
        <v>0</v>
      </c>
      <c r="R34" s="434">
        <f t="shared" si="50"/>
        <v>0</v>
      </c>
      <c r="S34" s="434">
        <f t="shared" si="1"/>
        <v>0</v>
      </c>
      <c r="T34" s="434">
        <f t="shared" si="51"/>
        <v>0</v>
      </c>
      <c r="U34" s="434">
        <f t="shared" si="2"/>
        <v>0</v>
      </c>
      <c r="V34" s="434">
        <f t="shared" si="3"/>
        <v>0</v>
      </c>
      <c r="W34" s="434">
        <f t="shared" si="4"/>
        <v>0</v>
      </c>
      <c r="X34" s="434">
        <f t="shared" si="32"/>
        <v>0</v>
      </c>
      <c r="Y34" s="434">
        <f t="shared" si="33"/>
        <v>0</v>
      </c>
      <c r="Z34" s="435">
        <f t="shared" si="5"/>
        <v>0</v>
      </c>
      <c r="AA34" s="435">
        <f t="shared" si="6"/>
        <v>0</v>
      </c>
      <c r="AB34" s="436">
        <f t="shared" si="47"/>
        <v>0</v>
      </c>
      <c r="AC34" s="437">
        <f t="shared" si="34"/>
        <v>0</v>
      </c>
      <c r="AD34" s="438">
        <f t="shared" si="35"/>
        <v>0</v>
      </c>
      <c r="AE34" s="438">
        <f t="shared" si="36"/>
        <v>0</v>
      </c>
      <c r="AF34" s="439">
        <f t="shared" si="37"/>
        <v>0</v>
      </c>
      <c r="AG34" s="440">
        <f t="shared" si="38"/>
        <v>0</v>
      </c>
      <c r="AH34" s="441">
        <f>IF(AF34=0,0,VLOOKUP(AF34,FREQUENCIAS!$1:$1048576,(IF(($A34=FREQUENCIAS!$AA$1),27,"ERRO")),FREQUENCIAS!$1:$1048576))</f>
        <v>0</v>
      </c>
      <c r="AI34" s="441">
        <f>IF(AG34=0,0,VLOOKUP(AG34,FREQUENCIAS!$1:$1048576,(IF(($A34=FREQUENCIAS!$AA$1),27,"ERRO")),FREQUENCIAS!$1:$1048576))</f>
        <v>0</v>
      </c>
      <c r="AJ34" s="442"/>
      <c r="AK34" s="442"/>
      <c r="AL34" s="442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3">
        <f t="shared" si="9"/>
        <v>0</v>
      </c>
      <c r="AR34" s="328"/>
      <c r="AS34" s="125" t="str">
        <f t="shared" si="10"/>
        <v>MUTAÇÃO</v>
      </c>
      <c r="AT34" s="432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4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0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2" t="str">
        <f t="shared" si="12"/>
        <v/>
      </c>
      <c r="BP34" s="452">
        <f t="shared" si="13"/>
        <v>0</v>
      </c>
      <c r="BQ34" s="452">
        <f t="shared" si="14"/>
        <v>0</v>
      </c>
      <c r="BR34" s="453" t="str">
        <f t="shared" si="15"/>
        <v/>
      </c>
      <c r="BS34" s="453">
        <f t="shared" si="16"/>
        <v>0</v>
      </c>
      <c r="BT34" s="453">
        <f t="shared" si="17"/>
        <v>0</v>
      </c>
      <c r="BU34" s="454" t="str">
        <f t="shared" si="44"/>
        <v/>
      </c>
      <c r="BV34" s="454">
        <f t="shared" si="18"/>
        <v>0</v>
      </c>
      <c r="BW34" s="454">
        <f t="shared" si="19"/>
        <v>0</v>
      </c>
      <c r="BZ34" s="447">
        <v>17</v>
      </c>
      <c r="CA34" s="448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2">
        <f>'IMPORTAÇÃO GENOTIPER'!BO31</f>
        <v>0</v>
      </c>
      <c r="G35" s="432">
        <f>'IMPORTAÇÃO GENOTIPER'!BW31</f>
        <v>0</v>
      </c>
      <c r="H35" s="432">
        <f>'IMPORTAÇÃO GENOTIPER'!CE31</f>
        <v>0</v>
      </c>
      <c r="I35" s="432">
        <f>'IMPORTAÇÃO GENOTIPER'!CM31</f>
        <v>0</v>
      </c>
      <c r="J35" s="433">
        <f t="shared" si="52"/>
        <v>0</v>
      </c>
      <c r="K35" s="433">
        <f t="shared" si="52"/>
        <v>0</v>
      </c>
      <c r="L35" s="433">
        <f t="shared" si="52"/>
        <v>0</v>
      </c>
      <c r="M35" s="433">
        <f t="shared" si="30"/>
        <v>0</v>
      </c>
      <c r="N35" s="433">
        <f t="shared" si="53"/>
        <v>0</v>
      </c>
      <c r="O35" s="433">
        <f t="shared" si="53"/>
        <v>0</v>
      </c>
      <c r="P35" s="433">
        <f t="shared" si="53"/>
        <v>0</v>
      </c>
      <c r="Q35" s="433">
        <f t="shared" si="53"/>
        <v>0</v>
      </c>
      <c r="R35" s="434">
        <f t="shared" si="50"/>
        <v>0</v>
      </c>
      <c r="S35" s="434">
        <f t="shared" si="1"/>
        <v>0</v>
      </c>
      <c r="T35" s="434">
        <f t="shared" si="51"/>
        <v>0</v>
      </c>
      <c r="U35" s="434">
        <f t="shared" si="2"/>
        <v>0</v>
      </c>
      <c r="V35" s="434">
        <f t="shared" si="3"/>
        <v>0</v>
      </c>
      <c r="W35" s="434">
        <f t="shared" si="4"/>
        <v>0</v>
      </c>
      <c r="X35" s="434">
        <f t="shared" si="32"/>
        <v>0</v>
      </c>
      <c r="Y35" s="434">
        <f t="shared" si="33"/>
        <v>0</v>
      </c>
      <c r="Z35" s="435">
        <f t="shared" si="5"/>
        <v>0</v>
      </c>
      <c r="AA35" s="435">
        <f t="shared" si="6"/>
        <v>0</v>
      </c>
      <c r="AB35" s="436">
        <f t="shared" si="47"/>
        <v>0</v>
      </c>
      <c r="AC35" s="437">
        <f t="shared" si="34"/>
        <v>0</v>
      </c>
      <c r="AD35" s="438">
        <f t="shared" si="35"/>
        <v>0</v>
      </c>
      <c r="AE35" s="438">
        <f t="shared" si="36"/>
        <v>0</v>
      </c>
      <c r="AF35" s="439">
        <f t="shared" si="37"/>
        <v>0</v>
      </c>
      <c r="AG35" s="440">
        <f t="shared" si="38"/>
        <v>0</v>
      </c>
      <c r="AH35" s="441">
        <f>IF(AF35=0,0,VLOOKUP(AF35,FREQUENCIAS!$1:$1048576,(IF(($A35=FREQUENCIAS!$AB$1),28,"ERRO")),FREQUENCIAS!$1:$1048576))</f>
        <v>0</v>
      </c>
      <c r="AI35" s="441">
        <f>IF(AG35=0,0,VLOOKUP(AG35,FREQUENCIAS!$1:$1048576,(IF(($A35=FREQUENCIAS!$AB$1),28,"ERRO")),FREQUENCIAS!$1:$1048576))</f>
        <v>0</v>
      </c>
      <c r="AJ35" s="442"/>
      <c r="AK35" s="442"/>
      <c r="AL35" s="442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3">
        <f t="shared" si="9"/>
        <v>0</v>
      </c>
      <c r="AR35" s="328"/>
      <c r="AS35" s="125" t="str">
        <f t="shared" si="10"/>
        <v>MUTAÇÃO</v>
      </c>
      <c r="AT35" s="432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4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0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2" t="str">
        <f t="shared" si="12"/>
        <v/>
      </c>
      <c r="BP35" s="452">
        <f t="shared" si="13"/>
        <v>0</v>
      </c>
      <c r="BQ35" s="452">
        <f t="shared" si="14"/>
        <v>0</v>
      </c>
      <c r="BR35" s="453" t="str">
        <f t="shared" si="15"/>
        <v/>
      </c>
      <c r="BS35" s="453">
        <f t="shared" si="16"/>
        <v>0</v>
      </c>
      <c r="BT35" s="453">
        <f t="shared" si="17"/>
        <v>0</v>
      </c>
      <c r="BU35" s="454" t="str">
        <f t="shared" si="44"/>
        <v/>
      </c>
      <c r="BV35" s="454">
        <f t="shared" si="18"/>
        <v>0</v>
      </c>
      <c r="BW35" s="454">
        <f t="shared" si="19"/>
        <v>0</v>
      </c>
      <c r="BZ35" s="447">
        <v>17</v>
      </c>
      <c r="CA35" s="448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2">
        <f>'IMPORTAÇÃO GENOTIPER'!BO32</f>
        <v>0</v>
      </c>
      <c r="G36" s="432">
        <f>'IMPORTAÇÃO GENOTIPER'!BW32</f>
        <v>0</v>
      </c>
      <c r="H36" s="432">
        <f>'IMPORTAÇÃO GENOTIPER'!CE32</f>
        <v>0</v>
      </c>
      <c r="I36" s="432">
        <f>'IMPORTAÇÃO GENOTIPER'!CM32</f>
        <v>0</v>
      </c>
      <c r="J36" s="433">
        <f t="shared" si="52"/>
        <v>0</v>
      </c>
      <c r="K36" s="433">
        <f t="shared" si="52"/>
        <v>0</v>
      </c>
      <c r="L36" s="433">
        <f t="shared" si="52"/>
        <v>0</v>
      </c>
      <c r="M36" s="433">
        <f t="shared" si="30"/>
        <v>0</v>
      </c>
      <c r="N36" s="433">
        <f t="shared" si="53"/>
        <v>0</v>
      </c>
      <c r="O36" s="433">
        <f t="shared" si="53"/>
        <v>0</v>
      </c>
      <c r="P36" s="433">
        <f t="shared" si="53"/>
        <v>0</v>
      </c>
      <c r="Q36" s="433">
        <f t="shared" si="53"/>
        <v>0</v>
      </c>
      <c r="R36" s="434">
        <f t="shared" si="50"/>
        <v>0</v>
      </c>
      <c r="S36" s="434">
        <f t="shared" si="1"/>
        <v>0</v>
      </c>
      <c r="T36" s="434">
        <f t="shared" si="51"/>
        <v>0</v>
      </c>
      <c r="U36" s="434">
        <f t="shared" si="2"/>
        <v>0</v>
      </c>
      <c r="V36" s="434">
        <f t="shared" si="3"/>
        <v>0</v>
      </c>
      <c r="W36" s="434">
        <f t="shared" si="4"/>
        <v>0</v>
      </c>
      <c r="X36" s="434">
        <f t="shared" si="32"/>
        <v>0</v>
      </c>
      <c r="Y36" s="434">
        <f t="shared" si="33"/>
        <v>0</v>
      </c>
      <c r="Z36" s="435">
        <f t="shared" si="5"/>
        <v>0</v>
      </c>
      <c r="AA36" s="435">
        <f t="shared" si="6"/>
        <v>0</v>
      </c>
      <c r="AB36" s="436">
        <f t="shared" si="47"/>
        <v>0</v>
      </c>
      <c r="AC36" s="437">
        <f t="shared" si="34"/>
        <v>0</v>
      </c>
      <c r="AD36" s="438">
        <f t="shared" si="35"/>
        <v>0</v>
      </c>
      <c r="AE36" s="438">
        <f t="shared" si="36"/>
        <v>0</v>
      </c>
      <c r="AF36" s="439">
        <f t="shared" si="37"/>
        <v>0</v>
      </c>
      <c r="AG36" s="440">
        <f t="shared" si="38"/>
        <v>0</v>
      </c>
      <c r="AH36" s="441">
        <f>IF(AF36=0,0,VLOOKUP(AF36,FREQUENCIAS!$1:$1048576,(IF(($A36=FREQUENCIAS!$AC$1),29,"ERRO")),FREQUENCIAS!$1:$1048576))</f>
        <v>0</v>
      </c>
      <c r="AI36" s="441">
        <f>IF(AG36=0,0,VLOOKUP(AG36,FREQUENCIAS!$1:$1048576,(IF(($A36=FREQUENCIAS!$AC$1),29,"ERRO")),FREQUENCIAS!$1:$1048576))</f>
        <v>0</v>
      </c>
      <c r="AJ36" s="442"/>
      <c r="AK36" s="442"/>
      <c r="AL36" s="442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3">
        <f t="shared" si="9"/>
        <v>0</v>
      </c>
      <c r="AR36" s="328"/>
      <c r="AS36" s="125" t="str">
        <f t="shared" si="10"/>
        <v>MUTAÇÃO</v>
      </c>
      <c r="AT36" s="432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4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0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2" t="str">
        <f t="shared" si="12"/>
        <v/>
      </c>
      <c r="BP36" s="452">
        <f t="shared" si="13"/>
        <v>0</v>
      </c>
      <c r="BQ36" s="452">
        <f t="shared" si="14"/>
        <v>0</v>
      </c>
      <c r="BR36" s="453" t="str">
        <f t="shared" si="15"/>
        <v/>
      </c>
      <c r="BS36" s="453">
        <f t="shared" si="16"/>
        <v>0</v>
      </c>
      <c r="BT36" s="453">
        <f t="shared" si="17"/>
        <v>0</v>
      </c>
      <c r="BU36" s="454" t="str">
        <f t="shared" si="44"/>
        <v/>
      </c>
      <c r="BV36" s="454">
        <f t="shared" si="18"/>
        <v>0</v>
      </c>
      <c r="BW36" s="454">
        <f t="shared" si="19"/>
        <v>0</v>
      </c>
      <c r="BZ36" s="447">
        <v>17</v>
      </c>
      <c r="CA36" s="448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2">
        <f>'IMPORTAÇÃO GENOTIPER'!BO33</f>
        <v>0</v>
      </c>
      <c r="G37" s="432">
        <f>'IMPORTAÇÃO GENOTIPER'!BW33</f>
        <v>0</v>
      </c>
      <c r="H37" s="432">
        <f>'IMPORTAÇÃO GENOTIPER'!CE33</f>
        <v>0</v>
      </c>
      <c r="I37" s="432">
        <f>'IMPORTAÇÃO GENOTIPER'!CM33</f>
        <v>0</v>
      </c>
      <c r="J37" s="433">
        <f t="shared" si="52"/>
        <v>0</v>
      </c>
      <c r="K37" s="433">
        <f t="shared" si="52"/>
        <v>0</v>
      </c>
      <c r="L37" s="433">
        <f t="shared" si="52"/>
        <v>0</v>
      </c>
      <c r="M37" s="433">
        <f t="shared" si="30"/>
        <v>0</v>
      </c>
      <c r="N37" s="433">
        <f t="shared" si="53"/>
        <v>0</v>
      </c>
      <c r="O37" s="433">
        <f t="shared" si="53"/>
        <v>0</v>
      </c>
      <c r="P37" s="433">
        <f t="shared" si="53"/>
        <v>0</v>
      </c>
      <c r="Q37" s="433">
        <f t="shared" si="53"/>
        <v>0</v>
      </c>
      <c r="R37" s="434">
        <f t="shared" si="50"/>
        <v>0</v>
      </c>
      <c r="S37" s="434">
        <f t="shared" si="1"/>
        <v>0</v>
      </c>
      <c r="T37" s="434">
        <f t="shared" si="51"/>
        <v>0</v>
      </c>
      <c r="U37" s="434">
        <f t="shared" si="2"/>
        <v>0</v>
      </c>
      <c r="V37" s="434">
        <f t="shared" si="3"/>
        <v>0</v>
      </c>
      <c r="W37" s="434">
        <f t="shared" si="4"/>
        <v>0</v>
      </c>
      <c r="X37" s="434">
        <f t="shared" si="32"/>
        <v>0</v>
      </c>
      <c r="Y37" s="434">
        <f t="shared" si="33"/>
        <v>0</v>
      </c>
      <c r="Z37" s="435">
        <f t="shared" si="5"/>
        <v>0</v>
      </c>
      <c r="AA37" s="435">
        <f t="shared" si="6"/>
        <v>0</v>
      </c>
      <c r="AB37" s="436">
        <f t="shared" si="47"/>
        <v>0</v>
      </c>
      <c r="AC37" s="437">
        <f t="shared" si="34"/>
        <v>0</v>
      </c>
      <c r="AD37" s="438">
        <f t="shared" si="35"/>
        <v>0</v>
      </c>
      <c r="AE37" s="438">
        <f t="shared" si="36"/>
        <v>0</v>
      </c>
      <c r="AF37" s="439">
        <f t="shared" si="37"/>
        <v>0</v>
      </c>
      <c r="AG37" s="440">
        <f t="shared" si="38"/>
        <v>0</v>
      </c>
      <c r="AH37" s="441">
        <f>IF(AF37=0,0,VLOOKUP(AF37,FREQUENCIAS!$1:$1048576,(IF(($A37=FREQUENCIAS!$AF$1),30,"ERRO")),FREQUENCIAS!$1:$1048576))</f>
        <v>0</v>
      </c>
      <c r="AI37" s="441">
        <f>IF(AG37=0,0,VLOOKUP(AG37,FREQUENCIAS!$1:$1048576,(IF(($A37=FREQUENCIAS!$AD$1),30,"ERRO")),FREQUENCIAS!$1:$1048576))</f>
        <v>0</v>
      </c>
      <c r="AJ37" s="442"/>
      <c r="AK37" s="442"/>
      <c r="AL37" s="442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3">
        <f t="shared" si="9"/>
        <v>0</v>
      </c>
      <c r="AR37" s="328"/>
      <c r="AS37" s="125" t="str">
        <f t="shared" si="10"/>
        <v>MUTAÇÃO</v>
      </c>
      <c r="AT37" s="432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4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0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2" t="str">
        <f t="shared" si="12"/>
        <v/>
      </c>
      <c r="BP37" s="452">
        <f t="shared" si="13"/>
        <v>0</v>
      </c>
      <c r="BQ37" s="452">
        <f t="shared" si="14"/>
        <v>0</v>
      </c>
      <c r="BR37" s="453" t="str">
        <f t="shared" si="15"/>
        <v/>
      </c>
      <c r="BS37" s="453">
        <f t="shared" si="16"/>
        <v>0</v>
      </c>
      <c r="BT37" s="453">
        <f t="shared" si="17"/>
        <v>0</v>
      </c>
      <c r="BU37" s="454" t="str">
        <f t="shared" si="44"/>
        <v/>
      </c>
      <c r="BV37" s="454">
        <f t="shared" si="18"/>
        <v>0</v>
      </c>
      <c r="BW37" s="454">
        <f t="shared" si="19"/>
        <v>0</v>
      </c>
      <c r="BZ37" s="447">
        <v>17</v>
      </c>
      <c r="CA37" s="448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2">
        <f>'IMPORTAÇÃO GENOTIPER'!BO34</f>
        <v>0</v>
      </c>
      <c r="G38" s="432">
        <f>'IMPORTAÇÃO GENOTIPER'!BW34</f>
        <v>0</v>
      </c>
      <c r="H38" s="432">
        <f>'IMPORTAÇÃO GENOTIPER'!CE34</f>
        <v>0</v>
      </c>
      <c r="I38" s="432">
        <f>'IMPORTAÇÃO GENOTIPER'!CM34</f>
        <v>0</v>
      </c>
      <c r="J38" s="433">
        <f t="shared" si="52"/>
        <v>0</v>
      </c>
      <c r="K38" s="433">
        <f t="shared" si="52"/>
        <v>0</v>
      </c>
      <c r="L38" s="433">
        <f t="shared" si="52"/>
        <v>0</v>
      </c>
      <c r="M38" s="433">
        <f t="shared" si="30"/>
        <v>0</v>
      </c>
      <c r="N38" s="433">
        <f t="shared" si="53"/>
        <v>0</v>
      </c>
      <c r="O38" s="433">
        <f t="shared" si="53"/>
        <v>0</v>
      </c>
      <c r="P38" s="433">
        <f t="shared" si="53"/>
        <v>0</v>
      </c>
      <c r="Q38" s="433">
        <f t="shared" si="53"/>
        <v>0</v>
      </c>
      <c r="R38" s="434">
        <f t="shared" si="50"/>
        <v>0</v>
      </c>
      <c r="S38" s="434">
        <f t="shared" si="1"/>
        <v>0</v>
      </c>
      <c r="T38" s="434">
        <f t="shared" si="51"/>
        <v>0</v>
      </c>
      <c r="U38" s="434">
        <f t="shared" si="2"/>
        <v>0</v>
      </c>
      <c r="V38" s="434">
        <f t="shared" si="3"/>
        <v>0</v>
      </c>
      <c r="W38" s="434">
        <f t="shared" si="4"/>
        <v>0</v>
      </c>
      <c r="X38" s="434">
        <f t="shared" si="32"/>
        <v>0</v>
      </c>
      <c r="Y38" s="434">
        <f t="shared" si="33"/>
        <v>0</v>
      </c>
      <c r="Z38" s="435">
        <f t="shared" si="5"/>
        <v>0</v>
      </c>
      <c r="AA38" s="435">
        <f t="shared" si="6"/>
        <v>0</v>
      </c>
      <c r="AB38" s="436">
        <f t="shared" si="47"/>
        <v>0</v>
      </c>
      <c r="AC38" s="437">
        <f t="shared" si="34"/>
        <v>0</v>
      </c>
      <c r="AD38" s="438">
        <f t="shared" si="35"/>
        <v>0</v>
      </c>
      <c r="AE38" s="438">
        <f t="shared" si="36"/>
        <v>0</v>
      </c>
      <c r="AF38" s="439">
        <f t="shared" si="37"/>
        <v>0</v>
      </c>
      <c r="AG38" s="440">
        <f t="shared" si="38"/>
        <v>0</v>
      </c>
      <c r="AH38" s="441">
        <f>IF(AF38=0,0,VLOOKUP(AF38,FREQUENCIAS!$1:$1048576,(IF(($A38=FREQUENCIAS!$AE$1),31,"ERRO")),FREQUENCIAS!$1:$1048576))</f>
        <v>0</v>
      </c>
      <c r="AI38" s="441">
        <f>IF(AG38=0,0,VLOOKUP(AG38,FREQUENCIAS!$1:$1048576,(IF(($A38=FREQUENCIAS!$AG$1),31,"ERRO")),FREQUENCIAS!$1:$1048576))</f>
        <v>0</v>
      </c>
      <c r="AJ38" s="442"/>
      <c r="AK38" s="442"/>
      <c r="AL38" s="442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3">
        <f t="shared" si="9"/>
        <v>0</v>
      </c>
      <c r="AR38" s="328"/>
      <c r="AS38" s="125" t="str">
        <f t="shared" si="10"/>
        <v>MUTAÇÃO</v>
      </c>
      <c r="AT38" s="432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4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0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2" t="str">
        <f t="shared" si="12"/>
        <v/>
      </c>
      <c r="BP38" s="452">
        <f t="shared" si="13"/>
        <v>0</v>
      </c>
      <c r="BQ38" s="452">
        <f t="shared" si="14"/>
        <v>0</v>
      </c>
      <c r="BR38" s="453" t="str">
        <f t="shared" si="15"/>
        <v/>
      </c>
      <c r="BS38" s="453">
        <f t="shared" si="16"/>
        <v>0</v>
      </c>
      <c r="BT38" s="453">
        <f t="shared" si="17"/>
        <v>0</v>
      </c>
      <c r="BU38" s="454" t="str">
        <f t="shared" si="44"/>
        <v/>
      </c>
      <c r="BV38" s="454">
        <f t="shared" si="18"/>
        <v>0</v>
      </c>
      <c r="BW38" s="454">
        <f t="shared" si="19"/>
        <v>0</v>
      </c>
      <c r="BZ38" s="447">
        <v>17</v>
      </c>
      <c r="CA38" s="448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2">
        <f>'IMPORTAÇÃO GENOTIPER'!BO35</f>
        <v>0</v>
      </c>
      <c r="G39" s="432">
        <f>'IMPORTAÇÃO GENOTIPER'!BW35</f>
        <v>0</v>
      </c>
      <c r="H39" s="432">
        <f>'IMPORTAÇÃO GENOTIPER'!CE35</f>
        <v>0</v>
      </c>
      <c r="I39" s="432">
        <f>'IMPORTAÇÃO GENOTIPER'!CM35</f>
        <v>0</v>
      </c>
      <c r="J39" s="433">
        <f t="shared" si="52"/>
        <v>0</v>
      </c>
      <c r="K39" s="433">
        <f t="shared" si="52"/>
        <v>0</v>
      </c>
      <c r="L39" s="433">
        <f t="shared" si="52"/>
        <v>0</v>
      </c>
      <c r="M39" s="433">
        <f t="shared" si="30"/>
        <v>0</v>
      </c>
      <c r="N39" s="433">
        <f t="shared" si="53"/>
        <v>0</v>
      </c>
      <c r="O39" s="433">
        <f t="shared" si="53"/>
        <v>0</v>
      </c>
      <c r="P39" s="433">
        <f t="shared" si="53"/>
        <v>0</v>
      </c>
      <c r="Q39" s="433">
        <f t="shared" si="53"/>
        <v>0</v>
      </c>
      <c r="R39" s="434">
        <f t="shared" si="50"/>
        <v>0</v>
      </c>
      <c r="S39" s="434">
        <f t="shared" si="1"/>
        <v>0</v>
      </c>
      <c r="T39" s="434">
        <f t="shared" si="51"/>
        <v>0</v>
      </c>
      <c r="U39" s="434">
        <f t="shared" si="2"/>
        <v>0</v>
      </c>
      <c r="V39" s="434">
        <f t="shared" si="3"/>
        <v>0</v>
      </c>
      <c r="W39" s="434">
        <f t="shared" si="4"/>
        <v>0</v>
      </c>
      <c r="X39" s="434">
        <f t="shared" si="32"/>
        <v>0</v>
      </c>
      <c r="Y39" s="434">
        <f t="shared" si="33"/>
        <v>0</v>
      </c>
      <c r="Z39" s="435">
        <f t="shared" si="5"/>
        <v>0</v>
      </c>
      <c r="AA39" s="435">
        <f t="shared" si="6"/>
        <v>0</v>
      </c>
      <c r="AB39" s="436">
        <f t="shared" si="47"/>
        <v>0</v>
      </c>
      <c r="AC39" s="437">
        <f t="shared" si="34"/>
        <v>0</v>
      </c>
      <c r="AD39" s="438">
        <f t="shared" si="35"/>
        <v>0</v>
      </c>
      <c r="AE39" s="438">
        <f t="shared" si="36"/>
        <v>0</v>
      </c>
      <c r="AF39" s="439">
        <f t="shared" si="37"/>
        <v>0</v>
      </c>
      <c r="AG39" s="440">
        <f t="shared" si="38"/>
        <v>0</v>
      </c>
      <c r="AH39" s="441">
        <f>IF(AF39=0,0,VLOOKUP(AF39,FREQUENCIAS!$1:$1048576,(IF(($A39=FREQUENCIAS!$AF$1),32,"ERRO")),FREQUENCIAS!$1:$1048576))</f>
        <v>0</v>
      </c>
      <c r="AI39" s="441">
        <f>IF(AG39=0,0,VLOOKUP(AG39,FREQUENCIAS!$1:$1048576,(IF(($A39=FREQUENCIAS!$AF$1),32,"ERRO")),FREQUENCIAS!$1:$1048576))</f>
        <v>0</v>
      </c>
      <c r="AJ39" s="442"/>
      <c r="AK39" s="442"/>
      <c r="AL39" s="442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3">
        <f t="shared" si="9"/>
        <v>0</v>
      </c>
      <c r="AR39" s="328"/>
      <c r="AS39" s="125" t="str">
        <f t="shared" si="10"/>
        <v>MUTAÇÃO</v>
      </c>
      <c r="AT39" s="432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4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0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2" t="str">
        <f t="shared" si="12"/>
        <v/>
      </c>
      <c r="BP39" s="452">
        <f t="shared" si="13"/>
        <v>0</v>
      </c>
      <c r="BQ39" s="452">
        <f t="shared" si="14"/>
        <v>0</v>
      </c>
      <c r="BR39" s="453" t="str">
        <f t="shared" si="15"/>
        <v/>
      </c>
      <c r="BS39" s="453">
        <f t="shared" si="16"/>
        <v>0</v>
      </c>
      <c r="BT39" s="453">
        <f t="shared" si="17"/>
        <v>0</v>
      </c>
      <c r="BU39" s="454" t="str">
        <f t="shared" si="44"/>
        <v/>
      </c>
      <c r="BV39" s="454">
        <f t="shared" si="18"/>
        <v>0</v>
      </c>
      <c r="BW39" s="454">
        <f t="shared" si="19"/>
        <v>0</v>
      </c>
      <c r="BZ39" s="447">
        <v>17</v>
      </c>
      <c r="CA39" s="448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2">
        <f>'IMPORTAÇÃO GENOTIPER'!BO36</f>
        <v>0</v>
      </c>
      <c r="G40" s="432">
        <f>'IMPORTAÇÃO GENOTIPER'!BW36</f>
        <v>0</v>
      </c>
      <c r="H40" s="432">
        <f>'IMPORTAÇÃO GENOTIPER'!CE36</f>
        <v>0</v>
      </c>
      <c r="I40" s="432">
        <f>'IMPORTAÇÃO GENOTIPER'!CM36</f>
        <v>0</v>
      </c>
      <c r="J40" s="433">
        <f t="shared" si="52"/>
        <v>0</v>
      </c>
      <c r="K40" s="433">
        <f t="shared" si="52"/>
        <v>0</v>
      </c>
      <c r="L40" s="433">
        <f t="shared" si="52"/>
        <v>0</v>
      </c>
      <c r="M40" s="433">
        <f t="shared" si="30"/>
        <v>0</v>
      </c>
      <c r="N40" s="433">
        <f t="shared" si="53"/>
        <v>0</v>
      </c>
      <c r="O40" s="433">
        <f t="shared" si="53"/>
        <v>0</v>
      </c>
      <c r="P40" s="433">
        <f t="shared" si="53"/>
        <v>0</v>
      </c>
      <c r="Q40" s="433">
        <f t="shared" si="53"/>
        <v>0</v>
      </c>
      <c r="R40" s="434">
        <f t="shared" si="50"/>
        <v>0</v>
      </c>
      <c r="S40" s="434">
        <f t="shared" si="1"/>
        <v>0</v>
      </c>
      <c r="T40" s="434">
        <f t="shared" si="51"/>
        <v>0</v>
      </c>
      <c r="U40" s="434">
        <f t="shared" si="2"/>
        <v>0</v>
      </c>
      <c r="V40" s="434">
        <f t="shared" si="3"/>
        <v>0</v>
      </c>
      <c r="W40" s="434">
        <f t="shared" si="4"/>
        <v>0</v>
      </c>
      <c r="X40" s="434">
        <f t="shared" si="32"/>
        <v>0</v>
      </c>
      <c r="Y40" s="434">
        <f t="shared" si="33"/>
        <v>0</v>
      </c>
      <c r="Z40" s="435">
        <f t="shared" si="5"/>
        <v>0</v>
      </c>
      <c r="AA40" s="435">
        <f t="shared" si="6"/>
        <v>0</v>
      </c>
      <c r="AB40" s="436">
        <f t="shared" si="47"/>
        <v>0</v>
      </c>
      <c r="AC40" s="437">
        <f t="shared" si="34"/>
        <v>0</v>
      </c>
      <c r="AD40" s="438">
        <f t="shared" si="35"/>
        <v>0</v>
      </c>
      <c r="AE40" s="438">
        <f t="shared" si="36"/>
        <v>0</v>
      </c>
      <c r="AF40" s="439">
        <f t="shared" si="37"/>
        <v>0</v>
      </c>
      <c r="AG40" s="440">
        <f t="shared" si="38"/>
        <v>0</v>
      </c>
      <c r="AH40" s="441">
        <f>IF(AF40=0,0,VLOOKUP(AF40,FREQUENCIAS!$1:$1048576,(IF(($A40=FREQUENCIAS!$AG$1),33,"ERRO")),FREQUENCIAS!$1:$1048576))</f>
        <v>0</v>
      </c>
      <c r="AI40" s="441">
        <f>IF(AG40=0,0,VLOOKUP(AG40,FREQUENCIAS!$1:$1048576,(IF(($A40=FREQUENCIAS!$AG$1),33,"ERRO")),FREQUENCIAS!$1:$1048576))</f>
        <v>0</v>
      </c>
      <c r="AJ40" s="442"/>
      <c r="AK40" s="442"/>
      <c r="AL40" s="442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3">
        <f t="shared" si="9"/>
        <v>0</v>
      </c>
      <c r="AR40" s="328"/>
      <c r="AS40" s="125" t="str">
        <f t="shared" si="10"/>
        <v>MUTAÇÃO</v>
      </c>
      <c r="AT40" s="432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4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0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2" t="str">
        <f t="shared" si="12"/>
        <v/>
      </c>
      <c r="BP40" s="452">
        <f t="shared" si="13"/>
        <v>0</v>
      </c>
      <c r="BQ40" s="452">
        <f t="shared" si="14"/>
        <v>0</v>
      </c>
      <c r="BR40" s="453" t="str">
        <f t="shared" si="15"/>
        <v/>
      </c>
      <c r="BS40" s="453">
        <f t="shared" si="16"/>
        <v>0</v>
      </c>
      <c r="BT40" s="453">
        <f t="shared" si="17"/>
        <v>0</v>
      </c>
      <c r="BU40" s="454" t="str">
        <f t="shared" si="44"/>
        <v/>
      </c>
      <c r="BV40" s="454">
        <f t="shared" si="18"/>
        <v>0</v>
      </c>
      <c r="BW40" s="454">
        <f t="shared" si="19"/>
        <v>0</v>
      </c>
      <c r="BZ40" s="447">
        <v>17</v>
      </c>
      <c r="CA40" s="448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2">
        <f>'IMPORTAÇÃO GENOTIPER'!BO37</f>
        <v>0</v>
      </c>
      <c r="G41" s="432">
        <f>'IMPORTAÇÃO GENOTIPER'!BW37</f>
        <v>0</v>
      </c>
      <c r="H41" s="432">
        <f>'IMPORTAÇÃO GENOTIPER'!CE37</f>
        <v>0</v>
      </c>
      <c r="I41" s="432">
        <f>'IMPORTAÇÃO GENOTIPER'!CM37</f>
        <v>0</v>
      </c>
      <c r="J41" s="433">
        <f t="shared" si="52"/>
        <v>0</v>
      </c>
      <c r="K41" s="433">
        <f t="shared" si="52"/>
        <v>0</v>
      </c>
      <c r="L41" s="433">
        <f t="shared" si="52"/>
        <v>0</v>
      </c>
      <c r="M41" s="433">
        <f t="shared" si="30"/>
        <v>0</v>
      </c>
      <c r="N41" s="433">
        <f t="shared" si="53"/>
        <v>0</v>
      </c>
      <c r="O41" s="433">
        <f t="shared" si="53"/>
        <v>0</v>
      </c>
      <c r="P41" s="433">
        <f t="shared" si="53"/>
        <v>0</v>
      </c>
      <c r="Q41" s="433">
        <f t="shared" si="53"/>
        <v>0</v>
      </c>
      <c r="R41" s="434">
        <f t="shared" si="50"/>
        <v>0</v>
      </c>
      <c r="S41" s="434">
        <f t="shared" si="1"/>
        <v>0</v>
      </c>
      <c r="T41" s="434">
        <f t="shared" si="51"/>
        <v>0</v>
      </c>
      <c r="U41" s="434">
        <f t="shared" si="2"/>
        <v>0</v>
      </c>
      <c r="V41" s="434">
        <f t="shared" si="3"/>
        <v>0</v>
      </c>
      <c r="W41" s="434">
        <f t="shared" si="4"/>
        <v>0</v>
      </c>
      <c r="X41" s="434">
        <f t="shared" si="32"/>
        <v>0</v>
      </c>
      <c r="Y41" s="434">
        <f t="shared" si="33"/>
        <v>0</v>
      </c>
      <c r="Z41" s="435">
        <f t="shared" si="5"/>
        <v>0</v>
      </c>
      <c r="AA41" s="435">
        <f t="shared" si="6"/>
        <v>0</v>
      </c>
      <c r="AB41" s="436">
        <f t="shared" si="47"/>
        <v>0</v>
      </c>
      <c r="AC41" s="437">
        <f t="shared" si="34"/>
        <v>0</v>
      </c>
      <c r="AD41" s="438">
        <f t="shared" si="35"/>
        <v>0</v>
      </c>
      <c r="AE41" s="438">
        <f t="shared" si="36"/>
        <v>0</v>
      </c>
      <c r="AF41" s="439">
        <f t="shared" si="37"/>
        <v>0</v>
      </c>
      <c r="AG41" s="440">
        <f t="shared" si="38"/>
        <v>0</v>
      </c>
      <c r="AH41" s="441">
        <f>IF(AF41=0,0,VLOOKUP(AF41,FREQUENCIAS!$1:$1048576,(IF(($A41=FREQUENCIAS!$AH$1),34,"ERRO")),FREQUENCIAS!$1:$1048576))</f>
        <v>0</v>
      </c>
      <c r="AI41" s="441">
        <f>IF(AG41=0,0,VLOOKUP(AG41,FREQUENCIAS!$1:$1048576,(IF(($A41=FREQUENCIAS!$AH$1),34,"ERRO")),FREQUENCIAS!$1:$1048576))</f>
        <v>0</v>
      </c>
      <c r="AJ41" s="442"/>
      <c r="AK41" s="442"/>
      <c r="AL41" s="442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3">
        <f t="shared" si="9"/>
        <v>0</v>
      </c>
      <c r="AR41" s="328"/>
      <c r="AS41" s="125" t="str">
        <f t="shared" si="10"/>
        <v>MUTAÇÃO</v>
      </c>
      <c r="AT41" s="432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4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0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2" t="str">
        <f t="shared" si="12"/>
        <v/>
      </c>
      <c r="BP41" s="452">
        <f t="shared" si="13"/>
        <v>0</v>
      </c>
      <c r="BQ41" s="452">
        <f t="shared" si="14"/>
        <v>0</v>
      </c>
      <c r="BR41" s="453" t="str">
        <f t="shared" si="15"/>
        <v/>
      </c>
      <c r="BS41" s="453">
        <f t="shared" si="16"/>
        <v>0</v>
      </c>
      <c r="BT41" s="453">
        <f t="shared" si="17"/>
        <v>0</v>
      </c>
      <c r="BU41" s="454" t="str">
        <f t="shared" si="44"/>
        <v/>
      </c>
      <c r="BV41" s="454">
        <f t="shared" si="18"/>
        <v>0</v>
      </c>
      <c r="BW41" s="454">
        <f t="shared" si="19"/>
        <v>0</v>
      </c>
      <c r="BZ41" s="447">
        <v>17</v>
      </c>
      <c r="CA41" s="448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2">
        <f>'IMPORTAÇÃO GENOTIPER'!BO38</f>
        <v>0</v>
      </c>
      <c r="G42" s="432">
        <f>'IMPORTAÇÃO GENOTIPER'!BW38</f>
        <v>0</v>
      </c>
      <c r="H42" s="432">
        <f>'IMPORTAÇÃO GENOTIPER'!CE38</f>
        <v>0</v>
      </c>
      <c r="I42" s="432">
        <f>'IMPORTAÇÃO GENOTIPER'!CM38</f>
        <v>0</v>
      </c>
      <c r="J42" s="433">
        <f t="shared" ref="J42:L42" si="56">(IF(CODE(D42)=(60),($BL42-1),(IF(CODE(D42)=(62),($BM42+1),B42))))</f>
        <v>0</v>
      </c>
      <c r="K42" s="433">
        <f t="shared" si="56"/>
        <v>0</v>
      </c>
      <c r="L42" s="433">
        <f t="shared" si="56"/>
        <v>0</v>
      </c>
      <c r="M42" s="433">
        <f t="shared" si="30"/>
        <v>0</v>
      </c>
      <c r="N42" s="433">
        <f t="shared" ref="N42:Q42" si="57">(IF(CODE(H42)=(60),($BL42-1),(IF(CODE(H42)=(62),($BM42+1),F42))))</f>
        <v>0</v>
      </c>
      <c r="O42" s="433">
        <f t="shared" si="57"/>
        <v>0</v>
      </c>
      <c r="P42" s="433">
        <f t="shared" si="57"/>
        <v>0</v>
      </c>
      <c r="Q42" s="433">
        <f t="shared" si="57"/>
        <v>0</v>
      </c>
      <c r="R42" s="434">
        <f t="shared" si="50"/>
        <v>0</v>
      </c>
      <c r="S42" s="434">
        <f t="shared" si="1"/>
        <v>0</v>
      </c>
      <c r="T42" s="434">
        <f t="shared" si="51"/>
        <v>0</v>
      </c>
      <c r="U42" s="434">
        <f t="shared" si="2"/>
        <v>0</v>
      </c>
      <c r="V42" s="434">
        <f t="shared" si="3"/>
        <v>0</v>
      </c>
      <c r="W42" s="434">
        <f t="shared" si="4"/>
        <v>0</v>
      </c>
      <c r="X42" s="434">
        <f t="shared" si="32"/>
        <v>0</v>
      </c>
      <c r="Y42" s="434">
        <f t="shared" si="33"/>
        <v>0</v>
      </c>
      <c r="Z42" s="435">
        <f t="shared" si="5"/>
        <v>0</v>
      </c>
      <c r="AA42" s="435">
        <f t="shared" si="6"/>
        <v>0</v>
      </c>
      <c r="AB42" s="436">
        <f t="shared" si="47"/>
        <v>0</v>
      </c>
      <c r="AC42" s="437">
        <f t="shared" si="34"/>
        <v>0</v>
      </c>
      <c r="AD42" s="438">
        <f t="shared" si="35"/>
        <v>0</v>
      </c>
      <c r="AE42" s="438">
        <f t="shared" si="36"/>
        <v>0</v>
      </c>
      <c r="AF42" s="439">
        <f t="shared" si="37"/>
        <v>0</v>
      </c>
      <c r="AG42" s="440">
        <f t="shared" si="38"/>
        <v>0</v>
      </c>
      <c r="AH42" s="441">
        <f>IF(AF42=0,0,VLOOKUP(AF42,FREQUENCIAS!$1:$1048576,(IF(($A42=FREQUENCIAS!$AI$1),35,"ERRO")),FREQUENCIAS!$1:$1048576))</f>
        <v>0</v>
      </c>
      <c r="AI42" s="441">
        <f>IF(AG42=0,0,VLOOKUP(AG42,FREQUENCIAS!$1:$1048576,(IF(($A42=FREQUENCIAS!$AI$1),35,"ERRO")),FREQUENCIAS!$1:$1048576))</f>
        <v>0</v>
      </c>
      <c r="AJ42" s="442"/>
      <c r="AK42" s="442"/>
      <c r="AL42" s="442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3">
        <f>(IF((AND((BD42=1),($BD$43=1),($AS$43="MUT"))),0,((1-AM42)^2)))</f>
        <v>0</v>
      </c>
      <c r="AR42" s="328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MUTAÇÃO</v>
      </c>
      <c r="AT42" s="432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4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0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2" t="str">
        <f t="shared" si="12"/>
        <v/>
      </c>
      <c r="BP42" s="452">
        <f t="shared" si="13"/>
        <v>0</v>
      </c>
      <c r="BQ42" s="452">
        <f t="shared" si="14"/>
        <v>0</v>
      </c>
      <c r="BR42" s="453" t="str">
        <f t="shared" si="15"/>
        <v/>
      </c>
      <c r="BS42" s="453">
        <f t="shared" si="16"/>
        <v>0</v>
      </c>
      <c r="BT42" s="453">
        <f t="shared" si="17"/>
        <v>0</v>
      </c>
      <c r="BU42" s="454" t="str">
        <f t="shared" si="44"/>
        <v/>
      </c>
      <c r="BV42" s="454">
        <f t="shared" si="18"/>
        <v>0</v>
      </c>
      <c r="BW42" s="454">
        <f t="shared" si="19"/>
        <v>0</v>
      </c>
      <c r="BZ42" s="447">
        <v>17</v>
      </c>
      <c r="CA42" s="448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thickTop="1">
      <c r="A43" s="455"/>
      <c r="B43" s="456"/>
      <c r="C43" s="456"/>
      <c r="D43" s="456"/>
      <c r="E43" s="208"/>
      <c r="F43" s="208"/>
      <c r="G43" s="207" t="s">
        <v>319</v>
      </c>
      <c r="H43" s="869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1</v>
      </c>
      <c r="I43" s="869"/>
      <c r="J43" s="869"/>
      <c r="K43" s="869"/>
      <c r="L43" s="869"/>
      <c r="M43" s="869"/>
      <c r="N43" s="869"/>
      <c r="O43" s="869"/>
      <c r="P43" s="869"/>
      <c r="Q43" s="869"/>
      <c r="R43" s="869"/>
      <c r="S43" s="869"/>
      <c r="T43" s="869"/>
      <c r="U43" s="869"/>
      <c r="V43" s="869"/>
      <c r="W43" s="869"/>
      <c r="X43" s="869"/>
      <c r="Y43" s="869"/>
      <c r="Z43" s="869"/>
      <c r="AA43" s="869"/>
      <c r="AB43" s="869"/>
      <c r="AC43" s="869"/>
      <c r="AD43" s="869"/>
      <c r="AE43" s="869"/>
      <c r="AF43" s="869"/>
      <c r="AG43" s="869"/>
      <c r="AH43" s="869"/>
      <c r="AI43" s="869"/>
      <c r="AJ43" s="869"/>
      <c r="AK43" s="869"/>
      <c r="AL43" s="869"/>
      <c r="AM43" s="869"/>
      <c r="AN43" s="869"/>
      <c r="AO43" s="869"/>
      <c r="AP43" s="328"/>
      <c r="AQ43" s="804">
        <f>(IF((PRODUCT(AO9:AO42)&lt;&gt;0),((1-AQ9)*(1-AQ10)*(1-AQ11)*(1-AQ12)*(1-AQ13)*(1-AQ14)*(1-AQ15)*(1-AQ16)*(1-AQ17)*(1-AQ18)*(1-AQ19)*(1-AQ20)*(1-AQ21)*(1-AQ22)*(1-AQ23)*(1-AQ24)*(1-AQ25)*(1-AQ26)*(1-AQ27)*(1-AQ28)*(1-AQ29)*(1-AQ42)),$AP$23))</f>
        <v>1</v>
      </c>
      <c r="AR43" s="804"/>
      <c r="AS43" s="457" t="s">
        <v>320</v>
      </c>
      <c r="AT43" s="458"/>
      <c r="AX43" s="328" t="s">
        <v>241</v>
      </c>
      <c r="BD43" s="52">
        <f>SUM(BD9:BD42)</f>
        <v>0</v>
      </c>
      <c r="BI43" s="40">
        <f>(IF((AND(($BD$44="N"),($BD$46="O"))),PRODUCT(BI9:BI42),0))</f>
        <v>0</v>
      </c>
      <c r="BJ43" s="35">
        <f>SUM(BJ9:BJ42)</f>
        <v>0</v>
      </c>
    </row>
    <row r="44" spans="1:96" ht="13.2">
      <c r="A44" s="459"/>
      <c r="B44" s="460"/>
      <c r="C44" s="460"/>
      <c r="D44" s="460"/>
      <c r="E44" s="9"/>
      <c r="F44" s="9"/>
      <c r="G44" s="211" t="s">
        <v>321</v>
      </c>
      <c r="H44" s="870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0.5</v>
      </c>
      <c r="I44" s="870"/>
      <c r="J44" s="870"/>
      <c r="K44" s="870"/>
      <c r="L44" s="870"/>
      <c r="M44" s="870"/>
      <c r="N44" s="870"/>
      <c r="O44" s="870"/>
      <c r="P44" s="870"/>
      <c r="Q44" s="870"/>
      <c r="R44" s="870"/>
      <c r="S44" s="870"/>
      <c r="T44" s="870"/>
      <c r="U44" s="870"/>
      <c r="V44" s="870"/>
      <c r="W44" s="870"/>
      <c r="X44" s="870"/>
      <c r="Y44" s="870"/>
      <c r="Z44" s="870"/>
      <c r="AA44" s="870"/>
      <c r="AB44" s="870"/>
      <c r="AC44" s="870"/>
      <c r="AD44" s="870"/>
      <c r="AE44" s="870"/>
      <c r="AF44" s="870"/>
      <c r="AG44" s="870"/>
      <c r="AH44" s="870"/>
      <c r="AI44" s="870"/>
      <c r="AJ44" s="870"/>
      <c r="AK44" s="870"/>
      <c r="AL44" s="870"/>
      <c r="AM44" s="870"/>
      <c r="AN44" s="870"/>
      <c r="AO44" s="871"/>
      <c r="AP44" s="461"/>
      <c r="AQ44" s="461"/>
      <c r="AR44" s="461"/>
      <c r="AS44" s="461"/>
      <c r="AT44" s="462"/>
      <c r="AX44" s="1" t="s">
        <v>322</v>
      </c>
      <c r="BD44" s="300" t="s">
        <v>102</v>
      </c>
      <c r="BE44" s="47" t="s">
        <v>124</v>
      </c>
    </row>
    <row r="45" spans="1:96" ht="13.2">
      <c r="A45" s="459"/>
      <c r="B45" s="460"/>
      <c r="C45" s="460"/>
      <c r="D45" s="460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70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0</v>
      </c>
      <c r="I45" s="872"/>
      <c r="J45" s="872"/>
      <c r="K45" s="872"/>
      <c r="L45" s="872"/>
      <c r="M45" s="872"/>
      <c r="N45" s="872"/>
      <c r="O45" s="872"/>
      <c r="P45" s="872"/>
      <c r="Q45" s="872"/>
      <c r="R45" s="872"/>
      <c r="S45" s="872"/>
      <c r="T45" s="872"/>
      <c r="U45" s="872"/>
      <c r="V45" s="872"/>
      <c r="W45" s="872"/>
      <c r="X45" s="872"/>
      <c r="Y45" s="872"/>
      <c r="Z45" s="872"/>
      <c r="AA45" s="872"/>
      <c r="AB45" s="872"/>
      <c r="AC45" s="872"/>
      <c r="AD45" s="872"/>
      <c r="AE45" s="872"/>
      <c r="AF45" s="872"/>
      <c r="AG45" s="872"/>
      <c r="AH45" s="872"/>
      <c r="AI45" s="872"/>
      <c r="AJ45" s="872"/>
      <c r="AK45" s="872"/>
      <c r="AL45" s="872"/>
      <c r="AM45" s="872"/>
      <c r="AN45" s="872"/>
      <c r="AO45" s="873"/>
      <c r="AP45" s="414"/>
      <c r="AQ45" s="414"/>
      <c r="AR45" s="414"/>
      <c r="AS45" s="414"/>
      <c r="AT45" s="463"/>
      <c r="BD45" s="301" t="s">
        <v>104</v>
      </c>
      <c r="BE45" s="47" t="s">
        <v>125</v>
      </c>
    </row>
    <row r="46" spans="1:96" thickBot="1">
      <c r="A46" s="459"/>
      <c r="B46" s="460"/>
      <c r="C46" s="460"/>
      <c r="D46" s="460"/>
      <c r="E46" s="9"/>
      <c r="F46" s="9"/>
      <c r="G46" s="211" t="s">
        <v>323</v>
      </c>
      <c r="H46" s="46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PATERNIDADE REMOTA</v>
      </c>
      <c r="I46" s="211"/>
      <c r="J46" s="9"/>
      <c r="K46" s="9"/>
      <c r="L46" s="9"/>
      <c r="M46" s="9"/>
      <c r="N46" s="9"/>
      <c r="O46" s="9"/>
      <c r="P46" s="9"/>
      <c r="Q46" s="9"/>
      <c r="R46" s="460"/>
      <c r="S46" s="460"/>
      <c r="T46" s="460"/>
      <c r="U46" s="460"/>
      <c r="V46" s="460"/>
      <c r="W46" s="460"/>
      <c r="X46" s="460"/>
      <c r="Y46" s="460"/>
      <c r="Z46" s="460"/>
      <c r="AA46" s="460"/>
      <c r="AB46" s="460"/>
      <c r="AC46" s="460"/>
      <c r="AD46" s="460"/>
      <c r="AE46" s="460"/>
      <c r="AF46" s="460"/>
      <c r="AG46" s="460"/>
      <c r="AH46" s="460"/>
      <c r="AI46" s="460"/>
      <c r="AJ46" s="460"/>
      <c r="AK46" s="460"/>
      <c r="AL46" s="460"/>
      <c r="AM46" s="212"/>
      <c r="AN46" s="212"/>
      <c r="AO46" s="213"/>
      <c r="AP46" s="328"/>
      <c r="AQ46" s="328"/>
      <c r="AR46" s="328"/>
      <c r="AS46" s="41"/>
      <c r="AT46" s="465"/>
      <c r="BD46" s="301"/>
      <c r="BE46" s="47" t="s">
        <v>96</v>
      </c>
    </row>
    <row r="47" spans="1:96" ht="13.5" customHeight="1" thickTop="1">
      <c r="A47" s="784" t="s">
        <v>324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5"/>
      <c r="AO47" s="785"/>
      <c r="AP47" s="785"/>
      <c r="AQ47" s="785"/>
      <c r="AR47" s="785"/>
      <c r="AS47" s="785"/>
      <c r="AT47" s="786"/>
    </row>
    <row r="48" spans="1:96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8"/>
      <c r="AO48" s="788"/>
      <c r="AP48" s="788"/>
      <c r="AQ48" s="788"/>
      <c r="AR48" s="788"/>
      <c r="AS48" s="788"/>
      <c r="AT48" s="789"/>
    </row>
    <row r="49" spans="1:80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8"/>
      <c r="AO49" s="788"/>
      <c r="AP49" s="788"/>
      <c r="AQ49" s="788"/>
      <c r="AR49" s="788"/>
      <c r="AS49" s="788"/>
      <c r="AT49" s="789"/>
    </row>
    <row r="50" spans="1:80" ht="12" customHeight="1" thickBot="1">
      <c r="A50" s="787"/>
      <c r="B50" s="788"/>
      <c r="C50" s="788"/>
      <c r="D50" s="788"/>
      <c r="E50" s="788"/>
      <c r="F50" s="788"/>
      <c r="G50" s="788"/>
      <c r="H50" s="788"/>
      <c r="I50" s="788"/>
      <c r="J50" s="788"/>
      <c r="K50" s="788"/>
      <c r="L50" s="788"/>
      <c r="M50" s="788"/>
      <c r="N50" s="788"/>
      <c r="O50" s="788"/>
      <c r="P50" s="788"/>
      <c r="Q50" s="788"/>
      <c r="R50" s="788"/>
      <c r="S50" s="788"/>
      <c r="T50" s="788"/>
      <c r="U50" s="788"/>
      <c r="V50" s="788"/>
      <c r="W50" s="788"/>
      <c r="X50" s="788"/>
      <c r="Y50" s="788"/>
      <c r="Z50" s="788"/>
      <c r="AA50" s="788"/>
      <c r="AB50" s="788"/>
      <c r="AC50" s="788"/>
      <c r="AD50" s="788"/>
      <c r="AE50" s="788"/>
      <c r="AF50" s="788"/>
      <c r="AG50" s="788"/>
      <c r="AH50" s="788"/>
      <c r="AI50" s="788"/>
      <c r="AJ50" s="788"/>
      <c r="AK50" s="788"/>
      <c r="AL50" s="788"/>
      <c r="AM50" s="788"/>
      <c r="AN50" s="788"/>
      <c r="AO50" s="788"/>
      <c r="AP50" s="788"/>
      <c r="AQ50" s="788"/>
      <c r="AR50" s="788"/>
      <c r="AS50" s="788"/>
      <c r="AT50" s="789"/>
    </row>
    <row r="51" spans="1:80" ht="12" hidden="1" customHeight="1" thickTop="1" thickBot="1">
      <c r="A51" s="466" t="s">
        <v>325</v>
      </c>
      <c r="B51" s="467"/>
      <c r="C51" s="468"/>
      <c r="D51" s="467"/>
      <c r="E51" s="467"/>
      <c r="F51" s="467"/>
      <c r="G51" s="467"/>
      <c r="H51" s="467"/>
      <c r="I51" s="467"/>
      <c r="J51" s="467"/>
      <c r="K51" s="467"/>
      <c r="L51" s="467"/>
      <c r="M51" s="467"/>
      <c r="N51" s="467"/>
      <c r="O51" s="467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67"/>
      <c r="AC51" s="467"/>
      <c r="AD51" s="467"/>
      <c r="AE51" s="467"/>
      <c r="AF51" s="467"/>
      <c r="AG51" s="467"/>
      <c r="AH51" s="467"/>
      <c r="AI51" s="467"/>
      <c r="AJ51" s="467"/>
      <c r="AK51" s="467"/>
      <c r="AL51" s="467"/>
      <c r="AM51" s="467"/>
      <c r="AN51" s="467"/>
      <c r="AO51" s="467"/>
      <c r="AP51" s="469"/>
      <c r="AQ51" s="469"/>
      <c r="AR51" s="469"/>
      <c r="AS51" s="467"/>
      <c r="AT51" s="470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1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72"/>
      <c r="B53" s="10"/>
      <c r="C53" s="47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4"/>
      <c r="AN53" s="475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76"/>
      <c r="B54" s="16"/>
      <c r="C54" s="477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78">
        <f ca="1">TODAY()</f>
        <v>45709</v>
      </c>
      <c r="B55" s="879"/>
      <c r="C55" s="879"/>
      <c r="D55" s="879"/>
      <c r="E55" s="879"/>
      <c r="F55" s="879"/>
      <c r="G55" s="879"/>
      <c r="H55" s="879"/>
      <c r="I55" s="879"/>
      <c r="J55" s="879"/>
      <c r="K55" s="879"/>
      <c r="L55" s="879"/>
      <c r="M55" s="879"/>
      <c r="N55" s="879"/>
      <c r="O55" s="879"/>
      <c r="P55" s="879"/>
      <c r="Q55" s="879"/>
      <c r="R55" s="879"/>
      <c r="S55" s="879"/>
      <c r="T55" s="879"/>
      <c r="U55" s="879"/>
      <c r="V55" s="879"/>
      <c r="W55" s="879"/>
      <c r="X55" s="879"/>
      <c r="Y55" s="879"/>
      <c r="Z55" s="879"/>
      <c r="AA55" s="879"/>
      <c r="AB55" s="879"/>
      <c r="AC55" s="879"/>
      <c r="AD55" s="879"/>
      <c r="AE55" s="879"/>
      <c r="AF55" s="879"/>
      <c r="AG55" s="879"/>
      <c r="AH55" s="879"/>
      <c r="AI55" s="879"/>
      <c r="AJ55" s="879"/>
      <c r="AK55" s="879"/>
      <c r="AL55" s="879"/>
      <c r="AM55" s="879"/>
      <c r="AN55" s="879"/>
      <c r="AO55" s="879"/>
      <c r="AP55" s="879"/>
      <c r="AQ55" s="879"/>
      <c r="AR55" s="879"/>
      <c r="AS55" s="879"/>
      <c r="AT55" s="880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81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  <c r="AG58" s="882"/>
      <c r="AH58" s="882"/>
      <c r="AI58" s="882"/>
      <c r="AJ58" s="882"/>
      <c r="AK58" s="882"/>
      <c r="AL58" s="882"/>
      <c r="AM58" s="882"/>
      <c r="AN58" s="882"/>
      <c r="AO58" s="882"/>
      <c r="AP58" s="882"/>
      <c r="AQ58" s="882"/>
      <c r="AR58" s="882"/>
      <c r="AS58" s="882"/>
      <c r="AT58" s="883"/>
    </row>
    <row r="59" spans="1:80" ht="11.1" customHeight="1">
      <c r="A59" s="827" t="s">
        <v>326</v>
      </c>
      <c r="B59" s="828"/>
      <c r="C59" s="828"/>
      <c r="D59" s="828"/>
      <c r="E59" s="828"/>
      <c r="F59" s="828"/>
      <c r="G59" s="828"/>
      <c r="H59" s="828"/>
      <c r="I59" s="828"/>
      <c r="J59" s="828"/>
      <c r="K59" s="828"/>
      <c r="L59" s="828"/>
      <c r="M59" s="828"/>
      <c r="N59" s="828"/>
      <c r="O59" s="828"/>
      <c r="P59" s="828"/>
      <c r="Q59" s="828"/>
      <c r="R59" s="828"/>
      <c r="S59" s="828"/>
      <c r="T59" s="828"/>
      <c r="U59" s="828"/>
      <c r="V59" s="828"/>
      <c r="W59" s="828"/>
      <c r="X59" s="828"/>
      <c r="Y59" s="828"/>
      <c r="Z59" s="828"/>
      <c r="AA59" s="828"/>
      <c r="AB59" s="828"/>
      <c r="AC59" s="828"/>
      <c r="AD59" s="828"/>
      <c r="AE59" s="828"/>
      <c r="AF59" s="828"/>
      <c r="AG59" s="828"/>
      <c r="AH59" s="828"/>
      <c r="AI59" s="828"/>
      <c r="AJ59" s="828"/>
      <c r="AK59" s="828"/>
      <c r="AL59" s="828"/>
      <c r="AM59" s="828"/>
      <c r="AN59" s="828"/>
      <c r="AO59" s="828"/>
      <c r="AP59" s="828"/>
      <c r="AQ59" s="828"/>
      <c r="AR59" s="828"/>
      <c r="AS59" s="828"/>
      <c r="AT59" s="829"/>
      <c r="BF59" s="2"/>
      <c r="BG59" s="2"/>
      <c r="BL59" s="1"/>
      <c r="BM59" s="1"/>
    </row>
    <row r="60" spans="1:80" ht="11.1" customHeight="1">
      <c r="A60" s="824" t="s">
        <v>242</v>
      </c>
      <c r="B60" s="825"/>
      <c r="C60" s="825"/>
      <c r="D60" s="825"/>
      <c r="E60" s="825"/>
      <c r="F60" s="825"/>
      <c r="G60" s="825"/>
      <c r="H60" s="825"/>
      <c r="I60" s="825"/>
      <c r="J60" s="825"/>
      <c r="K60" s="825"/>
      <c r="L60" s="825"/>
      <c r="M60" s="825"/>
      <c r="N60" s="825"/>
      <c r="O60" s="825"/>
      <c r="P60" s="825"/>
      <c r="Q60" s="825"/>
      <c r="R60" s="825"/>
      <c r="S60" s="825"/>
      <c r="T60" s="825"/>
      <c r="U60" s="825"/>
      <c r="V60" s="825"/>
      <c r="W60" s="825"/>
      <c r="X60" s="825"/>
      <c r="Y60" s="825"/>
      <c r="Z60" s="825"/>
      <c r="AA60" s="825"/>
      <c r="AB60" s="825"/>
      <c r="AC60" s="825"/>
      <c r="AD60" s="825"/>
      <c r="AE60" s="825"/>
      <c r="AF60" s="825"/>
      <c r="AG60" s="825"/>
      <c r="AH60" s="825"/>
      <c r="AI60" s="825"/>
      <c r="AJ60" s="825"/>
      <c r="AK60" s="825"/>
      <c r="AL60" s="825"/>
      <c r="AM60" s="825"/>
      <c r="AN60" s="825"/>
      <c r="AO60" s="825"/>
      <c r="AP60" s="825"/>
      <c r="AQ60" s="825"/>
      <c r="AR60" s="825"/>
      <c r="AS60" s="825"/>
      <c r="AT60" s="826"/>
      <c r="BF60" s="2"/>
      <c r="BG60" s="2"/>
      <c r="BL60" s="1"/>
      <c r="BM60" s="1"/>
    </row>
    <row r="61" spans="1:80" ht="11.1" hidden="1" customHeight="1">
      <c r="A61" s="824"/>
      <c r="B61" s="825"/>
      <c r="C61" s="825"/>
      <c r="D61" s="825"/>
      <c r="E61" s="825"/>
      <c r="F61" s="825"/>
      <c r="G61" s="825"/>
      <c r="H61" s="825"/>
      <c r="I61" s="825"/>
      <c r="J61" s="825"/>
      <c r="K61" s="825"/>
      <c r="L61" s="825"/>
      <c r="M61" s="825"/>
      <c r="N61" s="825"/>
      <c r="O61" s="825"/>
      <c r="P61" s="825"/>
      <c r="Q61" s="825"/>
      <c r="R61" s="825"/>
      <c r="S61" s="825"/>
      <c r="T61" s="825"/>
      <c r="U61" s="825"/>
      <c r="V61" s="825"/>
      <c r="W61" s="825"/>
      <c r="X61" s="825"/>
      <c r="Y61" s="825"/>
      <c r="Z61" s="825"/>
      <c r="AA61" s="825"/>
      <c r="AB61" s="825"/>
      <c r="AC61" s="825"/>
      <c r="AD61" s="825"/>
      <c r="AE61" s="825"/>
      <c r="AF61" s="825"/>
      <c r="AG61" s="825"/>
      <c r="AH61" s="825"/>
      <c r="AI61" s="825"/>
      <c r="AJ61" s="825"/>
      <c r="AK61" s="825"/>
      <c r="AL61" s="825"/>
      <c r="AM61" s="825"/>
      <c r="AN61" s="825"/>
      <c r="AO61" s="825"/>
      <c r="AP61" s="825"/>
      <c r="AQ61" s="825"/>
      <c r="AR61" s="825"/>
      <c r="AS61" s="825"/>
      <c r="AT61" s="826"/>
      <c r="BF61" s="2"/>
      <c r="BG61" s="2"/>
      <c r="BL61" s="1"/>
      <c r="BM61" s="1"/>
    </row>
    <row r="62" spans="1:80" ht="11.1" customHeight="1" thickBot="1">
      <c r="A62" s="866" t="s">
        <v>327</v>
      </c>
      <c r="B62" s="822"/>
      <c r="C62" s="822"/>
      <c r="D62" s="822"/>
      <c r="E62" s="822"/>
      <c r="F62" s="822"/>
      <c r="G62" s="822"/>
      <c r="H62" s="822"/>
      <c r="I62" s="822"/>
      <c r="J62" s="822"/>
      <c r="K62" s="822"/>
      <c r="L62" s="822"/>
      <c r="M62" s="822"/>
      <c r="N62" s="822"/>
      <c r="O62" s="822"/>
      <c r="P62" s="822"/>
      <c r="Q62" s="822"/>
      <c r="R62" s="822"/>
      <c r="S62" s="822"/>
      <c r="T62" s="822"/>
      <c r="U62" s="822"/>
      <c r="V62" s="822"/>
      <c r="W62" s="822"/>
      <c r="X62" s="822"/>
      <c r="Y62" s="822"/>
      <c r="Z62" s="822"/>
      <c r="AA62" s="822"/>
      <c r="AB62" s="822"/>
      <c r="AC62" s="822"/>
      <c r="AD62" s="822"/>
      <c r="AE62" s="822"/>
      <c r="AF62" s="822"/>
      <c r="AG62" s="822"/>
      <c r="AH62" s="822"/>
      <c r="AI62" s="822"/>
      <c r="AJ62" s="822"/>
      <c r="AK62" s="822"/>
      <c r="AL62" s="822"/>
      <c r="AM62" s="822"/>
      <c r="AN62" s="822"/>
      <c r="AO62" s="822"/>
      <c r="AP62" s="822"/>
      <c r="AQ62" s="822"/>
      <c r="AR62" s="822"/>
      <c r="AS62" s="822"/>
      <c r="AT62" s="823"/>
      <c r="BF62" s="2"/>
      <c r="BG62" s="2"/>
      <c r="BL62" s="1"/>
      <c r="BM62" s="1"/>
    </row>
    <row r="63" spans="1:80" ht="21.75" customHeight="1" thickTop="1">
      <c r="A63" s="478" t="s">
        <v>195</v>
      </c>
      <c r="B63" s="478" t="s">
        <v>197</v>
      </c>
      <c r="C63" s="478" t="s">
        <v>198</v>
      </c>
      <c r="D63" s="478" t="s">
        <v>199</v>
      </c>
      <c r="E63" s="478" t="s">
        <v>200</v>
      </c>
      <c r="F63" s="478" t="s">
        <v>201</v>
      </c>
      <c r="G63" s="478"/>
      <c r="H63" s="478"/>
      <c r="I63" s="478"/>
      <c r="J63" s="478"/>
      <c r="K63" s="478"/>
      <c r="L63" s="478"/>
      <c r="M63" s="478"/>
      <c r="N63" s="478"/>
      <c r="O63" s="478"/>
      <c r="P63" s="478"/>
      <c r="Q63" s="478"/>
      <c r="R63" s="478"/>
      <c r="S63" s="478"/>
      <c r="T63" s="478"/>
      <c r="U63" s="478"/>
      <c r="V63" s="478"/>
      <c r="W63" s="478"/>
      <c r="X63" s="478"/>
      <c r="Y63" s="478"/>
      <c r="Z63" s="478"/>
      <c r="AA63" s="478"/>
      <c r="AB63" s="478"/>
      <c r="AC63" s="478"/>
      <c r="AD63" s="478"/>
      <c r="AE63" s="478"/>
      <c r="AF63" s="478"/>
      <c r="AG63" s="478"/>
      <c r="AH63" s="478"/>
      <c r="AI63" s="479"/>
      <c r="AJ63" s="479"/>
      <c r="AK63" s="479"/>
      <c r="AL63" s="479"/>
      <c r="AM63" s="480"/>
      <c r="AN63" s="481"/>
      <c r="AT63" s="482" t="s">
        <v>195</v>
      </c>
    </row>
    <row r="64" spans="1:80" ht="10.5" customHeight="1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3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3.2"/>
  <cols>
    <col min="1" max="1" width="11.6640625" style="136" customWidth="1"/>
    <col min="2" max="6" width="5.6640625" style="136" customWidth="1"/>
    <col min="7" max="7" width="5.44140625" style="136" customWidth="1"/>
    <col min="8" max="8" width="4.44140625" style="136" hidden="1" customWidth="1"/>
    <col min="9" max="9" width="4.88671875" style="136" hidden="1" customWidth="1"/>
    <col min="10" max="10" width="6" style="136" hidden="1" customWidth="1"/>
    <col min="11" max="12" width="4.44140625" style="136" hidden="1" customWidth="1"/>
    <col min="13" max="13" width="0.109375" style="136" hidden="1" customWidth="1"/>
    <col min="14" max="14" width="9.88671875" style="136" hidden="1" customWidth="1"/>
    <col min="15" max="15" width="10.44140625" style="136" hidden="1" customWidth="1"/>
    <col min="16" max="16" width="9.109375" style="136" hidden="1" customWidth="1"/>
    <col min="17" max="17" width="12.88671875" style="136" hidden="1" customWidth="1"/>
    <col min="18" max="18" width="11.44140625" style="136" hidden="1" customWidth="1"/>
    <col min="19" max="19" width="10" style="136" hidden="1" customWidth="1"/>
    <col min="20" max="20" width="12" style="136" hidden="1" customWidth="1"/>
    <col min="21" max="21" width="13.44140625" style="136" hidden="1" customWidth="1"/>
    <col min="22" max="22" width="12.44140625" style="136" hidden="1" customWidth="1"/>
    <col min="23" max="23" width="13" style="136" hidden="1" customWidth="1"/>
    <col min="24" max="24" width="13.88671875" style="136" hidden="1" customWidth="1"/>
    <col min="25" max="25" width="14.33203125" style="136" hidden="1" customWidth="1"/>
    <col min="26" max="26" width="0.109375" style="136" customWidth="1"/>
    <col min="27" max="27" width="7.44140625" style="136" customWidth="1"/>
    <col min="28" max="28" width="7.6640625" style="136" customWidth="1"/>
    <col min="29" max="29" width="7.44140625" style="136" customWidth="1"/>
    <col min="30" max="30" width="20.109375" style="136" hidden="1" customWidth="1"/>
    <col min="31" max="31" width="18.33203125" style="136" hidden="1" customWidth="1"/>
    <col min="32" max="32" width="0.109375" style="136" customWidth="1"/>
    <col min="33" max="33" width="14.88671875" style="136" customWidth="1"/>
    <col min="34" max="34" width="0.109375" style="136" customWidth="1"/>
    <col min="35" max="35" width="9.33203125" style="136" customWidth="1"/>
    <col min="36" max="256" width="9.109375" style="136"/>
    <col min="257" max="257" width="11.6640625" style="136" customWidth="1"/>
    <col min="258" max="262" width="5.6640625" style="136" customWidth="1"/>
    <col min="263" max="263" width="5.44140625" style="136" customWidth="1"/>
    <col min="264" max="282" width="0" style="136" hidden="1" customWidth="1"/>
    <col min="283" max="283" width="7.44140625" style="136" customWidth="1"/>
    <col min="284" max="284" width="7.6640625" style="136" customWidth="1"/>
    <col min="285" max="285" width="7.44140625" style="136" customWidth="1"/>
    <col min="286" max="288" width="0" style="136" hidden="1" customWidth="1"/>
    <col min="289" max="289" width="14.88671875" style="136" customWidth="1"/>
    <col min="290" max="291" width="0" style="136" hidden="1" customWidth="1"/>
    <col min="292" max="512" width="9.109375" style="136"/>
    <col min="513" max="513" width="11.6640625" style="136" customWidth="1"/>
    <col min="514" max="518" width="5.6640625" style="136" customWidth="1"/>
    <col min="519" max="519" width="5.44140625" style="136" customWidth="1"/>
    <col min="520" max="538" width="0" style="136" hidden="1" customWidth="1"/>
    <col min="539" max="539" width="7.44140625" style="136" customWidth="1"/>
    <col min="540" max="540" width="7.6640625" style="136" customWidth="1"/>
    <col min="541" max="541" width="7.44140625" style="136" customWidth="1"/>
    <col min="542" max="544" width="0" style="136" hidden="1" customWidth="1"/>
    <col min="545" max="545" width="14.88671875" style="136" customWidth="1"/>
    <col min="546" max="547" width="0" style="136" hidden="1" customWidth="1"/>
    <col min="548" max="768" width="9.109375" style="136"/>
    <col min="769" max="769" width="11.6640625" style="136" customWidth="1"/>
    <col min="770" max="774" width="5.6640625" style="136" customWidth="1"/>
    <col min="775" max="775" width="5.44140625" style="136" customWidth="1"/>
    <col min="776" max="794" width="0" style="136" hidden="1" customWidth="1"/>
    <col min="795" max="795" width="7.44140625" style="136" customWidth="1"/>
    <col min="796" max="796" width="7.6640625" style="136" customWidth="1"/>
    <col min="797" max="797" width="7.44140625" style="136" customWidth="1"/>
    <col min="798" max="800" width="0" style="136" hidden="1" customWidth="1"/>
    <col min="801" max="801" width="14.88671875" style="136" customWidth="1"/>
    <col min="802" max="803" width="0" style="136" hidden="1" customWidth="1"/>
    <col min="804" max="1024" width="9.109375" style="136"/>
    <col min="1025" max="1025" width="11.6640625" style="136" customWidth="1"/>
    <col min="1026" max="1030" width="5.6640625" style="136" customWidth="1"/>
    <col min="1031" max="1031" width="5.44140625" style="136" customWidth="1"/>
    <col min="1032" max="1050" width="0" style="136" hidden="1" customWidth="1"/>
    <col min="1051" max="1051" width="7.44140625" style="136" customWidth="1"/>
    <col min="1052" max="1052" width="7.6640625" style="136" customWidth="1"/>
    <col min="1053" max="1053" width="7.44140625" style="136" customWidth="1"/>
    <col min="1054" max="1056" width="0" style="136" hidden="1" customWidth="1"/>
    <col min="1057" max="1057" width="14.88671875" style="136" customWidth="1"/>
    <col min="1058" max="1059" width="0" style="136" hidden="1" customWidth="1"/>
    <col min="1060" max="1280" width="9.109375" style="136"/>
    <col min="1281" max="1281" width="11.6640625" style="136" customWidth="1"/>
    <col min="1282" max="1286" width="5.6640625" style="136" customWidth="1"/>
    <col min="1287" max="1287" width="5.44140625" style="136" customWidth="1"/>
    <col min="1288" max="1306" width="0" style="136" hidden="1" customWidth="1"/>
    <col min="1307" max="1307" width="7.44140625" style="136" customWidth="1"/>
    <col min="1308" max="1308" width="7.6640625" style="136" customWidth="1"/>
    <col min="1309" max="1309" width="7.44140625" style="136" customWidth="1"/>
    <col min="1310" max="1312" width="0" style="136" hidden="1" customWidth="1"/>
    <col min="1313" max="1313" width="14.88671875" style="136" customWidth="1"/>
    <col min="1314" max="1315" width="0" style="136" hidden="1" customWidth="1"/>
    <col min="1316" max="1536" width="9.109375" style="136"/>
    <col min="1537" max="1537" width="11.6640625" style="136" customWidth="1"/>
    <col min="1538" max="1542" width="5.6640625" style="136" customWidth="1"/>
    <col min="1543" max="1543" width="5.44140625" style="136" customWidth="1"/>
    <col min="1544" max="1562" width="0" style="136" hidden="1" customWidth="1"/>
    <col min="1563" max="1563" width="7.44140625" style="136" customWidth="1"/>
    <col min="1564" max="1564" width="7.6640625" style="136" customWidth="1"/>
    <col min="1565" max="1565" width="7.44140625" style="136" customWidth="1"/>
    <col min="1566" max="1568" width="0" style="136" hidden="1" customWidth="1"/>
    <col min="1569" max="1569" width="14.88671875" style="136" customWidth="1"/>
    <col min="1570" max="1571" width="0" style="136" hidden="1" customWidth="1"/>
    <col min="1572" max="1792" width="9.109375" style="136"/>
    <col min="1793" max="1793" width="11.6640625" style="136" customWidth="1"/>
    <col min="1794" max="1798" width="5.6640625" style="136" customWidth="1"/>
    <col min="1799" max="1799" width="5.44140625" style="136" customWidth="1"/>
    <col min="1800" max="1818" width="0" style="136" hidden="1" customWidth="1"/>
    <col min="1819" max="1819" width="7.44140625" style="136" customWidth="1"/>
    <col min="1820" max="1820" width="7.6640625" style="136" customWidth="1"/>
    <col min="1821" max="1821" width="7.44140625" style="136" customWidth="1"/>
    <col min="1822" max="1824" width="0" style="136" hidden="1" customWidth="1"/>
    <col min="1825" max="1825" width="14.88671875" style="136" customWidth="1"/>
    <col min="1826" max="1827" width="0" style="136" hidden="1" customWidth="1"/>
    <col min="1828" max="2048" width="9.109375" style="136"/>
    <col min="2049" max="2049" width="11.6640625" style="136" customWidth="1"/>
    <col min="2050" max="2054" width="5.6640625" style="136" customWidth="1"/>
    <col min="2055" max="2055" width="5.44140625" style="136" customWidth="1"/>
    <col min="2056" max="2074" width="0" style="136" hidden="1" customWidth="1"/>
    <col min="2075" max="2075" width="7.44140625" style="136" customWidth="1"/>
    <col min="2076" max="2076" width="7.6640625" style="136" customWidth="1"/>
    <col min="2077" max="2077" width="7.44140625" style="136" customWidth="1"/>
    <col min="2078" max="2080" width="0" style="136" hidden="1" customWidth="1"/>
    <col min="2081" max="2081" width="14.88671875" style="136" customWidth="1"/>
    <col min="2082" max="2083" width="0" style="136" hidden="1" customWidth="1"/>
    <col min="2084" max="2304" width="9.109375" style="136"/>
    <col min="2305" max="2305" width="11.6640625" style="136" customWidth="1"/>
    <col min="2306" max="2310" width="5.6640625" style="136" customWidth="1"/>
    <col min="2311" max="2311" width="5.44140625" style="136" customWidth="1"/>
    <col min="2312" max="2330" width="0" style="136" hidden="1" customWidth="1"/>
    <col min="2331" max="2331" width="7.44140625" style="136" customWidth="1"/>
    <col min="2332" max="2332" width="7.6640625" style="136" customWidth="1"/>
    <col min="2333" max="2333" width="7.44140625" style="136" customWidth="1"/>
    <col min="2334" max="2336" width="0" style="136" hidden="1" customWidth="1"/>
    <col min="2337" max="2337" width="14.88671875" style="136" customWidth="1"/>
    <col min="2338" max="2339" width="0" style="136" hidden="1" customWidth="1"/>
    <col min="2340" max="2560" width="9.109375" style="136"/>
    <col min="2561" max="2561" width="11.6640625" style="136" customWidth="1"/>
    <col min="2562" max="2566" width="5.6640625" style="136" customWidth="1"/>
    <col min="2567" max="2567" width="5.44140625" style="136" customWidth="1"/>
    <col min="2568" max="2586" width="0" style="136" hidden="1" customWidth="1"/>
    <col min="2587" max="2587" width="7.44140625" style="136" customWidth="1"/>
    <col min="2588" max="2588" width="7.6640625" style="136" customWidth="1"/>
    <col min="2589" max="2589" width="7.44140625" style="136" customWidth="1"/>
    <col min="2590" max="2592" width="0" style="136" hidden="1" customWidth="1"/>
    <col min="2593" max="2593" width="14.88671875" style="136" customWidth="1"/>
    <col min="2594" max="2595" width="0" style="136" hidden="1" customWidth="1"/>
    <col min="2596" max="2816" width="9.109375" style="136"/>
    <col min="2817" max="2817" width="11.6640625" style="136" customWidth="1"/>
    <col min="2818" max="2822" width="5.6640625" style="136" customWidth="1"/>
    <col min="2823" max="2823" width="5.44140625" style="136" customWidth="1"/>
    <col min="2824" max="2842" width="0" style="136" hidden="1" customWidth="1"/>
    <col min="2843" max="2843" width="7.44140625" style="136" customWidth="1"/>
    <col min="2844" max="2844" width="7.6640625" style="136" customWidth="1"/>
    <col min="2845" max="2845" width="7.44140625" style="136" customWidth="1"/>
    <col min="2846" max="2848" width="0" style="136" hidden="1" customWidth="1"/>
    <col min="2849" max="2849" width="14.88671875" style="136" customWidth="1"/>
    <col min="2850" max="2851" width="0" style="136" hidden="1" customWidth="1"/>
    <col min="2852" max="3072" width="9.109375" style="136"/>
    <col min="3073" max="3073" width="11.6640625" style="136" customWidth="1"/>
    <col min="3074" max="3078" width="5.6640625" style="136" customWidth="1"/>
    <col min="3079" max="3079" width="5.44140625" style="136" customWidth="1"/>
    <col min="3080" max="3098" width="0" style="136" hidden="1" customWidth="1"/>
    <col min="3099" max="3099" width="7.44140625" style="136" customWidth="1"/>
    <col min="3100" max="3100" width="7.6640625" style="136" customWidth="1"/>
    <col min="3101" max="3101" width="7.44140625" style="136" customWidth="1"/>
    <col min="3102" max="3104" width="0" style="136" hidden="1" customWidth="1"/>
    <col min="3105" max="3105" width="14.88671875" style="136" customWidth="1"/>
    <col min="3106" max="3107" width="0" style="136" hidden="1" customWidth="1"/>
    <col min="3108" max="3328" width="9.109375" style="136"/>
    <col min="3329" max="3329" width="11.6640625" style="136" customWidth="1"/>
    <col min="3330" max="3334" width="5.6640625" style="136" customWidth="1"/>
    <col min="3335" max="3335" width="5.44140625" style="136" customWidth="1"/>
    <col min="3336" max="3354" width="0" style="136" hidden="1" customWidth="1"/>
    <col min="3355" max="3355" width="7.44140625" style="136" customWidth="1"/>
    <col min="3356" max="3356" width="7.6640625" style="136" customWidth="1"/>
    <col min="3357" max="3357" width="7.44140625" style="136" customWidth="1"/>
    <col min="3358" max="3360" width="0" style="136" hidden="1" customWidth="1"/>
    <col min="3361" max="3361" width="14.88671875" style="136" customWidth="1"/>
    <col min="3362" max="3363" width="0" style="136" hidden="1" customWidth="1"/>
    <col min="3364" max="3584" width="9.109375" style="136"/>
    <col min="3585" max="3585" width="11.6640625" style="136" customWidth="1"/>
    <col min="3586" max="3590" width="5.6640625" style="136" customWidth="1"/>
    <col min="3591" max="3591" width="5.44140625" style="136" customWidth="1"/>
    <col min="3592" max="3610" width="0" style="136" hidden="1" customWidth="1"/>
    <col min="3611" max="3611" width="7.44140625" style="136" customWidth="1"/>
    <col min="3612" max="3612" width="7.6640625" style="136" customWidth="1"/>
    <col min="3613" max="3613" width="7.44140625" style="136" customWidth="1"/>
    <col min="3614" max="3616" width="0" style="136" hidden="1" customWidth="1"/>
    <col min="3617" max="3617" width="14.88671875" style="136" customWidth="1"/>
    <col min="3618" max="3619" width="0" style="136" hidden="1" customWidth="1"/>
    <col min="3620" max="3840" width="9.109375" style="136"/>
    <col min="3841" max="3841" width="11.6640625" style="136" customWidth="1"/>
    <col min="3842" max="3846" width="5.6640625" style="136" customWidth="1"/>
    <col min="3847" max="3847" width="5.44140625" style="136" customWidth="1"/>
    <col min="3848" max="3866" width="0" style="136" hidden="1" customWidth="1"/>
    <col min="3867" max="3867" width="7.44140625" style="136" customWidth="1"/>
    <col min="3868" max="3868" width="7.6640625" style="136" customWidth="1"/>
    <col min="3869" max="3869" width="7.44140625" style="136" customWidth="1"/>
    <col min="3870" max="3872" width="0" style="136" hidden="1" customWidth="1"/>
    <col min="3873" max="3873" width="14.88671875" style="136" customWidth="1"/>
    <col min="3874" max="3875" width="0" style="136" hidden="1" customWidth="1"/>
    <col min="3876" max="4096" width="9.109375" style="136"/>
    <col min="4097" max="4097" width="11.6640625" style="136" customWidth="1"/>
    <col min="4098" max="4102" width="5.6640625" style="136" customWidth="1"/>
    <col min="4103" max="4103" width="5.44140625" style="136" customWidth="1"/>
    <col min="4104" max="4122" width="0" style="136" hidden="1" customWidth="1"/>
    <col min="4123" max="4123" width="7.44140625" style="136" customWidth="1"/>
    <col min="4124" max="4124" width="7.6640625" style="136" customWidth="1"/>
    <col min="4125" max="4125" width="7.44140625" style="136" customWidth="1"/>
    <col min="4126" max="4128" width="0" style="136" hidden="1" customWidth="1"/>
    <col min="4129" max="4129" width="14.88671875" style="136" customWidth="1"/>
    <col min="4130" max="4131" width="0" style="136" hidden="1" customWidth="1"/>
    <col min="4132" max="4352" width="9.109375" style="136"/>
    <col min="4353" max="4353" width="11.6640625" style="136" customWidth="1"/>
    <col min="4354" max="4358" width="5.6640625" style="136" customWidth="1"/>
    <col min="4359" max="4359" width="5.44140625" style="136" customWidth="1"/>
    <col min="4360" max="4378" width="0" style="136" hidden="1" customWidth="1"/>
    <col min="4379" max="4379" width="7.44140625" style="136" customWidth="1"/>
    <col min="4380" max="4380" width="7.6640625" style="136" customWidth="1"/>
    <col min="4381" max="4381" width="7.44140625" style="136" customWidth="1"/>
    <col min="4382" max="4384" width="0" style="136" hidden="1" customWidth="1"/>
    <col min="4385" max="4385" width="14.88671875" style="136" customWidth="1"/>
    <col min="4386" max="4387" width="0" style="136" hidden="1" customWidth="1"/>
    <col min="4388" max="4608" width="9.109375" style="136"/>
    <col min="4609" max="4609" width="11.6640625" style="136" customWidth="1"/>
    <col min="4610" max="4614" width="5.6640625" style="136" customWidth="1"/>
    <col min="4615" max="4615" width="5.44140625" style="136" customWidth="1"/>
    <col min="4616" max="4634" width="0" style="136" hidden="1" customWidth="1"/>
    <col min="4635" max="4635" width="7.44140625" style="136" customWidth="1"/>
    <col min="4636" max="4636" width="7.6640625" style="136" customWidth="1"/>
    <col min="4637" max="4637" width="7.44140625" style="136" customWidth="1"/>
    <col min="4638" max="4640" width="0" style="136" hidden="1" customWidth="1"/>
    <col min="4641" max="4641" width="14.88671875" style="136" customWidth="1"/>
    <col min="4642" max="4643" width="0" style="136" hidden="1" customWidth="1"/>
    <col min="4644" max="4864" width="9.109375" style="136"/>
    <col min="4865" max="4865" width="11.6640625" style="136" customWidth="1"/>
    <col min="4866" max="4870" width="5.6640625" style="136" customWidth="1"/>
    <col min="4871" max="4871" width="5.44140625" style="136" customWidth="1"/>
    <col min="4872" max="4890" width="0" style="136" hidden="1" customWidth="1"/>
    <col min="4891" max="4891" width="7.44140625" style="136" customWidth="1"/>
    <col min="4892" max="4892" width="7.6640625" style="136" customWidth="1"/>
    <col min="4893" max="4893" width="7.44140625" style="136" customWidth="1"/>
    <col min="4894" max="4896" width="0" style="136" hidden="1" customWidth="1"/>
    <col min="4897" max="4897" width="14.88671875" style="136" customWidth="1"/>
    <col min="4898" max="4899" width="0" style="136" hidden="1" customWidth="1"/>
    <col min="4900" max="5120" width="9.109375" style="136"/>
    <col min="5121" max="5121" width="11.6640625" style="136" customWidth="1"/>
    <col min="5122" max="5126" width="5.6640625" style="136" customWidth="1"/>
    <col min="5127" max="5127" width="5.44140625" style="136" customWidth="1"/>
    <col min="5128" max="5146" width="0" style="136" hidden="1" customWidth="1"/>
    <col min="5147" max="5147" width="7.44140625" style="136" customWidth="1"/>
    <col min="5148" max="5148" width="7.6640625" style="136" customWidth="1"/>
    <col min="5149" max="5149" width="7.44140625" style="136" customWidth="1"/>
    <col min="5150" max="5152" width="0" style="136" hidden="1" customWidth="1"/>
    <col min="5153" max="5153" width="14.88671875" style="136" customWidth="1"/>
    <col min="5154" max="5155" width="0" style="136" hidden="1" customWidth="1"/>
    <col min="5156" max="5376" width="9.109375" style="136"/>
    <col min="5377" max="5377" width="11.6640625" style="136" customWidth="1"/>
    <col min="5378" max="5382" width="5.6640625" style="136" customWidth="1"/>
    <col min="5383" max="5383" width="5.44140625" style="136" customWidth="1"/>
    <col min="5384" max="5402" width="0" style="136" hidden="1" customWidth="1"/>
    <col min="5403" max="5403" width="7.44140625" style="136" customWidth="1"/>
    <col min="5404" max="5404" width="7.6640625" style="136" customWidth="1"/>
    <col min="5405" max="5405" width="7.44140625" style="136" customWidth="1"/>
    <col min="5406" max="5408" width="0" style="136" hidden="1" customWidth="1"/>
    <col min="5409" max="5409" width="14.88671875" style="136" customWidth="1"/>
    <col min="5410" max="5411" width="0" style="136" hidden="1" customWidth="1"/>
    <col min="5412" max="5632" width="9.109375" style="136"/>
    <col min="5633" max="5633" width="11.6640625" style="136" customWidth="1"/>
    <col min="5634" max="5638" width="5.6640625" style="136" customWidth="1"/>
    <col min="5639" max="5639" width="5.44140625" style="136" customWidth="1"/>
    <col min="5640" max="5658" width="0" style="136" hidden="1" customWidth="1"/>
    <col min="5659" max="5659" width="7.44140625" style="136" customWidth="1"/>
    <col min="5660" max="5660" width="7.6640625" style="136" customWidth="1"/>
    <col min="5661" max="5661" width="7.44140625" style="136" customWidth="1"/>
    <col min="5662" max="5664" width="0" style="136" hidden="1" customWidth="1"/>
    <col min="5665" max="5665" width="14.88671875" style="136" customWidth="1"/>
    <col min="5666" max="5667" width="0" style="136" hidden="1" customWidth="1"/>
    <col min="5668" max="5888" width="9.109375" style="136"/>
    <col min="5889" max="5889" width="11.6640625" style="136" customWidth="1"/>
    <col min="5890" max="5894" width="5.6640625" style="136" customWidth="1"/>
    <col min="5895" max="5895" width="5.44140625" style="136" customWidth="1"/>
    <col min="5896" max="5914" width="0" style="136" hidden="1" customWidth="1"/>
    <col min="5915" max="5915" width="7.44140625" style="136" customWidth="1"/>
    <col min="5916" max="5916" width="7.6640625" style="136" customWidth="1"/>
    <col min="5917" max="5917" width="7.44140625" style="136" customWidth="1"/>
    <col min="5918" max="5920" width="0" style="136" hidden="1" customWidth="1"/>
    <col min="5921" max="5921" width="14.88671875" style="136" customWidth="1"/>
    <col min="5922" max="5923" width="0" style="136" hidden="1" customWidth="1"/>
    <col min="5924" max="6144" width="9.109375" style="136"/>
    <col min="6145" max="6145" width="11.6640625" style="136" customWidth="1"/>
    <col min="6146" max="6150" width="5.6640625" style="136" customWidth="1"/>
    <col min="6151" max="6151" width="5.44140625" style="136" customWidth="1"/>
    <col min="6152" max="6170" width="0" style="136" hidden="1" customWidth="1"/>
    <col min="6171" max="6171" width="7.44140625" style="136" customWidth="1"/>
    <col min="6172" max="6172" width="7.6640625" style="136" customWidth="1"/>
    <col min="6173" max="6173" width="7.44140625" style="136" customWidth="1"/>
    <col min="6174" max="6176" width="0" style="136" hidden="1" customWidth="1"/>
    <col min="6177" max="6177" width="14.88671875" style="136" customWidth="1"/>
    <col min="6178" max="6179" width="0" style="136" hidden="1" customWidth="1"/>
    <col min="6180" max="6400" width="9.109375" style="136"/>
    <col min="6401" max="6401" width="11.6640625" style="136" customWidth="1"/>
    <col min="6402" max="6406" width="5.6640625" style="136" customWidth="1"/>
    <col min="6407" max="6407" width="5.44140625" style="136" customWidth="1"/>
    <col min="6408" max="6426" width="0" style="136" hidden="1" customWidth="1"/>
    <col min="6427" max="6427" width="7.44140625" style="136" customWidth="1"/>
    <col min="6428" max="6428" width="7.6640625" style="136" customWidth="1"/>
    <col min="6429" max="6429" width="7.44140625" style="136" customWidth="1"/>
    <col min="6430" max="6432" width="0" style="136" hidden="1" customWidth="1"/>
    <col min="6433" max="6433" width="14.88671875" style="136" customWidth="1"/>
    <col min="6434" max="6435" width="0" style="136" hidden="1" customWidth="1"/>
    <col min="6436" max="6656" width="9.109375" style="136"/>
    <col min="6657" max="6657" width="11.6640625" style="136" customWidth="1"/>
    <col min="6658" max="6662" width="5.6640625" style="136" customWidth="1"/>
    <col min="6663" max="6663" width="5.44140625" style="136" customWidth="1"/>
    <col min="6664" max="6682" width="0" style="136" hidden="1" customWidth="1"/>
    <col min="6683" max="6683" width="7.44140625" style="136" customWidth="1"/>
    <col min="6684" max="6684" width="7.6640625" style="136" customWidth="1"/>
    <col min="6685" max="6685" width="7.44140625" style="136" customWidth="1"/>
    <col min="6686" max="6688" width="0" style="136" hidden="1" customWidth="1"/>
    <col min="6689" max="6689" width="14.88671875" style="136" customWidth="1"/>
    <col min="6690" max="6691" width="0" style="136" hidden="1" customWidth="1"/>
    <col min="6692" max="6912" width="9.109375" style="136"/>
    <col min="6913" max="6913" width="11.6640625" style="136" customWidth="1"/>
    <col min="6914" max="6918" width="5.6640625" style="136" customWidth="1"/>
    <col min="6919" max="6919" width="5.44140625" style="136" customWidth="1"/>
    <col min="6920" max="6938" width="0" style="136" hidden="1" customWidth="1"/>
    <col min="6939" max="6939" width="7.44140625" style="136" customWidth="1"/>
    <col min="6940" max="6940" width="7.6640625" style="136" customWidth="1"/>
    <col min="6941" max="6941" width="7.44140625" style="136" customWidth="1"/>
    <col min="6942" max="6944" width="0" style="136" hidden="1" customWidth="1"/>
    <col min="6945" max="6945" width="14.88671875" style="136" customWidth="1"/>
    <col min="6946" max="6947" width="0" style="136" hidden="1" customWidth="1"/>
    <col min="6948" max="7168" width="9.109375" style="136"/>
    <col min="7169" max="7169" width="11.6640625" style="136" customWidth="1"/>
    <col min="7170" max="7174" width="5.6640625" style="136" customWidth="1"/>
    <col min="7175" max="7175" width="5.44140625" style="136" customWidth="1"/>
    <col min="7176" max="7194" width="0" style="136" hidden="1" customWidth="1"/>
    <col min="7195" max="7195" width="7.44140625" style="136" customWidth="1"/>
    <col min="7196" max="7196" width="7.6640625" style="136" customWidth="1"/>
    <col min="7197" max="7197" width="7.44140625" style="136" customWidth="1"/>
    <col min="7198" max="7200" width="0" style="136" hidden="1" customWidth="1"/>
    <col min="7201" max="7201" width="14.88671875" style="136" customWidth="1"/>
    <col min="7202" max="7203" width="0" style="136" hidden="1" customWidth="1"/>
    <col min="7204" max="7424" width="9.109375" style="136"/>
    <col min="7425" max="7425" width="11.6640625" style="136" customWidth="1"/>
    <col min="7426" max="7430" width="5.6640625" style="136" customWidth="1"/>
    <col min="7431" max="7431" width="5.44140625" style="136" customWidth="1"/>
    <col min="7432" max="7450" width="0" style="136" hidden="1" customWidth="1"/>
    <col min="7451" max="7451" width="7.44140625" style="136" customWidth="1"/>
    <col min="7452" max="7452" width="7.6640625" style="136" customWidth="1"/>
    <col min="7453" max="7453" width="7.44140625" style="136" customWidth="1"/>
    <col min="7454" max="7456" width="0" style="136" hidden="1" customWidth="1"/>
    <col min="7457" max="7457" width="14.88671875" style="136" customWidth="1"/>
    <col min="7458" max="7459" width="0" style="136" hidden="1" customWidth="1"/>
    <col min="7460" max="7680" width="9.109375" style="136"/>
    <col min="7681" max="7681" width="11.6640625" style="136" customWidth="1"/>
    <col min="7682" max="7686" width="5.6640625" style="136" customWidth="1"/>
    <col min="7687" max="7687" width="5.44140625" style="136" customWidth="1"/>
    <col min="7688" max="7706" width="0" style="136" hidden="1" customWidth="1"/>
    <col min="7707" max="7707" width="7.44140625" style="136" customWidth="1"/>
    <col min="7708" max="7708" width="7.6640625" style="136" customWidth="1"/>
    <col min="7709" max="7709" width="7.44140625" style="136" customWidth="1"/>
    <col min="7710" max="7712" width="0" style="136" hidden="1" customWidth="1"/>
    <col min="7713" max="7713" width="14.88671875" style="136" customWidth="1"/>
    <col min="7714" max="7715" width="0" style="136" hidden="1" customWidth="1"/>
    <col min="7716" max="7936" width="9.109375" style="136"/>
    <col min="7937" max="7937" width="11.6640625" style="136" customWidth="1"/>
    <col min="7938" max="7942" width="5.6640625" style="136" customWidth="1"/>
    <col min="7943" max="7943" width="5.44140625" style="136" customWidth="1"/>
    <col min="7944" max="7962" width="0" style="136" hidden="1" customWidth="1"/>
    <col min="7963" max="7963" width="7.44140625" style="136" customWidth="1"/>
    <col min="7964" max="7964" width="7.6640625" style="136" customWidth="1"/>
    <col min="7965" max="7965" width="7.44140625" style="136" customWidth="1"/>
    <col min="7966" max="7968" width="0" style="136" hidden="1" customWidth="1"/>
    <col min="7969" max="7969" width="14.88671875" style="136" customWidth="1"/>
    <col min="7970" max="7971" width="0" style="136" hidden="1" customWidth="1"/>
    <col min="7972" max="8192" width="9.109375" style="136"/>
    <col min="8193" max="8193" width="11.6640625" style="136" customWidth="1"/>
    <col min="8194" max="8198" width="5.6640625" style="136" customWidth="1"/>
    <col min="8199" max="8199" width="5.44140625" style="136" customWidth="1"/>
    <col min="8200" max="8218" width="0" style="136" hidden="1" customWidth="1"/>
    <col min="8219" max="8219" width="7.44140625" style="136" customWidth="1"/>
    <col min="8220" max="8220" width="7.6640625" style="136" customWidth="1"/>
    <col min="8221" max="8221" width="7.44140625" style="136" customWidth="1"/>
    <col min="8222" max="8224" width="0" style="136" hidden="1" customWidth="1"/>
    <col min="8225" max="8225" width="14.88671875" style="136" customWidth="1"/>
    <col min="8226" max="8227" width="0" style="136" hidden="1" customWidth="1"/>
    <col min="8228" max="8448" width="9.109375" style="136"/>
    <col min="8449" max="8449" width="11.6640625" style="136" customWidth="1"/>
    <col min="8450" max="8454" width="5.6640625" style="136" customWidth="1"/>
    <col min="8455" max="8455" width="5.44140625" style="136" customWidth="1"/>
    <col min="8456" max="8474" width="0" style="136" hidden="1" customWidth="1"/>
    <col min="8475" max="8475" width="7.44140625" style="136" customWidth="1"/>
    <col min="8476" max="8476" width="7.6640625" style="136" customWidth="1"/>
    <col min="8477" max="8477" width="7.44140625" style="136" customWidth="1"/>
    <col min="8478" max="8480" width="0" style="136" hidden="1" customWidth="1"/>
    <col min="8481" max="8481" width="14.88671875" style="136" customWidth="1"/>
    <col min="8482" max="8483" width="0" style="136" hidden="1" customWidth="1"/>
    <col min="8484" max="8704" width="9.109375" style="136"/>
    <col min="8705" max="8705" width="11.6640625" style="136" customWidth="1"/>
    <col min="8706" max="8710" width="5.6640625" style="136" customWidth="1"/>
    <col min="8711" max="8711" width="5.44140625" style="136" customWidth="1"/>
    <col min="8712" max="8730" width="0" style="136" hidden="1" customWidth="1"/>
    <col min="8731" max="8731" width="7.44140625" style="136" customWidth="1"/>
    <col min="8732" max="8732" width="7.6640625" style="136" customWidth="1"/>
    <col min="8733" max="8733" width="7.44140625" style="136" customWidth="1"/>
    <col min="8734" max="8736" width="0" style="136" hidden="1" customWidth="1"/>
    <col min="8737" max="8737" width="14.88671875" style="136" customWidth="1"/>
    <col min="8738" max="8739" width="0" style="136" hidden="1" customWidth="1"/>
    <col min="8740" max="8960" width="9.109375" style="136"/>
    <col min="8961" max="8961" width="11.6640625" style="136" customWidth="1"/>
    <col min="8962" max="8966" width="5.6640625" style="136" customWidth="1"/>
    <col min="8967" max="8967" width="5.44140625" style="136" customWidth="1"/>
    <col min="8968" max="8986" width="0" style="136" hidden="1" customWidth="1"/>
    <col min="8987" max="8987" width="7.44140625" style="136" customWidth="1"/>
    <col min="8988" max="8988" width="7.6640625" style="136" customWidth="1"/>
    <col min="8989" max="8989" width="7.44140625" style="136" customWidth="1"/>
    <col min="8990" max="8992" width="0" style="136" hidden="1" customWidth="1"/>
    <col min="8993" max="8993" width="14.88671875" style="136" customWidth="1"/>
    <col min="8994" max="8995" width="0" style="136" hidden="1" customWidth="1"/>
    <col min="8996" max="9216" width="9.109375" style="136"/>
    <col min="9217" max="9217" width="11.6640625" style="136" customWidth="1"/>
    <col min="9218" max="9222" width="5.6640625" style="136" customWidth="1"/>
    <col min="9223" max="9223" width="5.44140625" style="136" customWidth="1"/>
    <col min="9224" max="9242" width="0" style="136" hidden="1" customWidth="1"/>
    <col min="9243" max="9243" width="7.44140625" style="136" customWidth="1"/>
    <col min="9244" max="9244" width="7.6640625" style="136" customWidth="1"/>
    <col min="9245" max="9245" width="7.44140625" style="136" customWidth="1"/>
    <col min="9246" max="9248" width="0" style="136" hidden="1" customWidth="1"/>
    <col min="9249" max="9249" width="14.88671875" style="136" customWidth="1"/>
    <col min="9250" max="9251" width="0" style="136" hidden="1" customWidth="1"/>
    <col min="9252" max="9472" width="9.109375" style="136"/>
    <col min="9473" max="9473" width="11.6640625" style="136" customWidth="1"/>
    <col min="9474" max="9478" width="5.6640625" style="136" customWidth="1"/>
    <col min="9479" max="9479" width="5.44140625" style="136" customWidth="1"/>
    <col min="9480" max="9498" width="0" style="136" hidden="1" customWidth="1"/>
    <col min="9499" max="9499" width="7.44140625" style="136" customWidth="1"/>
    <col min="9500" max="9500" width="7.6640625" style="136" customWidth="1"/>
    <col min="9501" max="9501" width="7.44140625" style="136" customWidth="1"/>
    <col min="9502" max="9504" width="0" style="136" hidden="1" customWidth="1"/>
    <col min="9505" max="9505" width="14.88671875" style="136" customWidth="1"/>
    <col min="9506" max="9507" width="0" style="136" hidden="1" customWidth="1"/>
    <col min="9508" max="9728" width="9.109375" style="136"/>
    <col min="9729" max="9729" width="11.6640625" style="136" customWidth="1"/>
    <col min="9730" max="9734" width="5.6640625" style="136" customWidth="1"/>
    <col min="9735" max="9735" width="5.44140625" style="136" customWidth="1"/>
    <col min="9736" max="9754" width="0" style="136" hidden="1" customWidth="1"/>
    <col min="9755" max="9755" width="7.44140625" style="136" customWidth="1"/>
    <col min="9756" max="9756" width="7.6640625" style="136" customWidth="1"/>
    <col min="9757" max="9757" width="7.44140625" style="136" customWidth="1"/>
    <col min="9758" max="9760" width="0" style="136" hidden="1" customWidth="1"/>
    <col min="9761" max="9761" width="14.88671875" style="136" customWidth="1"/>
    <col min="9762" max="9763" width="0" style="136" hidden="1" customWidth="1"/>
    <col min="9764" max="9984" width="9.109375" style="136"/>
    <col min="9985" max="9985" width="11.6640625" style="136" customWidth="1"/>
    <col min="9986" max="9990" width="5.6640625" style="136" customWidth="1"/>
    <col min="9991" max="9991" width="5.44140625" style="136" customWidth="1"/>
    <col min="9992" max="10010" width="0" style="136" hidden="1" customWidth="1"/>
    <col min="10011" max="10011" width="7.44140625" style="136" customWidth="1"/>
    <col min="10012" max="10012" width="7.6640625" style="136" customWidth="1"/>
    <col min="10013" max="10013" width="7.44140625" style="136" customWidth="1"/>
    <col min="10014" max="10016" width="0" style="136" hidden="1" customWidth="1"/>
    <col min="10017" max="10017" width="14.88671875" style="136" customWidth="1"/>
    <col min="10018" max="10019" width="0" style="136" hidden="1" customWidth="1"/>
    <col min="10020" max="10240" width="9.109375" style="136"/>
    <col min="10241" max="10241" width="11.6640625" style="136" customWidth="1"/>
    <col min="10242" max="10246" width="5.6640625" style="136" customWidth="1"/>
    <col min="10247" max="10247" width="5.44140625" style="136" customWidth="1"/>
    <col min="10248" max="10266" width="0" style="136" hidden="1" customWidth="1"/>
    <col min="10267" max="10267" width="7.44140625" style="136" customWidth="1"/>
    <col min="10268" max="10268" width="7.6640625" style="136" customWidth="1"/>
    <col min="10269" max="10269" width="7.44140625" style="136" customWidth="1"/>
    <col min="10270" max="10272" width="0" style="136" hidden="1" customWidth="1"/>
    <col min="10273" max="10273" width="14.88671875" style="136" customWidth="1"/>
    <col min="10274" max="10275" width="0" style="136" hidden="1" customWidth="1"/>
    <col min="10276" max="10496" width="9.109375" style="136"/>
    <col min="10497" max="10497" width="11.6640625" style="136" customWidth="1"/>
    <col min="10498" max="10502" width="5.6640625" style="136" customWidth="1"/>
    <col min="10503" max="10503" width="5.44140625" style="136" customWidth="1"/>
    <col min="10504" max="10522" width="0" style="136" hidden="1" customWidth="1"/>
    <col min="10523" max="10523" width="7.44140625" style="136" customWidth="1"/>
    <col min="10524" max="10524" width="7.6640625" style="136" customWidth="1"/>
    <col min="10525" max="10525" width="7.44140625" style="136" customWidth="1"/>
    <col min="10526" max="10528" width="0" style="136" hidden="1" customWidth="1"/>
    <col min="10529" max="10529" width="14.88671875" style="136" customWidth="1"/>
    <col min="10530" max="10531" width="0" style="136" hidden="1" customWidth="1"/>
    <col min="10532" max="10752" width="9.109375" style="136"/>
    <col min="10753" max="10753" width="11.6640625" style="136" customWidth="1"/>
    <col min="10754" max="10758" width="5.6640625" style="136" customWidth="1"/>
    <col min="10759" max="10759" width="5.44140625" style="136" customWidth="1"/>
    <col min="10760" max="10778" width="0" style="136" hidden="1" customWidth="1"/>
    <col min="10779" max="10779" width="7.44140625" style="136" customWidth="1"/>
    <col min="10780" max="10780" width="7.6640625" style="136" customWidth="1"/>
    <col min="10781" max="10781" width="7.44140625" style="136" customWidth="1"/>
    <col min="10782" max="10784" width="0" style="136" hidden="1" customWidth="1"/>
    <col min="10785" max="10785" width="14.88671875" style="136" customWidth="1"/>
    <col min="10786" max="10787" width="0" style="136" hidden="1" customWidth="1"/>
    <col min="10788" max="11008" width="9.109375" style="136"/>
    <col min="11009" max="11009" width="11.6640625" style="136" customWidth="1"/>
    <col min="11010" max="11014" width="5.6640625" style="136" customWidth="1"/>
    <col min="11015" max="11015" width="5.44140625" style="136" customWidth="1"/>
    <col min="11016" max="11034" width="0" style="136" hidden="1" customWidth="1"/>
    <col min="11035" max="11035" width="7.44140625" style="136" customWidth="1"/>
    <col min="11036" max="11036" width="7.6640625" style="136" customWidth="1"/>
    <col min="11037" max="11037" width="7.44140625" style="136" customWidth="1"/>
    <col min="11038" max="11040" width="0" style="136" hidden="1" customWidth="1"/>
    <col min="11041" max="11041" width="14.88671875" style="136" customWidth="1"/>
    <col min="11042" max="11043" width="0" style="136" hidden="1" customWidth="1"/>
    <col min="11044" max="11264" width="9.109375" style="136"/>
    <col min="11265" max="11265" width="11.6640625" style="136" customWidth="1"/>
    <col min="11266" max="11270" width="5.6640625" style="136" customWidth="1"/>
    <col min="11271" max="11271" width="5.44140625" style="136" customWidth="1"/>
    <col min="11272" max="11290" width="0" style="136" hidden="1" customWidth="1"/>
    <col min="11291" max="11291" width="7.44140625" style="136" customWidth="1"/>
    <col min="11292" max="11292" width="7.6640625" style="136" customWidth="1"/>
    <col min="11293" max="11293" width="7.44140625" style="136" customWidth="1"/>
    <col min="11294" max="11296" width="0" style="136" hidden="1" customWidth="1"/>
    <col min="11297" max="11297" width="14.88671875" style="136" customWidth="1"/>
    <col min="11298" max="11299" width="0" style="136" hidden="1" customWidth="1"/>
    <col min="11300" max="11520" width="9.109375" style="136"/>
    <col min="11521" max="11521" width="11.6640625" style="136" customWidth="1"/>
    <col min="11522" max="11526" width="5.6640625" style="136" customWidth="1"/>
    <col min="11527" max="11527" width="5.44140625" style="136" customWidth="1"/>
    <col min="11528" max="11546" width="0" style="136" hidden="1" customWidth="1"/>
    <col min="11547" max="11547" width="7.44140625" style="136" customWidth="1"/>
    <col min="11548" max="11548" width="7.6640625" style="136" customWidth="1"/>
    <col min="11549" max="11549" width="7.44140625" style="136" customWidth="1"/>
    <col min="11550" max="11552" width="0" style="136" hidden="1" customWidth="1"/>
    <col min="11553" max="11553" width="14.88671875" style="136" customWidth="1"/>
    <col min="11554" max="11555" width="0" style="136" hidden="1" customWidth="1"/>
    <col min="11556" max="11776" width="9.109375" style="136"/>
    <col min="11777" max="11777" width="11.6640625" style="136" customWidth="1"/>
    <col min="11778" max="11782" width="5.6640625" style="136" customWidth="1"/>
    <col min="11783" max="11783" width="5.44140625" style="136" customWidth="1"/>
    <col min="11784" max="11802" width="0" style="136" hidden="1" customWidth="1"/>
    <col min="11803" max="11803" width="7.44140625" style="136" customWidth="1"/>
    <col min="11804" max="11804" width="7.6640625" style="136" customWidth="1"/>
    <col min="11805" max="11805" width="7.44140625" style="136" customWidth="1"/>
    <col min="11806" max="11808" width="0" style="136" hidden="1" customWidth="1"/>
    <col min="11809" max="11809" width="14.88671875" style="136" customWidth="1"/>
    <col min="11810" max="11811" width="0" style="136" hidden="1" customWidth="1"/>
    <col min="11812" max="12032" width="9.109375" style="136"/>
    <col min="12033" max="12033" width="11.6640625" style="136" customWidth="1"/>
    <col min="12034" max="12038" width="5.6640625" style="136" customWidth="1"/>
    <col min="12039" max="12039" width="5.44140625" style="136" customWidth="1"/>
    <col min="12040" max="12058" width="0" style="136" hidden="1" customWidth="1"/>
    <col min="12059" max="12059" width="7.44140625" style="136" customWidth="1"/>
    <col min="12060" max="12060" width="7.6640625" style="136" customWidth="1"/>
    <col min="12061" max="12061" width="7.44140625" style="136" customWidth="1"/>
    <col min="12062" max="12064" width="0" style="136" hidden="1" customWidth="1"/>
    <col min="12065" max="12065" width="14.88671875" style="136" customWidth="1"/>
    <col min="12066" max="12067" width="0" style="136" hidden="1" customWidth="1"/>
    <col min="12068" max="12288" width="9.109375" style="136"/>
    <col min="12289" max="12289" width="11.6640625" style="136" customWidth="1"/>
    <col min="12290" max="12294" width="5.6640625" style="136" customWidth="1"/>
    <col min="12295" max="12295" width="5.44140625" style="136" customWidth="1"/>
    <col min="12296" max="12314" width="0" style="136" hidden="1" customWidth="1"/>
    <col min="12315" max="12315" width="7.44140625" style="136" customWidth="1"/>
    <col min="12316" max="12316" width="7.6640625" style="136" customWidth="1"/>
    <col min="12317" max="12317" width="7.44140625" style="136" customWidth="1"/>
    <col min="12318" max="12320" width="0" style="136" hidden="1" customWidth="1"/>
    <col min="12321" max="12321" width="14.88671875" style="136" customWidth="1"/>
    <col min="12322" max="12323" width="0" style="136" hidden="1" customWidth="1"/>
    <col min="12324" max="12544" width="9.109375" style="136"/>
    <col min="12545" max="12545" width="11.6640625" style="136" customWidth="1"/>
    <col min="12546" max="12550" width="5.6640625" style="136" customWidth="1"/>
    <col min="12551" max="12551" width="5.44140625" style="136" customWidth="1"/>
    <col min="12552" max="12570" width="0" style="136" hidden="1" customWidth="1"/>
    <col min="12571" max="12571" width="7.44140625" style="136" customWidth="1"/>
    <col min="12572" max="12572" width="7.6640625" style="136" customWidth="1"/>
    <col min="12573" max="12573" width="7.44140625" style="136" customWidth="1"/>
    <col min="12574" max="12576" width="0" style="136" hidden="1" customWidth="1"/>
    <col min="12577" max="12577" width="14.88671875" style="136" customWidth="1"/>
    <col min="12578" max="12579" width="0" style="136" hidden="1" customWidth="1"/>
    <col min="12580" max="12800" width="9.109375" style="136"/>
    <col min="12801" max="12801" width="11.6640625" style="136" customWidth="1"/>
    <col min="12802" max="12806" width="5.6640625" style="136" customWidth="1"/>
    <col min="12807" max="12807" width="5.44140625" style="136" customWidth="1"/>
    <col min="12808" max="12826" width="0" style="136" hidden="1" customWidth="1"/>
    <col min="12827" max="12827" width="7.44140625" style="136" customWidth="1"/>
    <col min="12828" max="12828" width="7.6640625" style="136" customWidth="1"/>
    <col min="12829" max="12829" width="7.44140625" style="136" customWidth="1"/>
    <col min="12830" max="12832" width="0" style="136" hidden="1" customWidth="1"/>
    <col min="12833" max="12833" width="14.88671875" style="136" customWidth="1"/>
    <col min="12834" max="12835" width="0" style="136" hidden="1" customWidth="1"/>
    <col min="12836" max="13056" width="9.109375" style="136"/>
    <col min="13057" max="13057" width="11.6640625" style="136" customWidth="1"/>
    <col min="13058" max="13062" width="5.6640625" style="136" customWidth="1"/>
    <col min="13063" max="13063" width="5.44140625" style="136" customWidth="1"/>
    <col min="13064" max="13082" width="0" style="136" hidden="1" customWidth="1"/>
    <col min="13083" max="13083" width="7.44140625" style="136" customWidth="1"/>
    <col min="13084" max="13084" width="7.6640625" style="136" customWidth="1"/>
    <col min="13085" max="13085" width="7.44140625" style="136" customWidth="1"/>
    <col min="13086" max="13088" width="0" style="136" hidden="1" customWidth="1"/>
    <col min="13089" max="13089" width="14.88671875" style="136" customWidth="1"/>
    <col min="13090" max="13091" width="0" style="136" hidden="1" customWidth="1"/>
    <col min="13092" max="13312" width="9.109375" style="136"/>
    <col min="13313" max="13313" width="11.6640625" style="136" customWidth="1"/>
    <col min="13314" max="13318" width="5.6640625" style="136" customWidth="1"/>
    <col min="13319" max="13319" width="5.44140625" style="136" customWidth="1"/>
    <col min="13320" max="13338" width="0" style="136" hidden="1" customWidth="1"/>
    <col min="13339" max="13339" width="7.44140625" style="136" customWidth="1"/>
    <col min="13340" max="13340" width="7.6640625" style="136" customWidth="1"/>
    <col min="13341" max="13341" width="7.44140625" style="136" customWidth="1"/>
    <col min="13342" max="13344" width="0" style="136" hidden="1" customWidth="1"/>
    <col min="13345" max="13345" width="14.88671875" style="136" customWidth="1"/>
    <col min="13346" max="13347" width="0" style="136" hidden="1" customWidth="1"/>
    <col min="13348" max="13568" width="9.109375" style="136"/>
    <col min="13569" max="13569" width="11.6640625" style="136" customWidth="1"/>
    <col min="13570" max="13574" width="5.6640625" style="136" customWidth="1"/>
    <col min="13575" max="13575" width="5.44140625" style="136" customWidth="1"/>
    <col min="13576" max="13594" width="0" style="136" hidden="1" customWidth="1"/>
    <col min="13595" max="13595" width="7.44140625" style="136" customWidth="1"/>
    <col min="13596" max="13596" width="7.6640625" style="136" customWidth="1"/>
    <col min="13597" max="13597" width="7.44140625" style="136" customWidth="1"/>
    <col min="13598" max="13600" width="0" style="136" hidden="1" customWidth="1"/>
    <col min="13601" max="13601" width="14.88671875" style="136" customWidth="1"/>
    <col min="13602" max="13603" width="0" style="136" hidden="1" customWidth="1"/>
    <col min="13604" max="13824" width="9.109375" style="136"/>
    <col min="13825" max="13825" width="11.6640625" style="136" customWidth="1"/>
    <col min="13826" max="13830" width="5.6640625" style="136" customWidth="1"/>
    <col min="13831" max="13831" width="5.44140625" style="136" customWidth="1"/>
    <col min="13832" max="13850" width="0" style="136" hidden="1" customWidth="1"/>
    <col min="13851" max="13851" width="7.44140625" style="136" customWidth="1"/>
    <col min="13852" max="13852" width="7.6640625" style="136" customWidth="1"/>
    <col min="13853" max="13853" width="7.44140625" style="136" customWidth="1"/>
    <col min="13854" max="13856" width="0" style="136" hidden="1" customWidth="1"/>
    <col min="13857" max="13857" width="14.88671875" style="136" customWidth="1"/>
    <col min="13858" max="13859" width="0" style="136" hidden="1" customWidth="1"/>
    <col min="13860" max="14080" width="9.109375" style="136"/>
    <col min="14081" max="14081" width="11.6640625" style="136" customWidth="1"/>
    <col min="14082" max="14086" width="5.6640625" style="136" customWidth="1"/>
    <col min="14087" max="14087" width="5.44140625" style="136" customWidth="1"/>
    <col min="14088" max="14106" width="0" style="136" hidden="1" customWidth="1"/>
    <col min="14107" max="14107" width="7.44140625" style="136" customWidth="1"/>
    <col min="14108" max="14108" width="7.6640625" style="136" customWidth="1"/>
    <col min="14109" max="14109" width="7.44140625" style="136" customWidth="1"/>
    <col min="14110" max="14112" width="0" style="136" hidden="1" customWidth="1"/>
    <col min="14113" max="14113" width="14.88671875" style="136" customWidth="1"/>
    <col min="14114" max="14115" width="0" style="136" hidden="1" customWidth="1"/>
    <col min="14116" max="14336" width="9.109375" style="136"/>
    <col min="14337" max="14337" width="11.6640625" style="136" customWidth="1"/>
    <col min="14338" max="14342" width="5.6640625" style="136" customWidth="1"/>
    <col min="14343" max="14343" width="5.44140625" style="136" customWidth="1"/>
    <col min="14344" max="14362" width="0" style="136" hidden="1" customWidth="1"/>
    <col min="14363" max="14363" width="7.44140625" style="136" customWidth="1"/>
    <col min="14364" max="14364" width="7.6640625" style="136" customWidth="1"/>
    <col min="14365" max="14365" width="7.44140625" style="136" customWidth="1"/>
    <col min="14366" max="14368" width="0" style="136" hidden="1" customWidth="1"/>
    <col min="14369" max="14369" width="14.88671875" style="136" customWidth="1"/>
    <col min="14370" max="14371" width="0" style="136" hidden="1" customWidth="1"/>
    <col min="14372" max="14592" width="9.109375" style="136"/>
    <col min="14593" max="14593" width="11.6640625" style="136" customWidth="1"/>
    <col min="14594" max="14598" width="5.6640625" style="136" customWidth="1"/>
    <col min="14599" max="14599" width="5.44140625" style="136" customWidth="1"/>
    <col min="14600" max="14618" width="0" style="136" hidden="1" customWidth="1"/>
    <col min="14619" max="14619" width="7.44140625" style="136" customWidth="1"/>
    <col min="14620" max="14620" width="7.6640625" style="136" customWidth="1"/>
    <col min="14621" max="14621" width="7.44140625" style="136" customWidth="1"/>
    <col min="14622" max="14624" width="0" style="136" hidden="1" customWidth="1"/>
    <col min="14625" max="14625" width="14.88671875" style="136" customWidth="1"/>
    <col min="14626" max="14627" width="0" style="136" hidden="1" customWidth="1"/>
    <col min="14628" max="14848" width="9.109375" style="136"/>
    <col min="14849" max="14849" width="11.6640625" style="136" customWidth="1"/>
    <col min="14850" max="14854" width="5.6640625" style="136" customWidth="1"/>
    <col min="14855" max="14855" width="5.44140625" style="136" customWidth="1"/>
    <col min="14856" max="14874" width="0" style="136" hidden="1" customWidth="1"/>
    <col min="14875" max="14875" width="7.44140625" style="136" customWidth="1"/>
    <col min="14876" max="14876" width="7.6640625" style="136" customWidth="1"/>
    <col min="14877" max="14877" width="7.44140625" style="136" customWidth="1"/>
    <col min="14878" max="14880" width="0" style="136" hidden="1" customWidth="1"/>
    <col min="14881" max="14881" width="14.88671875" style="136" customWidth="1"/>
    <col min="14882" max="14883" width="0" style="136" hidden="1" customWidth="1"/>
    <col min="14884" max="15104" width="9.109375" style="136"/>
    <col min="15105" max="15105" width="11.6640625" style="136" customWidth="1"/>
    <col min="15106" max="15110" width="5.6640625" style="136" customWidth="1"/>
    <col min="15111" max="15111" width="5.44140625" style="136" customWidth="1"/>
    <col min="15112" max="15130" width="0" style="136" hidden="1" customWidth="1"/>
    <col min="15131" max="15131" width="7.44140625" style="136" customWidth="1"/>
    <col min="15132" max="15132" width="7.6640625" style="136" customWidth="1"/>
    <col min="15133" max="15133" width="7.44140625" style="136" customWidth="1"/>
    <col min="15134" max="15136" width="0" style="136" hidden="1" customWidth="1"/>
    <col min="15137" max="15137" width="14.88671875" style="136" customWidth="1"/>
    <col min="15138" max="15139" width="0" style="136" hidden="1" customWidth="1"/>
    <col min="15140" max="15360" width="9.109375" style="136"/>
    <col min="15361" max="15361" width="11.6640625" style="136" customWidth="1"/>
    <col min="15362" max="15366" width="5.6640625" style="136" customWidth="1"/>
    <col min="15367" max="15367" width="5.44140625" style="136" customWidth="1"/>
    <col min="15368" max="15386" width="0" style="136" hidden="1" customWidth="1"/>
    <col min="15387" max="15387" width="7.44140625" style="136" customWidth="1"/>
    <col min="15388" max="15388" width="7.6640625" style="136" customWidth="1"/>
    <col min="15389" max="15389" width="7.44140625" style="136" customWidth="1"/>
    <col min="15390" max="15392" width="0" style="136" hidden="1" customWidth="1"/>
    <col min="15393" max="15393" width="14.88671875" style="136" customWidth="1"/>
    <col min="15394" max="15395" width="0" style="136" hidden="1" customWidth="1"/>
    <col min="15396" max="15616" width="9.109375" style="136"/>
    <col min="15617" max="15617" width="11.6640625" style="136" customWidth="1"/>
    <col min="15618" max="15622" width="5.6640625" style="136" customWidth="1"/>
    <col min="15623" max="15623" width="5.44140625" style="136" customWidth="1"/>
    <col min="15624" max="15642" width="0" style="136" hidden="1" customWidth="1"/>
    <col min="15643" max="15643" width="7.44140625" style="136" customWidth="1"/>
    <col min="15644" max="15644" width="7.6640625" style="136" customWidth="1"/>
    <col min="15645" max="15645" width="7.44140625" style="136" customWidth="1"/>
    <col min="15646" max="15648" width="0" style="136" hidden="1" customWidth="1"/>
    <col min="15649" max="15649" width="14.88671875" style="136" customWidth="1"/>
    <col min="15650" max="15651" width="0" style="136" hidden="1" customWidth="1"/>
    <col min="15652" max="15872" width="9.109375" style="136"/>
    <col min="15873" max="15873" width="11.6640625" style="136" customWidth="1"/>
    <col min="15874" max="15878" width="5.6640625" style="136" customWidth="1"/>
    <col min="15879" max="15879" width="5.44140625" style="136" customWidth="1"/>
    <col min="15880" max="15898" width="0" style="136" hidden="1" customWidth="1"/>
    <col min="15899" max="15899" width="7.44140625" style="136" customWidth="1"/>
    <col min="15900" max="15900" width="7.6640625" style="136" customWidth="1"/>
    <col min="15901" max="15901" width="7.44140625" style="136" customWidth="1"/>
    <col min="15902" max="15904" width="0" style="136" hidden="1" customWidth="1"/>
    <col min="15905" max="15905" width="14.88671875" style="136" customWidth="1"/>
    <col min="15906" max="15907" width="0" style="136" hidden="1" customWidth="1"/>
    <col min="15908" max="16128" width="9.109375" style="136"/>
    <col min="16129" max="16129" width="11.6640625" style="136" customWidth="1"/>
    <col min="16130" max="16134" width="5.6640625" style="136" customWidth="1"/>
    <col min="16135" max="16135" width="5.44140625" style="136" customWidth="1"/>
    <col min="16136" max="16154" width="0" style="136" hidden="1" customWidth="1"/>
    <col min="16155" max="16155" width="7.44140625" style="136" customWidth="1"/>
    <col min="16156" max="16156" width="7.6640625" style="136" customWidth="1"/>
    <col min="16157" max="16157" width="7.44140625" style="136" customWidth="1"/>
    <col min="16158" max="16160" width="0" style="136" hidden="1" customWidth="1"/>
    <col min="16161" max="16161" width="14.88671875" style="136" customWidth="1"/>
    <col min="16162" max="16163" width="0" style="136" hidden="1" customWidth="1"/>
    <col min="16164" max="16384" width="9.109375" style="136"/>
  </cols>
  <sheetData>
    <row r="1" spans="1:35" ht="18.600000000000001" thickTop="1" thickBot="1">
      <c r="A1" s="899" t="s">
        <v>53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1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6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6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6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6.8" thickTop="1" thickBot="1">
      <c r="A8" s="157" t="s">
        <v>50</v>
      </c>
      <c r="B8" s="902" t="s">
        <v>130</v>
      </c>
      <c r="C8" s="902"/>
      <c r="D8" s="902" t="s">
        <v>131</v>
      </c>
      <c r="E8" s="902"/>
      <c r="F8" s="902" t="s">
        <v>133</v>
      </c>
      <c r="G8" s="902"/>
      <c r="H8" s="903" t="s">
        <v>165</v>
      </c>
      <c r="I8" s="904"/>
      <c r="J8" s="903" t="s">
        <v>166</v>
      </c>
      <c r="K8" s="904"/>
      <c r="L8" s="903" t="s">
        <v>167</v>
      </c>
      <c r="M8" s="904"/>
      <c r="N8" s="237" t="s">
        <v>135</v>
      </c>
      <c r="O8" s="237" t="s">
        <v>136</v>
      </c>
      <c r="P8" s="237" t="s">
        <v>137</v>
      </c>
      <c r="Q8" s="158" t="s">
        <v>134</v>
      </c>
      <c r="R8" s="905" t="s">
        <v>138</v>
      </c>
      <c r="S8" s="906"/>
      <c r="T8" s="905" t="s">
        <v>141</v>
      </c>
      <c r="U8" s="906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6.8" thickTop="1" thickBot="1">
      <c r="A9" s="166" t="s">
        <v>151</v>
      </c>
      <c r="B9" s="195">
        <f>'PD0101'!B9</f>
        <v>0</v>
      </c>
      <c r="C9" s="196">
        <f>'PD0101'!C9</f>
        <v>0</v>
      </c>
      <c r="D9" s="195">
        <f>'PD0101'!D9</f>
        <v>0</v>
      </c>
      <c r="E9" s="196">
        <f>'PD0101'!E9</f>
        <v>0</v>
      </c>
      <c r="F9" s="195">
        <f>'PD0101'!F9</f>
        <v>0</v>
      </c>
      <c r="G9" s="196">
        <f>'PD0101'!G9</f>
        <v>0</v>
      </c>
      <c r="H9" s="167">
        <f t="shared" ref="H9:H30" si="0">IF((B9&gt;C9),C9,B9)</f>
        <v>0</v>
      </c>
      <c r="I9" s="167">
        <f t="shared" ref="I9:I30" si="1">IF((C9&gt;B9),C9,B9)</f>
        <v>0</v>
      </c>
      <c r="J9" s="167">
        <f t="shared" ref="J9:J30" si="2">IF((D9&gt;E9),E9,D9)</f>
        <v>0</v>
      </c>
      <c r="K9" s="167">
        <f t="shared" ref="K9:K30" si="3">IF((E9&gt;D9),E9,D9)</f>
        <v>0</v>
      </c>
      <c r="L9" s="167">
        <f t="shared" ref="L9:L30" si="4">IF((F9&gt;G9),G9,F9)</f>
        <v>0</v>
      </c>
      <c r="M9" s="167">
        <f t="shared" ref="M9:M30" si="5">IF((G9&gt;F9),G9,F9)</f>
        <v>0</v>
      </c>
      <c r="N9" s="168">
        <f t="shared" ref="N9:N30" si="6">IF((J9=H9),J9,(IF((J9=I9),J9,0)))</f>
        <v>0</v>
      </c>
      <c r="O9" s="168">
        <f t="shared" ref="O9:O30" si="7">IF((K9=H9),K9,(IF((K9=I9),K9,0)))</f>
        <v>0</v>
      </c>
      <c r="P9" s="168">
        <f t="shared" ref="P9:P30" si="8">(IF(((N9+O9)=(J9+K9)),0,1))</f>
        <v>0</v>
      </c>
      <c r="Q9" s="169">
        <f t="shared" ref="Q9:Q30" si="9">IF(OR((N9=O9),(O9=0)),N9,(IF(AND((N9=0),(O9&lt;&gt;0)),O9,$AD$7)))</f>
        <v>0</v>
      </c>
      <c r="R9" s="170">
        <f t="shared" ref="R9:R30" si="10">(IF((Q9&lt;&gt;$AD$7),(J9+K9-Q9),D9))</f>
        <v>0</v>
      </c>
      <c r="S9" s="170">
        <f t="shared" ref="S9:S30" si="11">(IF((Q9&lt;&gt;$AD$7),0,K9))</f>
        <v>0</v>
      </c>
      <c r="T9" s="171">
        <f t="shared" ref="T9:T30" si="12">(IF(OR((R9=L9),(R9=M9)),R9,0))</f>
        <v>0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2</v>
      </c>
      <c r="AB9" s="197">
        <f t="shared" ref="AB9:AB30" si="14">((IF((AND(($H9=$L9),($I9=$M9))),2,( IF((OR(($H9=$L9),($I9=$M9),($H9=$M9),($I9=$L9))),1,0)))))</f>
        <v>2</v>
      </c>
      <c r="AC9" s="197">
        <f t="shared" ref="AC9:AC30" si="15">((IF((AND(($J9=$L9),($K9=$M9))),2,( IF((OR(($J9=$L9),($K9=$M9),($J9=$M9),($K9=$L9))),1,0)))))</f>
        <v>2</v>
      </c>
      <c r="AD9" s="164"/>
      <c r="AE9" s="165">
        <f t="shared" ref="AE9:AE30" si="16">(1-AA9)^2</f>
        <v>1</v>
      </c>
      <c r="AF9" s="164"/>
      <c r="AG9" s="163" t="str">
        <f t="shared" ref="AG9:AG30" si="17">IF((AND((AA9&gt;=1),(AC9&gt;=1))),"INCLUSÃO","VERIFICAR")</f>
        <v>INCLUSÃO</v>
      </c>
    </row>
    <row r="10" spans="1:35" ht="16.8" thickTop="1" thickBot="1">
      <c r="A10" s="166" t="s">
        <v>214</v>
      </c>
      <c r="B10" s="195">
        <f>'PD0101'!B10</f>
        <v>0</v>
      </c>
      <c r="C10" s="196">
        <f>'PD0101'!C10</f>
        <v>0</v>
      </c>
      <c r="D10" s="195">
        <f>'PD0101'!D10</f>
        <v>0</v>
      </c>
      <c r="E10" s="196">
        <f>'PD0101'!E10</f>
        <v>0</v>
      </c>
      <c r="F10" s="195">
        <f>'PD0101'!F10</f>
        <v>0</v>
      </c>
      <c r="G10" s="196">
        <f>'PD0101'!G10</f>
        <v>0</v>
      </c>
      <c r="H10" s="167">
        <f t="shared" si="0"/>
        <v>0</v>
      </c>
      <c r="I10" s="167">
        <f t="shared" si="1"/>
        <v>0</v>
      </c>
      <c r="J10" s="167">
        <f t="shared" si="2"/>
        <v>0</v>
      </c>
      <c r="K10" s="167">
        <f t="shared" si="3"/>
        <v>0</v>
      </c>
      <c r="L10" s="167">
        <f t="shared" si="4"/>
        <v>0</v>
      </c>
      <c r="M10" s="167">
        <f t="shared" si="5"/>
        <v>0</v>
      </c>
      <c r="N10" s="168">
        <f t="shared" si="6"/>
        <v>0</v>
      </c>
      <c r="O10" s="168">
        <f t="shared" si="7"/>
        <v>0</v>
      </c>
      <c r="P10" s="168">
        <f t="shared" si="8"/>
        <v>0</v>
      </c>
      <c r="Q10" s="169">
        <f t="shared" si="9"/>
        <v>0</v>
      </c>
      <c r="R10" s="170">
        <f t="shared" si="10"/>
        <v>0</v>
      </c>
      <c r="S10" s="170">
        <f t="shared" si="11"/>
        <v>0</v>
      </c>
      <c r="T10" s="171">
        <f t="shared" si="12"/>
        <v>0</v>
      </c>
      <c r="U10" s="172">
        <f t="shared" si="13"/>
        <v>0</v>
      </c>
      <c r="V10" s="173">
        <f>IF(R10=0,0,VLOOKUP(R10,FREQUENCIAS!$1:$1048576,(IF(($A10=FREQUENCIAS!$C$1),3,"ERRO")),FREQUENCIAS!$1:$1048576))</f>
        <v>0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2</v>
      </c>
      <c r="AB10" s="197">
        <f t="shared" si="14"/>
        <v>2</v>
      </c>
      <c r="AC10" s="197">
        <f t="shared" si="15"/>
        <v>2</v>
      </c>
      <c r="AD10" s="164"/>
      <c r="AE10" s="165">
        <f t="shared" si="16"/>
        <v>1</v>
      </c>
      <c r="AF10" s="164"/>
      <c r="AG10" s="163" t="str">
        <f t="shared" si="17"/>
        <v>INCLUSÃO</v>
      </c>
    </row>
    <row r="11" spans="1:35" ht="16.8" thickTop="1" thickBot="1">
      <c r="A11" s="166" t="s">
        <v>215</v>
      </c>
      <c r="B11" s="195">
        <f>'PD0101'!B11</f>
        <v>0</v>
      </c>
      <c r="C11" s="196">
        <f>'PD0101'!C11</f>
        <v>0</v>
      </c>
      <c r="D11" s="195">
        <f>'PD0101'!D11</f>
        <v>0</v>
      </c>
      <c r="E11" s="196">
        <f>'PD0101'!E11</f>
        <v>0</v>
      </c>
      <c r="F11" s="195">
        <f>'PD0101'!F11</f>
        <v>0</v>
      </c>
      <c r="G11" s="196">
        <f>'PD0101'!G11</f>
        <v>0</v>
      </c>
      <c r="H11" s="167">
        <f t="shared" si="0"/>
        <v>0</v>
      </c>
      <c r="I11" s="167">
        <f t="shared" si="1"/>
        <v>0</v>
      </c>
      <c r="J11" s="167">
        <f t="shared" si="2"/>
        <v>0</v>
      </c>
      <c r="K11" s="167">
        <f t="shared" si="3"/>
        <v>0</v>
      </c>
      <c r="L11" s="167">
        <f t="shared" si="4"/>
        <v>0</v>
      </c>
      <c r="M11" s="167">
        <f t="shared" si="5"/>
        <v>0</v>
      </c>
      <c r="N11" s="168">
        <f t="shared" si="6"/>
        <v>0</v>
      </c>
      <c r="O11" s="168">
        <f t="shared" si="7"/>
        <v>0</v>
      </c>
      <c r="P11" s="168">
        <f t="shared" si="8"/>
        <v>0</v>
      </c>
      <c r="Q11" s="169">
        <f t="shared" si="9"/>
        <v>0</v>
      </c>
      <c r="R11" s="170">
        <f t="shared" si="10"/>
        <v>0</v>
      </c>
      <c r="S11" s="170">
        <f t="shared" si="11"/>
        <v>0</v>
      </c>
      <c r="T11" s="171">
        <f t="shared" si="12"/>
        <v>0</v>
      </c>
      <c r="U11" s="172">
        <f t="shared" si="13"/>
        <v>0</v>
      </c>
      <c r="V11" s="173">
        <f>IF(R11=0,0,VLOOKUP(R11,FREQUENCIAS!$1:$1048576,(IF(($A11=FREQUENCIAS!$D$1),4,"ERRO")),FREQUENCIAS!$1:$1048576))</f>
        <v>0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2</v>
      </c>
      <c r="AB11" s="197">
        <f t="shared" si="14"/>
        <v>2</v>
      </c>
      <c r="AC11" s="197">
        <f t="shared" si="15"/>
        <v>2</v>
      </c>
      <c r="AD11" s="164"/>
      <c r="AE11" s="165">
        <f t="shared" si="16"/>
        <v>1</v>
      </c>
      <c r="AF11" s="164"/>
      <c r="AG11" s="163" t="str">
        <f t="shared" si="17"/>
        <v>INCLUSÃO</v>
      </c>
    </row>
    <row r="12" spans="1:35" ht="16.8" thickTop="1" thickBot="1">
      <c r="A12" s="166" t="s">
        <v>216</v>
      </c>
      <c r="B12" s="195">
        <f>'PD0101'!B12</f>
        <v>0</v>
      </c>
      <c r="C12" s="196">
        <f>'PD0101'!C12</f>
        <v>0</v>
      </c>
      <c r="D12" s="195">
        <f>'PD0101'!D12</f>
        <v>0</v>
      </c>
      <c r="E12" s="196">
        <f>'PD0101'!E12</f>
        <v>0</v>
      </c>
      <c r="F12" s="195">
        <f>'PD0101'!F12</f>
        <v>0</v>
      </c>
      <c r="G12" s="196">
        <f>'PD0101'!G12</f>
        <v>0</v>
      </c>
      <c r="H12" s="167">
        <f t="shared" si="0"/>
        <v>0</v>
      </c>
      <c r="I12" s="167">
        <f t="shared" si="1"/>
        <v>0</v>
      </c>
      <c r="J12" s="167">
        <f t="shared" si="2"/>
        <v>0</v>
      </c>
      <c r="K12" s="167">
        <f t="shared" si="3"/>
        <v>0</v>
      </c>
      <c r="L12" s="167">
        <f t="shared" si="4"/>
        <v>0</v>
      </c>
      <c r="M12" s="167">
        <f t="shared" si="5"/>
        <v>0</v>
      </c>
      <c r="N12" s="168">
        <f t="shared" si="6"/>
        <v>0</v>
      </c>
      <c r="O12" s="168">
        <f t="shared" si="7"/>
        <v>0</v>
      </c>
      <c r="P12" s="168">
        <f t="shared" si="8"/>
        <v>0</v>
      </c>
      <c r="Q12" s="168">
        <f t="shared" si="9"/>
        <v>0</v>
      </c>
      <c r="R12" s="170">
        <f t="shared" si="10"/>
        <v>0</v>
      </c>
      <c r="S12" s="170">
        <f t="shared" si="11"/>
        <v>0</v>
      </c>
      <c r="T12" s="171">
        <f t="shared" si="12"/>
        <v>0</v>
      </c>
      <c r="U12" s="172">
        <f t="shared" si="13"/>
        <v>0</v>
      </c>
      <c r="V12" s="173">
        <f>IF(R12=0,0,VLOOKUP(R12,FREQUENCIAS!$1:$1048576,(IF(($A12=FREQUENCIAS!$E$1),5,"ERRO")),FREQUENCIAS!$1:$1048576))</f>
        <v>0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2</v>
      </c>
      <c r="AB12" s="197">
        <f t="shared" si="14"/>
        <v>2</v>
      </c>
      <c r="AC12" s="197">
        <f t="shared" si="15"/>
        <v>2</v>
      </c>
      <c r="AD12" s="164" t="s">
        <v>140</v>
      </c>
      <c r="AE12" s="165">
        <f t="shared" si="16"/>
        <v>1</v>
      </c>
      <c r="AF12" s="164"/>
      <c r="AG12" s="163" t="str">
        <f t="shared" si="17"/>
        <v>INCLUSÃO</v>
      </c>
    </row>
    <row r="13" spans="1:35" ht="16.8" thickTop="1" thickBot="1">
      <c r="A13" s="166" t="s">
        <v>157</v>
      </c>
      <c r="B13" s="195">
        <f>'PD0101'!B13</f>
        <v>0</v>
      </c>
      <c r="C13" s="196">
        <f>'PD0101'!C13</f>
        <v>0</v>
      </c>
      <c r="D13" s="195">
        <f>'PD0101'!D13</f>
        <v>0</v>
      </c>
      <c r="E13" s="196">
        <f>'PD0101'!E13</f>
        <v>0</v>
      </c>
      <c r="F13" s="195">
        <f>'PD0101'!F13</f>
        <v>0</v>
      </c>
      <c r="G13" s="196">
        <f>'PD0101'!G13</f>
        <v>0</v>
      </c>
      <c r="H13" s="167">
        <f t="shared" si="0"/>
        <v>0</v>
      </c>
      <c r="I13" s="167">
        <f t="shared" si="1"/>
        <v>0</v>
      </c>
      <c r="J13" s="167">
        <f t="shared" si="2"/>
        <v>0</v>
      </c>
      <c r="K13" s="167">
        <f t="shared" si="3"/>
        <v>0</v>
      </c>
      <c r="L13" s="167">
        <f t="shared" si="4"/>
        <v>0</v>
      </c>
      <c r="M13" s="167">
        <f t="shared" si="5"/>
        <v>0</v>
      </c>
      <c r="N13" s="168">
        <f t="shared" si="6"/>
        <v>0</v>
      </c>
      <c r="O13" s="168">
        <f t="shared" si="7"/>
        <v>0</v>
      </c>
      <c r="P13" s="168">
        <f t="shared" si="8"/>
        <v>0</v>
      </c>
      <c r="Q13" s="169">
        <f t="shared" si="9"/>
        <v>0</v>
      </c>
      <c r="R13" s="170">
        <f t="shared" si="10"/>
        <v>0</v>
      </c>
      <c r="S13" s="170">
        <f t="shared" si="11"/>
        <v>0</v>
      </c>
      <c r="T13" s="171">
        <f t="shared" si="12"/>
        <v>0</v>
      </c>
      <c r="U13" s="172">
        <f t="shared" si="13"/>
        <v>0</v>
      </c>
      <c r="V13" s="173">
        <f>IF(R13=0,0,VLOOKUP(R13,FREQUENCIAS!$1:$1048576,(IF(($A13=FREQUENCIAS!$F$1),6,"ERRO")),FREQUENCIAS!$1:$1048576))</f>
        <v>0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2</v>
      </c>
      <c r="AB13" s="197">
        <f t="shared" si="14"/>
        <v>2</v>
      </c>
      <c r="AC13" s="197">
        <f t="shared" si="15"/>
        <v>2</v>
      </c>
      <c r="AD13" s="164" t="s">
        <v>116</v>
      </c>
      <c r="AE13" s="165">
        <f t="shared" si="16"/>
        <v>1</v>
      </c>
      <c r="AF13" s="164"/>
      <c r="AG13" s="163" t="str">
        <f t="shared" si="17"/>
        <v>INCLUSÃO</v>
      </c>
      <c r="AI13" s="136" t="s">
        <v>174</v>
      </c>
    </row>
    <row r="14" spans="1:35" ht="16.8" thickTop="1" thickBot="1">
      <c r="A14" s="174" t="s">
        <v>219</v>
      </c>
      <c r="B14" s="161">
        <f>'PD0101'!B14</f>
        <v>0</v>
      </c>
      <c r="C14" s="162">
        <f>'PD0101'!C14</f>
        <v>0</v>
      </c>
      <c r="D14" s="161">
        <f>'PD0101'!D14</f>
        <v>0</v>
      </c>
      <c r="E14" s="162">
        <f>'PD0101'!E14</f>
        <v>0</v>
      </c>
      <c r="F14" s="161">
        <f>'PD0101'!F14</f>
        <v>0</v>
      </c>
      <c r="G14" s="162">
        <f>'PD0101'!G14</f>
        <v>0</v>
      </c>
      <c r="H14" s="167">
        <f t="shared" si="0"/>
        <v>0</v>
      </c>
      <c r="I14" s="167">
        <f t="shared" si="1"/>
        <v>0</v>
      </c>
      <c r="J14" s="167">
        <f t="shared" si="2"/>
        <v>0</v>
      </c>
      <c r="K14" s="167">
        <f t="shared" si="3"/>
        <v>0</v>
      </c>
      <c r="L14" s="167">
        <f t="shared" si="4"/>
        <v>0</v>
      </c>
      <c r="M14" s="167">
        <f t="shared" si="5"/>
        <v>0</v>
      </c>
      <c r="N14" s="168">
        <f t="shared" si="6"/>
        <v>0</v>
      </c>
      <c r="O14" s="168">
        <f t="shared" si="7"/>
        <v>0</v>
      </c>
      <c r="P14" s="168">
        <f t="shared" si="8"/>
        <v>0</v>
      </c>
      <c r="Q14" s="169">
        <f t="shared" si="9"/>
        <v>0</v>
      </c>
      <c r="R14" s="170">
        <f t="shared" si="10"/>
        <v>0</v>
      </c>
      <c r="S14" s="170">
        <f t="shared" si="11"/>
        <v>0</v>
      </c>
      <c r="T14" s="171">
        <f t="shared" si="12"/>
        <v>0</v>
      </c>
      <c r="U14" s="172">
        <f t="shared" si="13"/>
        <v>0</v>
      </c>
      <c r="V14" s="173">
        <f>IF(R14=0,0,VLOOKUP(R14,FREQUENCIAS!$1:$1048576,(IF(($A14=FREQUENCIAS!$G$1),7,"ERRO")),FREQUENCIAS!$1:$1048576))</f>
        <v>0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2</v>
      </c>
      <c r="AB14" s="197">
        <f t="shared" si="14"/>
        <v>2</v>
      </c>
      <c r="AC14" s="197">
        <f t="shared" si="15"/>
        <v>2</v>
      </c>
      <c r="AD14" s="164"/>
      <c r="AE14" s="165">
        <f t="shared" si="16"/>
        <v>1</v>
      </c>
      <c r="AF14" s="164"/>
      <c r="AG14" s="163" t="str">
        <f t="shared" si="17"/>
        <v>INCLUSÃO</v>
      </c>
    </row>
    <row r="15" spans="1:35" ht="16.8" thickTop="1" thickBot="1">
      <c r="A15" s="166" t="s">
        <v>159</v>
      </c>
      <c r="B15" s="195">
        <f>'PD0101'!B15</f>
        <v>0</v>
      </c>
      <c r="C15" s="196">
        <f>'PD0101'!C15</f>
        <v>0</v>
      </c>
      <c r="D15" s="195">
        <f>'PD0101'!D15</f>
        <v>0</v>
      </c>
      <c r="E15" s="196">
        <f>'PD0101'!E15</f>
        <v>0</v>
      </c>
      <c r="F15" s="195">
        <f>'PD0101'!F15</f>
        <v>0</v>
      </c>
      <c r="G15" s="196">
        <f>'PD0101'!G15</f>
        <v>0</v>
      </c>
      <c r="H15" s="167">
        <f t="shared" si="0"/>
        <v>0</v>
      </c>
      <c r="I15" s="167">
        <f t="shared" si="1"/>
        <v>0</v>
      </c>
      <c r="J15" s="167">
        <f t="shared" si="2"/>
        <v>0</v>
      </c>
      <c r="K15" s="167">
        <f t="shared" si="3"/>
        <v>0</v>
      </c>
      <c r="L15" s="167">
        <f t="shared" si="4"/>
        <v>0</v>
      </c>
      <c r="M15" s="167">
        <f t="shared" si="5"/>
        <v>0</v>
      </c>
      <c r="N15" s="168">
        <f t="shared" si="6"/>
        <v>0</v>
      </c>
      <c r="O15" s="168">
        <f t="shared" si="7"/>
        <v>0</v>
      </c>
      <c r="P15" s="168">
        <f t="shared" si="8"/>
        <v>0</v>
      </c>
      <c r="Q15" s="169">
        <f t="shared" si="9"/>
        <v>0</v>
      </c>
      <c r="R15" s="170">
        <f t="shared" si="10"/>
        <v>0</v>
      </c>
      <c r="S15" s="170">
        <f t="shared" si="11"/>
        <v>0</v>
      </c>
      <c r="T15" s="171">
        <f t="shared" si="12"/>
        <v>0</v>
      </c>
      <c r="U15" s="172">
        <f t="shared" si="13"/>
        <v>0</v>
      </c>
      <c r="V15" s="173">
        <f>IF(R15=0,0,VLOOKUP(R15,FREQUENCIAS!$1:$1048576,(IF(($A15=FREQUENCIAS!$H$1),8,"ERRO")),FREQUENCIAS!$1:$1048576))</f>
        <v>0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2</v>
      </c>
      <c r="AB15" s="197">
        <f t="shared" si="14"/>
        <v>2</v>
      </c>
      <c r="AC15" s="197">
        <f t="shared" si="15"/>
        <v>2</v>
      </c>
      <c r="AD15" s="164"/>
      <c r="AE15" s="165">
        <f t="shared" si="16"/>
        <v>1</v>
      </c>
      <c r="AF15" s="164"/>
      <c r="AG15" s="163" t="str">
        <f t="shared" si="17"/>
        <v>INCLUSÃO</v>
      </c>
    </row>
    <row r="16" spans="1:35" ht="16.8" thickTop="1" thickBot="1">
      <c r="A16" s="166" t="s">
        <v>155</v>
      </c>
      <c r="B16" s="195">
        <f>'PD0101'!B16</f>
        <v>0</v>
      </c>
      <c r="C16" s="196">
        <f>'PD0101'!C16</f>
        <v>0</v>
      </c>
      <c r="D16" s="195">
        <f>'PD0101'!D16</f>
        <v>0</v>
      </c>
      <c r="E16" s="196">
        <f>'PD0101'!E16</f>
        <v>0</v>
      </c>
      <c r="F16" s="195">
        <f>'PD0101'!F16</f>
        <v>0</v>
      </c>
      <c r="G16" s="196">
        <f>'PD0101'!G16</f>
        <v>0</v>
      </c>
      <c r="H16" s="167">
        <f t="shared" si="0"/>
        <v>0</v>
      </c>
      <c r="I16" s="167">
        <f t="shared" si="1"/>
        <v>0</v>
      </c>
      <c r="J16" s="167">
        <f t="shared" si="2"/>
        <v>0</v>
      </c>
      <c r="K16" s="167">
        <f t="shared" si="3"/>
        <v>0</v>
      </c>
      <c r="L16" s="167">
        <f t="shared" si="4"/>
        <v>0</v>
      </c>
      <c r="M16" s="167">
        <f t="shared" si="5"/>
        <v>0</v>
      </c>
      <c r="N16" s="168">
        <f t="shared" si="6"/>
        <v>0</v>
      </c>
      <c r="O16" s="168">
        <f t="shared" si="7"/>
        <v>0</v>
      </c>
      <c r="P16" s="168">
        <f t="shared" si="8"/>
        <v>0</v>
      </c>
      <c r="Q16" s="169">
        <f t="shared" si="9"/>
        <v>0</v>
      </c>
      <c r="R16" s="170">
        <f t="shared" si="10"/>
        <v>0</v>
      </c>
      <c r="S16" s="170">
        <f t="shared" si="11"/>
        <v>0</v>
      </c>
      <c r="T16" s="171">
        <f t="shared" si="12"/>
        <v>0</v>
      </c>
      <c r="U16" s="172">
        <f t="shared" si="13"/>
        <v>0</v>
      </c>
      <c r="V16" s="173">
        <f>IF(R16=0,0,VLOOKUP(R16,FREQUENCIAS!$1:$1048576,(IF(($A16=FREQUENCIAS!$I$1),9,"ERRO")),FREQUENCIAS!$1:$1048576))</f>
        <v>0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2</v>
      </c>
      <c r="AB16" s="197">
        <f t="shared" si="14"/>
        <v>2</v>
      </c>
      <c r="AC16" s="197">
        <f t="shared" si="15"/>
        <v>2</v>
      </c>
      <c r="AD16" s="164"/>
      <c r="AE16" s="165">
        <f t="shared" si="16"/>
        <v>1</v>
      </c>
      <c r="AF16" s="164"/>
      <c r="AG16" s="163" t="str">
        <f t="shared" si="17"/>
        <v>INCLUSÃO</v>
      </c>
    </row>
    <row r="17" spans="1:35" ht="16.8" thickTop="1" thickBot="1">
      <c r="A17" s="166" t="s">
        <v>51</v>
      </c>
      <c r="B17" s="195">
        <f>'PD0101'!B17</f>
        <v>0</v>
      </c>
      <c r="C17" s="196">
        <f>'PD0101'!C17</f>
        <v>0</v>
      </c>
      <c r="D17" s="195">
        <f>'PD0101'!D17</f>
        <v>0</v>
      </c>
      <c r="E17" s="196">
        <f>'PD0101'!E17</f>
        <v>0</v>
      </c>
      <c r="F17" s="195">
        <f>'PD0101'!F17</f>
        <v>0</v>
      </c>
      <c r="G17" s="196">
        <f>'PD0101'!G17</f>
        <v>0</v>
      </c>
      <c r="H17" s="167">
        <f t="shared" si="0"/>
        <v>0</v>
      </c>
      <c r="I17" s="167">
        <f t="shared" si="1"/>
        <v>0</v>
      </c>
      <c r="J17" s="167">
        <f t="shared" si="2"/>
        <v>0</v>
      </c>
      <c r="K17" s="167">
        <f t="shared" si="3"/>
        <v>0</v>
      </c>
      <c r="L17" s="167">
        <f t="shared" si="4"/>
        <v>0</v>
      </c>
      <c r="M17" s="167">
        <f t="shared" si="5"/>
        <v>0</v>
      </c>
      <c r="N17" s="168">
        <f t="shared" si="6"/>
        <v>0</v>
      </c>
      <c r="O17" s="168">
        <f t="shared" si="7"/>
        <v>0</v>
      </c>
      <c r="P17" s="168">
        <f t="shared" si="8"/>
        <v>0</v>
      </c>
      <c r="Q17" s="169">
        <f t="shared" si="9"/>
        <v>0</v>
      </c>
      <c r="R17" s="170">
        <f t="shared" si="10"/>
        <v>0</v>
      </c>
      <c r="S17" s="170">
        <f t="shared" si="11"/>
        <v>0</v>
      </c>
      <c r="T17" s="171">
        <f t="shared" si="12"/>
        <v>0</v>
      </c>
      <c r="U17" s="172">
        <f t="shared" si="13"/>
        <v>0</v>
      </c>
      <c r="V17" s="173">
        <f>IF(R17=0,0,VLOOKUP(R17,FREQUENCIAS!$1:$1048576,(IF(($A17=FREQUENCIAS!$J$1),10,"ERRO")),FREQUENCIAS!$1:$1048576))</f>
        <v>0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2</v>
      </c>
      <c r="AB17" s="197">
        <f t="shared" si="14"/>
        <v>2</v>
      </c>
      <c r="AC17" s="197">
        <f t="shared" si="15"/>
        <v>2</v>
      </c>
      <c r="AD17" s="164" t="s">
        <v>173</v>
      </c>
      <c r="AE17" s="165">
        <f t="shared" si="16"/>
        <v>1</v>
      </c>
      <c r="AF17" s="164"/>
      <c r="AG17" s="163" t="str">
        <f t="shared" si="17"/>
        <v>INCLUSÃO</v>
      </c>
    </row>
    <row r="18" spans="1:35" ht="16.8" thickTop="1" thickBot="1">
      <c r="A18" s="166" t="s">
        <v>132</v>
      </c>
      <c r="B18" s="195">
        <f>'PD0101'!B18</f>
        <v>0</v>
      </c>
      <c r="C18" s="196">
        <f>'PD0101'!C18</f>
        <v>0</v>
      </c>
      <c r="D18" s="195">
        <f>'PD0101'!D18</f>
        <v>0</v>
      </c>
      <c r="E18" s="196">
        <f>'PD0101'!E18</f>
        <v>0</v>
      </c>
      <c r="F18" s="195">
        <f>'PD0101'!F18</f>
        <v>0</v>
      </c>
      <c r="G18" s="196">
        <f>'PD0101'!G18</f>
        <v>0</v>
      </c>
      <c r="H18" s="167">
        <f t="shared" si="0"/>
        <v>0</v>
      </c>
      <c r="I18" s="167">
        <f t="shared" si="1"/>
        <v>0</v>
      </c>
      <c r="J18" s="167">
        <f t="shared" si="2"/>
        <v>0</v>
      </c>
      <c r="K18" s="167">
        <f t="shared" si="3"/>
        <v>0</v>
      </c>
      <c r="L18" s="167">
        <f t="shared" si="4"/>
        <v>0</v>
      </c>
      <c r="M18" s="167">
        <f t="shared" si="5"/>
        <v>0</v>
      </c>
      <c r="N18" s="168">
        <f t="shared" si="6"/>
        <v>0</v>
      </c>
      <c r="O18" s="168">
        <f t="shared" si="7"/>
        <v>0</v>
      </c>
      <c r="P18" s="168">
        <f t="shared" si="8"/>
        <v>0</v>
      </c>
      <c r="Q18" s="169">
        <f t="shared" si="9"/>
        <v>0</v>
      </c>
      <c r="R18" s="170">
        <f t="shared" si="10"/>
        <v>0</v>
      </c>
      <c r="S18" s="170">
        <f t="shared" si="11"/>
        <v>0</v>
      </c>
      <c r="T18" s="171">
        <f t="shared" si="12"/>
        <v>0</v>
      </c>
      <c r="U18" s="172">
        <f t="shared" si="13"/>
        <v>0</v>
      </c>
      <c r="V18" s="173">
        <f>IF(R18=0,0,VLOOKUP(R18,FREQUENCIAS!$1:$1048576,(IF(($A18=FREQUENCIAS!$K$1),11,"ERRO")),FREQUENCIAS!$1:$1048576))</f>
        <v>0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2</v>
      </c>
      <c r="AB18" s="197">
        <f t="shared" si="14"/>
        <v>2</v>
      </c>
      <c r="AC18" s="197">
        <f t="shared" si="15"/>
        <v>2</v>
      </c>
      <c r="AD18" s="164"/>
      <c r="AE18" s="165">
        <f t="shared" si="16"/>
        <v>1</v>
      </c>
      <c r="AF18" s="164"/>
      <c r="AG18" s="163" t="str">
        <f t="shared" si="17"/>
        <v>INCLUSÃO</v>
      </c>
    </row>
    <row r="19" spans="1:35" ht="16.8" thickTop="1" thickBot="1">
      <c r="A19" s="166" t="s">
        <v>220</v>
      </c>
      <c r="B19" s="195">
        <f>'PD0101'!B19</f>
        <v>0</v>
      </c>
      <c r="C19" s="196">
        <f>'PD0101'!C19</f>
        <v>0</v>
      </c>
      <c r="D19" s="195">
        <f>'PD0101'!D19</f>
        <v>0</v>
      </c>
      <c r="E19" s="196">
        <f>'PD0101'!E19</f>
        <v>0</v>
      </c>
      <c r="F19" s="195">
        <f>'PD0101'!F19</f>
        <v>0</v>
      </c>
      <c r="G19" s="196">
        <f>'PD0101'!G19</f>
        <v>0</v>
      </c>
      <c r="H19" s="167">
        <f t="shared" si="0"/>
        <v>0</v>
      </c>
      <c r="I19" s="167">
        <f t="shared" si="1"/>
        <v>0</v>
      </c>
      <c r="J19" s="167">
        <f t="shared" si="2"/>
        <v>0</v>
      </c>
      <c r="K19" s="167">
        <f t="shared" si="3"/>
        <v>0</v>
      </c>
      <c r="L19" s="167">
        <f t="shared" si="4"/>
        <v>0</v>
      </c>
      <c r="M19" s="167">
        <f t="shared" si="5"/>
        <v>0</v>
      </c>
      <c r="N19" s="168">
        <f t="shared" si="6"/>
        <v>0</v>
      </c>
      <c r="O19" s="168">
        <f t="shared" si="7"/>
        <v>0</v>
      </c>
      <c r="P19" s="168">
        <f t="shared" si="8"/>
        <v>0</v>
      </c>
      <c r="Q19" s="169">
        <f t="shared" si="9"/>
        <v>0</v>
      </c>
      <c r="R19" s="170">
        <f t="shared" si="10"/>
        <v>0</v>
      </c>
      <c r="S19" s="170">
        <f t="shared" si="11"/>
        <v>0</v>
      </c>
      <c r="T19" s="171">
        <f t="shared" si="12"/>
        <v>0</v>
      </c>
      <c r="U19" s="172">
        <f t="shared" si="13"/>
        <v>0</v>
      </c>
      <c r="V19" s="173">
        <f>IF(R19=0,0,VLOOKUP(R19,FREQUENCIAS!$1:$1048576,(IF(($A19=FREQUENCIAS!$L$1),12,"ERRO")),FREQUENCIAS!$1:$1048576))</f>
        <v>0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2</v>
      </c>
      <c r="AB19" s="197">
        <f t="shared" si="14"/>
        <v>2</v>
      </c>
      <c r="AC19" s="197">
        <f t="shared" si="15"/>
        <v>2</v>
      </c>
      <c r="AD19" s="164" t="s">
        <v>59</v>
      </c>
      <c r="AE19" s="165">
        <f t="shared" si="16"/>
        <v>1</v>
      </c>
      <c r="AF19" s="164"/>
      <c r="AG19" s="163" t="str">
        <f t="shared" si="17"/>
        <v>INCLUSÃO</v>
      </c>
      <c r="AI19" s="136" t="s">
        <v>175</v>
      </c>
    </row>
    <row r="20" spans="1:35" ht="16.8" thickTop="1" thickBot="1">
      <c r="A20" s="166" t="s">
        <v>144</v>
      </c>
      <c r="B20" s="195">
        <f>'PD0101'!B20</f>
        <v>0</v>
      </c>
      <c r="C20" s="196">
        <f>'PD0101'!C20</f>
        <v>0</v>
      </c>
      <c r="D20" s="195">
        <f>'PD0101'!D20</f>
        <v>0</v>
      </c>
      <c r="E20" s="196">
        <f>'PD0101'!E20</f>
        <v>0</v>
      </c>
      <c r="F20" s="195">
        <f>'PD0101'!F20</f>
        <v>0</v>
      </c>
      <c r="G20" s="196">
        <f>'PD0101'!G20</f>
        <v>0</v>
      </c>
      <c r="H20" s="167">
        <f t="shared" si="0"/>
        <v>0</v>
      </c>
      <c r="I20" s="167">
        <f t="shared" si="1"/>
        <v>0</v>
      </c>
      <c r="J20" s="167">
        <f t="shared" si="2"/>
        <v>0</v>
      </c>
      <c r="K20" s="167">
        <f t="shared" si="3"/>
        <v>0</v>
      </c>
      <c r="L20" s="167">
        <f t="shared" si="4"/>
        <v>0</v>
      </c>
      <c r="M20" s="167">
        <f t="shared" si="5"/>
        <v>0</v>
      </c>
      <c r="N20" s="168">
        <f t="shared" si="6"/>
        <v>0</v>
      </c>
      <c r="O20" s="168">
        <f t="shared" si="7"/>
        <v>0</v>
      </c>
      <c r="P20" s="168">
        <f t="shared" si="8"/>
        <v>0</v>
      </c>
      <c r="Q20" s="169">
        <f t="shared" si="9"/>
        <v>0</v>
      </c>
      <c r="R20" s="170">
        <f t="shared" si="10"/>
        <v>0</v>
      </c>
      <c r="S20" s="170">
        <f t="shared" si="11"/>
        <v>0</v>
      </c>
      <c r="T20" s="171">
        <f t="shared" si="12"/>
        <v>0</v>
      </c>
      <c r="U20" s="172">
        <f t="shared" si="13"/>
        <v>0</v>
      </c>
      <c r="V20" s="173">
        <f>IF(R20=0,0,VLOOKUP(R20,FREQUENCIAS!$1:$1048576,(IF(($A20=FREQUENCIAS!$M$1),13,"ERRO")),FREQUENCIAS!$1:$1048576))</f>
        <v>0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2</v>
      </c>
      <c r="AB20" s="197">
        <f t="shared" si="14"/>
        <v>2</v>
      </c>
      <c r="AC20" s="197">
        <f t="shared" si="15"/>
        <v>2</v>
      </c>
      <c r="AD20" s="164"/>
      <c r="AE20" s="165">
        <f t="shared" si="16"/>
        <v>1</v>
      </c>
      <c r="AF20" s="164"/>
      <c r="AG20" s="163" t="str">
        <f t="shared" si="17"/>
        <v>INCLUSÃO</v>
      </c>
    </row>
    <row r="21" spans="1:35" ht="16.8" thickTop="1" thickBot="1">
      <c r="A21" s="166" t="s">
        <v>179</v>
      </c>
      <c r="B21" s="195">
        <f>'PD0101'!B21</f>
        <v>0</v>
      </c>
      <c r="C21" s="196">
        <f>'PD0101'!C21</f>
        <v>0</v>
      </c>
      <c r="D21" s="195">
        <f>'PD0101'!D21</f>
        <v>0</v>
      </c>
      <c r="E21" s="196">
        <f>'PD0101'!E21</f>
        <v>0</v>
      </c>
      <c r="F21" s="195">
        <f>'PD0101'!F21</f>
        <v>0</v>
      </c>
      <c r="G21" s="196">
        <f>'PD0101'!G21</f>
        <v>0</v>
      </c>
      <c r="H21" s="167">
        <f t="shared" si="0"/>
        <v>0</v>
      </c>
      <c r="I21" s="167">
        <f t="shared" si="1"/>
        <v>0</v>
      </c>
      <c r="J21" s="167">
        <f t="shared" si="2"/>
        <v>0</v>
      </c>
      <c r="K21" s="167">
        <f t="shared" si="3"/>
        <v>0</v>
      </c>
      <c r="L21" s="167">
        <f t="shared" si="4"/>
        <v>0</v>
      </c>
      <c r="M21" s="167">
        <f t="shared" si="5"/>
        <v>0</v>
      </c>
      <c r="N21" s="168">
        <f t="shared" si="6"/>
        <v>0</v>
      </c>
      <c r="O21" s="168">
        <f t="shared" si="7"/>
        <v>0</v>
      </c>
      <c r="P21" s="168">
        <f t="shared" si="8"/>
        <v>0</v>
      </c>
      <c r="Q21" s="169">
        <f t="shared" si="9"/>
        <v>0</v>
      </c>
      <c r="R21" s="170">
        <f t="shared" si="10"/>
        <v>0</v>
      </c>
      <c r="S21" s="170">
        <f t="shared" si="11"/>
        <v>0</v>
      </c>
      <c r="T21" s="171">
        <f t="shared" si="12"/>
        <v>0</v>
      </c>
      <c r="U21" s="172">
        <f t="shared" si="13"/>
        <v>0</v>
      </c>
      <c r="V21" s="173">
        <f>IF(R21=0,0,VLOOKUP(R21,FREQUENCIAS!$1:$1048576,(IF(($A21=FREQUENCIAS!$N$1),14,"ERRO")),FREQUENCIAS!$1:$1048576))</f>
        <v>0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2</v>
      </c>
      <c r="AB21" s="197">
        <f t="shared" si="14"/>
        <v>2</v>
      </c>
      <c r="AC21" s="197">
        <f t="shared" si="15"/>
        <v>2</v>
      </c>
      <c r="AD21" s="164"/>
      <c r="AE21" s="165">
        <f t="shared" si="16"/>
        <v>1</v>
      </c>
      <c r="AF21" s="164"/>
      <c r="AG21" s="163" t="str">
        <f t="shared" si="17"/>
        <v>INCLUSÃO</v>
      </c>
    </row>
    <row r="22" spans="1:35" ht="16.8" thickTop="1" thickBot="1">
      <c r="A22" s="166" t="s">
        <v>154</v>
      </c>
      <c r="B22" s="195">
        <f>'PD0101'!B22</f>
        <v>0</v>
      </c>
      <c r="C22" s="196">
        <f>'PD0101'!C22</f>
        <v>0</v>
      </c>
      <c r="D22" s="195">
        <f>'PD0101'!D22</f>
        <v>0</v>
      </c>
      <c r="E22" s="196">
        <f>'PD0101'!E22</f>
        <v>0</v>
      </c>
      <c r="F22" s="195">
        <f>'PD0101'!F22</f>
        <v>0</v>
      </c>
      <c r="G22" s="196">
        <f>'PD0101'!G22</f>
        <v>0</v>
      </c>
      <c r="H22" s="167">
        <f t="shared" si="0"/>
        <v>0</v>
      </c>
      <c r="I22" s="167">
        <f t="shared" si="1"/>
        <v>0</v>
      </c>
      <c r="J22" s="167">
        <f t="shared" si="2"/>
        <v>0</v>
      </c>
      <c r="K22" s="167">
        <f t="shared" si="3"/>
        <v>0</v>
      </c>
      <c r="L22" s="167">
        <f t="shared" si="4"/>
        <v>0</v>
      </c>
      <c r="M22" s="167">
        <f t="shared" si="5"/>
        <v>0</v>
      </c>
      <c r="N22" s="168">
        <f t="shared" si="6"/>
        <v>0</v>
      </c>
      <c r="O22" s="168">
        <f t="shared" si="7"/>
        <v>0</v>
      </c>
      <c r="P22" s="168">
        <f t="shared" si="8"/>
        <v>0</v>
      </c>
      <c r="Q22" s="169">
        <f t="shared" si="9"/>
        <v>0</v>
      </c>
      <c r="R22" s="170">
        <f t="shared" si="10"/>
        <v>0</v>
      </c>
      <c r="S22" s="170">
        <f t="shared" si="11"/>
        <v>0</v>
      </c>
      <c r="T22" s="171">
        <f t="shared" si="12"/>
        <v>0</v>
      </c>
      <c r="U22" s="172">
        <f t="shared" si="13"/>
        <v>0</v>
      </c>
      <c r="V22" s="173">
        <f>IF(R22=0,0,VLOOKUP(R22,FREQUENCIAS!$1:$1048576,(IF(($A22=FREQUENCIAS!$O$1),15,"ERRO")),FREQUENCIAS!$1:$1048576))</f>
        <v>0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2</v>
      </c>
      <c r="AB22" s="197">
        <f t="shared" si="14"/>
        <v>2</v>
      </c>
      <c r="AC22" s="197">
        <f t="shared" si="15"/>
        <v>2</v>
      </c>
      <c r="AD22" s="164"/>
      <c r="AE22" s="165">
        <f t="shared" si="16"/>
        <v>1</v>
      </c>
      <c r="AF22" s="164"/>
      <c r="AG22" s="163" t="str">
        <f t="shared" si="17"/>
        <v>INCLUSÃO</v>
      </c>
    </row>
    <row r="23" spans="1:35" ht="16.8" thickTop="1" thickBot="1">
      <c r="A23" s="166" t="s">
        <v>158</v>
      </c>
      <c r="B23" s="195">
        <f>'PD0101'!B23</f>
        <v>0</v>
      </c>
      <c r="C23" s="196">
        <f>'PD0101'!C23</f>
        <v>0</v>
      </c>
      <c r="D23" s="195">
        <f>'PD0101'!D23</f>
        <v>0</v>
      </c>
      <c r="E23" s="196">
        <f>'PD0101'!E23</f>
        <v>0</v>
      </c>
      <c r="F23" s="195">
        <f>'PD0101'!F23</f>
        <v>0</v>
      </c>
      <c r="G23" s="196">
        <f>'PD0101'!G23</f>
        <v>0</v>
      </c>
      <c r="H23" s="167">
        <f t="shared" si="0"/>
        <v>0</v>
      </c>
      <c r="I23" s="167">
        <f t="shared" si="1"/>
        <v>0</v>
      </c>
      <c r="J23" s="167">
        <f t="shared" si="2"/>
        <v>0</v>
      </c>
      <c r="K23" s="167">
        <f t="shared" si="3"/>
        <v>0</v>
      </c>
      <c r="L23" s="167">
        <f t="shared" si="4"/>
        <v>0</v>
      </c>
      <c r="M23" s="167">
        <f t="shared" si="5"/>
        <v>0</v>
      </c>
      <c r="N23" s="168">
        <f t="shared" si="6"/>
        <v>0</v>
      </c>
      <c r="O23" s="168">
        <f t="shared" si="7"/>
        <v>0</v>
      </c>
      <c r="P23" s="168">
        <f t="shared" si="8"/>
        <v>0</v>
      </c>
      <c r="Q23" s="169">
        <f t="shared" si="9"/>
        <v>0</v>
      </c>
      <c r="R23" s="170">
        <f t="shared" si="10"/>
        <v>0</v>
      </c>
      <c r="S23" s="170">
        <f t="shared" si="11"/>
        <v>0</v>
      </c>
      <c r="T23" s="171">
        <f t="shared" si="12"/>
        <v>0</v>
      </c>
      <c r="U23" s="172">
        <f t="shared" si="13"/>
        <v>0</v>
      </c>
      <c r="V23" s="173">
        <f>IF(R23=0,0,VLOOKUP(R23,FREQUENCIAS!$1:$1048576,(IF(($A23=FREQUENCIAS!$P$1),16,"ERRO")),FREQUENCIAS!$1:$1048576))</f>
        <v>0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2</v>
      </c>
      <c r="AB23" s="197">
        <f t="shared" si="14"/>
        <v>2</v>
      </c>
      <c r="AC23" s="197">
        <f t="shared" si="15"/>
        <v>2</v>
      </c>
      <c r="AD23" s="164" t="s">
        <v>173</v>
      </c>
      <c r="AE23" s="165">
        <f t="shared" si="16"/>
        <v>1</v>
      </c>
      <c r="AF23" s="164"/>
      <c r="AG23" s="163" t="str">
        <f t="shared" si="17"/>
        <v>INCLUSÃO</v>
      </c>
    </row>
    <row r="24" spans="1:35" ht="16.8" thickTop="1" thickBot="1">
      <c r="A24" s="166" t="s">
        <v>156</v>
      </c>
      <c r="B24" s="195">
        <f>'PD0101'!B24</f>
        <v>0</v>
      </c>
      <c r="C24" s="196">
        <f>'PD0101'!C24</f>
        <v>0</v>
      </c>
      <c r="D24" s="195">
        <f>'PD0101'!D24</f>
        <v>0</v>
      </c>
      <c r="E24" s="196">
        <f>'PD0101'!E24</f>
        <v>0</v>
      </c>
      <c r="F24" s="195">
        <f>'PD0101'!F24</f>
        <v>0</v>
      </c>
      <c r="G24" s="196">
        <f>'PD0101'!G24</f>
        <v>0</v>
      </c>
      <c r="H24" s="167">
        <f t="shared" si="0"/>
        <v>0</v>
      </c>
      <c r="I24" s="167">
        <f t="shared" si="1"/>
        <v>0</v>
      </c>
      <c r="J24" s="167">
        <f t="shared" si="2"/>
        <v>0</v>
      </c>
      <c r="K24" s="167">
        <f t="shared" si="3"/>
        <v>0</v>
      </c>
      <c r="L24" s="167">
        <f t="shared" si="4"/>
        <v>0</v>
      </c>
      <c r="M24" s="167">
        <f t="shared" si="5"/>
        <v>0</v>
      </c>
      <c r="N24" s="168">
        <f t="shared" si="6"/>
        <v>0</v>
      </c>
      <c r="O24" s="168">
        <f t="shared" si="7"/>
        <v>0</v>
      </c>
      <c r="P24" s="168">
        <f t="shared" si="8"/>
        <v>0</v>
      </c>
      <c r="Q24" s="169">
        <f t="shared" si="9"/>
        <v>0</v>
      </c>
      <c r="R24" s="170">
        <f t="shared" si="10"/>
        <v>0</v>
      </c>
      <c r="S24" s="170">
        <f t="shared" si="11"/>
        <v>0</v>
      </c>
      <c r="T24" s="171">
        <f t="shared" si="12"/>
        <v>0</v>
      </c>
      <c r="U24" s="172">
        <f t="shared" si="13"/>
        <v>0</v>
      </c>
      <c r="V24" s="173">
        <f>IF(R24=0,0,VLOOKUP(R24,FREQUENCIAS!$1:$1048576,(IF(($A24=FREQUENCIAS!$Q$1),17,"ERRO")),FREQUENCIAS!$1:$1048576))</f>
        <v>0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2</v>
      </c>
      <c r="AB24" s="197">
        <f t="shared" si="14"/>
        <v>2</v>
      </c>
      <c r="AC24" s="197">
        <f t="shared" si="15"/>
        <v>2</v>
      </c>
      <c r="AD24" s="164" t="s">
        <v>173</v>
      </c>
      <c r="AE24" s="165">
        <f t="shared" si="16"/>
        <v>1</v>
      </c>
      <c r="AF24" s="164"/>
      <c r="AG24" s="163" t="str">
        <f t="shared" si="17"/>
        <v>INCLUSÃO</v>
      </c>
    </row>
    <row r="25" spans="1:35" ht="16.8" thickTop="1" thickBot="1">
      <c r="A25" s="166" t="s">
        <v>142</v>
      </c>
      <c r="B25" s="195">
        <f>'PD0101'!B25</f>
        <v>0</v>
      </c>
      <c r="C25" s="196">
        <f>'PD0101'!C25</f>
        <v>0</v>
      </c>
      <c r="D25" s="195">
        <f>'PD0101'!D25</f>
        <v>0</v>
      </c>
      <c r="E25" s="196">
        <f>'PD0101'!E25</f>
        <v>0</v>
      </c>
      <c r="F25" s="195">
        <f>'PD0101'!F25</f>
        <v>0</v>
      </c>
      <c r="G25" s="196">
        <f>'PD0101'!G25</f>
        <v>0</v>
      </c>
      <c r="H25" s="167">
        <f t="shared" si="0"/>
        <v>0</v>
      </c>
      <c r="I25" s="167">
        <f t="shared" si="1"/>
        <v>0</v>
      </c>
      <c r="J25" s="167">
        <f t="shared" si="2"/>
        <v>0</v>
      </c>
      <c r="K25" s="167">
        <f t="shared" si="3"/>
        <v>0</v>
      </c>
      <c r="L25" s="167">
        <f t="shared" si="4"/>
        <v>0</v>
      </c>
      <c r="M25" s="167">
        <f t="shared" si="5"/>
        <v>0</v>
      </c>
      <c r="N25" s="168">
        <f t="shared" si="6"/>
        <v>0</v>
      </c>
      <c r="O25" s="168">
        <f t="shared" si="7"/>
        <v>0</v>
      </c>
      <c r="P25" s="168">
        <f t="shared" si="8"/>
        <v>0</v>
      </c>
      <c r="Q25" s="169">
        <f t="shared" si="9"/>
        <v>0</v>
      </c>
      <c r="R25" s="170">
        <f t="shared" si="10"/>
        <v>0</v>
      </c>
      <c r="S25" s="170">
        <f t="shared" si="11"/>
        <v>0</v>
      </c>
      <c r="T25" s="171">
        <f t="shared" si="12"/>
        <v>0</v>
      </c>
      <c r="U25" s="172">
        <f t="shared" si="13"/>
        <v>0</v>
      </c>
      <c r="V25" s="173">
        <f>IF(R25=0,0,VLOOKUP(R25,FREQUENCIAS!$1:$1048576,(IF(($A25=FREQUENCIAS!$R$1),18,"ERRO")),FREQUENCIAS!$1:$1048576))</f>
        <v>0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2</v>
      </c>
      <c r="AB25" s="197">
        <f t="shared" si="14"/>
        <v>2</v>
      </c>
      <c r="AC25" s="197">
        <f t="shared" si="15"/>
        <v>2</v>
      </c>
      <c r="AD25" s="164" t="s">
        <v>173</v>
      </c>
      <c r="AE25" s="165">
        <f t="shared" si="16"/>
        <v>1</v>
      </c>
      <c r="AF25" s="164"/>
      <c r="AG25" s="163" t="str">
        <f t="shared" si="17"/>
        <v>INCLUSÃO</v>
      </c>
    </row>
    <row r="26" spans="1:35" ht="16.8" thickTop="1" thickBot="1">
      <c r="A26" s="166" t="s">
        <v>153</v>
      </c>
      <c r="B26" s="195">
        <f>'PD0101'!B26</f>
        <v>0</v>
      </c>
      <c r="C26" s="196">
        <f>'PD0101'!C26</f>
        <v>0</v>
      </c>
      <c r="D26" s="195">
        <f>'PD0101'!D26</f>
        <v>0</v>
      </c>
      <c r="E26" s="196">
        <f>'PD0101'!E26</f>
        <v>0</v>
      </c>
      <c r="F26" s="195">
        <f>'PD0101'!F26</f>
        <v>0</v>
      </c>
      <c r="G26" s="196">
        <f>'PD0101'!G26</f>
        <v>0</v>
      </c>
      <c r="H26" s="167">
        <f t="shared" si="0"/>
        <v>0</v>
      </c>
      <c r="I26" s="167">
        <f t="shared" si="1"/>
        <v>0</v>
      </c>
      <c r="J26" s="167">
        <f t="shared" si="2"/>
        <v>0</v>
      </c>
      <c r="K26" s="167">
        <f t="shared" si="3"/>
        <v>0</v>
      </c>
      <c r="L26" s="167">
        <f t="shared" si="4"/>
        <v>0</v>
      </c>
      <c r="M26" s="167">
        <f t="shared" si="5"/>
        <v>0</v>
      </c>
      <c r="N26" s="168">
        <f t="shared" si="6"/>
        <v>0</v>
      </c>
      <c r="O26" s="168">
        <f t="shared" si="7"/>
        <v>0</v>
      </c>
      <c r="P26" s="168">
        <f t="shared" si="8"/>
        <v>0</v>
      </c>
      <c r="Q26" s="169">
        <f t="shared" si="9"/>
        <v>0</v>
      </c>
      <c r="R26" s="170">
        <f t="shared" si="10"/>
        <v>0</v>
      </c>
      <c r="S26" s="170">
        <f t="shared" si="11"/>
        <v>0</v>
      </c>
      <c r="T26" s="171">
        <f t="shared" si="12"/>
        <v>0</v>
      </c>
      <c r="U26" s="172">
        <f t="shared" si="13"/>
        <v>0</v>
      </c>
      <c r="V26" s="173">
        <f>IF(R26=0,0,VLOOKUP(R26,FREQUENCIAS!$1:$1048576,(IF(($A26=FREQUENCIAS!$S$1),19,"ERRO")),FREQUENCIAS!$1:$1048576))</f>
        <v>0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2</v>
      </c>
      <c r="AB26" s="197">
        <f t="shared" si="14"/>
        <v>2</v>
      </c>
      <c r="AC26" s="197">
        <f t="shared" si="15"/>
        <v>2</v>
      </c>
      <c r="AD26" s="164" t="s">
        <v>173</v>
      </c>
      <c r="AE26" s="165">
        <f t="shared" si="16"/>
        <v>1</v>
      </c>
      <c r="AF26" s="164"/>
      <c r="AG26" s="163" t="str">
        <f t="shared" si="17"/>
        <v>INCLUSÃO</v>
      </c>
    </row>
    <row r="27" spans="1:35" ht="16.8" thickTop="1" thickBot="1">
      <c r="A27" s="166" t="s">
        <v>217</v>
      </c>
      <c r="B27" s="195">
        <f>'PD0101'!B27</f>
        <v>0</v>
      </c>
      <c r="C27" s="196">
        <f>'PD0101'!C27</f>
        <v>0</v>
      </c>
      <c r="D27" s="195">
        <f>'PD0101'!D27</f>
        <v>0</v>
      </c>
      <c r="E27" s="196">
        <f>'PD0101'!E27</f>
        <v>0</v>
      </c>
      <c r="F27" s="195">
        <f>'PD0101'!F27</f>
        <v>0</v>
      </c>
      <c r="G27" s="196">
        <f>'PD0101'!G27</f>
        <v>0</v>
      </c>
      <c r="H27" s="167">
        <f t="shared" si="0"/>
        <v>0</v>
      </c>
      <c r="I27" s="167">
        <f t="shared" si="1"/>
        <v>0</v>
      </c>
      <c r="J27" s="167">
        <f t="shared" si="2"/>
        <v>0</v>
      </c>
      <c r="K27" s="167">
        <f t="shared" si="3"/>
        <v>0</v>
      </c>
      <c r="L27" s="167">
        <f t="shared" si="4"/>
        <v>0</v>
      </c>
      <c r="M27" s="167">
        <f t="shared" si="5"/>
        <v>0</v>
      </c>
      <c r="N27" s="168">
        <f t="shared" si="6"/>
        <v>0</v>
      </c>
      <c r="O27" s="168">
        <f t="shared" si="7"/>
        <v>0</v>
      </c>
      <c r="P27" s="168">
        <f t="shared" si="8"/>
        <v>0</v>
      </c>
      <c r="Q27" s="169">
        <f t="shared" si="9"/>
        <v>0</v>
      </c>
      <c r="R27" s="170">
        <f t="shared" si="10"/>
        <v>0</v>
      </c>
      <c r="S27" s="170">
        <f t="shared" si="11"/>
        <v>0</v>
      </c>
      <c r="T27" s="171">
        <f t="shared" si="12"/>
        <v>0</v>
      </c>
      <c r="U27" s="172">
        <f t="shared" si="13"/>
        <v>0</v>
      </c>
      <c r="V27" s="173">
        <f>IF(R27=0,0,VLOOKUP(R27,FREQUENCIAS!$1:$1048576,(IF(($A27=FREQUENCIAS!$T$1),20,"ERRO")),FREQUENCIAS!$1:$1048576))</f>
        <v>0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2</v>
      </c>
      <c r="AB27" s="197">
        <f t="shared" si="14"/>
        <v>2</v>
      </c>
      <c r="AC27" s="197">
        <f t="shared" si="15"/>
        <v>2</v>
      </c>
      <c r="AD27" s="164" t="s">
        <v>173</v>
      </c>
      <c r="AE27" s="165">
        <f t="shared" si="16"/>
        <v>1</v>
      </c>
      <c r="AF27" s="164"/>
      <c r="AG27" s="163" t="str">
        <f t="shared" si="17"/>
        <v>INCLUSÃO</v>
      </c>
    </row>
    <row r="28" spans="1:35" ht="16.8" thickTop="1" thickBot="1">
      <c r="A28" s="166" t="s">
        <v>52</v>
      </c>
      <c r="B28" s="195">
        <f>'PD0101'!B28</f>
        <v>0</v>
      </c>
      <c r="C28" s="196">
        <f>'PD0101'!C28</f>
        <v>0</v>
      </c>
      <c r="D28" s="195">
        <f>'PD0101'!D28</f>
        <v>0</v>
      </c>
      <c r="E28" s="196">
        <f>'PD0101'!E28</f>
        <v>0</v>
      </c>
      <c r="F28" s="195">
        <f>'PD0101'!F28</f>
        <v>0</v>
      </c>
      <c r="G28" s="196">
        <f>'PD0101'!G28</f>
        <v>0</v>
      </c>
      <c r="H28" s="167">
        <f t="shared" si="0"/>
        <v>0</v>
      </c>
      <c r="I28" s="167">
        <f t="shared" si="1"/>
        <v>0</v>
      </c>
      <c r="J28" s="167">
        <f t="shared" si="2"/>
        <v>0</v>
      </c>
      <c r="K28" s="167">
        <f t="shared" si="3"/>
        <v>0</v>
      </c>
      <c r="L28" s="167">
        <f t="shared" si="4"/>
        <v>0</v>
      </c>
      <c r="M28" s="167">
        <f t="shared" si="5"/>
        <v>0</v>
      </c>
      <c r="N28" s="168">
        <f t="shared" si="6"/>
        <v>0</v>
      </c>
      <c r="O28" s="168">
        <f t="shared" si="7"/>
        <v>0</v>
      </c>
      <c r="P28" s="168">
        <f t="shared" si="8"/>
        <v>0</v>
      </c>
      <c r="Q28" s="169">
        <f t="shared" si="9"/>
        <v>0</v>
      </c>
      <c r="R28" s="170">
        <f t="shared" si="10"/>
        <v>0</v>
      </c>
      <c r="S28" s="170">
        <f t="shared" si="11"/>
        <v>0</v>
      </c>
      <c r="T28" s="171">
        <f t="shared" si="12"/>
        <v>0</v>
      </c>
      <c r="U28" s="172">
        <f t="shared" si="13"/>
        <v>0</v>
      </c>
      <c r="V28" s="173">
        <f>IF(R28=0,0,VLOOKUP(R28,FREQUENCIAS!$1:$1048576,(IF(($A28=FREQUENCIAS!$U$1),21,"ERRO")),FREQUENCIAS!$1:$1048576))</f>
        <v>0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2</v>
      </c>
      <c r="AB28" s="197">
        <f t="shared" si="14"/>
        <v>2</v>
      </c>
      <c r="AC28" s="197">
        <f t="shared" si="15"/>
        <v>2</v>
      </c>
      <c r="AD28" s="164" t="s">
        <v>173</v>
      </c>
      <c r="AE28" s="165">
        <f t="shared" si="16"/>
        <v>1</v>
      </c>
      <c r="AF28" s="164"/>
      <c r="AG28" s="163" t="str">
        <f t="shared" si="17"/>
        <v>INCLUSÃO</v>
      </c>
    </row>
    <row r="29" spans="1:35" ht="16.8" thickTop="1" thickBot="1">
      <c r="A29" s="166" t="s">
        <v>152</v>
      </c>
      <c r="B29" s="195">
        <f>'PD0101'!B29</f>
        <v>0</v>
      </c>
      <c r="C29" s="196">
        <f>'PD0101'!C29</f>
        <v>0</v>
      </c>
      <c r="D29" s="195">
        <f>'PD0101'!D29</f>
        <v>0</v>
      </c>
      <c r="E29" s="196">
        <f>'PD0101'!E29</f>
        <v>0</v>
      </c>
      <c r="F29" s="195">
        <f>'PD0101'!F29</f>
        <v>0</v>
      </c>
      <c r="G29" s="196">
        <f>'PD0101'!G29</f>
        <v>0</v>
      </c>
      <c r="H29" s="167">
        <f t="shared" si="0"/>
        <v>0</v>
      </c>
      <c r="I29" s="167">
        <f t="shared" si="1"/>
        <v>0</v>
      </c>
      <c r="J29" s="167">
        <f t="shared" si="2"/>
        <v>0</v>
      </c>
      <c r="K29" s="167">
        <f t="shared" si="3"/>
        <v>0</v>
      </c>
      <c r="L29" s="167">
        <f t="shared" si="4"/>
        <v>0</v>
      </c>
      <c r="M29" s="167">
        <f t="shared" si="5"/>
        <v>0</v>
      </c>
      <c r="N29" s="168">
        <f t="shared" si="6"/>
        <v>0</v>
      </c>
      <c r="O29" s="168">
        <f t="shared" si="7"/>
        <v>0</v>
      </c>
      <c r="P29" s="168">
        <f t="shared" si="8"/>
        <v>0</v>
      </c>
      <c r="Q29" s="169">
        <f t="shared" si="9"/>
        <v>0</v>
      </c>
      <c r="R29" s="170">
        <f t="shared" si="10"/>
        <v>0</v>
      </c>
      <c r="S29" s="170">
        <f t="shared" si="11"/>
        <v>0</v>
      </c>
      <c r="T29" s="171">
        <f t="shared" si="12"/>
        <v>0</v>
      </c>
      <c r="U29" s="172">
        <f t="shared" si="13"/>
        <v>0</v>
      </c>
      <c r="V29" s="173">
        <f>IF(R29=0,0,VLOOKUP(R29,FREQUENCIAS!$1:$1048576,(IF(($A29=FREQUENCIAS!$V$1),22,"ERRO")),FREQUENCIAS!$1:$1048576))</f>
        <v>0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2</v>
      </c>
      <c r="AB29" s="197">
        <f t="shared" si="14"/>
        <v>2</v>
      </c>
      <c r="AC29" s="197">
        <f t="shared" si="15"/>
        <v>2</v>
      </c>
      <c r="AD29" s="164" t="s">
        <v>173</v>
      </c>
      <c r="AE29" s="165">
        <f t="shared" si="16"/>
        <v>1</v>
      </c>
      <c r="AF29" s="164"/>
      <c r="AG29" s="163" t="str">
        <f t="shared" si="17"/>
        <v>INCLUSÃO</v>
      </c>
    </row>
    <row r="30" spans="1:35" ht="16.8" thickTop="1" thickBot="1">
      <c r="A30" s="166" t="s">
        <v>218</v>
      </c>
      <c r="B30" s="195">
        <f>'PD0101'!B30</f>
        <v>0</v>
      </c>
      <c r="C30" s="196">
        <f>'PD0101'!C30</f>
        <v>0</v>
      </c>
      <c r="D30" s="195">
        <f>'PD0101'!D30</f>
        <v>0</v>
      </c>
      <c r="E30" s="196">
        <f>'PD0101'!E30</f>
        <v>0</v>
      </c>
      <c r="F30" s="195">
        <f>'PD0101'!F30</f>
        <v>0</v>
      </c>
      <c r="G30" s="196">
        <f>'PD0101'!G30</f>
        <v>0</v>
      </c>
      <c r="H30" s="167">
        <f t="shared" si="0"/>
        <v>0</v>
      </c>
      <c r="I30" s="167">
        <f t="shared" si="1"/>
        <v>0</v>
      </c>
      <c r="J30" s="167">
        <f t="shared" si="2"/>
        <v>0</v>
      </c>
      <c r="K30" s="167">
        <f t="shared" si="3"/>
        <v>0</v>
      </c>
      <c r="L30" s="167">
        <f t="shared" si="4"/>
        <v>0</v>
      </c>
      <c r="M30" s="167">
        <f t="shared" si="5"/>
        <v>0</v>
      </c>
      <c r="N30" s="168">
        <f t="shared" si="6"/>
        <v>0</v>
      </c>
      <c r="O30" s="168">
        <f t="shared" si="7"/>
        <v>0</v>
      </c>
      <c r="P30" s="168">
        <f t="shared" si="8"/>
        <v>0</v>
      </c>
      <c r="Q30" s="169">
        <f t="shared" si="9"/>
        <v>0</v>
      </c>
      <c r="R30" s="170">
        <f t="shared" si="10"/>
        <v>0</v>
      </c>
      <c r="S30" s="170">
        <f t="shared" si="11"/>
        <v>0</v>
      </c>
      <c r="T30" s="171">
        <f t="shared" si="12"/>
        <v>0</v>
      </c>
      <c r="U30" s="172">
        <f t="shared" si="13"/>
        <v>0</v>
      </c>
      <c r="V30" s="173">
        <f>IF(R30=0,0,VLOOKUP(R30,FREQUENCIAS!$1:$1048576,(IF(($A30=FREQUENCIAS!$W$1),23,"ERRO")),FREQUENCIAS!$1:$1048576))</f>
        <v>0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2</v>
      </c>
      <c r="AB30" s="197">
        <f t="shared" si="14"/>
        <v>2</v>
      </c>
      <c r="AC30" s="197">
        <f t="shared" si="15"/>
        <v>2</v>
      </c>
      <c r="AD30" s="164" t="s">
        <v>173</v>
      </c>
      <c r="AE30" s="165">
        <f t="shared" si="16"/>
        <v>1</v>
      </c>
      <c r="AF30" s="164"/>
      <c r="AG30" s="163" t="str">
        <f t="shared" si="17"/>
        <v>INCLUSÃO</v>
      </c>
    </row>
    <row r="31" spans="1:35" ht="16.2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95">
        <f>(IF(((PRODUCT(AC9:AC30))&lt;&gt;0),PRODUCT(AB9:AB30),$AD$23))</f>
        <v>4194304</v>
      </c>
      <c r="AC31" s="895"/>
      <c r="AE31" s="896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96"/>
      <c r="AG31" s="178"/>
    </row>
    <row r="32" spans="1:35" ht="16.2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7">
        <f>(IF(((PRODUCT(AC9:AC30))&lt;&gt;0),(ROUNDDOWN((AB31/(AB31+1)),11)),$AD$23))</f>
        <v>0.99999976158000004</v>
      </c>
      <c r="AC32" s="907"/>
      <c r="AD32" s="907"/>
      <c r="AE32" s="907"/>
      <c r="AF32" s="907"/>
      <c r="AG32" s="908"/>
    </row>
    <row r="33" spans="1:34" ht="18.600000000000001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7">
        <f>(IF(((PRODUCT(AC9:AC30))&lt;&gt;0),(ROUNDDOWN((1-$AE31),11)),$AD$13))</f>
        <v>1</v>
      </c>
      <c r="AC33" s="897"/>
      <c r="AD33" s="897"/>
      <c r="AE33" s="897"/>
      <c r="AF33" s="897"/>
      <c r="AG33" s="898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44</v>
      </c>
      <c r="AB34" s="199">
        <f>SUM(AB9:AB30)</f>
        <v>44</v>
      </c>
      <c r="AC34" s="199">
        <f>SUM(AC9:AC30)</f>
        <v>44</v>
      </c>
      <c r="AD34" s="238"/>
      <c r="AE34" s="238"/>
      <c r="AF34" s="238"/>
      <c r="AG34" s="200" t="str">
        <f>IF((AND((AA34&lt;=40),(AB34&lt;=40),(AC34&lt;=40))),"OK","VERIFICAR")</f>
        <v>VERIFICAR</v>
      </c>
      <c r="AH34" s="201">
        <f>SUM(AH9:AH23)</f>
        <v>0</v>
      </c>
    </row>
    <row r="35" spans="1:34" ht="13.8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6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8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09375" defaultRowHeight="13.2"/>
  <cols>
    <col min="1" max="1" width="10.33203125" style="1" customWidth="1"/>
    <col min="2" max="7" width="5.44140625" style="1" customWidth="1"/>
    <col min="8" max="22" width="5.44140625" style="1" hidden="1" customWidth="1"/>
    <col min="23" max="23" width="9.33203125" style="1" hidden="1" customWidth="1"/>
    <col min="24" max="24" width="13.109375" style="1" hidden="1" customWidth="1"/>
    <col min="25" max="27" width="5.44140625" style="1" hidden="1" customWidth="1"/>
    <col min="28" max="29" width="8.88671875" style="1" hidden="1" customWidth="1"/>
    <col min="30" max="32" width="6.6640625" style="1" hidden="1" customWidth="1"/>
    <col min="33" max="33" width="8.109375" style="1" customWidth="1"/>
    <col min="34" max="34" width="8.33203125" style="1" customWidth="1"/>
    <col min="35" max="35" width="9.44140625" style="1" customWidth="1"/>
    <col min="36" max="36" width="20.109375" style="1" hidden="1" customWidth="1"/>
    <col min="37" max="37" width="11.33203125" style="1" hidden="1" customWidth="1"/>
    <col min="38" max="38" width="0.109375" style="1" customWidth="1"/>
    <col min="39" max="39" width="10.109375" style="1" customWidth="1"/>
    <col min="40" max="40" width="4.88671875" style="1" customWidth="1"/>
    <col min="41" max="41" width="3.88671875" style="1" hidden="1" customWidth="1"/>
    <col min="42" max="50" width="4.88671875" style="1" hidden="1" customWidth="1"/>
    <col min="51" max="51" width="13.88671875" style="1" hidden="1" customWidth="1"/>
    <col min="52" max="52" width="9.6640625" style="1" hidden="1" customWidth="1"/>
    <col min="53" max="53" width="6.6640625" style="1" hidden="1" customWidth="1"/>
    <col min="54" max="54" width="7.44140625" style="1" hidden="1" customWidth="1"/>
    <col min="55" max="55" width="11.33203125" style="1" hidden="1" customWidth="1"/>
    <col min="56" max="57" width="4.88671875" style="1" hidden="1" customWidth="1"/>
    <col min="58" max="59" width="4.88671875" style="2" hidden="1" customWidth="1"/>
    <col min="60" max="94" width="4.88671875" style="1" hidden="1" customWidth="1"/>
    <col min="95" max="99" width="4.88671875" style="1" customWidth="1"/>
    <col min="100" max="16384" width="9.109375" style="1"/>
  </cols>
  <sheetData>
    <row r="1" spans="1:80" ht="16.8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6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2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</row>
    <row r="6" spans="1:80" ht="16.8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DETECTADA EXCLUSÃO DE MÃE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5" thickTop="1" thickBot="1">
      <c r="A8" s="253" t="s">
        <v>50</v>
      </c>
      <c r="B8" s="909" t="s">
        <v>54</v>
      </c>
      <c r="C8" s="910"/>
      <c r="D8" s="909" t="s">
        <v>131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5" thickTop="1" thickBot="1">
      <c r="A9" s="258" t="s">
        <v>151</v>
      </c>
      <c r="B9" s="259">
        <f>'PD0101'!F9</f>
        <v>0</v>
      </c>
      <c r="C9" s="259">
        <f>'PD0101'!G9</f>
        <v>0</v>
      </c>
      <c r="D9" s="259">
        <f>'PD0101'!D9</f>
        <v>0</v>
      </c>
      <c r="E9" s="259">
        <f>'PD0101'!E9</f>
        <v>0</v>
      </c>
      <c r="F9" s="259">
        <f>'PD0101'!B9</f>
        <v>0</v>
      </c>
      <c r="G9" s="259">
        <f>'PD0101'!C9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5" thickTop="1" thickBot="1">
      <c r="A10" s="258" t="s">
        <v>214</v>
      </c>
      <c r="B10" s="259">
        <f>'PD0101'!F10</f>
        <v>0</v>
      </c>
      <c r="C10" s="259">
        <f>'PD0101'!G10</f>
        <v>0</v>
      </c>
      <c r="D10" s="259">
        <f>'PD0101'!D10</f>
        <v>0</v>
      </c>
      <c r="E10" s="259">
        <f>'PD0101'!E10</f>
        <v>0</v>
      </c>
      <c r="F10" s="259">
        <f>'PD0101'!B10</f>
        <v>0</v>
      </c>
      <c r="G10" s="259">
        <f>'PD0101'!C10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5" thickTop="1" thickBot="1">
      <c r="A11" s="258" t="s">
        <v>215</v>
      </c>
      <c r="B11" s="259">
        <f>'PD0101'!F11</f>
        <v>0</v>
      </c>
      <c r="C11" s="259">
        <f>'PD0101'!G11</f>
        <v>0</v>
      </c>
      <c r="D11" s="259">
        <f>'PD0101'!D11</f>
        <v>0</v>
      </c>
      <c r="E11" s="259">
        <f>'PD0101'!E11</f>
        <v>0</v>
      </c>
      <c r="F11" s="259">
        <f>'PD0101'!B11</f>
        <v>0</v>
      </c>
      <c r="G11" s="259">
        <f>'PD0101'!C11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5" thickTop="1" thickBot="1">
      <c r="A12" s="260" t="s">
        <v>216</v>
      </c>
      <c r="B12" s="261">
        <f>'PD0101'!F12</f>
        <v>0</v>
      </c>
      <c r="C12" s="261">
        <f>'PD0101'!G12</f>
        <v>0</v>
      </c>
      <c r="D12" s="261">
        <f>'PD0101'!D12</f>
        <v>0</v>
      </c>
      <c r="E12" s="261">
        <f>'PD0101'!E12</f>
        <v>0</v>
      </c>
      <c r="F12" s="261">
        <f>'PD0101'!B12</f>
        <v>0</v>
      </c>
      <c r="G12" s="261">
        <f>'PD0101'!C12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5" thickTop="1" thickBot="1">
      <c r="A13" s="258" t="s">
        <v>157</v>
      </c>
      <c r="B13" s="259">
        <f>'PD0101'!F13</f>
        <v>0</v>
      </c>
      <c r="C13" s="259">
        <f>'PD0101'!G13</f>
        <v>0</v>
      </c>
      <c r="D13" s="259">
        <f>'PD0101'!D13</f>
        <v>0</v>
      </c>
      <c r="E13" s="259">
        <f>'PD0101'!E13</f>
        <v>0</v>
      </c>
      <c r="F13" s="259">
        <f>'PD0101'!B13</f>
        <v>0</v>
      </c>
      <c r="G13" s="259">
        <f>'PD0101'!C13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5" thickTop="1" thickBot="1">
      <c r="A14" s="258" t="s">
        <v>219</v>
      </c>
      <c r="B14" s="259">
        <f>'PD0101'!F14</f>
        <v>0</v>
      </c>
      <c r="C14" s="259">
        <f>'PD0101'!G14</f>
        <v>0</v>
      </c>
      <c r="D14" s="259">
        <f>'PD0101'!D14</f>
        <v>0</v>
      </c>
      <c r="E14" s="259">
        <f>'PD0101'!E14</f>
        <v>0</v>
      </c>
      <c r="F14" s="259">
        <f>'PD0101'!B14</f>
        <v>0</v>
      </c>
      <c r="G14" s="259">
        <f>'PD0101'!C14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5" thickTop="1" thickBot="1">
      <c r="A15" s="258" t="s">
        <v>159</v>
      </c>
      <c r="B15" s="259">
        <f>'PD0101'!F15</f>
        <v>0</v>
      </c>
      <c r="C15" s="259">
        <f>'PD0101'!G15</f>
        <v>0</v>
      </c>
      <c r="D15" s="259">
        <f>'PD0101'!D15</f>
        <v>0</v>
      </c>
      <c r="E15" s="259">
        <f>'PD0101'!E15</f>
        <v>0</v>
      </c>
      <c r="F15" s="259">
        <f>'PD0101'!B15</f>
        <v>0</v>
      </c>
      <c r="G15" s="259">
        <f>'PD0101'!C15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5" thickTop="1" thickBot="1">
      <c r="A16" s="258" t="s">
        <v>155</v>
      </c>
      <c r="B16" s="259">
        <f>'PD0101'!F16</f>
        <v>0</v>
      </c>
      <c r="C16" s="259">
        <f>'PD0101'!G16</f>
        <v>0</v>
      </c>
      <c r="D16" s="259">
        <f>'PD0101'!D16</f>
        <v>0</v>
      </c>
      <c r="E16" s="259">
        <f>'PD0101'!E16</f>
        <v>0</v>
      </c>
      <c r="F16" s="259">
        <f>'PD0101'!B16</f>
        <v>0</v>
      </c>
      <c r="G16" s="259">
        <f>'PD0101'!C16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5" thickTop="1" thickBot="1">
      <c r="A17" s="258" t="s">
        <v>51</v>
      </c>
      <c r="B17" s="259">
        <f>'PD0101'!F17</f>
        <v>0</v>
      </c>
      <c r="C17" s="259">
        <f>'PD0101'!G17</f>
        <v>0</v>
      </c>
      <c r="D17" s="259">
        <f>'PD0101'!D17</f>
        <v>0</v>
      </c>
      <c r="E17" s="259">
        <f>'PD0101'!E17</f>
        <v>0</v>
      </c>
      <c r="F17" s="259">
        <f>'PD0101'!B17</f>
        <v>0</v>
      </c>
      <c r="G17" s="259">
        <f>'PD0101'!C17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5" thickTop="1" thickBot="1">
      <c r="A18" s="258" t="s">
        <v>132</v>
      </c>
      <c r="B18" s="259">
        <f>'PD0101'!F18</f>
        <v>0</v>
      </c>
      <c r="C18" s="259">
        <f>'PD0101'!G18</f>
        <v>0</v>
      </c>
      <c r="D18" s="259">
        <f>'PD0101'!D18</f>
        <v>0</v>
      </c>
      <c r="E18" s="259">
        <f>'PD0101'!E18</f>
        <v>0</v>
      </c>
      <c r="F18" s="259">
        <f>'PD0101'!B18</f>
        <v>0</v>
      </c>
      <c r="G18" s="259">
        <f>'PD0101'!C18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5" thickTop="1" thickBot="1">
      <c r="A19" s="258" t="s">
        <v>220</v>
      </c>
      <c r="B19" s="259">
        <f>'PD0101'!F19</f>
        <v>0</v>
      </c>
      <c r="C19" s="259">
        <f>'PD0101'!G19</f>
        <v>0</v>
      </c>
      <c r="D19" s="259">
        <f>'PD0101'!D19</f>
        <v>0</v>
      </c>
      <c r="E19" s="259">
        <f>'PD0101'!E19</f>
        <v>0</v>
      </c>
      <c r="F19" s="259">
        <f>'PD0101'!B19</f>
        <v>0</v>
      </c>
      <c r="G19" s="259">
        <f>'PD0101'!C19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5" thickTop="1" thickBot="1">
      <c r="A20" s="258" t="s">
        <v>144</v>
      </c>
      <c r="B20" s="259">
        <f>'PD0101'!F20</f>
        <v>0</v>
      </c>
      <c r="C20" s="259">
        <f>'PD0101'!G20</f>
        <v>0</v>
      </c>
      <c r="D20" s="259">
        <f>'PD0101'!D20</f>
        <v>0</v>
      </c>
      <c r="E20" s="259">
        <f>'PD0101'!E20</f>
        <v>0</v>
      </c>
      <c r="F20" s="259">
        <f>'PD0101'!B20</f>
        <v>0</v>
      </c>
      <c r="G20" s="259">
        <f>'PD0101'!C20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5" thickTop="1" thickBot="1">
      <c r="A21" s="258" t="s">
        <v>179</v>
      </c>
      <c r="B21" s="259">
        <f>'PD0101'!F21</f>
        <v>0</v>
      </c>
      <c r="C21" s="259">
        <f>'PD0101'!G21</f>
        <v>0</v>
      </c>
      <c r="D21" s="259">
        <f>'PD0101'!D21</f>
        <v>0</v>
      </c>
      <c r="E21" s="259">
        <f>'PD0101'!E21</f>
        <v>0</v>
      </c>
      <c r="F21" s="259">
        <f>'PD0101'!B21</f>
        <v>0</v>
      </c>
      <c r="G21" s="259">
        <f>'PD0101'!C21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5" thickTop="1" thickBot="1">
      <c r="A22" s="258" t="s">
        <v>154</v>
      </c>
      <c r="B22" s="259">
        <f>'PD0101'!F22</f>
        <v>0</v>
      </c>
      <c r="C22" s="259">
        <f>'PD0101'!G22</f>
        <v>0</v>
      </c>
      <c r="D22" s="259">
        <f>'PD0101'!D22</f>
        <v>0</v>
      </c>
      <c r="E22" s="259">
        <f>'PD0101'!E22</f>
        <v>0</v>
      </c>
      <c r="F22" s="259">
        <f>'PD0101'!B22</f>
        <v>0</v>
      </c>
      <c r="G22" s="259">
        <f>'PD0101'!C22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5" thickTop="1" thickBot="1">
      <c r="A23" s="258" t="s">
        <v>158</v>
      </c>
      <c r="B23" s="259">
        <f>'PD0101'!F23</f>
        <v>0</v>
      </c>
      <c r="C23" s="259">
        <f>'PD0101'!G23</f>
        <v>0</v>
      </c>
      <c r="D23" s="259">
        <f>'PD0101'!D23</f>
        <v>0</v>
      </c>
      <c r="E23" s="259">
        <f>'PD0101'!E23</f>
        <v>0</v>
      </c>
      <c r="F23" s="259">
        <f>'PD0101'!B23</f>
        <v>0</v>
      </c>
      <c r="G23" s="259">
        <f>'PD0101'!C23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5" thickTop="1" thickBot="1">
      <c r="A24" s="258" t="s">
        <v>156</v>
      </c>
      <c r="B24" s="259">
        <f>'PD0101'!F24</f>
        <v>0</v>
      </c>
      <c r="C24" s="259">
        <f>'PD0101'!G24</f>
        <v>0</v>
      </c>
      <c r="D24" s="259">
        <f>'PD0101'!D24</f>
        <v>0</v>
      </c>
      <c r="E24" s="259">
        <f>'PD0101'!E24</f>
        <v>0</v>
      </c>
      <c r="F24" s="259">
        <f>'PD0101'!B24</f>
        <v>0</v>
      </c>
      <c r="G24" s="259">
        <f>'PD0101'!C24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5" thickTop="1" thickBot="1">
      <c r="A25" s="258" t="s">
        <v>142</v>
      </c>
      <c r="B25" s="259">
        <f>'PD0101'!F25</f>
        <v>0</v>
      </c>
      <c r="C25" s="259">
        <f>'PD0101'!G25</f>
        <v>0</v>
      </c>
      <c r="D25" s="259">
        <f>'PD0101'!D25</f>
        <v>0</v>
      </c>
      <c r="E25" s="259">
        <f>'PD0101'!E25</f>
        <v>0</v>
      </c>
      <c r="F25" s="259">
        <f>'PD0101'!B25</f>
        <v>0</v>
      </c>
      <c r="G25" s="259">
        <f>'PD0101'!C25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5" thickTop="1" thickBot="1">
      <c r="A26" s="258" t="s">
        <v>153</v>
      </c>
      <c r="B26" s="259">
        <f>'PD0101'!F26</f>
        <v>0</v>
      </c>
      <c r="C26" s="259">
        <f>'PD0101'!G26</f>
        <v>0</v>
      </c>
      <c r="D26" s="259">
        <f>'PD0101'!D26</f>
        <v>0</v>
      </c>
      <c r="E26" s="259">
        <f>'PD0101'!E26</f>
        <v>0</v>
      </c>
      <c r="F26" s="259">
        <f>'PD0101'!B26</f>
        <v>0</v>
      </c>
      <c r="G26" s="259">
        <f>'PD0101'!C26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5" thickTop="1" thickBot="1">
      <c r="A27" s="258" t="s">
        <v>217</v>
      </c>
      <c r="B27" s="259">
        <f>'PD0101'!F27</f>
        <v>0</v>
      </c>
      <c r="C27" s="259">
        <f>'PD0101'!G27</f>
        <v>0</v>
      </c>
      <c r="D27" s="259">
        <f>'PD0101'!D27</f>
        <v>0</v>
      </c>
      <c r="E27" s="259">
        <f>'PD0101'!E27</f>
        <v>0</v>
      </c>
      <c r="F27" s="259">
        <f>'PD0101'!B27</f>
        <v>0</v>
      </c>
      <c r="G27" s="259">
        <f>'PD0101'!C27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5" thickTop="1" thickBot="1">
      <c r="A28" s="258" t="s">
        <v>52</v>
      </c>
      <c r="B28" s="259">
        <f>'PD0101'!F28</f>
        <v>0</v>
      </c>
      <c r="C28" s="259">
        <f>'PD0101'!G28</f>
        <v>0</v>
      </c>
      <c r="D28" s="259">
        <f>'PD0101'!D28</f>
        <v>0</v>
      </c>
      <c r="E28" s="259">
        <f>'PD0101'!E28</f>
        <v>0</v>
      </c>
      <c r="F28" s="259">
        <f>'PD0101'!B28</f>
        <v>0</v>
      </c>
      <c r="G28" s="259">
        <f>'PD0101'!C28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5" thickTop="1" thickBot="1">
      <c r="A29" s="258" t="s">
        <v>152</v>
      </c>
      <c r="B29" s="259">
        <f>'PD0101'!F29</f>
        <v>0</v>
      </c>
      <c r="C29" s="259">
        <f>'PD0101'!G29</f>
        <v>0</v>
      </c>
      <c r="D29" s="259">
        <f>'PD0101'!D29</f>
        <v>0</v>
      </c>
      <c r="E29" s="259">
        <f>'PD0101'!E29</f>
        <v>0</v>
      </c>
      <c r="F29" s="259">
        <f>'PD0101'!B29</f>
        <v>0</v>
      </c>
      <c r="G29" s="259">
        <f>'PD0101'!C29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5" thickTop="1" thickBot="1">
      <c r="A30" s="258" t="s">
        <v>218</v>
      </c>
      <c r="B30" s="259">
        <f>'PD0101'!F30</f>
        <v>0</v>
      </c>
      <c r="C30" s="259">
        <f>'PD0101'!G30</f>
        <v>0</v>
      </c>
      <c r="D30" s="259">
        <f>'PD0101'!D30</f>
        <v>0</v>
      </c>
      <c r="E30" s="259">
        <f>'PD0101'!E30</f>
        <v>0</v>
      </c>
      <c r="F30" s="259">
        <f>'PD0101'!B30</f>
        <v>0</v>
      </c>
      <c r="G30" s="259">
        <f>'PD0101'!C30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2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3.8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3.8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 xml:space="preserve"> DETECTADA EXCLUSÃO DE MÃE</v>
      </c>
      <c r="AH34" s="265"/>
      <c r="AI34" s="266"/>
      <c r="AM34" s="41"/>
      <c r="AN34" s="12"/>
      <c r="AX34" s="29"/>
      <c r="AY34" s="47" t="s">
        <v>96</v>
      </c>
    </row>
    <row r="35" spans="1:74" ht="13.8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8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2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45709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3.8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8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3.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3" stopIfTrue="1" operator="equal">
      <formula>$Z9</formula>
    </cfRule>
    <cfRule type="cellIs" dxfId="99" priority="24" stopIfTrue="1" operator="equal">
      <formula>$AA9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36" stopIfTrue="1" operator="equal">
      <formula>"EXCLUI"</formula>
    </cfRule>
    <cfRule type="cellIs" dxfId="93" priority="37" stopIfTrue="1" operator="equal">
      <formula>"MUTAÇÃO"</formula>
    </cfRule>
    <cfRule type="cellIs" dxfId="92" priority="47" stopIfTrue="1" operator="equal">
      <formula>"EXCLUI"</formula>
    </cfRule>
    <cfRule type="cellIs" dxfId="91" priority="48" stopIfTrue="1" operator="equal">
      <formula>"MUTAÇÃO"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1" stopIfTrue="1" operator="greaterThanOrEqual">
      <formula>1</formula>
    </cfRule>
    <cfRule type="cellIs" dxfId="88" priority="22" stopIfTrue="1" operator="lessThanOrEqual">
      <formula>2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19" stopIfTrue="1" operator="equal">
      <formula>"EXCLUI"</formula>
    </cfRule>
    <cfRule type="cellIs" dxfId="75" priority="20" stopIfTrue="1" operator="equal">
      <formula>"MUTAÇÃO"</formula>
    </cfRule>
  </conditionalFormatting>
  <conditionalFormatting sqref="AN9:AN30">
    <cfRule type="cellIs" dxfId="74" priority="1" stopIfTrue="1" operator="equal">
      <formula>"EM"</formula>
    </cfRule>
    <cfRule type="cellIs" dxfId="73" priority="2" stopIfTrue="1" operator="equal">
      <formula>"MT"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6" stopIfTrue="1" operator="equal">
      <formula>$BN9</formula>
    </cfRule>
    <cfRule type="cellIs" dxfId="70" priority="17" stopIfTrue="1" operator="equal">
      <formula>$BQ9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09375" defaultRowHeight="13.2"/>
  <cols>
    <col min="1" max="1" width="10.33203125" style="1" customWidth="1"/>
    <col min="2" max="7" width="5.44140625" style="1" customWidth="1"/>
    <col min="8" max="22" width="5.44140625" style="1" hidden="1" customWidth="1"/>
    <col min="23" max="23" width="9.33203125" style="1" hidden="1" customWidth="1"/>
    <col min="24" max="24" width="13.109375" style="1" hidden="1" customWidth="1"/>
    <col min="25" max="27" width="5.44140625" style="1" hidden="1" customWidth="1"/>
    <col min="28" max="29" width="8.88671875" style="1" hidden="1" customWidth="1"/>
    <col min="30" max="32" width="6.6640625" style="1" hidden="1" customWidth="1"/>
    <col min="33" max="33" width="8.109375" style="1" customWidth="1"/>
    <col min="34" max="34" width="8.33203125" style="1" customWidth="1"/>
    <col min="35" max="35" width="9.44140625" style="1" customWidth="1"/>
    <col min="36" max="36" width="20.109375" style="1" hidden="1" customWidth="1"/>
    <col min="37" max="37" width="11.33203125" style="1" hidden="1" customWidth="1"/>
    <col min="38" max="38" width="0.109375" style="1" customWidth="1"/>
    <col min="39" max="39" width="10.109375" style="1" customWidth="1"/>
    <col min="40" max="40" width="4.88671875" style="1" customWidth="1"/>
    <col min="41" max="41" width="3.88671875" style="1" hidden="1" customWidth="1"/>
    <col min="42" max="50" width="4.88671875" style="1" hidden="1" customWidth="1"/>
    <col min="51" max="51" width="13.88671875" style="1" hidden="1" customWidth="1"/>
    <col min="52" max="52" width="9.6640625" style="1" hidden="1" customWidth="1"/>
    <col min="53" max="53" width="6.6640625" style="1" hidden="1" customWidth="1"/>
    <col min="54" max="54" width="7.44140625" style="1" hidden="1" customWidth="1"/>
    <col min="55" max="55" width="11.33203125" style="1" hidden="1" customWidth="1"/>
    <col min="56" max="57" width="4.88671875" style="1" hidden="1" customWidth="1"/>
    <col min="58" max="59" width="4.88671875" style="2" hidden="1" customWidth="1"/>
    <col min="60" max="95" width="4.88671875" style="1" hidden="1" customWidth="1"/>
    <col min="96" max="99" width="4.88671875" style="1" customWidth="1"/>
    <col min="100" max="16384" width="9.109375" style="1"/>
  </cols>
  <sheetData>
    <row r="1" spans="1:80" ht="16.8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6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2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</row>
    <row r="6" spans="1:80" ht="16.8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5" thickTop="1" thickBot="1">
      <c r="A8" s="253" t="s">
        <v>50</v>
      </c>
      <c r="B8" s="909" t="s">
        <v>130</v>
      </c>
      <c r="C8" s="910"/>
      <c r="D8" s="909" t="s">
        <v>55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5" thickTop="1" thickBot="1">
      <c r="A9" s="258" t="s">
        <v>151</v>
      </c>
      <c r="B9" s="259">
        <f>'PD0101'!B9</f>
        <v>0</v>
      </c>
      <c r="C9" s="259">
        <f>'PD0101'!C9</f>
        <v>0</v>
      </c>
      <c r="D9" s="259">
        <f>'PD0101'!F9</f>
        <v>0</v>
      </c>
      <c r="E9" s="259">
        <f>'PD0101'!G9</f>
        <v>0</v>
      </c>
      <c r="F9" s="259">
        <f>'PD0101'!D9</f>
        <v>0</v>
      </c>
      <c r="G9" s="259">
        <f>'PD0101'!E9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5" thickTop="1" thickBot="1">
      <c r="A10" s="258" t="s">
        <v>214</v>
      </c>
      <c r="B10" s="259">
        <f>'PD0101'!B10</f>
        <v>0</v>
      </c>
      <c r="C10" s="259">
        <f>'PD0101'!C10</f>
        <v>0</v>
      </c>
      <c r="D10" s="259">
        <f>'PD0101'!F10</f>
        <v>0</v>
      </c>
      <c r="E10" s="259">
        <f>'PD0101'!G10</f>
        <v>0</v>
      </c>
      <c r="F10" s="259">
        <f>'PD0101'!D10</f>
        <v>0</v>
      </c>
      <c r="G10" s="259">
        <f>'PD0101'!E10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5" thickTop="1" thickBot="1">
      <c r="A11" s="258" t="s">
        <v>215</v>
      </c>
      <c r="B11" s="259">
        <f>'PD0101'!B11</f>
        <v>0</v>
      </c>
      <c r="C11" s="259">
        <f>'PD0101'!C11</f>
        <v>0</v>
      </c>
      <c r="D11" s="259">
        <f>'PD0101'!F11</f>
        <v>0</v>
      </c>
      <c r="E11" s="259">
        <f>'PD0101'!G11</f>
        <v>0</v>
      </c>
      <c r="F11" s="259">
        <f>'PD0101'!D11</f>
        <v>0</v>
      </c>
      <c r="G11" s="259">
        <f>'PD0101'!E11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5" thickTop="1" thickBot="1">
      <c r="A12" s="260" t="s">
        <v>216</v>
      </c>
      <c r="B12" s="261">
        <f>'PD0101'!B12</f>
        <v>0</v>
      </c>
      <c r="C12" s="261">
        <f>'PD0101'!C12</f>
        <v>0</v>
      </c>
      <c r="D12" s="261">
        <f>'PD0101'!F12</f>
        <v>0</v>
      </c>
      <c r="E12" s="261">
        <f>'PD0101'!G12</f>
        <v>0</v>
      </c>
      <c r="F12" s="261">
        <f>'PD0101'!D12</f>
        <v>0</v>
      </c>
      <c r="G12" s="261">
        <f>'PD0101'!E12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5" thickTop="1" thickBot="1">
      <c r="A13" s="258" t="s">
        <v>157</v>
      </c>
      <c r="B13" s="259">
        <f>'PD0101'!B13</f>
        <v>0</v>
      </c>
      <c r="C13" s="259">
        <f>'PD0101'!C13</f>
        <v>0</v>
      </c>
      <c r="D13" s="259">
        <f>'PD0101'!F13</f>
        <v>0</v>
      </c>
      <c r="E13" s="259">
        <f>'PD0101'!G13</f>
        <v>0</v>
      </c>
      <c r="F13" s="259">
        <f>'PD0101'!D13</f>
        <v>0</v>
      </c>
      <c r="G13" s="259">
        <f>'PD0101'!E13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5" thickTop="1" thickBot="1">
      <c r="A14" s="258" t="s">
        <v>219</v>
      </c>
      <c r="B14" s="259">
        <f>'PD0101'!B14</f>
        <v>0</v>
      </c>
      <c r="C14" s="259">
        <f>'PD0101'!C14</f>
        <v>0</v>
      </c>
      <c r="D14" s="259">
        <f>'PD0101'!F14</f>
        <v>0</v>
      </c>
      <c r="E14" s="259">
        <f>'PD0101'!G14</f>
        <v>0</v>
      </c>
      <c r="F14" s="259">
        <f>'PD0101'!D14</f>
        <v>0</v>
      </c>
      <c r="G14" s="259">
        <f>'PD0101'!E14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5" thickTop="1" thickBot="1">
      <c r="A15" s="258" t="s">
        <v>159</v>
      </c>
      <c r="B15" s="259">
        <f>'PD0101'!B15</f>
        <v>0</v>
      </c>
      <c r="C15" s="259">
        <f>'PD0101'!C15</f>
        <v>0</v>
      </c>
      <c r="D15" s="259">
        <f>'PD0101'!F15</f>
        <v>0</v>
      </c>
      <c r="E15" s="259">
        <f>'PD0101'!G15</f>
        <v>0</v>
      </c>
      <c r="F15" s="259">
        <f>'PD0101'!D15</f>
        <v>0</v>
      </c>
      <c r="G15" s="259">
        <f>'PD0101'!E15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5" thickTop="1" thickBot="1">
      <c r="A16" s="258" t="s">
        <v>155</v>
      </c>
      <c r="B16" s="259">
        <f>'PD0101'!B16</f>
        <v>0</v>
      </c>
      <c r="C16" s="259">
        <f>'PD0101'!C16</f>
        <v>0</v>
      </c>
      <c r="D16" s="259">
        <f>'PD0101'!F16</f>
        <v>0</v>
      </c>
      <c r="E16" s="259">
        <f>'PD0101'!G16</f>
        <v>0</v>
      </c>
      <c r="F16" s="259">
        <f>'PD0101'!D16</f>
        <v>0</v>
      </c>
      <c r="G16" s="259">
        <f>'PD0101'!E16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5" thickTop="1" thickBot="1">
      <c r="A17" s="258" t="s">
        <v>51</v>
      </c>
      <c r="B17" s="259">
        <f>'PD0101'!B17</f>
        <v>0</v>
      </c>
      <c r="C17" s="259">
        <f>'PD0101'!C17</f>
        <v>0</v>
      </c>
      <c r="D17" s="259">
        <f>'PD0101'!F17</f>
        <v>0</v>
      </c>
      <c r="E17" s="259">
        <f>'PD0101'!G17</f>
        <v>0</v>
      </c>
      <c r="F17" s="259">
        <f>'PD0101'!D17</f>
        <v>0</v>
      </c>
      <c r="G17" s="259">
        <f>'PD0101'!E17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5" thickTop="1" thickBot="1">
      <c r="A18" s="258" t="s">
        <v>132</v>
      </c>
      <c r="B18" s="259">
        <f>'PD0101'!B18</f>
        <v>0</v>
      </c>
      <c r="C18" s="259">
        <f>'PD0101'!C18</f>
        <v>0</v>
      </c>
      <c r="D18" s="259">
        <f>'PD0101'!F18</f>
        <v>0</v>
      </c>
      <c r="E18" s="259">
        <f>'PD0101'!G18</f>
        <v>0</v>
      </c>
      <c r="F18" s="259">
        <f>'PD0101'!D18</f>
        <v>0</v>
      </c>
      <c r="G18" s="259">
        <f>'PD0101'!E18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5" thickTop="1" thickBot="1">
      <c r="A19" s="258" t="s">
        <v>220</v>
      </c>
      <c r="B19" s="259">
        <f>'PD0101'!B19</f>
        <v>0</v>
      </c>
      <c r="C19" s="259">
        <f>'PD0101'!C19</f>
        <v>0</v>
      </c>
      <c r="D19" s="259">
        <f>'PD0101'!F19</f>
        <v>0</v>
      </c>
      <c r="E19" s="259">
        <f>'PD0101'!G19</f>
        <v>0</v>
      </c>
      <c r="F19" s="259">
        <f>'PD0101'!D19</f>
        <v>0</v>
      </c>
      <c r="G19" s="259">
        <f>'PD0101'!E19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5" thickTop="1" thickBot="1">
      <c r="A20" s="258" t="s">
        <v>144</v>
      </c>
      <c r="B20" s="259">
        <f>'PD0101'!B20</f>
        <v>0</v>
      </c>
      <c r="C20" s="259">
        <f>'PD0101'!C20</f>
        <v>0</v>
      </c>
      <c r="D20" s="259">
        <f>'PD0101'!F20</f>
        <v>0</v>
      </c>
      <c r="E20" s="259">
        <f>'PD0101'!G20</f>
        <v>0</v>
      </c>
      <c r="F20" s="259">
        <f>'PD0101'!D20</f>
        <v>0</v>
      </c>
      <c r="G20" s="259">
        <f>'PD0101'!E20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5" thickTop="1" thickBot="1">
      <c r="A21" s="258" t="s">
        <v>179</v>
      </c>
      <c r="B21" s="259">
        <f>'PD0101'!B21</f>
        <v>0</v>
      </c>
      <c r="C21" s="259">
        <f>'PD0101'!C21</f>
        <v>0</v>
      </c>
      <c r="D21" s="259">
        <f>'PD0101'!F21</f>
        <v>0</v>
      </c>
      <c r="E21" s="259">
        <f>'PD0101'!G21</f>
        <v>0</v>
      </c>
      <c r="F21" s="259">
        <f>'PD0101'!D21</f>
        <v>0</v>
      </c>
      <c r="G21" s="259">
        <f>'PD0101'!E21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5" thickTop="1" thickBot="1">
      <c r="A22" s="258" t="s">
        <v>154</v>
      </c>
      <c r="B22" s="259">
        <f>'PD0101'!B22</f>
        <v>0</v>
      </c>
      <c r="C22" s="259">
        <f>'PD0101'!C22</f>
        <v>0</v>
      </c>
      <c r="D22" s="259">
        <f>'PD0101'!F22</f>
        <v>0</v>
      </c>
      <c r="E22" s="259">
        <f>'PD0101'!G22</f>
        <v>0</v>
      </c>
      <c r="F22" s="259">
        <f>'PD0101'!D22</f>
        <v>0</v>
      </c>
      <c r="G22" s="259">
        <f>'PD0101'!E22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5" thickTop="1" thickBot="1">
      <c r="A23" s="258" t="s">
        <v>158</v>
      </c>
      <c r="B23" s="259">
        <f>'PD0101'!B23</f>
        <v>0</v>
      </c>
      <c r="C23" s="259">
        <f>'PD0101'!C23</f>
        <v>0</v>
      </c>
      <c r="D23" s="259">
        <f>'PD0101'!F23</f>
        <v>0</v>
      </c>
      <c r="E23" s="259">
        <f>'PD0101'!G23</f>
        <v>0</v>
      </c>
      <c r="F23" s="259">
        <f>'PD0101'!D23</f>
        <v>0</v>
      </c>
      <c r="G23" s="259">
        <f>'PD0101'!E23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5" thickTop="1" thickBot="1">
      <c r="A24" s="258" t="s">
        <v>156</v>
      </c>
      <c r="B24" s="259">
        <f>'PD0101'!B24</f>
        <v>0</v>
      </c>
      <c r="C24" s="259">
        <f>'PD0101'!C24</f>
        <v>0</v>
      </c>
      <c r="D24" s="259">
        <f>'PD0101'!F24</f>
        <v>0</v>
      </c>
      <c r="E24" s="259">
        <f>'PD0101'!G24</f>
        <v>0</v>
      </c>
      <c r="F24" s="259">
        <f>'PD0101'!D24</f>
        <v>0</v>
      </c>
      <c r="G24" s="259">
        <f>'PD0101'!E24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5" thickTop="1" thickBot="1">
      <c r="A25" s="258" t="s">
        <v>142</v>
      </c>
      <c r="B25" s="259">
        <f>'PD0101'!B25</f>
        <v>0</v>
      </c>
      <c r="C25" s="259">
        <f>'PD0101'!C25</f>
        <v>0</v>
      </c>
      <c r="D25" s="259">
        <f>'PD0101'!F25</f>
        <v>0</v>
      </c>
      <c r="E25" s="259">
        <f>'PD0101'!G25</f>
        <v>0</v>
      </c>
      <c r="F25" s="259">
        <f>'PD0101'!D25</f>
        <v>0</v>
      </c>
      <c r="G25" s="259">
        <f>'PD0101'!E25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5" thickTop="1" thickBot="1">
      <c r="A26" s="258" t="s">
        <v>153</v>
      </c>
      <c r="B26" s="259">
        <f>'PD0101'!B26</f>
        <v>0</v>
      </c>
      <c r="C26" s="259">
        <f>'PD0101'!C26</f>
        <v>0</v>
      </c>
      <c r="D26" s="259">
        <f>'PD0101'!F26</f>
        <v>0</v>
      </c>
      <c r="E26" s="259">
        <f>'PD0101'!G26</f>
        <v>0</v>
      </c>
      <c r="F26" s="259">
        <f>'PD0101'!D26</f>
        <v>0</v>
      </c>
      <c r="G26" s="259">
        <f>'PD0101'!E26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5" thickTop="1" thickBot="1">
      <c r="A27" s="258" t="s">
        <v>217</v>
      </c>
      <c r="B27" s="259">
        <f>'PD0101'!B27</f>
        <v>0</v>
      </c>
      <c r="C27" s="259">
        <f>'PD0101'!C27</f>
        <v>0</v>
      </c>
      <c r="D27" s="259">
        <f>'PD0101'!F27</f>
        <v>0</v>
      </c>
      <c r="E27" s="259">
        <f>'PD0101'!G27</f>
        <v>0</v>
      </c>
      <c r="F27" s="259">
        <f>'PD0101'!D27</f>
        <v>0</v>
      </c>
      <c r="G27" s="259">
        <f>'PD0101'!E27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5" thickTop="1" thickBot="1">
      <c r="A28" s="258" t="s">
        <v>52</v>
      </c>
      <c r="B28" s="259">
        <f>'PD0101'!B28</f>
        <v>0</v>
      </c>
      <c r="C28" s="259">
        <f>'PD0101'!C28</f>
        <v>0</v>
      </c>
      <c r="D28" s="259">
        <f>'PD0101'!F28</f>
        <v>0</v>
      </c>
      <c r="E28" s="259">
        <f>'PD0101'!G28</f>
        <v>0</v>
      </c>
      <c r="F28" s="259">
        <f>'PD0101'!D28</f>
        <v>0</v>
      </c>
      <c r="G28" s="259">
        <f>'PD0101'!E28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5" thickTop="1" thickBot="1">
      <c r="A29" s="258" t="s">
        <v>152</v>
      </c>
      <c r="B29" s="259">
        <f>'PD0101'!B29</f>
        <v>0</v>
      </c>
      <c r="C29" s="259">
        <f>'PD0101'!C29</f>
        <v>0</v>
      </c>
      <c r="D29" s="259">
        <f>'PD0101'!F29</f>
        <v>0</v>
      </c>
      <c r="E29" s="259">
        <f>'PD0101'!G29</f>
        <v>0</v>
      </c>
      <c r="F29" s="259">
        <f>'PD0101'!D29</f>
        <v>0</v>
      </c>
      <c r="G29" s="259">
        <f>'PD0101'!E29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5" thickTop="1" thickBot="1">
      <c r="A30" s="258" t="s">
        <v>218</v>
      </c>
      <c r="B30" s="259">
        <f>'PD0101'!B30</f>
        <v>0</v>
      </c>
      <c r="C30" s="259">
        <f>'PD0101'!C30</f>
        <v>0</v>
      </c>
      <c r="D30" s="259">
        <f>'PD0101'!F30</f>
        <v>0</v>
      </c>
      <c r="E30" s="259">
        <f>'PD0101'!G30</f>
        <v>0</v>
      </c>
      <c r="F30" s="259">
        <f>'PD0101'!D30</f>
        <v>0</v>
      </c>
      <c r="G30" s="259">
        <f>'PD0101'!E30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2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3.8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3.8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</row>
    <row r="35" spans="1:74" ht="13.8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8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2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45709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3.8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8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3.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3" stopIfTrue="1" operator="equal">
      <formula>$T9</formula>
    </cfRule>
    <cfRule type="cellIs" dxfId="65" priority="44" stopIfTrue="1" operator="equal">
      <formula>$U9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3" stopIfTrue="1" operator="equal">
      <formula>$Z9</formula>
    </cfRule>
    <cfRule type="cellIs" dxfId="61" priority="24" stopIfTrue="1" operator="equal">
      <formula>$AA9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1" stopIfTrue="1" operator="greaterThanOrEqual">
      <formula>1</formula>
    </cfRule>
    <cfRule type="cellIs" dxfId="52" priority="22" stopIfTrue="1" operator="lessThanOrEqual">
      <formula>2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19" stopIfTrue="1" operator="equal">
      <formula>"EXCLUI"</formula>
    </cfRule>
    <cfRule type="cellIs" dxfId="39" priority="20" stopIfTrue="1" operator="equal">
      <formula>"MUTAÇÃO"</formula>
    </cfRule>
  </conditionalFormatting>
  <conditionalFormatting sqref="AN9:AN30">
    <cfRule type="cellIs" dxfId="38" priority="1" stopIfTrue="1" operator="equal">
      <formula>"EM"</formula>
    </cfRule>
    <cfRule type="cellIs" dxfId="37" priority="2" stopIfTrue="1" operator="equal">
      <formula>"MT"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6" stopIfTrue="1" operator="equal">
      <formula>$BN9</formula>
    </cfRule>
    <cfRule type="cellIs" dxfId="34" priority="17" stopIfTrue="1" operator="equal">
      <formula>$BQ9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3.2"/>
  <cols>
    <col min="1" max="1" width="10.33203125" style="1" customWidth="1"/>
    <col min="2" max="7" width="5.44140625" style="1" customWidth="1"/>
    <col min="8" max="22" width="5.44140625" style="1" hidden="1" customWidth="1"/>
    <col min="23" max="23" width="9.33203125" style="1" hidden="1" customWidth="1"/>
    <col min="24" max="24" width="13.109375" style="1" hidden="1" customWidth="1"/>
    <col min="25" max="27" width="5.44140625" style="1" hidden="1" customWidth="1"/>
    <col min="28" max="29" width="8.88671875" style="1" hidden="1" customWidth="1"/>
    <col min="30" max="32" width="6.6640625" style="1" hidden="1" customWidth="1"/>
    <col min="33" max="33" width="8.109375" style="1" customWidth="1"/>
    <col min="34" max="34" width="8.33203125" style="1" customWidth="1"/>
    <col min="35" max="35" width="9.44140625" style="1" customWidth="1"/>
    <col min="36" max="36" width="20.109375" style="1" hidden="1" customWidth="1"/>
    <col min="37" max="37" width="11.33203125" style="1" hidden="1" customWidth="1"/>
    <col min="38" max="38" width="0.109375" style="1" customWidth="1"/>
    <col min="39" max="39" width="10.109375" style="1" customWidth="1"/>
    <col min="40" max="40" width="4.88671875" style="1" customWidth="1"/>
    <col min="41" max="41" width="3.88671875" style="1" hidden="1" customWidth="1"/>
    <col min="42" max="50" width="4.88671875" style="1" hidden="1" customWidth="1"/>
    <col min="51" max="51" width="13.88671875" style="1" hidden="1" customWidth="1"/>
    <col min="52" max="52" width="9.6640625" style="1" hidden="1" customWidth="1"/>
    <col min="53" max="53" width="6.6640625" style="1" hidden="1" customWidth="1"/>
    <col min="54" max="54" width="7.44140625" style="1" hidden="1" customWidth="1"/>
    <col min="55" max="55" width="11.33203125" style="1" hidden="1" customWidth="1"/>
    <col min="56" max="57" width="4.88671875" style="1" hidden="1" customWidth="1"/>
    <col min="58" max="59" width="4.88671875" style="2" hidden="1" customWidth="1"/>
    <col min="60" max="80" width="4.88671875" style="1" hidden="1" customWidth="1"/>
    <col min="81" max="99" width="4.88671875" style="1" customWidth="1"/>
    <col min="100" max="16163" width="9.109375" style="136"/>
    <col min="16164" max="16384" width="9.109375" style="1"/>
  </cols>
  <sheetData>
    <row r="1" spans="1:80" s="1" customFormat="1" ht="16.8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6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2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6.8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F7" s="2"/>
      <c r="BG7" s="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s="1" customFormat="1" ht="15" thickTop="1" thickBot="1">
      <c r="A8" s="253" t="s">
        <v>50</v>
      </c>
      <c r="B8" s="909" t="s">
        <v>54</v>
      </c>
      <c r="C8" s="910"/>
      <c r="D8" s="909" t="s">
        <v>55</v>
      </c>
      <c r="E8" s="910"/>
      <c r="F8" s="909" t="s">
        <v>133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5" thickTop="1" thickBot="1">
      <c r="A9" s="258" t="s">
        <v>151</v>
      </c>
      <c r="B9" s="259">
        <f>'PD0101'!D9</f>
        <v>0</v>
      </c>
      <c r="C9" s="259">
        <f>'PD0101'!E9</f>
        <v>0</v>
      </c>
      <c r="D9" s="259">
        <f>'PD0101'!B9</f>
        <v>0</v>
      </c>
      <c r="E9" s="259">
        <f>'PD0101'!C9</f>
        <v>0</v>
      </c>
      <c r="F9" s="259">
        <f>'IMPORTAÇÃO GENOTIPER'!AY5</f>
        <v>0</v>
      </c>
      <c r="G9" s="259">
        <f>'IMPORTAÇÃO GENOTIPER'!BG5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5" thickTop="1" thickBot="1">
      <c r="A10" s="258" t="s">
        <v>214</v>
      </c>
      <c r="B10" s="259">
        <f>'PD0101'!D10</f>
        <v>0</v>
      </c>
      <c r="C10" s="259">
        <f>'PD0101'!E10</f>
        <v>0</v>
      </c>
      <c r="D10" s="259">
        <f>'PD0101'!B10</f>
        <v>0</v>
      </c>
      <c r="E10" s="259">
        <f>'PD0101'!C10</f>
        <v>0</v>
      </c>
      <c r="F10" s="259">
        <f>'IMPORTAÇÃO GENOTIPER'!AY6</f>
        <v>0</v>
      </c>
      <c r="G10" s="259">
        <f>'IMPORTAÇÃO GENOTIPER'!BG6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5" thickTop="1" thickBot="1">
      <c r="A11" s="258" t="s">
        <v>215</v>
      </c>
      <c r="B11" s="259">
        <f>'PD0101'!D11</f>
        <v>0</v>
      </c>
      <c r="C11" s="259">
        <f>'PD0101'!E11</f>
        <v>0</v>
      </c>
      <c r="D11" s="259">
        <f>'PD0101'!B11</f>
        <v>0</v>
      </c>
      <c r="E11" s="259">
        <f>'PD0101'!C11</f>
        <v>0</v>
      </c>
      <c r="F11" s="259">
        <f>'IMPORTAÇÃO GENOTIPER'!AY7</f>
        <v>0</v>
      </c>
      <c r="G11" s="259">
        <f>'IMPORTAÇÃO GENOTIPER'!BG7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5" thickTop="1" thickBot="1">
      <c r="A12" s="260" t="s">
        <v>216</v>
      </c>
      <c r="B12" s="261">
        <f>'PD0101'!D12</f>
        <v>0</v>
      </c>
      <c r="C12" s="261">
        <f>'PD0101'!E12</f>
        <v>0</v>
      </c>
      <c r="D12" s="261">
        <f>'PD0101'!B12</f>
        <v>0</v>
      </c>
      <c r="E12" s="261">
        <f>'PD0101'!C12</f>
        <v>0</v>
      </c>
      <c r="F12" s="261">
        <f>'IMPORTAÇÃO GENOTIPER'!AY8</f>
        <v>0</v>
      </c>
      <c r="G12" s="261">
        <f>'IMPORTAÇÃO GENOTIPER'!BG8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5" thickTop="1" thickBot="1">
      <c r="A13" s="258" t="s">
        <v>157</v>
      </c>
      <c r="B13" s="259">
        <f>'PD0101'!D13</f>
        <v>0</v>
      </c>
      <c r="C13" s="259">
        <f>'PD0101'!E13</f>
        <v>0</v>
      </c>
      <c r="D13" s="259">
        <f>'PD0101'!B13</f>
        <v>0</v>
      </c>
      <c r="E13" s="259">
        <f>'PD0101'!C13</f>
        <v>0</v>
      </c>
      <c r="F13" s="259">
        <f>'IMPORTAÇÃO GENOTIPER'!AY9</f>
        <v>0</v>
      </c>
      <c r="G13" s="259">
        <f>'IMPORTAÇÃO GENOTIPER'!BG9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5" thickTop="1" thickBot="1">
      <c r="A14" s="258" t="s">
        <v>219</v>
      </c>
      <c r="B14" s="259">
        <f>'PD0101'!D14</f>
        <v>0</v>
      </c>
      <c r="C14" s="259">
        <f>'PD0101'!E14</f>
        <v>0</v>
      </c>
      <c r="D14" s="259">
        <f>'PD0101'!B14</f>
        <v>0</v>
      </c>
      <c r="E14" s="259">
        <f>'PD0101'!C14</f>
        <v>0</v>
      </c>
      <c r="F14" s="259">
        <f>'IMPORTAÇÃO GENOTIPER'!AY10</f>
        <v>0</v>
      </c>
      <c r="G14" s="259">
        <f>'IMPORTAÇÃO GENOTIPER'!BG10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5" thickTop="1" thickBot="1">
      <c r="A15" s="258" t="s">
        <v>159</v>
      </c>
      <c r="B15" s="259">
        <f>'PD0101'!D15</f>
        <v>0</v>
      </c>
      <c r="C15" s="259">
        <f>'PD0101'!E15</f>
        <v>0</v>
      </c>
      <c r="D15" s="259">
        <f>'PD0101'!B15</f>
        <v>0</v>
      </c>
      <c r="E15" s="259">
        <f>'PD0101'!C15</f>
        <v>0</v>
      </c>
      <c r="F15" s="259">
        <f>'IMPORTAÇÃO GENOTIPER'!AY11</f>
        <v>0</v>
      </c>
      <c r="G15" s="259">
        <f>'IMPORTAÇÃO GENOTIPER'!BG11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5" thickTop="1" thickBot="1">
      <c r="A16" s="258" t="s">
        <v>155</v>
      </c>
      <c r="B16" s="259">
        <f>'PD0101'!D16</f>
        <v>0</v>
      </c>
      <c r="C16" s="259">
        <f>'PD0101'!E16</f>
        <v>0</v>
      </c>
      <c r="D16" s="259">
        <f>'PD0101'!B16</f>
        <v>0</v>
      </c>
      <c r="E16" s="259">
        <f>'PD0101'!C16</f>
        <v>0</v>
      </c>
      <c r="F16" s="259">
        <f>'IMPORTAÇÃO GENOTIPER'!AY12</f>
        <v>0</v>
      </c>
      <c r="G16" s="259">
        <f>'IMPORTAÇÃO GENOTIPER'!BG12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5" thickTop="1" thickBot="1">
      <c r="A17" s="258" t="s">
        <v>51</v>
      </c>
      <c r="B17" s="259">
        <f>'PD0101'!D17</f>
        <v>0</v>
      </c>
      <c r="C17" s="259">
        <f>'PD0101'!E17</f>
        <v>0</v>
      </c>
      <c r="D17" s="259">
        <f>'PD0101'!B17</f>
        <v>0</v>
      </c>
      <c r="E17" s="259">
        <f>'PD0101'!C17</f>
        <v>0</v>
      </c>
      <c r="F17" s="259">
        <f>'IMPORTAÇÃO GENOTIPER'!AY13</f>
        <v>0</v>
      </c>
      <c r="G17" s="259">
        <f>'IMPORTAÇÃO GENOTIPER'!BG13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5" thickTop="1" thickBot="1">
      <c r="A18" s="258" t="s">
        <v>132</v>
      </c>
      <c r="B18" s="259">
        <f>'PD0101'!D18</f>
        <v>0</v>
      </c>
      <c r="C18" s="259">
        <f>'PD0101'!E18</f>
        <v>0</v>
      </c>
      <c r="D18" s="259">
        <f>'PD0101'!B18</f>
        <v>0</v>
      </c>
      <c r="E18" s="259">
        <f>'PD0101'!C18</f>
        <v>0</v>
      </c>
      <c r="F18" s="259">
        <f>'IMPORTAÇÃO GENOTIPER'!AY14</f>
        <v>0</v>
      </c>
      <c r="G18" s="259">
        <f>'IMPORTAÇÃO GENOTIPER'!BG14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5" thickTop="1" thickBot="1">
      <c r="A19" s="258" t="s">
        <v>220</v>
      </c>
      <c r="B19" s="259">
        <f>'PD0101'!D19</f>
        <v>0</v>
      </c>
      <c r="C19" s="259">
        <f>'PD0101'!E19</f>
        <v>0</v>
      </c>
      <c r="D19" s="259">
        <f>'PD0101'!B19</f>
        <v>0</v>
      </c>
      <c r="E19" s="259">
        <f>'PD0101'!C19</f>
        <v>0</v>
      </c>
      <c r="F19" s="259">
        <f>'IMPORTAÇÃO GENOTIPER'!AY15</f>
        <v>0</v>
      </c>
      <c r="G19" s="259">
        <f>'IMPORTAÇÃO GENOTIPER'!BG15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5" thickTop="1" thickBot="1">
      <c r="A20" s="258" t="s">
        <v>144</v>
      </c>
      <c r="B20" s="259">
        <f>'PD0101'!D20</f>
        <v>0</v>
      </c>
      <c r="C20" s="259">
        <f>'PD0101'!E20</f>
        <v>0</v>
      </c>
      <c r="D20" s="259">
        <f>'PD0101'!B20</f>
        <v>0</v>
      </c>
      <c r="E20" s="259">
        <f>'PD0101'!C20</f>
        <v>0</v>
      </c>
      <c r="F20" s="259">
        <f>'IMPORTAÇÃO GENOTIPER'!AY16</f>
        <v>0</v>
      </c>
      <c r="G20" s="259">
        <f>'IMPORTAÇÃO GENOTIPER'!BG16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5" thickTop="1" thickBot="1">
      <c r="A21" s="258" t="s">
        <v>179</v>
      </c>
      <c r="B21" s="259">
        <f>'PD0101'!D21</f>
        <v>0</v>
      </c>
      <c r="C21" s="259">
        <f>'PD0101'!E21</f>
        <v>0</v>
      </c>
      <c r="D21" s="259">
        <f>'PD0101'!B21</f>
        <v>0</v>
      </c>
      <c r="E21" s="259">
        <f>'PD0101'!C21</f>
        <v>0</v>
      </c>
      <c r="F21" s="259">
        <f>'IMPORTAÇÃO GENOTIPER'!AY17</f>
        <v>0</v>
      </c>
      <c r="G21" s="259">
        <f>'IMPORTAÇÃO GENOTIPER'!BG17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5" thickTop="1" thickBot="1">
      <c r="A22" s="258" t="s">
        <v>154</v>
      </c>
      <c r="B22" s="259">
        <f>'PD0101'!D22</f>
        <v>0</v>
      </c>
      <c r="C22" s="259">
        <f>'PD0101'!E22</f>
        <v>0</v>
      </c>
      <c r="D22" s="259">
        <f>'PD0101'!B22</f>
        <v>0</v>
      </c>
      <c r="E22" s="259">
        <f>'PD0101'!C22</f>
        <v>0</v>
      </c>
      <c r="F22" s="259">
        <f>'IMPORTAÇÃO GENOTIPER'!AY18</f>
        <v>0</v>
      </c>
      <c r="G22" s="259">
        <f>'IMPORTAÇÃO GENOTIPER'!BG18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5" thickTop="1" thickBot="1">
      <c r="A23" s="258" t="s">
        <v>158</v>
      </c>
      <c r="B23" s="259">
        <f>'PD0101'!D23</f>
        <v>0</v>
      </c>
      <c r="C23" s="259">
        <f>'PD0101'!E23</f>
        <v>0</v>
      </c>
      <c r="D23" s="259">
        <f>'PD0101'!B23</f>
        <v>0</v>
      </c>
      <c r="E23" s="259">
        <f>'PD0101'!C23</f>
        <v>0</v>
      </c>
      <c r="F23" s="259">
        <f>'IMPORTAÇÃO GENOTIPER'!AY19</f>
        <v>0</v>
      </c>
      <c r="G23" s="259">
        <f>'IMPORTAÇÃO GENOTIPER'!BG19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5" thickTop="1" thickBot="1">
      <c r="A24" s="258" t="s">
        <v>156</v>
      </c>
      <c r="B24" s="259">
        <f>'PD0101'!D24</f>
        <v>0</v>
      </c>
      <c r="C24" s="259">
        <f>'PD0101'!E24</f>
        <v>0</v>
      </c>
      <c r="D24" s="259">
        <f>'PD0101'!B24</f>
        <v>0</v>
      </c>
      <c r="E24" s="259">
        <f>'PD0101'!C24</f>
        <v>0</v>
      </c>
      <c r="F24" s="259">
        <f>'IMPORTAÇÃO GENOTIPER'!AY20</f>
        <v>0</v>
      </c>
      <c r="G24" s="259">
        <f>'IMPORTAÇÃO GENOTIPER'!BG20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5" thickTop="1" thickBot="1">
      <c r="A25" s="258" t="s">
        <v>142</v>
      </c>
      <c r="B25" s="259">
        <f>'PD0101'!D25</f>
        <v>0</v>
      </c>
      <c r="C25" s="259">
        <f>'PD0101'!E25</f>
        <v>0</v>
      </c>
      <c r="D25" s="259">
        <f>'PD0101'!B25</f>
        <v>0</v>
      </c>
      <c r="E25" s="259">
        <f>'PD0101'!C25</f>
        <v>0</v>
      </c>
      <c r="F25" s="259">
        <f>'IMPORTAÇÃO GENOTIPER'!AY21</f>
        <v>0</v>
      </c>
      <c r="G25" s="259">
        <f>'IMPORTAÇÃO GENOTIPER'!BG21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5" thickTop="1" thickBot="1">
      <c r="A26" s="258" t="s">
        <v>153</v>
      </c>
      <c r="B26" s="259">
        <f>'PD0101'!D26</f>
        <v>0</v>
      </c>
      <c r="C26" s="259">
        <f>'PD0101'!E26</f>
        <v>0</v>
      </c>
      <c r="D26" s="259">
        <f>'PD0101'!B26</f>
        <v>0</v>
      </c>
      <c r="E26" s="259">
        <f>'PD0101'!C26</f>
        <v>0</v>
      </c>
      <c r="F26" s="259">
        <f>'IMPORTAÇÃO GENOTIPER'!AY22</f>
        <v>0</v>
      </c>
      <c r="G26" s="259">
        <f>'IMPORTAÇÃO GENOTIPER'!BG22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5" thickTop="1" thickBot="1">
      <c r="A27" s="258" t="s">
        <v>217</v>
      </c>
      <c r="B27" s="259">
        <f>'PD0101'!D27</f>
        <v>0</v>
      </c>
      <c r="C27" s="259">
        <f>'PD0101'!E27</f>
        <v>0</v>
      </c>
      <c r="D27" s="259">
        <f>'PD0101'!B27</f>
        <v>0</v>
      </c>
      <c r="E27" s="259">
        <f>'PD0101'!C27</f>
        <v>0</v>
      </c>
      <c r="F27" s="259">
        <f>'IMPORTAÇÃO GENOTIPER'!AY23</f>
        <v>0</v>
      </c>
      <c r="G27" s="259">
        <f>'IMPORTAÇÃO GENOTIPER'!BG23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5" thickTop="1" thickBot="1">
      <c r="A28" s="258" t="s">
        <v>52</v>
      </c>
      <c r="B28" s="259">
        <f>'PD0101'!D28</f>
        <v>0</v>
      </c>
      <c r="C28" s="259">
        <f>'PD0101'!E28</f>
        <v>0</v>
      </c>
      <c r="D28" s="259">
        <f>'PD0101'!B28</f>
        <v>0</v>
      </c>
      <c r="E28" s="259">
        <f>'PD0101'!C28</f>
        <v>0</v>
      </c>
      <c r="F28" s="259">
        <f>'IMPORTAÇÃO GENOTIPER'!AY24</f>
        <v>0</v>
      </c>
      <c r="G28" s="259">
        <f>'IMPORTAÇÃO GENOTIPER'!BG24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5" thickTop="1" thickBot="1">
      <c r="A29" s="258" t="s">
        <v>152</v>
      </c>
      <c r="B29" s="259">
        <f>'PD0101'!D29</f>
        <v>0</v>
      </c>
      <c r="C29" s="259">
        <f>'PD0101'!E29</f>
        <v>0</v>
      </c>
      <c r="D29" s="259">
        <f>'PD0101'!B29</f>
        <v>0</v>
      </c>
      <c r="E29" s="259">
        <f>'PD0101'!C29</f>
        <v>0</v>
      </c>
      <c r="F29" s="259">
        <f>'IMPORTAÇÃO GENOTIPER'!AY25</f>
        <v>0</v>
      </c>
      <c r="G29" s="259">
        <f>'IMPORTAÇÃO GENOTIPER'!BG25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5" thickTop="1" thickBot="1">
      <c r="A30" s="258" t="s">
        <v>218</v>
      </c>
      <c r="B30" s="259">
        <f>'PD0101'!D30</f>
        <v>0</v>
      </c>
      <c r="C30" s="259">
        <f>'PD0101'!E30</f>
        <v>0</v>
      </c>
      <c r="D30" s="259">
        <f>'PD0101'!B30</f>
        <v>0</v>
      </c>
      <c r="E30" s="259">
        <f>'PD0101'!C30</f>
        <v>0</v>
      </c>
      <c r="F30" s="259">
        <f>'IMPORTAÇÃO GENOTIPER'!AY26</f>
        <v>0</v>
      </c>
      <c r="G30" s="259">
        <f>'IMPORTAÇÃO GENOTIPER'!BG26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2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  <c r="BF31" s="2"/>
      <c r="BG31" s="2"/>
    </row>
    <row r="32" spans="1:80" s="1" customFormat="1" ht="13.8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3.8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8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237</v>
      </c>
      <c r="AS37" s="917"/>
      <c r="AT37" s="917"/>
      <c r="AU37" s="917"/>
      <c r="AV37" s="917"/>
      <c r="AW37" s="917"/>
      <c r="AX37" s="917"/>
      <c r="AY37" s="917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  <c r="BF38" s="2"/>
      <c r="BG38" s="2"/>
    </row>
    <row r="39" spans="1:74" s="1" customFormat="1" ht="13.8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  <c r="BF39" s="2"/>
      <c r="BG39" s="2"/>
    </row>
    <row r="40" spans="1:74" s="1" customFormat="1" ht="16.2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45709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3.8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  <c r="BF49" s="2"/>
      <c r="BG49" s="2"/>
    </row>
    <row r="50" spans="1:59" s="1" customFormat="1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  <c r="BF50" s="2"/>
      <c r="BG50" s="2"/>
    </row>
    <row r="51" spans="1:59" s="1" customFormat="1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  <c r="BF51" s="2"/>
      <c r="BG51" s="2"/>
    </row>
    <row r="52" spans="1:59" s="1" customFormat="1" ht="13.8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  <c r="BF52" s="2"/>
      <c r="BG52" s="2"/>
    </row>
    <row r="53" spans="1:59" s="104" customFormat="1" ht="23.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8" stopIfTrue="1" operator="equal">
      <formula>0</formula>
    </cfRule>
    <cfRule type="cellIs" dxfId="24" priority="39" stopIfTrue="1" operator="equal">
      <formula>$AS$13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0"/>
  <sheetViews>
    <sheetView topLeftCell="J1" zoomScaleNormal="100" workbookViewId="0">
      <pane ySplit="1" topLeftCell="A2" activePane="bottomLeft" state="frozen"/>
      <selection activeCell="M4" sqref="M4:Q10"/>
      <selection pane="bottomLeft" activeCell="AH3" sqref="AH3"/>
    </sheetView>
  </sheetViews>
  <sheetFormatPr defaultColWidth="9.109375" defaultRowHeight="15"/>
  <cols>
    <col min="1" max="1" width="6.5546875" style="110" customWidth="1"/>
    <col min="2" max="3" width="9.6640625" style="288" bestFit="1" customWidth="1"/>
    <col min="4" max="4" width="9.5546875" style="288" bestFit="1" customWidth="1"/>
    <col min="5" max="5" width="10.88671875" style="287" bestFit="1" customWidth="1"/>
    <col min="6" max="6" width="9.6640625" style="287" bestFit="1" customWidth="1"/>
    <col min="7" max="7" width="9.5546875" style="288" bestFit="1" customWidth="1"/>
    <col min="8" max="8" width="9.6640625" style="287" bestFit="1" customWidth="1"/>
    <col min="9" max="9" width="9.5546875" style="287" bestFit="1" customWidth="1"/>
    <col min="10" max="10" width="9.6640625" style="288" bestFit="1" customWidth="1"/>
    <col min="11" max="11" width="9.5546875" style="287" bestFit="1" customWidth="1"/>
    <col min="12" max="12" width="9.5546875" style="288" bestFit="1" customWidth="1"/>
    <col min="13" max="15" width="9.5546875" style="287" bestFit="1" customWidth="1"/>
    <col min="16" max="17" width="9.5546875" style="288" bestFit="1" customWidth="1"/>
    <col min="18" max="18" width="9.5546875" style="287" bestFit="1" customWidth="1"/>
    <col min="19" max="21" width="9.6640625" style="288" bestFit="1" customWidth="1"/>
    <col min="22" max="22" width="9.5546875" style="287" bestFit="1" customWidth="1"/>
    <col min="23" max="23" width="10.88671875" style="288" bestFit="1" customWidth="1"/>
    <col min="24" max="24" width="9.5546875" style="288" customWidth="1"/>
    <col min="25" max="28" width="9.5546875" style="288" bestFit="1" customWidth="1"/>
    <col min="29" max="33" width="9.5546875" style="109" bestFit="1" customWidth="1"/>
    <col min="34" max="34" width="10.6640625" style="109" bestFit="1" customWidth="1"/>
    <col min="35" max="16384" width="9.10937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3.8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3.8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3.8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3.8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3.8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3.8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3.8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3.8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3.8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3.8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3.8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3.8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3.8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3.8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3.8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3.8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3.8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17</v>
      </c>
      <c r="B69" s="288">
        <v>0.20327799999999999</v>
      </c>
      <c r="C69" s="288">
        <v>4.1500000000000002E-2</v>
      </c>
      <c r="E69" s="287">
        <v>2.46E-2</v>
      </c>
      <c r="F69" s="287">
        <v>1.8E-5</v>
      </c>
      <c r="G69" s="288">
        <v>3.9604E-2</v>
      </c>
      <c r="H69" s="287">
        <v>1.8E-5</v>
      </c>
      <c r="I69" s="287">
        <v>0.121915</v>
      </c>
      <c r="J69" s="288">
        <v>0.2077</v>
      </c>
      <c r="L69" s="288">
        <v>1.323E-3</v>
      </c>
      <c r="N69" s="287">
        <v>0.25484400000000001</v>
      </c>
      <c r="P69" s="288">
        <v>3.9999999999999998E-6</v>
      </c>
      <c r="Q69" s="288">
        <v>5.8999999999999998E-5</v>
      </c>
      <c r="R69" s="287">
        <v>7.9999999999999996E-6</v>
      </c>
      <c r="S69" s="288">
        <v>4.4260000000000002E-3</v>
      </c>
      <c r="T69" s="288">
        <v>9.6000000000000002E-2</v>
      </c>
      <c r="U69" s="288">
        <v>4.0000000000000001E-3</v>
      </c>
      <c r="V69" s="287">
        <v>1.5020000000000001E-3</v>
      </c>
      <c r="W69" s="288">
        <v>0.12039999999999999</v>
      </c>
      <c r="X69" s="288">
        <v>6.2E-2</v>
      </c>
    </row>
    <row r="70" spans="1:28">
      <c r="A70" s="110">
        <v>17.100000000000001</v>
      </c>
      <c r="T70" s="288">
        <v>1.1999999999999999E-3</v>
      </c>
    </row>
    <row r="71" spans="1:28">
      <c r="A71" s="110">
        <v>17.2</v>
      </c>
      <c r="N71" s="287">
        <v>3.9999999999999998E-6</v>
      </c>
      <c r="U71" s="288">
        <v>1.6000000000000001E-3</v>
      </c>
      <c r="V71" s="287">
        <v>2.5999999999999998E-5</v>
      </c>
    </row>
    <row r="72" spans="1:28">
      <c r="A72" s="110">
        <v>17.3</v>
      </c>
      <c r="B72" s="288">
        <v>1.5E-5</v>
      </c>
      <c r="C72" s="288">
        <v>0.1376</v>
      </c>
      <c r="N72" s="287">
        <v>1.2E-5</v>
      </c>
      <c r="T72" s="288">
        <v>1.9199999999999998E-2</v>
      </c>
      <c r="X72" s="288">
        <v>2E-3</v>
      </c>
    </row>
    <row r="73" spans="1:28">
      <c r="A73" s="110">
        <v>18</v>
      </c>
      <c r="B73" s="288">
        <v>0.12392599999999999</v>
      </c>
      <c r="C73" s="288">
        <v>6.0000000000000001E-3</v>
      </c>
      <c r="E73" s="287">
        <v>3.0000000000000001E-3</v>
      </c>
      <c r="G73" s="288">
        <v>2.2190000000000001E-2</v>
      </c>
      <c r="I73" s="287">
        <v>7.7560000000000004E-2</v>
      </c>
      <c r="J73" s="288">
        <v>7.4200000000000002E-2</v>
      </c>
      <c r="L73" s="288">
        <v>3.6000000000000001E-5</v>
      </c>
      <c r="M73" s="287">
        <v>1.2999999999999999E-5</v>
      </c>
      <c r="N73" s="287">
        <v>0.170153</v>
      </c>
      <c r="Q73" s="288">
        <v>1.5E-5</v>
      </c>
      <c r="R73" s="287">
        <v>7.9999999999999996E-6</v>
      </c>
      <c r="S73" s="288">
        <v>5.6999999999999998E-4</v>
      </c>
      <c r="T73" s="288">
        <v>0.18790000000000001</v>
      </c>
      <c r="V73" s="287">
        <v>9.3460000000000001E-3</v>
      </c>
      <c r="W73" s="288">
        <v>7.1999999999999998E-3</v>
      </c>
      <c r="X73" s="288">
        <v>7.1999999999999995E-2</v>
      </c>
    </row>
    <row r="74" spans="1:28">
      <c r="A74" s="110">
        <v>18.100000000000001</v>
      </c>
    </row>
    <row r="75" spans="1:28">
      <c r="A75" s="110">
        <v>18.2</v>
      </c>
      <c r="I75" s="287">
        <v>1.8E-5</v>
      </c>
      <c r="U75" s="288">
        <v>8.0000000000000004E-4</v>
      </c>
      <c r="V75" s="287">
        <v>2.359E-3</v>
      </c>
    </row>
    <row r="76" spans="1:28">
      <c r="A76" s="110">
        <v>18.3</v>
      </c>
      <c r="C76" s="288">
        <v>4.5100000000000001E-2</v>
      </c>
      <c r="T76" s="288">
        <v>1.44E-2</v>
      </c>
      <c r="V76" s="287">
        <v>3.9999999999999998E-6</v>
      </c>
      <c r="X76" s="288">
        <v>1E-3</v>
      </c>
    </row>
    <row r="77" spans="1:28">
      <c r="A77" s="110">
        <v>19</v>
      </c>
      <c r="B77" s="288">
        <v>9.8569999999999994E-3</v>
      </c>
      <c r="G77" s="288">
        <v>1.4130999999999999E-2</v>
      </c>
      <c r="I77" s="287">
        <v>4.8621999999999999E-2</v>
      </c>
      <c r="J77" s="288">
        <v>0.12239999999999999</v>
      </c>
      <c r="L77" s="288">
        <v>5.0000000000000004E-6</v>
      </c>
      <c r="N77" s="287">
        <v>6.5726000000000007E-2</v>
      </c>
      <c r="Q77" s="288">
        <v>3.9999999999999998E-6</v>
      </c>
      <c r="S77" s="288">
        <v>7.7999999999999999E-5</v>
      </c>
      <c r="T77" s="288">
        <v>0.1699</v>
      </c>
      <c r="V77" s="287">
        <v>7.5357999999999994E-2</v>
      </c>
      <c r="W77" s="288">
        <v>1.1999999999999999E-3</v>
      </c>
      <c r="X77" s="288">
        <v>6.6000000000000003E-2</v>
      </c>
    </row>
    <row r="78" spans="1:28">
      <c r="A78" s="110">
        <v>19.100000000000001</v>
      </c>
      <c r="T78" s="288">
        <v>4.1999999999999997E-3</v>
      </c>
    </row>
    <row r="79" spans="1:28">
      <c r="A79" s="110">
        <v>19.2</v>
      </c>
      <c r="I79" s="287">
        <v>1.5E-5</v>
      </c>
      <c r="V79" s="287">
        <v>5.9599999999999996E-4</v>
      </c>
      <c r="X79" s="288">
        <v>4.0000000000000001E-3</v>
      </c>
    </row>
    <row r="80" spans="1:28">
      <c r="A80" s="110">
        <v>19.3</v>
      </c>
      <c r="C80" s="288">
        <v>3.5999999999999999E-3</v>
      </c>
      <c r="T80" s="288">
        <v>1.26E-2</v>
      </c>
    </row>
    <row r="81" spans="1:24">
      <c r="A81" s="110">
        <v>20</v>
      </c>
      <c r="B81" s="288">
        <v>8.0699999999999999E-4</v>
      </c>
      <c r="E81" s="287">
        <v>5.9999999999999995E-4</v>
      </c>
      <c r="G81" s="288">
        <v>9.9220000000000003E-3</v>
      </c>
      <c r="I81" s="287">
        <v>2.9085E-2</v>
      </c>
      <c r="J81" s="288">
        <v>0.13669999999999999</v>
      </c>
      <c r="N81" s="287">
        <v>1.4139000000000001E-2</v>
      </c>
      <c r="S81" s="288">
        <v>1.1E-5</v>
      </c>
      <c r="T81" s="288">
        <v>0.1507</v>
      </c>
      <c r="V81" s="287">
        <v>0.11390699999999999</v>
      </c>
      <c r="X81" s="288">
        <v>5.3999999999999999E-2</v>
      </c>
    </row>
    <row r="82" spans="1:24">
      <c r="A82" s="110">
        <v>20.100000000000001</v>
      </c>
    </row>
    <row r="83" spans="1:24">
      <c r="A83" s="110">
        <v>20.2</v>
      </c>
      <c r="I83" s="287">
        <v>1.8E-5</v>
      </c>
      <c r="V83" s="287">
        <v>2.3900000000000001E-4</v>
      </c>
      <c r="X83" s="288">
        <v>1.0999999999999999E-2</v>
      </c>
    </row>
    <row r="84" spans="1:24">
      <c r="A84" s="110">
        <v>20.3</v>
      </c>
      <c r="C84" s="288">
        <v>3.0000000000000001E-3</v>
      </c>
      <c r="T84" s="288">
        <v>1.8E-3</v>
      </c>
    </row>
    <row r="85" spans="1:24">
      <c r="A85" s="110">
        <v>21</v>
      </c>
      <c r="B85" s="288">
        <v>3.3000000000000003E-5</v>
      </c>
      <c r="G85" s="288">
        <v>6.3879999999999996E-3</v>
      </c>
      <c r="I85" s="287">
        <v>1.3039E-2</v>
      </c>
      <c r="J85" s="288">
        <v>0.06</v>
      </c>
      <c r="N85" s="287">
        <v>2.1740000000000002E-3</v>
      </c>
      <c r="S85" s="288">
        <v>3.9999999999999998E-6</v>
      </c>
      <c r="T85" s="288">
        <v>8.3400000000000002E-2</v>
      </c>
      <c r="V85" s="287">
        <v>0.15107999999999999</v>
      </c>
      <c r="X85" s="288">
        <v>2.4E-2</v>
      </c>
    </row>
    <row r="86" spans="1:24">
      <c r="A86" s="110">
        <v>21.1</v>
      </c>
    </row>
    <row r="87" spans="1:24">
      <c r="A87" s="110">
        <v>21.2</v>
      </c>
      <c r="I87" s="287">
        <v>3.9999999999999998E-6</v>
      </c>
      <c r="V87" s="287">
        <v>1.3439999999999999E-3</v>
      </c>
    </row>
    <row r="88" spans="1:24">
      <c r="A88" s="110">
        <v>21.3</v>
      </c>
    </row>
    <row r="89" spans="1:24">
      <c r="A89" s="110">
        <v>22</v>
      </c>
      <c r="G89" s="288">
        <v>4.463E-3</v>
      </c>
      <c r="I89" s="287">
        <v>5.5319999999999996E-3</v>
      </c>
      <c r="J89" s="288">
        <v>8.14E-2</v>
      </c>
      <c r="K89" s="287">
        <v>3.9999999999999998E-6</v>
      </c>
      <c r="L89" s="288">
        <v>5.0000000000000004E-6</v>
      </c>
      <c r="N89" s="287">
        <v>1.7699999999999999E-4</v>
      </c>
      <c r="O89" s="287">
        <v>3.9999999999999998E-6</v>
      </c>
      <c r="S89" s="288">
        <v>1.1E-5</v>
      </c>
      <c r="T89" s="288">
        <v>6.3E-2</v>
      </c>
      <c r="V89" s="287">
        <v>0.161658</v>
      </c>
      <c r="X89" s="288">
        <v>1.4999999999999999E-2</v>
      </c>
    </row>
    <row r="90" spans="1:24">
      <c r="A90" s="110">
        <v>22.1</v>
      </c>
    </row>
    <row r="91" spans="1:24">
      <c r="A91" s="110">
        <v>22.2</v>
      </c>
      <c r="V91" s="287">
        <v>2.4369999999999999E-3</v>
      </c>
      <c r="X91" s="288">
        <v>3.7999999999999999E-2</v>
      </c>
    </row>
    <row r="92" spans="1:24">
      <c r="A92" s="110">
        <v>22.3</v>
      </c>
    </row>
    <row r="93" spans="1:24">
      <c r="A93" s="110">
        <v>23</v>
      </c>
      <c r="G93" s="288">
        <v>1.3630000000000001E-3</v>
      </c>
      <c r="I93" s="287">
        <v>1.379E-3</v>
      </c>
      <c r="J93" s="288">
        <v>0.1169</v>
      </c>
      <c r="K93" s="287">
        <v>3.9999999999999998E-6</v>
      </c>
      <c r="N93" s="287">
        <v>3.9999999999999998E-6</v>
      </c>
      <c r="O93" s="287">
        <v>3.9999999999999998E-6</v>
      </c>
      <c r="T93" s="288">
        <v>6.8400000000000002E-2</v>
      </c>
      <c r="V93" s="287">
        <v>0.149283</v>
      </c>
      <c r="X93" s="288">
        <v>2E-3</v>
      </c>
    </row>
    <row r="94" spans="1:24">
      <c r="A94" s="110">
        <v>23.1</v>
      </c>
    </row>
    <row r="95" spans="1:24">
      <c r="A95" s="110">
        <v>23.2</v>
      </c>
      <c r="I95" s="287">
        <v>3.9999999999999998E-6</v>
      </c>
      <c r="V95" s="287">
        <v>1.09E-3</v>
      </c>
      <c r="X95" s="288">
        <v>4.3999999999999997E-2</v>
      </c>
    </row>
    <row r="96" spans="1:24">
      <c r="A96" s="110">
        <v>23.3</v>
      </c>
    </row>
    <row r="97" spans="1:24">
      <c r="A97" s="110">
        <v>24</v>
      </c>
      <c r="G97" s="288">
        <v>4.6099999999999998E-4</v>
      </c>
      <c r="I97" s="287">
        <v>1.3799999999999999E-4</v>
      </c>
      <c r="J97" s="288">
        <v>7.5800000000000006E-2</v>
      </c>
      <c r="O97" s="287">
        <v>1.3799999999999999E-4</v>
      </c>
      <c r="T97" s="288">
        <v>3.4799999999999998E-2</v>
      </c>
      <c r="V97" s="287">
        <v>0.15093200000000001</v>
      </c>
      <c r="X97" s="288">
        <v>1E-3</v>
      </c>
    </row>
    <row r="98" spans="1:24">
      <c r="A98" s="110">
        <v>24.1</v>
      </c>
    </row>
    <row r="99" spans="1:24">
      <c r="A99" s="110">
        <v>24.2</v>
      </c>
      <c r="O99" s="287">
        <v>2.1189999999999998E-3</v>
      </c>
      <c r="V99" s="287">
        <v>3.3100000000000002E-4</v>
      </c>
      <c r="X99" s="288">
        <v>2.1999999999999999E-2</v>
      </c>
    </row>
    <row r="100" spans="1:24">
      <c r="A100" s="110">
        <v>24.3</v>
      </c>
    </row>
    <row r="101" spans="1:24">
      <c r="A101" s="110">
        <v>25</v>
      </c>
      <c r="G101" s="288">
        <v>7.3999999999999999E-4</v>
      </c>
      <c r="I101" s="287">
        <v>3.7300000000000001E-4</v>
      </c>
      <c r="J101" s="288">
        <v>5.5300000000000002E-2</v>
      </c>
      <c r="O101" s="287">
        <v>9.7599999999999998E-4</v>
      </c>
      <c r="T101" s="288">
        <v>8.9999999999999993E-3</v>
      </c>
      <c r="V101" s="287">
        <v>0.10340199999999999</v>
      </c>
    </row>
    <row r="102" spans="1:24">
      <c r="A102" s="110">
        <v>25.1</v>
      </c>
    </row>
    <row r="103" spans="1:24">
      <c r="A103" s="110">
        <v>25.2</v>
      </c>
      <c r="O103" s="287">
        <v>5.9199999999999997E-4</v>
      </c>
      <c r="V103" s="287">
        <v>2.1000000000000001E-4</v>
      </c>
      <c r="X103" s="288">
        <v>0.04</v>
      </c>
    </row>
    <row r="104" spans="1:24">
      <c r="A104" s="110">
        <v>25.3</v>
      </c>
    </row>
    <row r="105" spans="1:24">
      <c r="A105" s="110">
        <v>26</v>
      </c>
      <c r="G105" s="288">
        <v>1.5999999999999999E-5</v>
      </c>
      <c r="I105" s="287">
        <v>1.8599999999999999E-4</v>
      </c>
      <c r="J105" s="288">
        <v>1.7399999999999999E-2</v>
      </c>
      <c r="O105" s="287">
        <v>1.127E-3</v>
      </c>
      <c r="T105" s="288">
        <v>1.1999999999999999E-3</v>
      </c>
      <c r="V105" s="287">
        <v>4.7419999999999997E-2</v>
      </c>
    </row>
    <row r="106" spans="1:24">
      <c r="A106" s="110">
        <v>26.1</v>
      </c>
    </row>
    <row r="107" spans="1:24">
      <c r="A107" s="110">
        <v>26.2</v>
      </c>
      <c r="O107" s="287">
        <v>3.1000000000000001E-5</v>
      </c>
      <c r="V107" s="287">
        <v>2.9E-5</v>
      </c>
      <c r="X107" s="288">
        <v>4.3999999999999997E-2</v>
      </c>
    </row>
    <row r="108" spans="1:24">
      <c r="A108" s="110">
        <v>26.3</v>
      </c>
    </row>
    <row r="109" spans="1:24">
      <c r="A109" s="110">
        <v>27</v>
      </c>
      <c r="G109" s="288">
        <v>3.9999999999999998E-6</v>
      </c>
      <c r="I109" s="287">
        <v>2.8499999999999999E-4</v>
      </c>
      <c r="J109" s="288">
        <v>1.6000000000000001E-3</v>
      </c>
      <c r="O109" s="287">
        <v>3.0043E-2</v>
      </c>
      <c r="T109" s="288">
        <v>1.1999999999999999E-3</v>
      </c>
      <c r="V109" s="287">
        <v>1.5952999999999998E-2</v>
      </c>
    </row>
    <row r="110" spans="1:24">
      <c r="A110" s="110">
        <v>27.1</v>
      </c>
    </row>
    <row r="111" spans="1:24">
      <c r="A111" s="110">
        <v>27.2</v>
      </c>
      <c r="O111" s="287">
        <v>7.7000000000000001E-5</v>
      </c>
      <c r="X111" s="288">
        <v>9.5000000000000001E-2</v>
      </c>
    </row>
    <row r="112" spans="1:24">
      <c r="A112" s="110">
        <v>27.3</v>
      </c>
    </row>
    <row r="113" spans="1:24">
      <c r="A113" s="110">
        <v>28</v>
      </c>
      <c r="G113" s="288">
        <v>3.9999999999999998E-6</v>
      </c>
      <c r="I113" s="287">
        <v>2.9E-5</v>
      </c>
      <c r="O113" s="287">
        <v>0.15936700000000001</v>
      </c>
      <c r="V113" s="287">
        <v>5.0610000000000004E-3</v>
      </c>
    </row>
    <row r="114" spans="1:24">
      <c r="A114" s="110">
        <v>28.1</v>
      </c>
    </row>
    <row r="115" spans="1:24">
      <c r="A115" s="110">
        <v>28.2</v>
      </c>
      <c r="O115" s="287">
        <v>2.6189999999999998E-3</v>
      </c>
      <c r="V115" s="287">
        <v>6.9999999999999999E-6</v>
      </c>
      <c r="X115" s="288">
        <v>7.3999999999999996E-2</v>
      </c>
    </row>
    <row r="116" spans="1:24">
      <c r="A116" s="110">
        <v>28.3</v>
      </c>
      <c r="X116" s="288">
        <v>1E-3</v>
      </c>
    </row>
    <row r="117" spans="1:24">
      <c r="A117" s="110">
        <v>29</v>
      </c>
      <c r="O117" s="287">
        <v>0.20807800000000001</v>
      </c>
      <c r="V117" s="287">
        <v>1.807E-3</v>
      </c>
    </row>
    <row r="118" spans="1:24">
      <c r="A118" s="110">
        <v>29.1</v>
      </c>
    </row>
    <row r="119" spans="1:24">
      <c r="A119" s="110">
        <v>29.2</v>
      </c>
      <c r="O119" s="287">
        <v>4.934E-3</v>
      </c>
      <c r="V119" s="287">
        <v>2.1999999999999999E-5</v>
      </c>
      <c r="X119" s="288">
        <v>6.3E-2</v>
      </c>
    </row>
    <row r="120" spans="1:24">
      <c r="A120" s="110">
        <v>29.3</v>
      </c>
    </row>
    <row r="121" spans="1:24">
      <c r="A121" s="110">
        <v>30</v>
      </c>
      <c r="O121" s="287">
        <v>0.231679</v>
      </c>
      <c r="V121" s="287">
        <v>7.1000000000000002E-4</v>
      </c>
    </row>
    <row r="122" spans="1:24">
      <c r="A122" s="110">
        <v>30.1</v>
      </c>
    </row>
    <row r="123" spans="1:24">
      <c r="A123" s="110">
        <v>30.2</v>
      </c>
      <c r="O123" s="287">
        <v>2.8434999999999998E-2</v>
      </c>
      <c r="V123" s="287">
        <v>1.73E-4</v>
      </c>
      <c r="X123" s="288">
        <v>0.57999999999999996</v>
      </c>
    </row>
    <row r="124" spans="1:24">
      <c r="A124" s="110">
        <v>30.3</v>
      </c>
    </row>
    <row r="125" spans="1:24">
      <c r="A125" s="110">
        <v>31</v>
      </c>
      <c r="O125" s="287">
        <v>7.6919000000000001E-2</v>
      </c>
      <c r="V125" s="287">
        <v>1.07E-4</v>
      </c>
      <c r="X125" s="288">
        <v>2E-3</v>
      </c>
    </row>
    <row r="126" spans="1:24">
      <c r="A126" s="110">
        <v>31.1</v>
      </c>
    </row>
    <row r="127" spans="1:24">
      <c r="A127" s="110">
        <v>31.2</v>
      </c>
      <c r="O127" s="287">
        <v>8.9885999999999994E-2</v>
      </c>
      <c r="V127" s="287">
        <v>1.134E-3</v>
      </c>
      <c r="X127" s="288">
        <v>2.1999999999999999E-2</v>
      </c>
    </row>
    <row r="128" spans="1:24">
      <c r="A128" s="110">
        <v>31.3</v>
      </c>
    </row>
    <row r="129" spans="1:24">
      <c r="A129" s="110">
        <v>32</v>
      </c>
      <c r="O129" s="287">
        <v>2.8482E-2</v>
      </c>
      <c r="V129" s="287">
        <v>6.9999999999999994E-5</v>
      </c>
      <c r="X129" s="288">
        <v>1E-3</v>
      </c>
    </row>
    <row r="130" spans="1:24">
      <c r="A130" s="110">
        <v>32.1</v>
      </c>
    </row>
    <row r="131" spans="1:24">
      <c r="A131" s="110">
        <v>32.200000000000003</v>
      </c>
      <c r="O131" s="287">
        <v>7.5126999999999999E-2</v>
      </c>
      <c r="V131" s="287">
        <v>1.5100000000000001E-4</v>
      </c>
      <c r="X131" s="288">
        <v>1.2999999999999999E-2</v>
      </c>
    </row>
    <row r="132" spans="1:24">
      <c r="A132" s="110">
        <v>32.299999999999997</v>
      </c>
    </row>
    <row r="133" spans="1:24">
      <c r="A133" s="110">
        <v>33</v>
      </c>
      <c r="O133" s="287">
        <v>1.1826E-2</v>
      </c>
      <c r="V133" s="287">
        <v>3.6999999999999998E-5</v>
      </c>
      <c r="X133" s="288">
        <v>1E-3</v>
      </c>
    </row>
    <row r="134" spans="1:24">
      <c r="A134" s="110">
        <v>33.1</v>
      </c>
    </row>
    <row r="135" spans="1:24">
      <c r="A135" s="110">
        <v>33.200000000000003</v>
      </c>
      <c r="O135" s="287">
        <v>2.8434999999999998E-2</v>
      </c>
      <c r="V135" s="287">
        <v>1.8E-5</v>
      </c>
      <c r="X135" s="288">
        <v>5.0000000000000001E-3</v>
      </c>
    </row>
    <row r="136" spans="1:24">
      <c r="A136" s="110">
        <v>33.299999999999997</v>
      </c>
      <c r="O136" s="287">
        <v>7.9999999999999996E-6</v>
      </c>
    </row>
    <row r="137" spans="1:24">
      <c r="A137" s="110">
        <v>34</v>
      </c>
      <c r="O137" s="287">
        <v>4.5880000000000001E-3</v>
      </c>
      <c r="X137" s="288">
        <v>7.0000000000000001E-3</v>
      </c>
    </row>
    <row r="138" spans="1:24">
      <c r="A138" s="110">
        <v>34.1</v>
      </c>
    </row>
    <row r="139" spans="1:24">
      <c r="A139" s="110">
        <v>34.200000000000003</v>
      </c>
      <c r="O139" s="287">
        <v>3.7690000000000002E-3</v>
      </c>
      <c r="X139" s="288">
        <v>1E-3</v>
      </c>
    </row>
    <row r="140" spans="1:24">
      <c r="A140" s="110">
        <v>34.299999999999997</v>
      </c>
    </row>
    <row r="141" spans="1:24">
      <c r="A141" s="110">
        <v>35</v>
      </c>
      <c r="O141" s="287">
        <v>6.4419999999999998E-3</v>
      </c>
    </row>
    <row r="142" spans="1:24">
      <c r="A142" s="110">
        <v>35.1</v>
      </c>
      <c r="O142" s="287">
        <v>3.9999999999999998E-6</v>
      </c>
    </row>
    <row r="143" spans="1:24">
      <c r="A143" s="110">
        <v>35.200000000000003</v>
      </c>
      <c r="O143" s="287">
        <v>1.323E-3</v>
      </c>
    </row>
    <row r="144" spans="1:24">
      <c r="A144" s="110">
        <v>35.299999999999997</v>
      </c>
    </row>
    <row r="145" spans="1:22">
      <c r="A145" s="110">
        <v>36</v>
      </c>
      <c r="O145" s="287">
        <v>2.261E-3</v>
      </c>
    </row>
    <row r="146" spans="1:22" s="288" customFormat="1" ht="13.8">
      <c r="A146" s="110">
        <v>36.1</v>
      </c>
      <c r="E146" s="287"/>
      <c r="F146" s="287"/>
      <c r="H146" s="287"/>
      <c r="I146" s="287"/>
      <c r="K146" s="287"/>
      <c r="M146" s="287"/>
      <c r="N146" s="287"/>
      <c r="O146" s="287"/>
      <c r="R146" s="287"/>
      <c r="V146" s="287"/>
    </row>
    <row r="147" spans="1:22" s="288" customFormat="1" ht="13.8">
      <c r="A147" s="110">
        <v>36.200000000000003</v>
      </c>
      <c r="E147" s="287"/>
      <c r="F147" s="287"/>
      <c r="H147" s="287"/>
      <c r="I147" s="287"/>
      <c r="K147" s="287"/>
      <c r="M147" s="287"/>
      <c r="N147" s="287"/>
      <c r="O147" s="287">
        <v>2.6999999999999999E-5</v>
      </c>
      <c r="R147" s="287"/>
      <c r="V147" s="287"/>
    </row>
    <row r="148" spans="1:22" s="288" customFormat="1" ht="13.8">
      <c r="A148" s="110">
        <v>36.299999999999997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3.8">
      <c r="A149" s="110">
        <v>37</v>
      </c>
      <c r="E149" s="287"/>
      <c r="F149" s="287"/>
      <c r="H149" s="287"/>
      <c r="I149" s="287"/>
      <c r="K149" s="287"/>
      <c r="M149" s="287"/>
      <c r="N149" s="287"/>
      <c r="O149" s="287">
        <v>5.6099999999999998E-4</v>
      </c>
      <c r="R149" s="287"/>
      <c r="V149" s="287"/>
    </row>
    <row r="150" spans="1:22" s="288" customFormat="1" ht="13.8">
      <c r="A150" s="110">
        <v>37.1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3.8">
      <c r="A151" s="110">
        <v>37.200000000000003</v>
      </c>
      <c r="E151" s="287"/>
      <c r="F151" s="287"/>
      <c r="H151" s="287"/>
      <c r="I151" s="287"/>
      <c r="K151" s="287"/>
      <c r="M151" s="287"/>
      <c r="N151" s="287"/>
      <c r="O151" s="287"/>
      <c r="R151" s="287"/>
      <c r="V151" s="287"/>
    </row>
    <row r="152" spans="1:22" s="288" customFormat="1" ht="13.8">
      <c r="A152" s="110">
        <v>37.299999999999997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3.8">
      <c r="A153" s="110">
        <v>38</v>
      </c>
      <c r="E153" s="287"/>
      <c r="F153" s="287"/>
      <c r="H153" s="287"/>
      <c r="I153" s="287"/>
      <c r="K153" s="287"/>
      <c r="M153" s="287"/>
      <c r="N153" s="287"/>
      <c r="O153" s="287">
        <v>2.6499999999999999E-4</v>
      </c>
      <c r="R153" s="287"/>
      <c r="V153" s="287"/>
    </row>
    <row r="154" spans="1:22" s="288" customFormat="1" ht="13.8">
      <c r="A154" s="110">
        <v>38.1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3.8">
      <c r="A155" s="110">
        <v>38.200000000000003</v>
      </c>
      <c r="E155" s="287"/>
      <c r="F155" s="287"/>
      <c r="H155" s="287"/>
      <c r="I155" s="287"/>
      <c r="K155" s="287"/>
      <c r="M155" s="287"/>
      <c r="N155" s="287"/>
      <c r="O155" s="287"/>
      <c r="R155" s="287"/>
      <c r="V155" s="287"/>
    </row>
    <row r="156" spans="1:22" s="288" customFormat="1" ht="13.8">
      <c r="A156" s="110">
        <v>38.299999999999997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3.8">
      <c r="A157" s="110">
        <v>39</v>
      </c>
      <c r="E157" s="287"/>
      <c r="F157" s="287"/>
      <c r="H157" s="287"/>
      <c r="I157" s="287"/>
      <c r="K157" s="287"/>
      <c r="M157" s="287"/>
      <c r="N157" s="287"/>
      <c r="O157" s="287">
        <v>3.1000000000000001E-5</v>
      </c>
      <c r="R157" s="287"/>
      <c r="V157" s="287"/>
    </row>
    <row r="158" spans="1:22" s="288" customFormat="1" ht="13.8">
      <c r="A158" s="110">
        <v>39.1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3.8">
      <c r="A159" s="110">
        <v>39.200000000000003</v>
      </c>
      <c r="E159" s="287"/>
      <c r="F159" s="287"/>
      <c r="H159" s="287"/>
      <c r="I159" s="287"/>
      <c r="K159" s="287"/>
      <c r="M159" s="287"/>
      <c r="N159" s="287"/>
      <c r="O159" s="287"/>
      <c r="R159" s="287"/>
      <c r="V159" s="287">
        <v>3.9999999999999998E-6</v>
      </c>
    </row>
    <row r="160" spans="1:22" s="288" customFormat="1" ht="13.8">
      <c r="A160" s="110">
        <v>39.299999999999997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3.8">
      <c r="A161" s="110">
        <v>40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6.9999999999999999E-6</v>
      </c>
    </row>
    <row r="162" spans="1:22" s="288" customFormat="1" ht="13.8">
      <c r="A162" s="110">
        <v>40.1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3.8">
      <c r="A163" s="110">
        <v>40.200000000000003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/>
    </row>
    <row r="164" spans="1:22" s="288" customFormat="1" ht="13.8">
      <c r="A164" s="110">
        <v>40.299999999999997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3.8">
      <c r="A165" s="110">
        <v>41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3.8">
      <c r="A166" s="110">
        <v>41.1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3.8">
      <c r="A167" s="110">
        <v>41.2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>
        <v>3.9999999999999998E-6</v>
      </c>
    </row>
    <row r="168" spans="1:22" s="288" customFormat="1" ht="13.8">
      <c r="A168" s="110">
        <v>41.3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3.8">
      <c r="A169" s="110">
        <v>42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6.9999999999999999E-6</v>
      </c>
    </row>
    <row r="170" spans="1:22" s="288" customFormat="1" ht="13.8">
      <c r="A170" s="110">
        <v>42.1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3.8">
      <c r="A171" s="110">
        <v>42.2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4.8000000000000001E-5</v>
      </c>
    </row>
    <row r="172" spans="1:22" s="288" customFormat="1" ht="13.8">
      <c r="A172" s="110">
        <v>42.3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3.8">
      <c r="A173" s="110">
        <v>43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3.9999999999999998E-6</v>
      </c>
    </row>
    <row r="174" spans="1:22" s="288" customFormat="1" ht="13.8">
      <c r="A174" s="110">
        <v>43.1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3.8">
      <c r="A175" s="110">
        <v>43.2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5.7799999999999995E-4</v>
      </c>
    </row>
    <row r="176" spans="1:22" s="288" customFormat="1" ht="13.8">
      <c r="A176" s="110">
        <v>43.3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3.8">
      <c r="A177" s="110">
        <v>44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/>
    </row>
    <row r="178" spans="1:22" s="288" customFormat="1" ht="13.8">
      <c r="A178" s="110">
        <v>44.1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3.8">
      <c r="A179" s="110">
        <v>44.2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>
        <v>2.6899999999999998E-4</v>
      </c>
    </row>
    <row r="180" spans="1:22" s="288" customFormat="1" ht="13.8">
      <c r="A180" s="110">
        <v>44.3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3.8">
      <c r="A181" s="110">
        <v>45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/>
    </row>
    <row r="182" spans="1:22" s="288" customFormat="1" ht="13.8">
      <c r="A182" s="110">
        <v>45.1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3.8">
      <c r="A183" s="110">
        <v>45.2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>
        <v>2.7599999999999999E-4</v>
      </c>
    </row>
    <row r="184" spans="1:22" s="288" customFormat="1" ht="13.8">
      <c r="A184" s="110">
        <v>45.3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3.8">
      <c r="A185" s="110">
        <v>46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/>
    </row>
    <row r="186" spans="1:22" s="288" customFormat="1" ht="13.8">
      <c r="A186" s="110">
        <v>46.1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3.8">
      <c r="A187" s="110">
        <v>46.2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>
        <v>2.5399999999999999E-4</v>
      </c>
    </row>
    <row r="188" spans="1:22" s="288" customFormat="1" ht="13.8">
      <c r="A188" s="110">
        <v>46.3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3.8">
      <c r="A189" s="110">
        <v>47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3.9999999999999998E-6</v>
      </c>
    </row>
    <row r="190" spans="1:22" s="288" customFormat="1" ht="13.8">
      <c r="A190" s="110">
        <v>47.1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3.8">
      <c r="A191" s="110">
        <v>47.2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4.0000000000000003E-5</v>
      </c>
    </row>
    <row r="192" spans="1:22" s="288" customFormat="1" ht="13.8">
      <c r="A192" s="110">
        <v>47.3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3.8">
      <c r="A193" s="110">
        <v>48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/>
    </row>
    <row r="194" spans="1:22" s="288" customFormat="1" ht="13.8">
      <c r="A194" s="110">
        <v>48.1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3.8">
      <c r="A195" s="110">
        <v>48.2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>
        <v>1.5E-5</v>
      </c>
    </row>
    <row r="196" spans="1:22" s="288" customFormat="1" ht="13.8">
      <c r="A196" s="110">
        <v>48.3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3.8">
      <c r="A197" s="110">
        <v>49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/>
    </row>
    <row r="198" spans="1:22" s="288" customFormat="1" ht="13.8">
      <c r="A198" s="110">
        <v>49.1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3.8">
      <c r="A199" s="110">
        <v>49.2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3.8">
      <c r="A200" s="110">
        <v>49.3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2025-02-17T14:12:41Z</cp:lastPrinted>
  <dcterms:created xsi:type="dcterms:W3CDTF">2000-11-01T18:17:47Z</dcterms:created>
  <dcterms:modified xsi:type="dcterms:W3CDTF">2025-02-21T20:05:49Z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</Properties>
</file>