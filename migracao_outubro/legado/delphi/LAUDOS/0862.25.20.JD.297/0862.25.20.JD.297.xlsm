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I:\LAUDOS\0862.25.20.JD.297\"/>
    </mc:Choice>
  </mc:AlternateContent>
  <xr:revisionPtr revIDLastSave="0" documentId="8_{B238D421-3554-47FF-AF56-4F5D3F602F9F}" xr6:coauthVersionLast="47" xr6:coauthVersionMax="47" xr10:uidLastSave="{00000000-0000-0000-0000-000000000000}"/>
  <bookViews>
    <workbookView xWindow="-120" yWindow="-120" windowWidth="29040" windowHeight="15720" tabRatio="703" activeTab="3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PD0201'!$A$1:$N$69</definedName>
    <definedName name="_xlnm.Print_Area" localSheetId="3">'LAUDO RD0301'!$A$1:$Q$69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20" l="1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N19" i="20" l="1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A33" i="18"/>
  <c r="A32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N40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O41" i="18"/>
  <c r="CF39" i="18"/>
  <c r="K39" i="18"/>
  <c r="CF42" i="18"/>
  <c r="M42" i="18"/>
  <c r="K42" i="18"/>
  <c r="AT38" i="18"/>
  <c r="CC38" i="18"/>
  <c r="BN38" i="18"/>
  <c r="AM38" i="18"/>
  <c r="BD38" i="18" s="1"/>
  <c r="AN38" i="18"/>
  <c r="AO38" i="18" s="1"/>
  <c r="J38" i="18"/>
  <c r="BN41" i="18"/>
  <c r="K41" i="18"/>
  <c r="CH35" i="18"/>
  <c r="O35" i="18"/>
  <c r="CD38" i="18"/>
  <c r="K38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Y34" i="18"/>
  <c r="W36" i="18"/>
  <c r="BI36" i="18"/>
  <c r="T38" i="18"/>
  <c r="BI39" i="18"/>
  <c r="W35" i="18"/>
  <c r="R34" i="18"/>
  <c r="S34" i="18"/>
  <c r="U34" i="18"/>
  <c r="BI40" i="18"/>
  <c r="BE40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L38" i="9" l="1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I31" i="18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M4" i="9" s="1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H33" i="18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CE4" i="9" s="1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W4" i="9" s="1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CM25" i="9" l="1"/>
  <c r="I29" i="18" s="1"/>
  <c r="N40" i="19" s="1"/>
  <c r="CM18" i="9"/>
  <c r="I22" i="18" s="1"/>
  <c r="N33" i="19" s="1"/>
  <c r="BO27" i="9"/>
  <c r="F31" i="18" s="1"/>
  <c r="BO17" i="9"/>
  <c r="F21" i="18" s="1"/>
  <c r="BA21" i="18" s="1"/>
  <c r="BO9" i="9"/>
  <c r="F13" i="18" s="1"/>
  <c r="BA13" i="18" s="1"/>
  <c r="BO18" i="9"/>
  <c r="F22" i="18" s="1"/>
  <c r="BA22" i="18" s="1"/>
  <c r="BO23" i="9"/>
  <c r="F27" i="18" s="1"/>
  <c r="CM33" i="9"/>
  <c r="BO26" i="9"/>
  <c r="F30" i="18" s="1"/>
  <c r="BA30" i="18" s="1"/>
  <c r="BO30" i="9"/>
  <c r="BO38" i="9"/>
  <c r="BO33" i="9"/>
  <c r="BO32" i="9"/>
  <c r="CM31" i="9"/>
  <c r="BO28" i="9"/>
  <c r="F32" i="18" s="1"/>
  <c r="BO29" i="9"/>
  <c r="F33" i="18" s="1"/>
  <c r="BO31" i="9"/>
  <c r="BO36" i="9"/>
  <c r="BO37" i="9"/>
  <c r="CM29" i="9"/>
  <c r="I33" i="18" s="1"/>
  <c r="CM37" i="9"/>
  <c r="BO34" i="9"/>
  <c r="CM28" i="9"/>
  <c r="I32" i="18" s="1"/>
  <c r="CM36" i="9"/>
  <c r="BO22" i="9"/>
  <c r="F26" i="18" s="1"/>
  <c r="BW21" i="9"/>
  <c r="G25" i="18" s="1"/>
  <c r="CM24" i="9"/>
  <c r="I28" i="18" s="1"/>
  <c r="N39" i="19" s="1"/>
  <c r="CM26" i="9"/>
  <c r="I30" i="18" s="1"/>
  <c r="N41" i="19" s="1"/>
  <c r="BO20" i="9"/>
  <c r="F24" i="18" s="1"/>
  <c r="K35" i="19" s="1"/>
  <c r="BO21" i="9"/>
  <c r="F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CM22" i="9"/>
  <c r="I26" i="18" s="1"/>
  <c r="N37" i="19" s="1"/>
  <c r="CM21" i="9"/>
  <c r="I25" i="18" s="1"/>
  <c r="N36" i="19" s="1"/>
  <c r="BO25" i="9"/>
  <c r="F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B13" i="18" s="1"/>
  <c r="BW17" i="9"/>
  <c r="G21" i="18" s="1"/>
  <c r="BB21" i="18" s="1"/>
  <c r="BW18" i="9"/>
  <c r="G22" i="18" s="1"/>
  <c r="BB22" i="18" s="1"/>
  <c r="BW23" i="9"/>
  <c r="G27" i="18" s="1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6" i="19"/>
  <c r="CG25" i="18"/>
  <c r="K32" i="19"/>
  <c r="K24" i="19"/>
  <c r="BO6" i="9"/>
  <c r="F10" i="18" s="1"/>
  <c r="BO10" i="9"/>
  <c r="F14" i="18" s="1"/>
  <c r="BA14" i="18" s="1"/>
  <c r="K41" i="19"/>
  <c r="CG30" i="18"/>
  <c r="BW29" i="9"/>
  <c r="G33" i="18" s="1"/>
  <c r="CE27" i="9"/>
  <c r="H31" i="18" s="1"/>
  <c r="BW27" i="9"/>
  <c r="G31" i="18" s="1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H32" i="18" s="1"/>
  <c r="CE36" i="9"/>
  <c r="BW28" i="9"/>
  <c r="G32" i="18" s="1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BB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BB18" i="18" s="1"/>
  <c r="CE14" i="9"/>
  <c r="H18" i="18" s="1"/>
  <c r="M29" i="19" s="1"/>
  <c r="BW16" i="9"/>
  <c r="G20" i="18" s="1"/>
  <c r="BB20" i="18" s="1"/>
  <c r="BW13" i="9"/>
  <c r="G17" i="18" s="1"/>
  <c r="BB17" i="18" s="1"/>
  <c r="CE13" i="9"/>
  <c r="H17" i="18" s="1"/>
  <c r="M28" i="19" s="1"/>
  <c r="BW15" i="9"/>
  <c r="G19" i="18" s="1"/>
  <c r="BB19" i="18" s="1"/>
  <c r="CE15" i="9"/>
  <c r="H19" i="18" s="1"/>
  <c r="M30" i="19" s="1"/>
  <c r="BW10" i="9"/>
  <c r="G14" i="18" s="1"/>
  <c r="BB14" i="18" s="1"/>
  <c r="BW12" i="9"/>
  <c r="G16" i="18" s="1"/>
  <c r="BB16" i="18" s="1"/>
  <c r="CE12" i="9"/>
  <c r="H16" i="18" s="1"/>
  <c r="M27" i="19" s="1"/>
  <c r="BW11" i="9"/>
  <c r="G15" i="18" s="1"/>
  <c r="BB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BB12" i="18" s="1"/>
  <c r="CE5" i="9"/>
  <c r="H9" i="18" s="1"/>
  <c r="M20" i="19" s="1"/>
  <c r="BW5" i="9"/>
  <c r="G9" i="18" s="1"/>
  <c r="BB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N28" i="18" l="1"/>
  <c r="N22" i="18"/>
  <c r="N13" i="18"/>
  <c r="BB33" i="18"/>
  <c r="O33" i="18"/>
  <c r="CH33" i="18"/>
  <c r="BA33" i="18"/>
  <c r="CG33" i="18"/>
  <c r="N33" i="18"/>
  <c r="O32" i="18"/>
  <c r="CH32" i="18"/>
  <c r="BB32" i="18"/>
  <c r="BA32" i="18"/>
  <c r="N32" i="18"/>
  <c r="CG32" i="18"/>
  <c r="CH31" i="18"/>
  <c r="O31" i="18"/>
  <c r="BB31" i="18"/>
  <c r="BA31" i="18"/>
  <c r="CG31" i="18"/>
  <c r="N31" i="18"/>
  <c r="BB29" i="18"/>
  <c r="BA29" i="18"/>
  <c r="K40" i="19"/>
  <c r="K38" i="19"/>
  <c r="CG27" i="18"/>
  <c r="BA27" i="18" s="1"/>
  <c r="BB26" i="18"/>
  <c r="BA26" i="18"/>
  <c r="CG26" i="18"/>
  <c r="L36" i="19"/>
  <c r="O25" i="18"/>
  <c r="BA25" i="18"/>
  <c r="K34" i="19"/>
  <c r="K33" i="19"/>
  <c r="BB10" i="18"/>
  <c r="BA10" i="18"/>
  <c r="CG23" i="18"/>
  <c r="BA23" i="18" s="1"/>
  <c r="N23" i="18"/>
  <c r="K39" i="19"/>
  <c r="BA28" i="18"/>
  <c r="CG24" i="18"/>
  <c r="BA24" i="18" s="1"/>
  <c r="K37" i="19"/>
  <c r="N29" i="18"/>
  <c r="CG29" i="18"/>
  <c r="N21" i="18"/>
  <c r="N25" i="18"/>
  <c r="V25" i="18" s="1"/>
  <c r="CH25" i="18"/>
  <c r="BB25" i="18" s="1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BB28" i="18" s="1"/>
  <c r="L39" i="19"/>
  <c r="O28" i="18"/>
  <c r="W28" i="18" s="1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L27" i="19"/>
  <c r="O16" i="18"/>
  <c r="L25" i="19"/>
  <c r="O14" i="18"/>
  <c r="L30" i="19"/>
  <c r="O19" i="18"/>
  <c r="L34" i="19"/>
  <c r="O23" i="18"/>
  <c r="CH23" i="18"/>
  <c r="BB23" i="18" s="1"/>
  <c r="L20" i="19"/>
  <c r="O9" i="18"/>
  <c r="CH10" i="18"/>
  <c r="L21" i="19"/>
  <c r="O10" i="18"/>
  <c r="L38" i="19"/>
  <c r="CH27" i="18"/>
  <c r="BB27" i="18" s="1"/>
  <c r="O27" i="18"/>
  <c r="L35" i="19"/>
  <c r="CH24" i="18"/>
  <c r="BB24" i="18" s="1"/>
  <c r="O24" i="18"/>
  <c r="N24" i="18"/>
  <c r="N26" i="18"/>
  <c r="N30" i="18"/>
  <c r="K25" i="19"/>
  <c r="N14" i="18"/>
  <c r="K30" i="19"/>
  <c r="N19" i="18"/>
  <c r="K27" i="19"/>
  <c r="N16" i="18"/>
  <c r="K31" i="19"/>
  <c r="N20" i="18"/>
  <c r="K21" i="19"/>
  <c r="N10" i="18"/>
  <c r="CG10" i="18"/>
  <c r="K26" i="19"/>
  <c r="N15" i="18"/>
  <c r="K23" i="19"/>
  <c r="N12" i="18"/>
  <c r="K29" i="19"/>
  <c r="N18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V27" i="18" l="1"/>
  <c r="V22" i="18"/>
  <c r="V33" i="18"/>
  <c r="W33" i="18"/>
  <c r="V32" i="18"/>
  <c r="W32" i="18"/>
  <c r="V31" i="18"/>
  <c r="W31" i="18"/>
  <c r="W25" i="18"/>
  <c r="V24" i="18"/>
  <c r="V23" i="18"/>
  <c r="W23" i="18"/>
  <c r="W22" i="18"/>
  <c r="W21" i="18"/>
  <c r="W29" i="18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K33" i="12" s="1"/>
  <c r="E33" i="18"/>
  <c r="D33" i="12"/>
  <c r="D33" i="18"/>
  <c r="E32" i="12"/>
  <c r="AT32" i="12" s="1"/>
  <c r="E32" i="18"/>
  <c r="D32" i="12"/>
  <c r="AS32" i="12" s="1"/>
  <c r="D32" i="18"/>
  <c r="E31" i="12"/>
  <c r="AT31" i="12" s="1"/>
  <c r="E31" i="18"/>
  <c r="AY31" i="18"/>
  <c r="CE31" i="18"/>
  <c r="L31" i="18"/>
  <c r="BH23" i="18"/>
  <c r="BG23" i="18"/>
  <c r="F34" i="19"/>
  <c r="BH22" i="18"/>
  <c r="BG22" i="18"/>
  <c r="F33" i="19"/>
  <c r="BG21" i="18"/>
  <c r="BH21" i="18"/>
  <c r="F32" i="19"/>
  <c r="BH28" i="18"/>
  <c r="BG28" i="18"/>
  <c r="F39" i="19"/>
  <c r="BH26" i="18"/>
  <c r="BG26" i="18"/>
  <c r="F37" i="19"/>
  <c r="BG15" i="18"/>
  <c r="BH15" i="18"/>
  <c r="F26" i="19"/>
  <c r="BG14" i="18"/>
  <c r="BH14" i="18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M40" i="12"/>
  <c r="BH42" i="12"/>
  <c r="L32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BH33" i="12" l="1"/>
  <c r="K32" i="12"/>
  <c r="J32" i="12"/>
  <c r="K31" i="12"/>
  <c r="BE23" i="18"/>
  <c r="BE12" i="18"/>
  <c r="BE14" i="18"/>
  <c r="BE28" i="18"/>
  <c r="BE15" i="18"/>
  <c r="BE25" i="18"/>
  <c r="AY24" i="12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N32" i="18" s="1"/>
  <c r="B31" i="12"/>
  <c r="H31" i="12" s="1"/>
  <c r="O31" i="12" s="1"/>
  <c r="B31" i="18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CE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E29" i="13" s="1"/>
  <c r="AT29" i="13" s="1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G20" i="17" s="1"/>
  <c r="B9" i="18"/>
  <c r="AW9" i="18" s="1"/>
  <c r="B21" i="12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AW31" i="18"/>
  <c r="B30" i="18"/>
  <c r="B25" i="12"/>
  <c r="F25" i="15" s="1"/>
  <c r="AU25" i="15" s="1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D16" i="21"/>
  <c r="D12" i="12"/>
  <c r="I23" i="17" s="1"/>
  <c r="B15" i="21"/>
  <c r="D12" i="18"/>
  <c r="AY12" i="18" s="1"/>
  <c r="G11" i="12"/>
  <c r="L22" i="17" s="1"/>
  <c r="E14" i="21"/>
  <c r="F19" i="13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E33" i="21"/>
  <c r="D26" i="12"/>
  <c r="F26" i="14" s="1"/>
  <c r="B29" i="21"/>
  <c r="D26" i="18"/>
  <c r="BC27" i="21"/>
  <c r="G21" i="13"/>
  <c r="AV21" i="13" s="1"/>
  <c r="E24" i="21"/>
  <c r="E18" i="12"/>
  <c r="AT18" i="12" s="1"/>
  <c r="C21" i="21"/>
  <c r="E18" i="18"/>
  <c r="AZ18" i="18" s="1"/>
  <c r="F15" i="13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H9" i="12"/>
  <c r="AR22" i="12"/>
  <c r="H33" i="17"/>
  <c r="C13" i="14"/>
  <c r="AR13" i="14" s="1"/>
  <c r="G23" i="15"/>
  <c r="M23" i="15" s="1"/>
  <c r="J29" i="17"/>
  <c r="H22" i="17"/>
  <c r="F10" i="14"/>
  <c r="L10" i="14" s="1"/>
  <c r="E14" i="13"/>
  <c r="K14" i="13" s="1"/>
  <c r="D9" i="16"/>
  <c r="H32" i="17"/>
  <c r="J23" i="17"/>
  <c r="I18" i="12"/>
  <c r="H29" i="17"/>
  <c r="J30" i="12"/>
  <c r="I41" i="17"/>
  <c r="C19" i="14"/>
  <c r="I19" i="14" s="1"/>
  <c r="C12" i="16"/>
  <c r="H23" i="17"/>
  <c r="G23" i="17"/>
  <c r="F30" i="15"/>
  <c r="AU30" i="15" s="1"/>
  <c r="H13" i="12"/>
  <c r="G24" i="17"/>
  <c r="H16" i="12"/>
  <c r="D20" i="13"/>
  <c r="J20" i="13" s="1"/>
  <c r="B26" i="16"/>
  <c r="F21" i="15"/>
  <c r="AU21" i="15" s="1"/>
  <c r="G32" i="17"/>
  <c r="B18" i="16"/>
  <c r="F15" i="15"/>
  <c r="AU15" i="15" s="1"/>
  <c r="G26" i="17"/>
  <c r="F26" i="13"/>
  <c r="L26" i="13" s="1"/>
  <c r="G11" i="13"/>
  <c r="AV11" i="13" s="1"/>
  <c r="AQ31" i="12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N31" i="12"/>
  <c r="BH37" i="12"/>
  <c r="AR31" i="12"/>
  <c r="AT37" i="12"/>
  <c r="Q36" i="12"/>
  <c r="U36" i="12" s="1"/>
  <c r="P37" i="12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S39" i="12"/>
  <c r="O38" i="12"/>
  <c r="R37" i="12"/>
  <c r="Q34" i="12"/>
  <c r="O36" i="12"/>
  <c r="R41" i="12"/>
  <c r="S42" i="12"/>
  <c r="Q41" i="12"/>
  <c r="N41" i="12"/>
  <c r="T41" i="12" s="1"/>
  <c r="J20" i="12"/>
  <c r="D26" i="13"/>
  <c r="J26" i="13" s="1"/>
  <c r="I13" i="12"/>
  <c r="B26" i="14"/>
  <c r="H26" i="14" s="1"/>
  <c r="E22" i="13"/>
  <c r="K22" i="13" s="1"/>
  <c r="AR13" i="12"/>
  <c r="AQ15" i="12"/>
  <c r="M18" i="13"/>
  <c r="AT30" i="12"/>
  <c r="C13" i="16"/>
  <c r="AQ26" i="12"/>
  <c r="E30" i="16"/>
  <c r="I22" i="12"/>
  <c r="G13" i="15"/>
  <c r="AV13" i="15" s="1"/>
  <c r="H26" i="12"/>
  <c r="C22" i="14"/>
  <c r="I22" i="14" s="1"/>
  <c r="G9" i="15"/>
  <c r="AV9" i="15" s="1"/>
  <c r="F28" i="14"/>
  <c r="L28" i="14" s="1"/>
  <c r="AS28" i="12"/>
  <c r="I9" i="12"/>
  <c r="B28" i="14"/>
  <c r="AQ28" i="14" s="1"/>
  <c r="C28" i="14"/>
  <c r="I28" i="14" s="1"/>
  <c r="BW25" i="12"/>
  <c r="AS14" i="12"/>
  <c r="H25" i="12"/>
  <c r="C18" i="13"/>
  <c r="I18" i="13" s="1"/>
  <c r="F14" i="14"/>
  <c r="L14" i="14" s="1"/>
  <c r="G24" i="15"/>
  <c r="M24" i="15" s="1"/>
  <c r="F12" i="12"/>
  <c r="G29" i="15"/>
  <c r="AV29" i="15" s="1"/>
  <c r="F24" i="13"/>
  <c r="L24" i="13" s="1"/>
  <c r="F17" i="12"/>
  <c r="AI5" i="14"/>
  <c r="AI5" i="12"/>
  <c r="C14" i="16"/>
  <c r="F19" i="12"/>
  <c r="AI6" i="12"/>
  <c r="AI6" i="15"/>
  <c r="F12" i="15"/>
  <c r="AU12" i="15" s="1"/>
  <c r="B15" i="14"/>
  <c r="AQ15" i="14" s="1"/>
  <c r="AR24" i="12"/>
  <c r="D30" i="13"/>
  <c r="AS30" i="13" s="1"/>
  <c r="E15" i="16"/>
  <c r="E18" i="16"/>
  <c r="I19" i="12"/>
  <c r="B19" i="16"/>
  <c r="I12" i="12"/>
  <c r="I14" i="12"/>
  <c r="C14" i="14"/>
  <c r="I14" i="14" s="1"/>
  <c r="B20" i="16"/>
  <c r="H24" i="12"/>
  <c r="H30" i="12"/>
  <c r="D9" i="15"/>
  <c r="AS9" i="15" s="1"/>
  <c r="K15" i="12"/>
  <c r="B14" i="13"/>
  <c r="G11" i="15"/>
  <c r="AV11" i="15" s="1"/>
  <c r="F26" i="16"/>
  <c r="AU26" i="12"/>
  <c r="D26" i="14"/>
  <c r="AS26" i="14" s="1"/>
  <c r="L26" i="12"/>
  <c r="B26" i="15"/>
  <c r="H26" i="15" s="1"/>
  <c r="M21" i="13"/>
  <c r="G21" i="12"/>
  <c r="F21" i="13"/>
  <c r="AU17" i="13"/>
  <c r="G14" i="13"/>
  <c r="AV14" i="13" s="1"/>
  <c r="G12" i="13"/>
  <c r="B30" i="13"/>
  <c r="H30" i="13" s="1"/>
  <c r="F29" i="14"/>
  <c r="L29" i="14" s="1"/>
  <c r="E20" i="15"/>
  <c r="AT20" i="15" s="1"/>
  <c r="K18" i="12"/>
  <c r="F16" i="14"/>
  <c r="L16" i="14" s="1"/>
  <c r="C15" i="13"/>
  <c r="I15" i="13" s="1"/>
  <c r="E15" i="15"/>
  <c r="K15" i="15" s="1"/>
  <c r="AT15" i="12"/>
  <c r="J15" i="12"/>
  <c r="D15" i="16"/>
  <c r="D14" i="15"/>
  <c r="J14" i="15" s="1"/>
  <c r="J14" i="12"/>
  <c r="C11" i="13"/>
  <c r="AR11" i="13" s="1"/>
  <c r="BY10" i="12"/>
  <c r="C24" i="16"/>
  <c r="AQ24" i="12"/>
  <c r="AQ19" i="12"/>
  <c r="D19" i="13"/>
  <c r="AS19" i="13" s="1"/>
  <c r="B15" i="16"/>
  <c r="D15" i="13"/>
  <c r="J15" i="13" s="1"/>
  <c r="H15" i="12"/>
  <c r="AR12" i="12"/>
  <c r="C12" i="14"/>
  <c r="I12" i="14" s="1"/>
  <c r="G12" i="15"/>
  <c r="AV12" i="15" s="1"/>
  <c r="E12" i="13"/>
  <c r="K12" i="13" s="1"/>
  <c r="H12" i="12"/>
  <c r="AQ12" i="12"/>
  <c r="C11" i="14"/>
  <c r="I11" i="14" s="1"/>
  <c r="AR11" i="12"/>
  <c r="B21" i="14"/>
  <c r="AQ21" i="14" s="1"/>
  <c r="F10" i="12"/>
  <c r="G10" i="12"/>
  <c r="B23" i="13"/>
  <c r="H23" i="13" s="1"/>
  <c r="AT28" i="12"/>
  <c r="F27" i="13"/>
  <c r="L27" i="13" s="1"/>
  <c r="F13" i="12"/>
  <c r="AS24" i="12"/>
  <c r="D30" i="15"/>
  <c r="AS30" i="15" s="1"/>
  <c r="G15" i="12"/>
  <c r="F27" i="16"/>
  <c r="D27" i="14"/>
  <c r="AS27" i="14" s="1"/>
  <c r="B27" i="15"/>
  <c r="AU27" i="12"/>
  <c r="B13" i="14"/>
  <c r="AQ13" i="14" s="1"/>
  <c r="F13" i="15"/>
  <c r="L13" i="15" s="1"/>
  <c r="B21" i="16"/>
  <c r="D21" i="13"/>
  <c r="AS21" i="13" s="1"/>
  <c r="F12" i="14"/>
  <c r="AU12" i="14" s="1"/>
  <c r="J29" i="12"/>
  <c r="D29" i="16"/>
  <c r="AS30" i="12"/>
  <c r="D30" i="16"/>
  <c r="G26" i="13"/>
  <c r="M26" i="13" s="1"/>
  <c r="F22" i="13"/>
  <c r="AU22" i="13" s="1"/>
  <c r="G27" i="13"/>
  <c r="G27" i="12"/>
  <c r="L38" i="17" s="1"/>
  <c r="G22" i="13"/>
  <c r="G22" i="12"/>
  <c r="I21" i="12"/>
  <c r="F18" i="13"/>
  <c r="F18" i="12"/>
  <c r="K29" i="17" s="1"/>
  <c r="H21" i="12"/>
  <c r="G25" i="15"/>
  <c r="M25" i="15" s="1"/>
  <c r="D10" i="16"/>
  <c r="D24" i="16"/>
  <c r="C28" i="13"/>
  <c r="I28" i="13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AR23" i="12"/>
  <c r="AR19" i="12"/>
  <c r="E19" i="13"/>
  <c r="I11" i="12"/>
  <c r="C11" i="16"/>
  <c r="H22" i="12"/>
  <c r="D22" i="13"/>
  <c r="AQ21" i="12"/>
  <c r="BY23" i="12"/>
  <c r="E28" i="16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L19" i="13"/>
  <c r="R19" i="13" s="1"/>
  <c r="AU19" i="13"/>
  <c r="E11" i="14"/>
  <c r="G11" i="16"/>
  <c r="C11" i="15"/>
  <c r="AV11" i="12"/>
  <c r="M11" i="12"/>
  <c r="CB10" i="13"/>
  <c r="AV10" i="13"/>
  <c r="F9" i="13"/>
  <c r="F9" i="12"/>
  <c r="K20" i="17" s="1"/>
  <c r="G23" i="13"/>
  <c r="G23" i="12"/>
  <c r="L34" i="17" s="1"/>
  <c r="AU14" i="13"/>
  <c r="M15" i="13"/>
  <c r="M30" i="13"/>
  <c r="AV30" i="13"/>
  <c r="C17" i="15"/>
  <c r="G17" i="16"/>
  <c r="M17" i="12"/>
  <c r="E17" i="14"/>
  <c r="AV17" i="12"/>
  <c r="C14" i="15"/>
  <c r="AV14" i="12"/>
  <c r="E14" i="14"/>
  <c r="G14" i="16"/>
  <c r="M14" i="12"/>
  <c r="C12" i="15"/>
  <c r="E12" i="14"/>
  <c r="G12" i="16"/>
  <c r="M12" i="12"/>
  <c r="AV12" i="12"/>
  <c r="AU22" i="12"/>
  <c r="F22" i="16"/>
  <c r="B22" i="15"/>
  <c r="G20" i="13"/>
  <c r="G20" i="12"/>
  <c r="L31" i="17" s="1"/>
  <c r="AU13" i="13"/>
  <c r="L13" i="13"/>
  <c r="D9" i="13"/>
  <c r="B9" i="16"/>
  <c r="B9" i="14"/>
  <c r="F9" i="15"/>
  <c r="AQ9" i="12"/>
  <c r="F24" i="16"/>
  <c r="B24" i="15"/>
  <c r="L24" i="12"/>
  <c r="AU24" i="12"/>
  <c r="D24" i="14"/>
  <c r="AU20" i="13"/>
  <c r="L20" i="13"/>
  <c r="L15" i="13"/>
  <c r="AU15" i="13"/>
  <c r="G13" i="13"/>
  <c r="G13" i="12"/>
  <c r="L24" i="17" s="1"/>
  <c r="L11" i="13"/>
  <c r="AU11" i="13"/>
  <c r="CA10" i="14"/>
  <c r="J32" i="18" l="1"/>
  <c r="H32" i="12"/>
  <c r="N32" i="12" s="1"/>
  <c r="BH32" i="12"/>
  <c r="B30" i="16"/>
  <c r="AQ30" i="12"/>
  <c r="B30" i="14"/>
  <c r="H30" i="14" s="1"/>
  <c r="C29" i="14"/>
  <c r="I29" i="14" s="1"/>
  <c r="I29" i="12"/>
  <c r="C29" i="16"/>
  <c r="H40" i="17"/>
  <c r="AR29" i="12"/>
  <c r="D28" i="13"/>
  <c r="J28" i="13" s="1"/>
  <c r="H28" i="12"/>
  <c r="AQ28" i="12"/>
  <c r="AQ25" i="12"/>
  <c r="D25" i="13"/>
  <c r="AS25" i="13" s="1"/>
  <c r="G36" i="17"/>
  <c r="B25" i="14"/>
  <c r="H25" i="14" s="1"/>
  <c r="B25" i="16"/>
  <c r="D24" i="13"/>
  <c r="J24" i="13" s="1"/>
  <c r="B24" i="16"/>
  <c r="G35" i="17"/>
  <c r="B24" i="14"/>
  <c r="AQ24" i="14" s="1"/>
  <c r="H23" i="12"/>
  <c r="BW23" i="12"/>
  <c r="I20" i="12"/>
  <c r="C20" i="16"/>
  <c r="E20" i="13"/>
  <c r="AT20" i="13" s="1"/>
  <c r="C20" i="14"/>
  <c r="AR20" i="14" s="1"/>
  <c r="AR20" i="12"/>
  <c r="G20" i="15"/>
  <c r="M20" i="15" s="1"/>
  <c r="B18" i="14"/>
  <c r="AQ18" i="14" s="1"/>
  <c r="D18" i="13"/>
  <c r="AS18" i="13" s="1"/>
  <c r="G17" i="15"/>
  <c r="M17" i="15" s="1"/>
  <c r="I17" i="12"/>
  <c r="AR17" i="12"/>
  <c r="C17" i="16"/>
  <c r="C17" i="14"/>
  <c r="I17" i="14" s="1"/>
  <c r="E17" i="13"/>
  <c r="AT17" i="13" s="1"/>
  <c r="H26" i="17"/>
  <c r="E15" i="13"/>
  <c r="K15" i="13" s="1"/>
  <c r="P15" i="13" s="1"/>
  <c r="C15" i="16"/>
  <c r="AR15" i="12"/>
  <c r="D12" i="13"/>
  <c r="J12" i="13" s="1"/>
  <c r="BX10" i="12"/>
  <c r="AR10" i="12"/>
  <c r="E10" i="13"/>
  <c r="BZ10" i="13" s="1"/>
  <c r="E28" i="15"/>
  <c r="AT28" i="15" s="1"/>
  <c r="K28" i="12"/>
  <c r="D26" i="15"/>
  <c r="J26" i="15" s="1"/>
  <c r="E25" i="15"/>
  <c r="AT25" i="15" s="1"/>
  <c r="I35" i="17"/>
  <c r="B24" i="13"/>
  <c r="H24" i="13" s="1"/>
  <c r="J24" i="12"/>
  <c r="D24" i="15"/>
  <c r="AS24" i="15" s="1"/>
  <c r="D23" i="15"/>
  <c r="AS23" i="15" s="1"/>
  <c r="F23" i="14"/>
  <c r="AU23" i="14" s="1"/>
  <c r="E22" i="16"/>
  <c r="AT22" i="12"/>
  <c r="D22" i="16"/>
  <c r="F22" i="14"/>
  <c r="L22" i="14" s="1"/>
  <c r="D22" i="15"/>
  <c r="AS22" i="15" s="1"/>
  <c r="AS22" i="12"/>
  <c r="J22" i="12"/>
  <c r="B22" i="13"/>
  <c r="H22" i="13" s="1"/>
  <c r="J21" i="12"/>
  <c r="B21" i="13"/>
  <c r="AQ21" i="13" s="1"/>
  <c r="E18" i="15"/>
  <c r="K18" i="15" s="1"/>
  <c r="G18" i="14"/>
  <c r="AV18" i="14" s="1"/>
  <c r="D18" i="16"/>
  <c r="B18" i="13"/>
  <c r="H18" i="13" s="1"/>
  <c r="E16" i="15"/>
  <c r="K16" i="15" s="1"/>
  <c r="F15" i="14"/>
  <c r="AU15" i="14" s="1"/>
  <c r="D15" i="15"/>
  <c r="J15" i="15" s="1"/>
  <c r="D12" i="16"/>
  <c r="D12" i="15"/>
  <c r="J12" i="15" s="1"/>
  <c r="J12" i="12"/>
  <c r="AS12" i="12"/>
  <c r="B12" i="13"/>
  <c r="AQ12" i="13" s="1"/>
  <c r="E11" i="15"/>
  <c r="K11" i="15" s="1"/>
  <c r="E11" i="16"/>
  <c r="K11" i="12"/>
  <c r="G11" i="14"/>
  <c r="AV11" i="14" s="1"/>
  <c r="I22" i="17"/>
  <c r="J9" i="12"/>
  <c r="B9" i="13"/>
  <c r="AQ9" i="13" s="1"/>
  <c r="AS9" i="12"/>
  <c r="F9" i="14"/>
  <c r="L9" i="14" s="1"/>
  <c r="AU29" i="12"/>
  <c r="AS23" i="12"/>
  <c r="D23" i="16"/>
  <c r="J23" i="16" s="1"/>
  <c r="G20" i="14"/>
  <c r="M20" i="14" s="1"/>
  <c r="D16" i="16"/>
  <c r="J16" i="16" s="1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B26" i="13"/>
  <c r="H26" i="13" s="1"/>
  <c r="C25" i="16"/>
  <c r="H25" i="16" s="1"/>
  <c r="F25" i="14"/>
  <c r="L25" i="14" s="1"/>
  <c r="AU10" i="14"/>
  <c r="J26" i="12"/>
  <c r="D25" i="15"/>
  <c r="AS25" i="15" s="1"/>
  <c r="K20" i="12"/>
  <c r="Q20" i="12" s="1"/>
  <c r="K40" i="20"/>
  <c r="AY32" i="21"/>
  <c r="J40" i="20"/>
  <c r="AX32" i="21"/>
  <c r="B28" i="15"/>
  <c r="I31" i="21"/>
  <c r="J39" i="20"/>
  <c r="AX31" i="21"/>
  <c r="L28" i="12"/>
  <c r="D28" i="14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AR30" i="12"/>
  <c r="G30" i="15"/>
  <c r="M30" i="15" s="1"/>
  <c r="S30" i="15" s="1"/>
  <c r="C30" i="14"/>
  <c r="AR30" i="14" s="1"/>
  <c r="AX30" i="18"/>
  <c r="E30" i="13"/>
  <c r="K30" i="13" s="1"/>
  <c r="I30" i="12"/>
  <c r="O30" i="12" s="1"/>
  <c r="B29" i="14"/>
  <c r="AQ29" i="14" s="1"/>
  <c r="AQ29" i="12"/>
  <c r="F29" i="15"/>
  <c r="AU29" i="15" s="1"/>
  <c r="B29" i="16"/>
  <c r="H29" i="12"/>
  <c r="AR28" i="12"/>
  <c r="C28" i="16"/>
  <c r="G28" i="15"/>
  <c r="M28" i="15" s="1"/>
  <c r="I28" i="12"/>
  <c r="N28" i="12" s="1"/>
  <c r="C27" i="14"/>
  <c r="I27" i="14" s="1"/>
  <c r="C27" i="16"/>
  <c r="I27" i="16" s="1"/>
  <c r="AR27" i="12"/>
  <c r="E27" i="13"/>
  <c r="AT27" i="13" s="1"/>
  <c r="I27" i="12"/>
  <c r="AR26" i="12"/>
  <c r="H37" i="17"/>
  <c r="C26" i="16"/>
  <c r="E26" i="13"/>
  <c r="K26" i="13" s="1"/>
  <c r="C26" i="14"/>
  <c r="I26" i="14" s="1"/>
  <c r="I26" i="12"/>
  <c r="N26" i="12" s="1"/>
  <c r="B23" i="16"/>
  <c r="G34" i="17"/>
  <c r="AQ23" i="12"/>
  <c r="B23" i="14"/>
  <c r="BW23" i="14" s="1"/>
  <c r="F23" i="15"/>
  <c r="CA23" i="15" s="1"/>
  <c r="AW22" i="18"/>
  <c r="F22" i="15"/>
  <c r="L22" i="15" s="1"/>
  <c r="B20" i="14"/>
  <c r="H20" i="14" s="1"/>
  <c r="AQ20" i="12"/>
  <c r="F20" i="15"/>
  <c r="L20" i="15" s="1"/>
  <c r="AS20" i="13"/>
  <c r="G31" i="17"/>
  <c r="F18" i="15"/>
  <c r="L18" i="15" s="1"/>
  <c r="H18" i="12"/>
  <c r="N18" i="12" s="1"/>
  <c r="AQ18" i="12"/>
  <c r="H17" i="12"/>
  <c r="B17" i="14"/>
  <c r="H17" i="14" s="1"/>
  <c r="B17" i="16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B11" i="14"/>
  <c r="AQ11" i="14" s="1"/>
  <c r="F11" i="15"/>
  <c r="L11" i="15" s="1"/>
  <c r="B11" i="16"/>
  <c r="H11" i="16" s="1"/>
  <c r="H21" i="17"/>
  <c r="G10" i="15"/>
  <c r="CB10" i="15" s="1"/>
  <c r="I10" i="12"/>
  <c r="B10" i="14"/>
  <c r="BW10" i="14" s="1"/>
  <c r="F10" i="15"/>
  <c r="L10" i="15" s="1"/>
  <c r="BW10" i="12"/>
  <c r="H10" i="12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AK31" i="21" s="1"/>
  <c r="H39" i="20"/>
  <c r="AV31" i="21"/>
  <c r="I38" i="20"/>
  <c r="AW30" i="21"/>
  <c r="AL30" i="21"/>
  <c r="AO30" i="21" s="1"/>
  <c r="AH30" i="21"/>
  <c r="AV30" i="21"/>
  <c r="H38" i="20"/>
  <c r="D27" i="15"/>
  <c r="J27" i="15" s="1"/>
  <c r="AL29" i="21"/>
  <c r="AO29" i="21" s="1"/>
  <c r="AW29" i="21"/>
  <c r="I37" i="20"/>
  <c r="AH29" i="21"/>
  <c r="AK29" i="21" s="1"/>
  <c r="H37" i="20"/>
  <c r="AV29" i="21"/>
  <c r="AW28" i="21"/>
  <c r="I36" i="20"/>
  <c r="AL28" i="21"/>
  <c r="BZ25" i="15"/>
  <c r="H36" i="20"/>
  <c r="AV28" i="21"/>
  <c r="AH28" i="21"/>
  <c r="AK28" i="21" s="1"/>
  <c r="I35" i="20"/>
  <c r="AW27" i="21"/>
  <c r="AL27" i="21"/>
  <c r="AO27" i="21" s="1"/>
  <c r="H35" i="20"/>
  <c r="AH27" i="21"/>
  <c r="AK27" i="21" s="1"/>
  <c r="AV27" i="21"/>
  <c r="G23" i="14"/>
  <c r="CB23" i="14" s="1"/>
  <c r="K23" i="12"/>
  <c r="AT23" i="12"/>
  <c r="E23" i="15"/>
  <c r="BZ23" i="12"/>
  <c r="E23" i="16"/>
  <c r="C23" i="13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K25" i="21" s="1"/>
  <c r="AW24" i="21"/>
  <c r="AL24" i="21"/>
  <c r="AO24" i="21" s="1"/>
  <c r="I32" i="20"/>
  <c r="AH24" i="21"/>
  <c r="AK24" i="21" s="1"/>
  <c r="H32" i="20"/>
  <c r="AV24" i="21"/>
  <c r="AW23" i="21"/>
  <c r="AL23" i="21"/>
  <c r="I31" i="20"/>
  <c r="AV23" i="21"/>
  <c r="H31" i="20"/>
  <c r="AH23" i="21"/>
  <c r="AK23" i="21" s="1"/>
  <c r="C19" i="13"/>
  <c r="I19" i="13" s="1"/>
  <c r="E19" i="15"/>
  <c r="AT19" i="15" s="1"/>
  <c r="G19" i="14"/>
  <c r="M19" i="14" s="1"/>
  <c r="J30" i="17"/>
  <c r="AT19" i="12"/>
  <c r="E19" i="16"/>
  <c r="I30" i="20"/>
  <c r="AW22" i="21"/>
  <c r="AL22" i="21"/>
  <c r="AO22" i="21" s="1"/>
  <c r="H30" i="20"/>
  <c r="AV22" i="21"/>
  <c r="AH22" i="21"/>
  <c r="AK22" i="21" s="1"/>
  <c r="AF22" i="21" s="1"/>
  <c r="AW21" i="21"/>
  <c r="I29" i="20"/>
  <c r="AL21" i="21"/>
  <c r="AO21" i="21" s="1"/>
  <c r="AH21" i="21"/>
  <c r="H29" i="20"/>
  <c r="AV21" i="21"/>
  <c r="E17" i="16"/>
  <c r="J28" i="17"/>
  <c r="C17" i="13"/>
  <c r="I17" i="13" s="1"/>
  <c r="K17" i="12"/>
  <c r="Q17" i="12" s="1"/>
  <c r="AT17" i="12"/>
  <c r="I28" i="20"/>
  <c r="AW20" i="21"/>
  <c r="AL20" i="21"/>
  <c r="AO20" i="21" s="1"/>
  <c r="D17" i="16"/>
  <c r="I28" i="17"/>
  <c r="D17" i="15"/>
  <c r="AS17" i="15" s="1"/>
  <c r="J17" i="12"/>
  <c r="AS17" i="12"/>
  <c r="B17" i="13"/>
  <c r="AQ17" i="13" s="1"/>
  <c r="AV20" i="21"/>
  <c r="AH20" i="21"/>
  <c r="AK20" i="21" s="1"/>
  <c r="AF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AO18" i="21" s="1"/>
  <c r="I26" i="20"/>
  <c r="G15" i="14"/>
  <c r="M15" i="14" s="1"/>
  <c r="AH18" i="21"/>
  <c r="AK18" i="21" s="1"/>
  <c r="H26" i="20"/>
  <c r="AV18" i="21"/>
  <c r="AL17" i="21"/>
  <c r="AO17" i="21" s="1"/>
  <c r="AW17" i="21"/>
  <c r="I25" i="20"/>
  <c r="C14" i="13"/>
  <c r="I14" i="13" s="1"/>
  <c r="AH17" i="21"/>
  <c r="AK17" i="21" s="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V16" i="21"/>
  <c r="I23" i="20"/>
  <c r="AL15" i="21"/>
  <c r="AO15" i="21" s="1"/>
  <c r="AW15" i="21"/>
  <c r="AT12" i="12"/>
  <c r="E12" i="16"/>
  <c r="AH15" i="21"/>
  <c r="AK15" i="21" s="1"/>
  <c r="AF15" i="21" s="1"/>
  <c r="H23" i="20"/>
  <c r="AV15" i="21"/>
  <c r="AW14" i="21"/>
  <c r="I22" i="20"/>
  <c r="AL14" i="21"/>
  <c r="AO14" i="21" s="1"/>
  <c r="J11" i="12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K9" i="12"/>
  <c r="AH12" i="21"/>
  <c r="AK12" i="21" s="1"/>
  <c r="AV12" i="21"/>
  <c r="H20" i="20"/>
  <c r="AH33" i="21"/>
  <c r="AK33" i="21" s="1"/>
  <c r="H41" i="20"/>
  <c r="AV33" i="21"/>
  <c r="K30" i="12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H38" i="17"/>
  <c r="D21" i="14"/>
  <c r="J21" i="14" s="1"/>
  <c r="F19" i="14"/>
  <c r="AU19" i="14" s="1"/>
  <c r="B27" i="14"/>
  <c r="AQ27" i="14" s="1"/>
  <c r="B22" i="16"/>
  <c r="H22" i="16" s="1"/>
  <c r="D27" i="16"/>
  <c r="B22" i="14"/>
  <c r="H22" i="14" s="1"/>
  <c r="N22" i="14" s="1"/>
  <c r="AV16" i="13"/>
  <c r="B27" i="16"/>
  <c r="AU25" i="13"/>
  <c r="AU26" i="13"/>
  <c r="J19" i="12"/>
  <c r="D19" i="15"/>
  <c r="AS19" i="15" s="1"/>
  <c r="G14" i="14"/>
  <c r="AV14" i="14" s="1"/>
  <c r="C12" i="13"/>
  <c r="AR12" i="13" s="1"/>
  <c r="E12" i="15"/>
  <c r="K12" i="15" s="1"/>
  <c r="Q12" i="15" s="1"/>
  <c r="H14" i="12"/>
  <c r="O14" i="12" s="1"/>
  <c r="I30" i="17"/>
  <c r="J41" i="17"/>
  <c r="I26" i="17"/>
  <c r="H20" i="17"/>
  <c r="CA25" i="13"/>
  <c r="M26" i="12"/>
  <c r="R26" i="12" s="1"/>
  <c r="D19" i="16"/>
  <c r="M9" i="13"/>
  <c r="B15" i="13"/>
  <c r="H15" i="13" s="1"/>
  <c r="H39" i="17"/>
  <c r="E9" i="13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H28" i="16" s="1"/>
  <c r="G14" i="15"/>
  <c r="AV14" i="15" s="1"/>
  <c r="H19" i="12"/>
  <c r="N19" i="12" s="1"/>
  <c r="AR14" i="12"/>
  <c r="C10" i="16"/>
  <c r="B12" i="14"/>
  <c r="AQ12" i="14" s="1"/>
  <c r="C9" i="14"/>
  <c r="I9" i="14" s="1"/>
  <c r="B14" i="16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H18" i="16" s="1"/>
  <c r="H27" i="12"/>
  <c r="O27" i="12" s="1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H19" i="16" s="1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AX26" i="18" s="1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AV26" i="14"/>
  <c r="AU26" i="14"/>
  <c r="L26" i="14"/>
  <c r="AV26" i="12"/>
  <c r="C16" i="13"/>
  <c r="AR16" i="13" s="1"/>
  <c r="J27" i="12"/>
  <c r="E27" i="16"/>
  <c r="E26" i="16"/>
  <c r="J26" i="16" s="1"/>
  <c r="B29" i="13"/>
  <c r="AQ29" i="13" s="1"/>
  <c r="I39" i="17"/>
  <c r="J27" i="17"/>
  <c r="J38" i="17"/>
  <c r="J31" i="17"/>
  <c r="K16" i="12"/>
  <c r="Q16" i="12" s="1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0" i="16" s="1"/>
  <c r="K27" i="12"/>
  <c r="D21" i="16"/>
  <c r="G22" i="14"/>
  <c r="M22" i="14" s="1"/>
  <c r="S22" i="14" s="1"/>
  <c r="D18" i="15"/>
  <c r="J18" i="15" s="1"/>
  <c r="Q18" i="15" s="1"/>
  <c r="K26" i="12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J17" i="15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F29" i="21"/>
  <c r="G30" i="21"/>
  <c r="BA30" i="21"/>
  <c r="G24" i="21"/>
  <c r="G17" i="21"/>
  <c r="BA29" i="21"/>
  <c r="G29" i="21"/>
  <c r="K17" i="18"/>
  <c r="J28" i="19"/>
  <c r="M17" i="18"/>
  <c r="H26" i="21"/>
  <c r="BB26" i="21"/>
  <c r="I17" i="21"/>
  <c r="AO23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H15" i="21"/>
  <c r="G15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K30" i="21"/>
  <c r="AF30" i="21" s="1"/>
  <c r="AZ30" i="21"/>
  <c r="F30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P24" i="12" s="1"/>
  <c r="B20" i="13"/>
  <c r="BH20" i="13" s="1"/>
  <c r="BB32" i="21"/>
  <c r="H32" i="21"/>
  <c r="F17" i="21"/>
  <c r="G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AK21" i="21"/>
  <c r="AF21" i="21" s="1"/>
  <c r="F21" i="21"/>
  <c r="F18" i="21"/>
  <c r="I20" i="19"/>
  <c r="L9" i="18"/>
  <c r="J9" i="18"/>
  <c r="BN9" i="18"/>
  <c r="BB27" i="21"/>
  <c r="H27" i="21"/>
  <c r="E25" i="16"/>
  <c r="J25" i="16" s="1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L22" i="12"/>
  <c r="E9" i="15"/>
  <c r="AT9" i="15" s="1"/>
  <c r="BZ25" i="12"/>
  <c r="G25" i="14"/>
  <c r="M25" i="14" s="1"/>
  <c r="R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C9" i="13"/>
  <c r="AR9" i="13" s="1"/>
  <c r="K25" i="12"/>
  <c r="Q25" i="12" s="1"/>
  <c r="AT25" i="12"/>
  <c r="E24" i="16"/>
  <c r="K24" i="16" s="1"/>
  <c r="G12" i="21"/>
  <c r="AO12" i="21"/>
  <c r="CE10" i="18"/>
  <c r="AY10" i="18" s="1"/>
  <c r="I21" i="19"/>
  <c r="L10" i="18"/>
  <c r="J10" i="18"/>
  <c r="BN10" i="18"/>
  <c r="H17" i="21"/>
  <c r="F23" i="21"/>
  <c r="AK16" i="21"/>
  <c r="F16" i="21"/>
  <c r="AO28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J10" i="13"/>
  <c r="K20" i="13"/>
  <c r="P20" i="13" s="1"/>
  <c r="AT11" i="13"/>
  <c r="AQ15" i="13"/>
  <c r="I25" i="16"/>
  <c r="H12" i="13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Q23" i="12"/>
  <c r="L29" i="13"/>
  <c r="R29" i="13" s="1"/>
  <c r="K24" i="13"/>
  <c r="Q24" i="13" s="1"/>
  <c r="AU24" i="15"/>
  <c r="I10" i="14"/>
  <c r="AV28" i="14"/>
  <c r="CB10" i="14"/>
  <c r="N9" i="12"/>
  <c r="AV10" i="14"/>
  <c r="I13" i="14"/>
  <c r="CA25" i="14"/>
  <c r="CA23" i="12"/>
  <c r="AT26" i="13"/>
  <c r="AU25" i="14"/>
  <c r="K25" i="15"/>
  <c r="G18" i="16"/>
  <c r="AR19" i="14"/>
  <c r="AQ19" i="13"/>
  <c r="H26" i="16"/>
  <c r="P9" i="12"/>
  <c r="C9" i="15"/>
  <c r="I9" i="15" s="1"/>
  <c r="AV9" i="12"/>
  <c r="E9" i="14"/>
  <c r="K9" i="14" s="1"/>
  <c r="K29" i="13"/>
  <c r="AT30" i="13"/>
  <c r="I21" i="14"/>
  <c r="M11" i="13"/>
  <c r="S11" i="13" s="1"/>
  <c r="J29" i="16"/>
  <c r="O28" i="12"/>
  <c r="H27" i="16"/>
  <c r="L21" i="15"/>
  <c r="O13" i="12"/>
  <c r="AR22" i="13"/>
  <c r="M12" i="14"/>
  <c r="AS12" i="13"/>
  <c r="I12" i="16"/>
  <c r="G9" i="16"/>
  <c r="E10" i="14"/>
  <c r="BZ10" i="14" s="1"/>
  <c r="L21" i="17"/>
  <c r="L20" i="12"/>
  <c r="K31" i="17"/>
  <c r="B14" i="15"/>
  <c r="K25" i="17"/>
  <c r="AU11" i="12"/>
  <c r="K22" i="17"/>
  <c r="J22" i="15"/>
  <c r="P22" i="15" s="1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AU23" i="12"/>
  <c r="B23" i="15"/>
  <c r="H23" i="15" s="1"/>
  <c r="H14" i="16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AS27" i="13"/>
  <c r="I22" i="16"/>
  <c r="U38" i="12"/>
  <c r="Y38" i="12" s="1"/>
  <c r="AC38" i="12" s="1"/>
  <c r="T31" i="12"/>
  <c r="K24" i="15"/>
  <c r="L15" i="12"/>
  <c r="CA25" i="12"/>
  <c r="F15" i="16"/>
  <c r="V38" i="12"/>
  <c r="F25" i="16"/>
  <c r="AV29" i="12"/>
  <c r="K30" i="15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V36" i="12"/>
  <c r="W36" i="12"/>
  <c r="X36" i="12"/>
  <c r="AB36" i="12" s="1"/>
  <c r="Y36" i="12"/>
  <c r="AC36" i="12" s="1"/>
  <c r="U41" i="12"/>
  <c r="V41" i="12" s="1"/>
  <c r="T33" i="12"/>
  <c r="AV19" i="14"/>
  <c r="N13" i="12"/>
  <c r="K17" i="15"/>
  <c r="AR19" i="13"/>
  <c r="AU28" i="14"/>
  <c r="K19" i="15"/>
  <c r="AU24" i="13"/>
  <c r="AV15" i="12"/>
  <c r="J13" i="13"/>
  <c r="AQ30" i="13"/>
  <c r="AQ26" i="14"/>
  <c r="AT22" i="13"/>
  <c r="L15" i="14"/>
  <c r="S15" i="14" s="1"/>
  <c r="I26" i="16"/>
  <c r="H28" i="14"/>
  <c r="O28" i="14" s="1"/>
  <c r="J24" i="15"/>
  <c r="M27" i="14"/>
  <c r="N27" i="12"/>
  <c r="AR22" i="14"/>
  <c r="AV26" i="13"/>
  <c r="I30" i="14"/>
  <c r="N30" i="14" s="1"/>
  <c r="J17" i="13"/>
  <c r="AS26" i="13"/>
  <c r="AR27" i="14"/>
  <c r="AQ16" i="14"/>
  <c r="L16" i="15"/>
  <c r="J28" i="16"/>
  <c r="K30" i="16"/>
  <c r="I18" i="16"/>
  <c r="AR24" i="13"/>
  <c r="AV30" i="14"/>
  <c r="CB10" i="12"/>
  <c r="CA25" i="15"/>
  <c r="L25" i="15"/>
  <c r="S25" i="15" s="1"/>
  <c r="AR29" i="14"/>
  <c r="J17" i="16"/>
  <c r="J20" i="15"/>
  <c r="AT21" i="15"/>
  <c r="AV22" i="15"/>
  <c r="M14" i="13"/>
  <c r="S14" i="13" s="1"/>
  <c r="BY23" i="13"/>
  <c r="M14" i="15"/>
  <c r="I25" i="14"/>
  <c r="N25" i="14" s="1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AR18" i="13"/>
  <c r="I13" i="16"/>
  <c r="M9" i="15"/>
  <c r="M13" i="15"/>
  <c r="S13" i="15" s="1"/>
  <c r="CB25" i="15"/>
  <c r="J30" i="16"/>
  <c r="L30" i="14"/>
  <c r="R30" i="14" s="1"/>
  <c r="AQ22" i="13"/>
  <c r="L16" i="12"/>
  <c r="J14" i="13"/>
  <c r="Q14" i="13" s="1"/>
  <c r="Q30" i="12"/>
  <c r="J24" i="16"/>
  <c r="I10" i="16"/>
  <c r="N11" i="12"/>
  <c r="K12" i="16"/>
  <c r="H10" i="14"/>
  <c r="AR28" i="14"/>
  <c r="AQ24" i="13"/>
  <c r="H19" i="14"/>
  <c r="N19" i="14" s="1"/>
  <c r="I21" i="16"/>
  <c r="L12" i="15"/>
  <c r="J30" i="15"/>
  <c r="B19" i="15"/>
  <c r="AQ19" i="15" s="1"/>
  <c r="N16" i="12"/>
  <c r="J25" i="13"/>
  <c r="AS29" i="13"/>
  <c r="K10" i="13"/>
  <c r="M11" i="15"/>
  <c r="J9" i="15"/>
  <c r="L21" i="14"/>
  <c r="M12" i="15"/>
  <c r="J18" i="16"/>
  <c r="AS15" i="13"/>
  <c r="AU10" i="15"/>
  <c r="AT10" i="13"/>
  <c r="AU29" i="14"/>
  <c r="G21" i="16"/>
  <c r="L21" i="16" s="1"/>
  <c r="BH19" i="12"/>
  <c r="AQ25" i="14"/>
  <c r="AU9" i="14"/>
  <c r="AR15" i="13"/>
  <c r="AT18" i="15"/>
  <c r="BH21" i="12"/>
  <c r="I17" i="16"/>
  <c r="AQ10" i="14"/>
  <c r="M16" i="15"/>
  <c r="AR26" i="14"/>
  <c r="H9" i="13"/>
  <c r="AV20" i="14"/>
  <c r="F12" i="16"/>
  <c r="M12" i="16" s="1"/>
  <c r="H13" i="16"/>
  <c r="AR14" i="14"/>
  <c r="O17" i="12"/>
  <c r="H24" i="14"/>
  <c r="M29" i="15"/>
  <c r="J30" i="13"/>
  <c r="P30" i="13" s="1"/>
  <c r="AR14" i="13"/>
  <c r="B12" i="15"/>
  <c r="H12" i="15" s="1"/>
  <c r="I29" i="16"/>
  <c r="BH14" i="13"/>
  <c r="H13" i="14"/>
  <c r="AT29" i="15"/>
  <c r="AR11" i="14"/>
  <c r="AU12" i="12"/>
  <c r="D12" i="14"/>
  <c r="AS12" i="14" s="1"/>
  <c r="AT12" i="13"/>
  <c r="I19" i="16"/>
  <c r="P26" i="12"/>
  <c r="K18" i="16"/>
  <c r="H21" i="16"/>
  <c r="BW25" i="14"/>
  <c r="BY25" i="13"/>
  <c r="AS28" i="13"/>
  <c r="AU28" i="15"/>
  <c r="AQ23" i="13"/>
  <c r="AQ26" i="13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K22" i="16"/>
  <c r="AQ30" i="14"/>
  <c r="AV30" i="15"/>
  <c r="BY10" i="15"/>
  <c r="H21" i="13"/>
  <c r="H29" i="13"/>
  <c r="AV29" i="14"/>
  <c r="M10" i="12"/>
  <c r="F19" i="16"/>
  <c r="M21" i="12"/>
  <c r="AU23" i="15"/>
  <c r="I11" i="13"/>
  <c r="O11" i="13" s="1"/>
  <c r="M15" i="12"/>
  <c r="E15" i="14"/>
  <c r="BH15" i="12"/>
  <c r="H30" i="16"/>
  <c r="CA10" i="15"/>
  <c r="AV24" i="15"/>
  <c r="H12" i="16"/>
  <c r="I20" i="14"/>
  <c r="H29" i="16"/>
  <c r="J12" i="16"/>
  <c r="J22" i="16"/>
  <c r="L10" i="12"/>
  <c r="F13" i="16"/>
  <c r="Q11" i="12"/>
  <c r="BH26" i="14"/>
  <c r="AR28" i="13"/>
  <c r="AU14" i="14"/>
  <c r="BX25" i="14"/>
  <c r="AT28" i="13"/>
  <c r="I30" i="16"/>
  <c r="I26" i="13"/>
  <c r="O26" i="13" s="1"/>
  <c r="AQ16" i="13"/>
  <c r="AU13" i="15"/>
  <c r="H15" i="14"/>
  <c r="AU20" i="15"/>
  <c r="AU11" i="14"/>
  <c r="K13" i="15"/>
  <c r="AS28" i="15"/>
  <c r="AS14" i="15"/>
  <c r="J21" i="13"/>
  <c r="P23" i="12"/>
  <c r="K10" i="16"/>
  <c r="I20" i="16"/>
  <c r="K15" i="16"/>
  <c r="O29" i="12"/>
  <c r="AQ18" i="13"/>
  <c r="B17" i="15"/>
  <c r="K16" i="16"/>
  <c r="J15" i="16"/>
  <c r="Q15" i="12"/>
  <c r="H18" i="14"/>
  <c r="N12" i="12"/>
  <c r="K17" i="13"/>
  <c r="I28" i="16"/>
  <c r="K14" i="15"/>
  <c r="Q14" i="15" s="1"/>
  <c r="AR20" i="13"/>
  <c r="K29" i="16"/>
  <c r="AU16" i="14"/>
  <c r="H23" i="14"/>
  <c r="BH25" i="12"/>
  <c r="E25" i="14"/>
  <c r="AT25" i="14" s="1"/>
  <c r="AV10" i="15"/>
  <c r="I14" i="16"/>
  <c r="AQ17" i="14"/>
  <c r="O22" i="12"/>
  <c r="O20" i="12"/>
  <c r="M10" i="15"/>
  <c r="S10" i="15" s="1"/>
  <c r="H21" i="14"/>
  <c r="I24" i="16"/>
  <c r="N25" i="12"/>
  <c r="O26" i="12"/>
  <c r="N29" i="12"/>
  <c r="N30" i="12"/>
  <c r="CA23" i="14"/>
  <c r="AS26" i="15"/>
  <c r="K28" i="15"/>
  <c r="K10" i="15"/>
  <c r="F17" i="16"/>
  <c r="L17" i="16" s="1"/>
  <c r="AQ14" i="13"/>
  <c r="AQ23" i="14"/>
  <c r="AT16" i="15"/>
  <c r="J26" i="14"/>
  <c r="BH17" i="12"/>
  <c r="O23" i="12"/>
  <c r="AV17" i="15"/>
  <c r="J18" i="13"/>
  <c r="I9" i="16"/>
  <c r="H20" i="16"/>
  <c r="AS10" i="15"/>
  <c r="AS12" i="15"/>
  <c r="M14" i="14"/>
  <c r="S14" i="14" s="1"/>
  <c r="H27" i="13"/>
  <c r="S19" i="13"/>
  <c r="L17" i="12"/>
  <c r="R17" i="12" s="1"/>
  <c r="AU27" i="13"/>
  <c r="K9" i="15"/>
  <c r="H14" i="13"/>
  <c r="O14" i="13" s="1"/>
  <c r="AU22" i="14"/>
  <c r="F16" i="16"/>
  <c r="BH26" i="13"/>
  <c r="AU17" i="12"/>
  <c r="N21" i="12"/>
  <c r="N15" i="12"/>
  <c r="I11" i="16"/>
  <c r="O21" i="12"/>
  <c r="AS24" i="13"/>
  <c r="AT25" i="13"/>
  <c r="BH28" i="13"/>
  <c r="L12" i="14"/>
  <c r="P12" i="12"/>
  <c r="AR13" i="13"/>
  <c r="K20" i="15"/>
  <c r="AT22" i="15"/>
  <c r="AS29" i="15"/>
  <c r="J19" i="13"/>
  <c r="R15" i="13"/>
  <c r="M11" i="14"/>
  <c r="CA10" i="12"/>
  <c r="D10" i="14"/>
  <c r="BH10" i="14" s="1"/>
  <c r="D13" i="14"/>
  <c r="J13" i="14" s="1"/>
  <c r="AS15" i="15"/>
  <c r="D16" i="14"/>
  <c r="AS16" i="14" s="1"/>
  <c r="B16" i="15"/>
  <c r="AV25" i="12"/>
  <c r="N23" i="12"/>
  <c r="Q9" i="12"/>
  <c r="J23" i="15"/>
  <c r="AU10" i="12"/>
  <c r="L13" i="12"/>
  <c r="G25" i="16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R10" i="13"/>
  <c r="BY23" i="15"/>
  <c r="P19" i="12"/>
  <c r="O19" i="13"/>
  <c r="AT15" i="15"/>
  <c r="BZ10" i="15"/>
  <c r="O15" i="12"/>
  <c r="BH22" i="13"/>
  <c r="AV24" i="13"/>
  <c r="M24" i="13"/>
  <c r="S24" i="13" s="1"/>
  <c r="Q19" i="12"/>
  <c r="S16" i="13"/>
  <c r="AU22" i="15"/>
  <c r="BH23" i="13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R22" i="12" s="1"/>
  <c r="E22" i="14"/>
  <c r="C22" i="15"/>
  <c r="AV22" i="12"/>
  <c r="BH19" i="13"/>
  <c r="M22" i="13"/>
  <c r="AV22" i="13"/>
  <c r="I15" i="16"/>
  <c r="N20" i="12"/>
  <c r="AV20" i="15"/>
  <c r="AV25" i="15"/>
  <c r="AU17" i="14"/>
  <c r="Q24" i="12"/>
  <c r="S22" i="15"/>
  <c r="AV28" i="13"/>
  <c r="M28" i="13"/>
  <c r="J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AS28" i="14"/>
  <c r="J28" i="14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S20" i="12" s="1"/>
  <c r="E20" i="14"/>
  <c r="BH20" i="12"/>
  <c r="AT14" i="14"/>
  <c r="K14" i="14"/>
  <c r="AV23" i="13"/>
  <c r="M23" i="13"/>
  <c r="CB23" i="13"/>
  <c r="AR23" i="13"/>
  <c r="I23" i="13"/>
  <c r="N23" i="13" s="1"/>
  <c r="BX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BW23" i="15"/>
  <c r="R22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K12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O30" i="13"/>
  <c r="N30" i="13"/>
  <c r="Q29" i="15"/>
  <c r="P29" i="15"/>
  <c r="R28" i="14"/>
  <c r="S28" i="14"/>
  <c r="Q26" i="15"/>
  <c r="S26" i="14"/>
  <c r="R26" i="14"/>
  <c r="S25" i="14"/>
  <c r="N24" i="13"/>
  <c r="N22" i="13"/>
  <c r="O22" i="13"/>
  <c r="Q21" i="15"/>
  <c r="P21" i="15"/>
  <c r="O18" i="13"/>
  <c r="N18" i="13"/>
  <c r="P18" i="15"/>
  <c r="S17" i="14"/>
  <c r="R17" i="14"/>
  <c r="P15" i="15"/>
  <c r="Q15" i="15"/>
  <c r="O15" i="13"/>
  <c r="N15" i="13"/>
  <c r="R10" i="14"/>
  <c r="S10" i="14"/>
  <c r="P29" i="13"/>
  <c r="Q29" i="13"/>
  <c r="S28" i="15"/>
  <c r="R28" i="15"/>
  <c r="Q28" i="13"/>
  <c r="P28" i="13"/>
  <c r="Q26" i="13"/>
  <c r="P26" i="13"/>
  <c r="N26" i="14"/>
  <c r="O26" i="14"/>
  <c r="S24" i="15"/>
  <c r="R24" i="15"/>
  <c r="S20" i="15"/>
  <c r="R20" i="15"/>
  <c r="Q12" i="13"/>
  <c r="P12" i="13"/>
  <c r="Q11" i="13"/>
  <c r="P11" i="13"/>
  <c r="U26" i="18" l="1"/>
  <c r="H29" i="14"/>
  <c r="O29" i="14" s="1"/>
  <c r="K27" i="13"/>
  <c r="Q27" i="13" s="1"/>
  <c r="N25" i="16"/>
  <c r="AQ20" i="14"/>
  <c r="O20" i="14"/>
  <c r="S18" i="15"/>
  <c r="O18" i="12"/>
  <c r="R18" i="15"/>
  <c r="AU18" i="15"/>
  <c r="H17" i="16"/>
  <c r="N17" i="14"/>
  <c r="AR17" i="14"/>
  <c r="L17" i="15"/>
  <c r="S17" i="15" s="1"/>
  <c r="O17" i="14"/>
  <c r="BH17" i="15"/>
  <c r="I16" i="14"/>
  <c r="O16" i="14" s="1"/>
  <c r="J16" i="13"/>
  <c r="O15" i="14"/>
  <c r="AT15" i="13"/>
  <c r="Q15" i="13"/>
  <c r="U15" i="13" s="1"/>
  <c r="AR15" i="14"/>
  <c r="BH15" i="13"/>
  <c r="M15" i="15"/>
  <c r="N14" i="12"/>
  <c r="T14" i="12" s="1"/>
  <c r="AU11" i="15"/>
  <c r="H11" i="14"/>
  <c r="O11" i="14" s="1"/>
  <c r="R11" i="15"/>
  <c r="AS11" i="13"/>
  <c r="N10" i="12"/>
  <c r="O10" i="12"/>
  <c r="U10" i="12" s="1"/>
  <c r="BY10" i="13"/>
  <c r="P28" i="15"/>
  <c r="K27" i="15"/>
  <c r="Q27" i="15" s="1"/>
  <c r="AV23" i="14"/>
  <c r="M23" i="14"/>
  <c r="K23" i="16"/>
  <c r="R22" i="14"/>
  <c r="AF25" i="21"/>
  <c r="Q22" i="12"/>
  <c r="Q22" i="15"/>
  <c r="AV21" i="14"/>
  <c r="R21" i="14"/>
  <c r="K21" i="16"/>
  <c r="L20" i="14"/>
  <c r="S20" i="14" s="1"/>
  <c r="K19" i="16"/>
  <c r="AS18" i="15"/>
  <c r="P17" i="12"/>
  <c r="AR17" i="13"/>
  <c r="BH17" i="13"/>
  <c r="K17" i="16"/>
  <c r="AV15" i="14"/>
  <c r="AF17" i="21"/>
  <c r="U14" i="18"/>
  <c r="J13" i="16"/>
  <c r="AT11" i="15"/>
  <c r="BX10" i="13"/>
  <c r="I10" i="13"/>
  <c r="I9" i="13"/>
  <c r="BH9" i="13"/>
  <c r="P28" i="12"/>
  <c r="K26" i="16"/>
  <c r="O26" i="16" s="1"/>
  <c r="U25" i="18"/>
  <c r="U21" i="18"/>
  <c r="AQ11" i="13"/>
  <c r="L27" i="14"/>
  <c r="S27" i="14" s="1"/>
  <c r="K25" i="16"/>
  <c r="O25" i="16" s="1"/>
  <c r="AR21" i="13"/>
  <c r="H27" i="14"/>
  <c r="N27" i="14" s="1"/>
  <c r="S29" i="14"/>
  <c r="M16" i="14"/>
  <c r="S16" i="14" s="1"/>
  <c r="U27" i="18"/>
  <c r="BH29" i="15"/>
  <c r="Q26" i="12"/>
  <c r="AU14" i="15"/>
  <c r="P13" i="12"/>
  <c r="T13" i="12" s="1"/>
  <c r="Q10" i="12"/>
  <c r="AT18" i="14"/>
  <c r="BH14" i="15"/>
  <c r="AV22" i="14"/>
  <c r="AT26" i="14"/>
  <c r="BH24" i="13"/>
  <c r="P18" i="12"/>
  <c r="L29" i="15"/>
  <c r="S29" i="15" s="1"/>
  <c r="P27" i="12"/>
  <c r="AV9" i="14"/>
  <c r="S14" i="15"/>
  <c r="AV18" i="15"/>
  <c r="AS27" i="15"/>
  <c r="I23" i="16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L26" i="15"/>
  <c r="S26" i="15" s="1"/>
  <c r="K25" i="13"/>
  <c r="I24" i="14"/>
  <c r="O24" i="14" s="1"/>
  <c r="N24" i="12"/>
  <c r="BX23" i="14"/>
  <c r="I23" i="14"/>
  <c r="H23" i="16"/>
  <c r="AA23" i="16" s="1"/>
  <c r="AE23" i="16" s="1"/>
  <c r="M21" i="15"/>
  <c r="Q20" i="13"/>
  <c r="O19" i="12"/>
  <c r="AT18" i="13"/>
  <c r="P18" i="13"/>
  <c r="AR18" i="14"/>
  <c r="O18" i="14"/>
  <c r="BH18" i="13"/>
  <c r="K16" i="13"/>
  <c r="P16" i="13" s="1"/>
  <c r="H14" i="14"/>
  <c r="BH13" i="13"/>
  <c r="AT13" i="13"/>
  <c r="P13" i="13"/>
  <c r="H12" i="14"/>
  <c r="O12" i="14" s="1"/>
  <c r="H10" i="16"/>
  <c r="AA10" i="16" s="1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8"/>
  <c r="Q27" i="12"/>
  <c r="P27" i="15"/>
  <c r="K27" i="16"/>
  <c r="AR25" i="13"/>
  <c r="BX25" i="13"/>
  <c r="BH25" i="13"/>
  <c r="H25" i="13"/>
  <c r="N25" i="13" s="1"/>
  <c r="AQ25" i="13"/>
  <c r="P22" i="12"/>
  <c r="T22" i="12" s="1"/>
  <c r="AF24" i="21"/>
  <c r="J20" i="16"/>
  <c r="J19" i="16"/>
  <c r="L19" i="14"/>
  <c r="S19" i="14" s="1"/>
  <c r="H17" i="13"/>
  <c r="N17" i="13" s="1"/>
  <c r="P16" i="12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N10" i="13" s="1"/>
  <c r="J9" i="16"/>
  <c r="AA9" i="16" s="1"/>
  <c r="AE9" i="16" s="1"/>
  <c r="Y37" i="12"/>
  <c r="AC37" i="12" s="1"/>
  <c r="R9" i="14"/>
  <c r="O22" i="14"/>
  <c r="S26" i="12"/>
  <c r="I16" i="16"/>
  <c r="N16" i="16" s="1"/>
  <c r="BH12" i="13"/>
  <c r="Q14" i="12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T25" i="12" s="1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U18" i="12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T30" i="12"/>
  <c r="O22" i="16"/>
  <c r="T17" i="12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T18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O30" i="14"/>
  <c r="AR10" i="15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P17" i="15"/>
  <c r="S30" i="14"/>
  <c r="S23" i="14"/>
  <c r="U27" i="12"/>
  <c r="T27" i="12"/>
  <c r="R15" i="14"/>
  <c r="R14" i="13"/>
  <c r="N28" i="14"/>
  <c r="N11" i="14"/>
  <c r="P17" i="13"/>
  <c r="R22" i="13"/>
  <c r="P27" i="13"/>
  <c r="Q13" i="13"/>
  <c r="K15" i="14"/>
  <c r="R15" i="15"/>
  <c r="AA25" i="16"/>
  <c r="AE25" i="16" s="1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N13" i="13"/>
  <c r="P25" i="13"/>
  <c r="AA16" i="16"/>
  <c r="AE16" i="16" s="1"/>
  <c r="N24" i="14"/>
  <c r="O13" i="16"/>
  <c r="U17" i="12"/>
  <c r="O10" i="13"/>
  <c r="S16" i="15"/>
  <c r="T24" i="12"/>
  <c r="R16" i="12"/>
  <c r="R24" i="13"/>
  <c r="U12" i="12"/>
  <c r="AA26" i="16"/>
  <c r="AE26" i="16" s="1"/>
  <c r="O12" i="16"/>
  <c r="BH12" i="15"/>
  <c r="R20" i="14"/>
  <c r="O10" i="16"/>
  <c r="BZ25" i="14"/>
  <c r="N29" i="16"/>
  <c r="N18" i="14"/>
  <c r="N21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N24" i="16"/>
  <c r="T28" i="12"/>
  <c r="M21" i="16"/>
  <c r="Q10" i="13"/>
  <c r="AA13" i="16"/>
  <c r="AE13" i="16" s="1"/>
  <c r="H19" i="15"/>
  <c r="N19" i="15" s="1"/>
  <c r="BH19" i="15"/>
  <c r="O28" i="16"/>
  <c r="O30" i="16"/>
  <c r="S12" i="15"/>
  <c r="O19" i="14"/>
  <c r="U25" i="12"/>
  <c r="R12" i="15"/>
  <c r="BH21" i="15"/>
  <c r="T19" i="12"/>
  <c r="N20" i="16"/>
  <c r="U29" i="12"/>
  <c r="T11" i="12"/>
  <c r="Q25" i="13"/>
  <c r="Q9" i="15"/>
  <c r="U19" i="12"/>
  <c r="AA18" i="16"/>
  <c r="AE18" i="16" s="1"/>
  <c r="U16" i="12"/>
  <c r="M17" i="16"/>
  <c r="AC17" i="16" s="1"/>
  <c r="R30" i="12"/>
  <c r="T16" i="12"/>
  <c r="J12" i="14"/>
  <c r="P12" i="14" s="1"/>
  <c r="R10" i="12"/>
  <c r="R13" i="14"/>
  <c r="BH12" i="14"/>
  <c r="S11" i="15"/>
  <c r="N14" i="13"/>
  <c r="U14" i="13" s="1"/>
  <c r="N13" i="14"/>
  <c r="N18" i="16"/>
  <c r="S12" i="14"/>
  <c r="AA22" i="16"/>
  <c r="AE22" i="16" s="1"/>
  <c r="AQ12" i="15"/>
  <c r="T15" i="12"/>
  <c r="N11" i="16"/>
  <c r="O21" i="16"/>
  <c r="N9" i="13"/>
  <c r="Q17" i="13"/>
  <c r="N20" i="14"/>
  <c r="N11" i="13"/>
  <c r="U11" i="13" s="1"/>
  <c r="Q13" i="15"/>
  <c r="O12" i="15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O16" i="16"/>
  <c r="AA12" i="16"/>
  <c r="AE12" i="16" s="1"/>
  <c r="AA30" i="16"/>
  <c r="AE30" i="16" s="1"/>
  <c r="M10" i="16"/>
  <c r="N15" i="14"/>
  <c r="U30" i="12"/>
  <c r="Q20" i="15"/>
  <c r="O15" i="16"/>
  <c r="R10" i="15"/>
  <c r="N12" i="16"/>
  <c r="R21" i="15"/>
  <c r="N30" i="16"/>
  <c r="N27" i="13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N28" i="16"/>
  <c r="AA20" i="16"/>
  <c r="AE20" i="16" s="1"/>
  <c r="L13" i="16"/>
  <c r="U23" i="12"/>
  <c r="BH16" i="14"/>
  <c r="P19" i="15"/>
  <c r="R23" i="12"/>
  <c r="O19" i="16"/>
  <c r="U26" i="12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O11" i="16"/>
  <c r="AA15" i="16"/>
  <c r="AE15" i="16" s="1"/>
  <c r="O23" i="16"/>
  <c r="AA17" i="16"/>
  <c r="BY10" i="14"/>
  <c r="K25" i="14"/>
  <c r="H17" i="15"/>
  <c r="O17" i="15" s="1"/>
  <c r="S17" i="12"/>
  <c r="AQ17" i="15"/>
  <c r="T29" i="12"/>
  <c r="N23" i="16"/>
  <c r="O24" i="16"/>
  <c r="O14" i="16"/>
  <c r="N23" i="14"/>
  <c r="AB11" i="16"/>
  <c r="U15" i="12"/>
  <c r="T23" i="12"/>
  <c r="BH25" i="14"/>
  <c r="O17" i="16"/>
  <c r="U24" i="13"/>
  <c r="AA24" i="16"/>
  <c r="AE24" i="16" s="1"/>
  <c r="O23" i="14"/>
  <c r="Q19" i="13"/>
  <c r="U19" i="13" s="1"/>
  <c r="P9" i="15"/>
  <c r="S22" i="12"/>
  <c r="AC26" i="16"/>
  <c r="N9" i="14"/>
  <c r="P11" i="14"/>
  <c r="AA14" i="16"/>
  <c r="AE14" i="16" s="1"/>
  <c r="Q29" i="14"/>
  <c r="S27" i="12"/>
  <c r="AA19" i="16"/>
  <c r="AE19" i="16" s="1"/>
  <c r="AB26" i="16"/>
  <c r="Q23" i="15"/>
  <c r="BX25" i="15"/>
  <c r="M25" i="16"/>
  <c r="R23" i="14"/>
  <c r="S30" i="13"/>
  <c r="R16" i="14"/>
  <c r="M30" i="16"/>
  <c r="AR25" i="15"/>
  <c r="S22" i="13"/>
  <c r="R21" i="13"/>
  <c r="S21" i="13"/>
  <c r="R20" i="12"/>
  <c r="S12" i="13"/>
  <c r="R12" i="13"/>
  <c r="O23" i="13"/>
  <c r="N19" i="16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T30" i="14" s="1"/>
  <c r="U20" i="12"/>
  <c r="R27" i="13"/>
  <c r="M28" i="16"/>
  <c r="L28" i="16"/>
  <c r="BH22" i="14"/>
  <c r="K22" i="14"/>
  <c r="P22" i="14" s="1"/>
  <c r="T22" i="14" s="1"/>
  <c r="AT22" i="14"/>
  <c r="AT28" i="14"/>
  <c r="K28" i="14"/>
  <c r="Q28" i="14" s="1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N14" i="15"/>
  <c r="H9" i="15"/>
  <c r="N9" i="15" s="1"/>
  <c r="AQ9" i="15"/>
  <c r="BH9" i="15"/>
  <c r="P17" i="14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8" i="13"/>
  <c r="T15" i="13"/>
  <c r="R29" i="15" l="1"/>
  <c r="R26" i="15"/>
  <c r="P25" i="16"/>
  <c r="T17" i="14"/>
  <c r="U17" i="14"/>
  <c r="R17" i="15"/>
  <c r="N16" i="14"/>
  <c r="Q16" i="13"/>
  <c r="U14" i="12"/>
  <c r="N12" i="14"/>
  <c r="T10" i="12"/>
  <c r="N10" i="16"/>
  <c r="AA27" i="16"/>
  <c r="AE27" i="16" s="1"/>
  <c r="R27" i="14"/>
  <c r="O25" i="13"/>
  <c r="R19" i="14"/>
  <c r="N16" i="13"/>
  <c r="T16" i="13" s="1"/>
  <c r="Q21" i="13"/>
  <c r="O27" i="14"/>
  <c r="P10" i="14"/>
  <c r="N14" i="14"/>
  <c r="O14" i="14"/>
  <c r="AB33" i="18"/>
  <c r="AB32" i="18"/>
  <c r="AC33" i="18"/>
  <c r="AC32" i="18"/>
  <c r="N29" i="13"/>
  <c r="N27" i="16"/>
  <c r="Q27" i="16" s="1"/>
  <c r="R27" i="16" s="1"/>
  <c r="AA26" i="18"/>
  <c r="AA23" i="18"/>
  <c r="Z23" i="18"/>
  <c r="AB25" i="21"/>
  <c r="R18" i="14"/>
  <c r="N12" i="13"/>
  <c r="U12" i="13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Y26" i="21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U29" i="13"/>
  <c r="T25" i="13"/>
  <c r="T12" i="13"/>
  <c r="V12" i="13" s="1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P26" i="16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AG26" i="16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Q25" i="16"/>
  <c r="R2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U21" i="13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T27" i="13"/>
  <c r="U14" i="15"/>
  <c r="P16" i="16"/>
  <c r="W23" i="12"/>
  <c r="BK23" i="12" s="1"/>
  <c r="AG14" i="16"/>
  <c r="AC25" i="16"/>
  <c r="AG25" i="16" s="1"/>
  <c r="N25" i="15"/>
  <c r="T25" i="15" s="1"/>
  <c r="AB10" i="16"/>
  <c r="W21" i="12"/>
  <c r="Y21" i="12" s="1"/>
  <c r="AC21" i="12" s="1"/>
  <c r="Q26" i="16"/>
  <c r="S26" i="16" s="1"/>
  <c r="W26" i="16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U13" i="15" s="1"/>
  <c r="T29" i="15"/>
  <c r="U26" i="15"/>
  <c r="T14" i="15"/>
  <c r="U11" i="15"/>
  <c r="T10" i="15"/>
  <c r="U10" i="15"/>
  <c r="W19" i="13"/>
  <c r="BI19" i="13" s="1"/>
  <c r="V18" i="13"/>
  <c r="Q30" i="14"/>
  <c r="U30" i="14" s="1"/>
  <c r="W30" i="14" s="1"/>
  <c r="Y30" i="14" s="1"/>
  <c r="AC30" i="14" s="1"/>
  <c r="AC18" i="16"/>
  <c r="AG18" i="16" s="1"/>
  <c r="Q18" i="14"/>
  <c r="U18" i="14" s="1"/>
  <c r="Q22" i="14"/>
  <c r="U22" i="14" s="1"/>
  <c r="Q9" i="14"/>
  <c r="U9" i="14" s="1"/>
  <c r="N22" i="15"/>
  <c r="Q27" i="14"/>
  <c r="U27" i="14" s="1"/>
  <c r="P27" i="14"/>
  <c r="T27" i="14" s="1"/>
  <c r="AB28" i="16"/>
  <c r="AC28" i="16"/>
  <c r="AG28" i="16" s="1"/>
  <c r="T11" i="15"/>
  <c r="O28" i="15"/>
  <c r="N28" i="15"/>
  <c r="AC27" i="16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BD20" i="12"/>
  <c r="W18" i="13"/>
  <c r="V17" i="14"/>
  <c r="W17" i="14"/>
  <c r="Y17" i="14" s="1"/>
  <c r="AC17" i="14" s="1"/>
  <c r="W15" i="13"/>
  <c r="AG27" i="16" l="1"/>
  <c r="X20" i="12"/>
  <c r="AG21" i="16"/>
  <c r="AA34" i="16"/>
  <c r="AC26" i="18"/>
  <c r="BJ26" i="18" s="1"/>
  <c r="U14" i="14"/>
  <c r="T14" i="14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L35" i="20"/>
  <c r="AC27" i="21"/>
  <c r="Y27" i="21" s="1"/>
  <c r="AC27" i="18"/>
  <c r="BJ27" i="18" s="1"/>
  <c r="AB9" i="18"/>
  <c r="AC15" i="18"/>
  <c r="BJ15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Z20" i="12"/>
  <c r="BM20" i="12" s="1"/>
  <c r="AB20" i="12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W27" i="14"/>
  <c r="Y27" i="14" s="1"/>
  <c r="AC27" i="14" s="1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BK25" i="13"/>
  <c r="BI25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X25" i="13" l="1"/>
  <c r="AB25" i="13" s="1"/>
  <c r="BD25" i="13"/>
  <c r="X14" i="14"/>
  <c r="AB14" i="14" s="1"/>
  <c r="AE26" i="18"/>
  <c r="AG26" i="18" s="1"/>
  <c r="BO26" i="18"/>
  <c r="BP26" i="18"/>
  <c r="BQ26" i="18"/>
  <c r="AD23" i="18"/>
  <c r="AF23" i="18" s="1"/>
  <c r="AH23" i="18" s="1"/>
  <c r="BQ23" i="18"/>
  <c r="BP23" i="18"/>
  <c r="AD26" i="18"/>
  <c r="AF26" i="18" s="1"/>
  <c r="AH26" i="18" s="1"/>
  <c r="X29" i="14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X28" i="13" s="1"/>
  <c r="Z28" i="13" s="1"/>
  <c r="BL28" i="13" s="1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K27" i="13" s="1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5" i="13"/>
  <c r="BM25" i="13" s="1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AG30" i="18" l="1"/>
  <c r="AI30" i="18" s="1"/>
  <c r="Z29" i="14"/>
  <c r="AA29" i="14" s="1"/>
  <c r="BO29" i="14" s="1"/>
  <c r="CJ23" i="18"/>
  <c r="CL23" i="18"/>
  <c r="BR23" i="18"/>
  <c r="CM23" i="18"/>
  <c r="BT23" i="18"/>
  <c r="BS23" i="18"/>
  <c r="CK23" i="18"/>
  <c r="BR26" i="18"/>
  <c r="BS26" i="18"/>
  <c r="CM26" i="18"/>
  <c r="CL26" i="18"/>
  <c r="CK26" i="18"/>
  <c r="CJ26" i="18"/>
  <c r="BT26" i="18"/>
  <c r="BM13" i="12"/>
  <c r="BN13" i="12" s="1"/>
  <c r="BM28" i="13"/>
  <c r="BN28" i="13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BW16" i="18"/>
  <c r="AI18" i="18"/>
  <c r="AM18" i="18" s="1"/>
  <c r="BU18" i="18"/>
  <c r="CO18" i="18"/>
  <c r="CP14" i="18"/>
  <c r="CN29" i="18"/>
  <c r="CM21" i="18"/>
  <c r="BV16" i="18"/>
  <c r="CP29" i="18"/>
  <c r="CL21" i="18"/>
  <c r="CN16" i="18"/>
  <c r="CP16" i="18"/>
  <c r="CQ29" i="18"/>
  <c r="BS21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AM23" i="18" s="1"/>
  <c r="CO26" i="18"/>
  <c r="AI26" i="18"/>
  <c r="AM26" i="18" s="1"/>
  <c r="CK16" i="18"/>
  <c r="AH16" i="18"/>
  <c r="AM16" i="18" s="1"/>
  <c r="BW13" i="18"/>
  <c r="AI13" i="18"/>
  <c r="CQ21" i="18"/>
  <c r="AI21" i="18"/>
  <c r="AM21" i="18" s="1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17" i="18"/>
  <c r="AM14" i="18"/>
  <c r="AM29" i="18"/>
  <c r="AM28" i="18"/>
  <c r="AM12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BK19" i="15" s="1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BL29" i="14"/>
  <c r="AG27" i="12"/>
  <c r="Z16" i="14"/>
  <c r="BN16" i="14" s="1"/>
  <c r="BQ29" i="14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AG29" i="14"/>
  <c r="AH29" i="14" s="1"/>
  <c r="AI29" i="14" s="1"/>
  <c r="BP29" i="14"/>
  <c r="BM14" i="14"/>
  <c r="BM29" i="14"/>
  <c r="BM29" i="12"/>
  <c r="BN14" i="14"/>
  <c r="AM29" i="14"/>
  <c r="BN29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D31" i="14"/>
  <c r="AN20" i="14" s="1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N30" i="14" s="1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AM19" i="18" l="1"/>
  <c r="BD19" i="18" s="1"/>
  <c r="AM30" i="18"/>
  <c r="O41" i="19" s="1"/>
  <c r="BU30" i="18"/>
  <c r="CQ30" i="18"/>
  <c r="CP30" i="18"/>
  <c r="BV30" i="18"/>
  <c r="CN30" i="18"/>
  <c r="CO30" i="18"/>
  <c r="Z25" i="15"/>
  <c r="BM25" i="15" s="1"/>
  <c r="BN21" i="14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O20" i="19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24" i="18"/>
  <c r="CR19" i="18"/>
  <c r="BU22" i="18"/>
  <c r="BW25" i="18"/>
  <c r="AI25" i="18"/>
  <c r="BV20" i="18"/>
  <c r="AI20" i="18"/>
  <c r="BU15" i="18"/>
  <c r="AI15" i="18"/>
  <c r="AM15" i="18" s="1"/>
  <c r="BU25" i="18"/>
  <c r="BD21" i="18"/>
  <c r="O32" i="19"/>
  <c r="BD14" i="18"/>
  <c r="O25" i="19"/>
  <c r="AC28" i="13"/>
  <c r="AA28" i="13"/>
  <c r="BD12" i="18"/>
  <c r="O23" i="19"/>
  <c r="BD17" i="18"/>
  <c r="O28" i="19"/>
  <c r="BD26" i="18"/>
  <c r="O37" i="19"/>
  <c r="CQ15" i="18"/>
  <c r="BD23" i="18"/>
  <c r="O34" i="19"/>
  <c r="CR18" i="18"/>
  <c r="CN15" i="18"/>
  <c r="BD16" i="18"/>
  <c r="O27" i="19"/>
  <c r="BD28" i="18"/>
  <c r="O39" i="19"/>
  <c r="BD29" i="18"/>
  <c r="O40" i="19"/>
  <c r="CR26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X29" i="14"/>
  <c r="BC29" i="14" s="1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BQ27" i="15" s="1"/>
  <c r="AB22" i="15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Q19" i="14" s="1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O30" i="19" l="1"/>
  <c r="BW30" i="18"/>
  <c r="BD30" i="18"/>
  <c r="CR30" i="18"/>
  <c r="BQ21" i="13"/>
  <c r="AK21" i="14"/>
  <c r="BP21" i="13"/>
  <c r="AX21" i="14"/>
  <c r="BC21" i="14" s="1"/>
  <c r="BO21" i="13"/>
  <c r="BD9" i="18"/>
  <c r="CR9" i="18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K21" i="13" l="1"/>
  <c r="AX21" i="13"/>
  <c r="BC21" i="13" s="1"/>
  <c r="AH14" i="14"/>
  <c r="AI14" i="14" s="1"/>
  <c r="AK31" i="14" s="1"/>
  <c r="AK14" i="14"/>
  <c r="AX14" i="14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C14" i="14" l="1"/>
  <c r="AK31" i="13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BI29" i="18" l="1"/>
  <c r="AO29" i="18"/>
  <c r="Q40" i="19" s="1"/>
  <c r="P35" i="19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H46" i="18" s="1"/>
  <c r="J45" i="19" s="1"/>
  <c r="AQ43" i="18"/>
  <c r="H45" i="18" s="1"/>
  <c r="M44" i="19" s="1"/>
  <c r="AG46" i="12"/>
  <c r="M43" i="17"/>
  <c r="CD44" i="12"/>
  <c r="M43" i="19" l="1"/>
  <c r="J45" i="17"/>
  <c r="D4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<sst xmlns="http://schemas.openxmlformats.org/spreadsheetml/2006/main" count="1088" uniqueCount="386">
  <si>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</si>
  <si>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</si>
  <si>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</si>
  <si>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</si>
  <si>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</si>
  <si>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</si>
  <si>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</si>
  <si>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</si>
  <si>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</si>
  <si>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</si>
  <si>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</si>
  <si>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</si>
  <si>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</si>
  <si>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</si>
  <si>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</si>
  <si>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</si>
  <si>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</si>
  <si>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</si>
  <si>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</si>
  <si>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</si>
  <si>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</si>
  <si>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</si>
  <si>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</si>
  <si>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</si>
  <si>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</si>
  <si>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</si>
  <si>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</si>
  <si>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</si>
  <si>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</si>
  <si>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</si>
  <si>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</si>
  <si>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</si>
  <si>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</si>
  <si>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</si>
  <si>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</si>
  <si>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</si>
  <si>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</si>
  <si>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</si>
  <si>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</si>
  <si>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</si>
  <si>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</si>
  <si>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</si>
  <si>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</si>
  <si>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</si>
  <si>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</si>
  <si>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</si>
  <si>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</si>
  <si>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</si>
  <si>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</si>
  <si>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</si>
  <si>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</si>
  <si>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</si>
  <si>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</si>
  <si>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</si>
  <si>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</si>
  <si>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</si>
  <si>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</si>
  <si>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</si>
  <si>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</si>
  <si>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</si>
  <si>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</si>
  <si>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</si>
  <si>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</si>
  <si>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</si>
  <si>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</si>
  <si>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</si>
  <si>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</si>
  <si>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</si>
  <si>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</si>
  <si>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</si>
  <si>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</si>
  <si>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</si>
  <si>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</si>
  <si>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</si>
  <si>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</si>
  <si>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</si>
  <si>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</si>
  <si>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</si>
  <si>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</si>
  <si>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</si>
  <si>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</si>
  <si>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</si>
  <si>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</si>
  <si>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</si>
  <si>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</si>
  <si>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</si>
  <si>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</si>
  <si>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</si>
  <si>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</si>
  <si>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</si>
  <si>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</si>
  <si>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</si>
  <si>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</si>
  <si>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</si>
  <si>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</si>
  <si>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</si>
  <si>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</si>
  <si>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</si>
  <si>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</si>
  <si>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</si>
  <si>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</si>
  <si>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</si>
  <si>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</si>
  <si>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</si>
  <si>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</si>
  <si>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</si>
  <si>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</si>
  <si>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</si>
  <si>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</si>
  <si>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</si>
  <si>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</si>
  <si>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</si>
  <si>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</si>
  <si>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</si>
  <si>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</si>
  <si>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</si>
  <si>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</si>
  <si>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</si>
  <si>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</si>
  <si>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</si>
  <si>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</si>
  <si>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</si>
  <si>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</si>
  <si>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</si>
  <si>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</si>
  <si>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</si>
  <si>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</si>
  <si>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</si>
  <si>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</si>
  <si>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</si>
  <si>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</si>
  <si>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</si>
  <si>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</si>
  <si>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</si>
  <si>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</si>
  <si>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</si>
  <si>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</si>
  <si>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</si>
  <si>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</si>
  <si>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</si>
  <si>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</si>
  <si>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</si>
  <si>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</si>
  <si>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</si>
  <si>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</si>
  <si>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</si>
  <si>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</si>
  <si>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</si>
  <si>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</si>
  <si>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</si>
  <si>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</si>
  <si>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</si>
  <si>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</si>
  <si>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</si>
  <si>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</si>
  <si>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</si>
  <si>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</si>
  <si>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</si>
  <si>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</si>
  <si>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</si>
  <si>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</si>
  <si>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</si>
  <si>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</si>
  <si>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</si>
  <si>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</si>
  <si>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</si>
  <si>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</si>
  <si>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</si>
  <si>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</si>
  <si>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</si>
  <si>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</si>
  <si>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</si>
  <si>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</si>
  <si>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</si>
  <si>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</si>
  <si>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</si>
  <si>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</si>
  <si>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</si>
  <si>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</si>
  <si>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</si>
  <si>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</si>
  <si>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</si>
  <si>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</si>
  <si>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</si>
  <si>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</si>
  <si>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</si>
  <si>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</si>
  <si>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</si>
  <si>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</si>
  <si>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</si>
  <si>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</si>
  <si>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</si>
  <si>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</si>
  <si>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</si>
  <si>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</si>
  <si>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</si>
  <si>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</si>
  <si>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</si>
  <si>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</si>
  <si>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</si>
  <si>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</si>
  <si>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</si>
  <si>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</si>
  <si>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</si>
  <si>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</si>
  <si>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</si>
  <si>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</si>
  <si>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</si>
  <si>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</si>
  <si>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</si>
  <si>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</si>
  <si>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</si>
  <si>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</si>
  <si>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</si>
  <si>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</si>
  <si>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</si>
  <si>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</si>
  <si>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</si>
  <si>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</si>
  <si>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</si>
  <si>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</si>
  <si>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</si>
  <si>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</si>
  <si>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</si>
  <si>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</si>
  <si>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</si>
  <si>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</si>
  <si>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</si>
  <si>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</si>
  <si>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</si>
  <si>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</si>
  <si>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</si>
  <si>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</si>
  <si>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</si>
  <si>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</si>
  <si>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</si>
  <si>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</si>
  <si>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</si>
  <si>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</si>
  <si>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</si>
  <si>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</si>
  <si>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</si>
  <si>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</si>
  <si>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</si>
  <si>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</si>
  <si>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</si>
  <si>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</si>
  <si>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</si>
  <si>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</si>
  <si>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</si>
  <si>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</si>
  <si>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</si>
  <si>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</si>
  <si>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</si>
  <si>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</si>
  <si>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</si>
  <si>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</si>
  <si>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</si>
  <si>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</si>
  <si>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</si>
  <si>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</si>
  <si>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</si>
  <si>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</si>
  <si>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</si>
  <si>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</si>
  <si>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</si>
  <si>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</si>
  <si>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</si>
  <si>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</si>
  <si>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</si>
  <si>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</si>
  <si>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</si>
  <si>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</si>
  <si>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</si>
  <si>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</si>
  <si>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</si>
  <si>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</si>
  <si>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</si>
  <si>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</si>
  <si>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</si>
  <si>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</si>
  <si>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</si>
  <si>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</si>
  <si>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</si>
  <si>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</si>
  <si>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</si>
  <si>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</si>
  <si>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</si>
  <si>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</si>
  <si>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</si>
  <si>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</si>
  <si>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</si>
  <si>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</si>
  <si>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</si>
  <si>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</si>
  <si>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</si>
  <si>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</si>
  <si>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</si>
  <si>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</si>
  <si>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</si>
  <si>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</si>
  <si>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</si>
  <si>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</si>
  <si>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</si>
  <si>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</si>
  <si>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</si>
  <si>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</si>
  <si>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</si>
  <si>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</si>
  <si>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</si>
  <si>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</si>
  <si>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</si>
  <si>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</si>
  <si>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</si>
  <si>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</si>
  <si>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</si>
  <si>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</si>
  <si>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</si>
  <si>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</si>
  <si>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</si>
  <si>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</si>
  <si>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</si>
  <si>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</si>
  <si>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</si>
  <si>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</si>
  <si>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</si>
  <si>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</si>
  <si>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</si>
  <si>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</si>
  <si>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</si>
  <si>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</si>
  <si>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</si>
  <si>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</si>
  <si>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</si>
  <si>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</si>
  <si>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</si>
  <si>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</si>
  <si>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</si>
  <si>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</si>
  <si>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</si>
  <si>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</si>
  <si>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</si>
  <si>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</si>
  <si>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</si>
  <si>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</si>
  <si>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</si>
  <si>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</si>
  <si>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</si>
  <si>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</si>
  <si>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</si>
  <si>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</si>
  <si>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</si>
  <si>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</si>
  <si>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</si>
  <si>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</si>
  <si>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</si>
  <si>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</si>
  <si>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</si>
  <si>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</si>
  <si>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</si>
  <si>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</si>
  <si>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</si>
  <si>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</si>
  <si>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</si>
  <si>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</si>
  <si>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</si>
  <si>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</si>
  <si>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IPC - Rua da paz, 185 - Campo Grande, MS - 02 de setembro de 2025</t>
  </si>
  <si>
    <t>EXAME DE DNA      L0862.25.20.JD.297</t>
  </si>
  <si>
    <t>JUDICIAL - PORTO VELHO / RO</t>
  </si>
  <si>
    <t>VLADIR LIMA DE CARVALHO</t>
  </si>
  <si>
    <t xml:space="preserve">Compareceram perante o COLETADOR autorizado </t>
  </si>
  <si>
    <t>18/08/2025 às 13h00min</t>
  </si>
  <si>
    <t>27/08/2025 às 13h26min</t>
  </si>
  <si>
    <t>2025.2FPVRO66849</t>
  </si>
  <si>
    <t>7024717-91.2025.8.22.0001</t>
  </si>
  <si>
    <t xml:space="preserve">POSITIVO, com 99,999993772% de probabilidade de </t>
  </si>
  <si>
    <t xml:space="preserve"> integrando o presente Exame nº 0862.25.20.JD.297</t>
  </si>
  <si>
    <t>Investigante:</t>
  </si>
  <si>
    <t>JEIZA MAITE ROQUE</t>
  </si>
  <si>
    <t>Suposto Avô:</t>
  </si>
  <si>
    <t>VICENTE PEREIRA DE SOUZA</t>
  </si>
  <si>
    <t>Suposta Avó:</t>
  </si>
  <si>
    <t>TANIA MARIA DE BARROS ALVES</t>
  </si>
  <si>
    <t>Mãe:</t>
  </si>
  <si>
    <t>VICTORIA LETICIA ROQUE PACHECO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</si>
</sst>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9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19" fillId="0" borderId="0" xfId="0" applyFont="1" applyAlignment="1">
      <alignment horizontal="left"/>
    </xf>
    <xf numFmtId="0" fontId="28" fillId="0" borderId="44" xfId="0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left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34" xfId="0" applyFont="1" applyBorder="1" applyAlignment="1">
      <alignment horizontal="left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9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file:///I:\LAUDOS\\0862.25.20.JD.297\Qrcode\66849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60</xdr:row>
      <xdr:rowOff>64293</xdr:rowOff>
    </xdr:from>
    <xdr:to>
      <xdr:col>14</xdr:col>
      <xdr:colOff>127393</xdr:colOff>
      <xdr:row>67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345281</xdr:colOff>
      <xdr:row>48</xdr:row>
      <xdr:rowOff>11908</xdr:rowOff>
    </xdr:from>
    <xdr:to>
      <xdr:col>8</xdr:col>
      <xdr:colOff>52055</xdr:colOff>
      <xdr:row>53</xdr:row>
      <xdr:rowOff>35552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88225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60</xdr:row>
      <xdr:rowOff>41672</xdr:rowOff>
    </xdr:from>
    <xdr:to>
      <xdr:col>17</xdr:col>
      <xdr:colOff>15478</xdr:colOff>
      <xdr:row>66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77391</xdr:colOff>
      <xdr:row>49</xdr:row>
      <xdr:rowOff>35719</xdr:rowOff>
    </xdr:from>
    <xdr:to>
      <xdr:col>8</xdr:col>
      <xdr:colOff>159211</xdr:colOff>
      <xdr:row>53</xdr:row>
      <xdr:rowOff>59363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6969" y="916781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0</xdr:colOff>
      <xdr:row>2</xdr:row>
      <xdr:rowOff>160734</xdr:rowOff>
    </xdr:from>
    <xdr:to>
      <xdr:col>16</xdr:col>
      <xdr:colOff>14288</xdr:colOff>
      <xdr:row>9</xdr:row>
      <xdr:rowOff>150018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383696C-DE23-78C6-F860-EADEDD63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38688" y="494109"/>
          <a:ext cx="1133475" cy="1114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6" t="str">
        <f>IF(OR(($S$17="ERRO"),($AA$17="ERRO"),($AY$17="ERRO"),($BG$17="ERRO")),"VERIFICAR ERRO NA AMELOGENINA","DADOS IMPORTADOS")</f>
        <v>DADOS IMPORTADOS</v>
      </c>
      <c r="C2" s="697"/>
      <c r="D2" s="697"/>
      <c r="E2" s="697"/>
      <c r="F2" s="697"/>
      <c r="G2" s="697"/>
      <c r="H2" s="697"/>
      <c r="I2" s="697"/>
      <c r="J2" s="697"/>
      <c r="K2" s="697"/>
      <c r="L2" s="330"/>
      <c r="M2" s="330"/>
      <c r="N2" s="330"/>
      <c r="O2" s="330"/>
      <c r="P2" s="330"/>
      <c r="Q2" s="330"/>
      <c r="R2" s="330"/>
      <c r="S2" s="698" t="s">
        <v>42</v>
      </c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699"/>
      <c r="BC2" s="699"/>
      <c r="BD2" s="699"/>
      <c r="BE2" s="699"/>
      <c r="BF2" s="699"/>
      <c r="BG2" s="699"/>
      <c r="BH2" s="699"/>
      <c r="BI2" s="699"/>
      <c r="BJ2" s="699"/>
      <c r="BK2" s="699"/>
      <c r="BL2" s="699"/>
      <c r="BM2" s="699"/>
      <c r="BN2" s="699"/>
      <c r="BO2" s="699"/>
      <c r="BP2" s="699"/>
      <c r="BQ2" s="699"/>
      <c r="BR2" s="699"/>
      <c r="BS2" s="699"/>
      <c r="BT2" s="699"/>
      <c r="BU2" s="699"/>
      <c r="BV2" s="699"/>
      <c r="BW2" s="699"/>
      <c r="BX2" s="699"/>
      <c r="BY2" s="699"/>
      <c r="BZ2" s="699"/>
      <c r="CA2" s="699"/>
      <c r="CB2" s="699"/>
      <c r="CC2" s="699"/>
      <c r="CD2" s="699"/>
      <c r="CE2" s="699"/>
      <c r="CF2" s="699"/>
      <c r="CG2" s="699"/>
      <c r="CH2" s="699"/>
      <c r="CI2" s="699"/>
      <c r="CJ2" s="699"/>
      <c r="CK2" s="699"/>
      <c r="CL2" s="699"/>
      <c r="CM2" s="699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RD0301</v>
      </c>
      <c r="CQ3" s="35" t="str">
        <v>RD0301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 t="s">
        <v>365</v>
      </c>
      <c r="C4" s="381" t="s">
        <v>365</v>
      </c>
      <c r="D4" s="381" t="s">
        <v>365</v>
      </c>
      <c r="E4" s="381" t="s">
        <v>365</v>
      </c>
      <c r="F4" s="381"/>
      <c r="G4" s="381"/>
      <c r="H4" s="381" t="s">
        <v>365</v>
      </c>
      <c r="I4" s="381" t="s">
        <v>366</v>
      </c>
      <c r="J4" s="381" t="s">
        <v>365</v>
      </c>
      <c r="K4" s="381" t="s">
        <v>365</v>
      </c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 t="str">
        <f>(IF(AND(($B$4=0),($C$4=0)),0,(IF(OR(($B$4&lt;&gt;"X"),($C$4&lt;&gt;"X")),"ERRO",(IF((SUM($T4:$Z4)&lt;&gt;0),(SUM($T4:$Z4)),$B4))))))</f>
        <v>X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 t="str">
        <f>(IF(AND(($B$4=0),($C$4=0)),0,(IF(OR(($B$4&lt;&gt;"X"),($C$4&lt;&gt;"X")),"ERRO",(IF((SUM($T4:$Z4)&lt;&gt;0),(SUM($T4:$Z4)),$C4))))))</f>
        <v>X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X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>
        <f>(IF(AND(($F$4=0),($G$4=0)),0,(IF(OR(($F$4&lt;&gt;"X"),($G$4&lt;&gt;"Y")),"ERRO",(IF((SUM($AR4:$AX4)&lt;&gt;0),(SUM($AR4:$AX4)),$F4))))))</f>
        <v>0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>
        <f>(IF(AND(($F$4=0),($G$4=0)),0,(IF(OR(($F$4&lt;&gt;"X"),($G$4&lt;&gt;"Y")),"ERRO",(IF((SUM($AR4:$AX4)&lt;&gt;0),(SUM($AR4:$AX4)),$G4))))))</f>
        <v>0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 t="str">
        <f t="shared" ref="BO4:BO38" si="9">(IF((SUM(BH4:BN4)&lt;&gt;0),(SUM(BH4:BN4)),$H4))</f>
        <v>X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 t="str">
        <f t="shared" ref="BW4:BW38" si="14">(IF((SUM(BP4:BV4)&lt;&gt;0),(SUM(BP4:BV4)),$I4))</f>
        <v>Y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 t="str">
        <f t="shared" ref="CE4:CE38" si="19">(IF((SUM(BX4:CD4)&lt;&gt;0),(SUM(BX4:CD4)),$J4))</f>
        <v>X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 t="str">
        <f t="shared" ref="CM4:CM38" si="24">(IF((SUM(CF4:CL4)&lt;&gt;0),(SUM(CF4:CL4)),$K4))</f>
        <v>X</v>
      </c>
      <c r="CO4" s="328" t="s">
        <v>292</v>
      </c>
      <c r="CP4" s="353" t="str">
        <v>RD0301</v>
      </c>
      <c r="CQ4" s="353" t="str">
        <v>RD0301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>
        <v>15</v>
      </c>
      <c r="C5" s="383">
        <v>16</v>
      </c>
      <c r="D5" s="383">
        <v>16</v>
      </c>
      <c r="E5" s="383">
        <v>16</v>
      </c>
      <c r="F5" s="383"/>
      <c r="G5" s="383"/>
      <c r="H5" s="383">
        <v>16</v>
      </c>
      <c r="I5" s="383">
        <v>17</v>
      </c>
      <c r="J5" s="383">
        <v>15</v>
      </c>
      <c r="K5" s="383">
        <v>15</v>
      </c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15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16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16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16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0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0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16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17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15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15</v>
      </c>
      <c r="CP5" s="353" t="str">
        <v>RD0301</v>
      </c>
      <c r="CQ5" s="353" t="str">
        <v>RD0301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>
        <v>15</v>
      </c>
      <c r="C6" s="383">
        <v>17</v>
      </c>
      <c r="D6" s="383">
        <v>16</v>
      </c>
      <c r="E6" s="383">
        <v>17</v>
      </c>
      <c r="F6" s="383"/>
      <c r="G6" s="383"/>
      <c r="H6" s="383">
        <v>15</v>
      </c>
      <c r="I6" s="383">
        <v>17</v>
      </c>
      <c r="J6" s="383">
        <v>16</v>
      </c>
      <c r="K6" s="383">
        <v>17.3</v>
      </c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15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17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16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17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0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0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15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17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16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17.3</v>
      </c>
      <c r="CP6" s="353" t="str">
        <v>RD0301</v>
      </c>
      <c r="CQ6" s="353" t="str">
        <v>RD0301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>
        <v>10</v>
      </c>
      <c r="C7" s="383">
        <v>10</v>
      </c>
      <c r="D7" s="383">
        <v>10</v>
      </c>
      <c r="E7" s="383">
        <v>12</v>
      </c>
      <c r="F7" s="383"/>
      <c r="G7" s="383"/>
      <c r="H7" s="383">
        <v>10</v>
      </c>
      <c r="I7" s="383">
        <v>14</v>
      </c>
      <c r="J7" s="383">
        <v>10</v>
      </c>
      <c r="K7" s="383">
        <v>12</v>
      </c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10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10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10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12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0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10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14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10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12</v>
      </c>
      <c r="CP7" s="353" t="str">
        <v>RD0301</v>
      </c>
      <c r="CQ7" s="353" t="str">
        <v>RD0301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>
        <v>13</v>
      </c>
      <c r="C8" s="383">
        <v>16</v>
      </c>
      <c r="D8" s="383">
        <v>13</v>
      </c>
      <c r="E8" s="383">
        <v>13</v>
      </c>
      <c r="F8" s="383"/>
      <c r="G8" s="383"/>
      <c r="H8" s="383">
        <v>13</v>
      </c>
      <c r="I8" s="383">
        <v>14</v>
      </c>
      <c r="J8" s="383">
        <v>15</v>
      </c>
      <c r="K8" s="383">
        <v>16</v>
      </c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13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16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13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13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0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0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13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14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15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16</v>
      </c>
      <c r="CN8" s="355"/>
      <c r="CP8" s="353" t="str">
        <v>RD0301</v>
      </c>
      <c r="CQ8" s="353" t="str">
        <v>RD0301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>
        <v>11</v>
      </c>
      <c r="C9" s="383">
        <v>12</v>
      </c>
      <c r="D9" s="383">
        <v>12</v>
      </c>
      <c r="E9" s="383">
        <v>12</v>
      </c>
      <c r="F9" s="383"/>
      <c r="G9" s="383"/>
      <c r="H9" s="383">
        <v>12</v>
      </c>
      <c r="I9" s="383">
        <v>12</v>
      </c>
      <c r="J9" s="383">
        <v>9</v>
      </c>
      <c r="K9" s="383">
        <v>12</v>
      </c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11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12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12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12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0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0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12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12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9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12</v>
      </c>
      <c r="CP9" s="353" t="str">
        <v>RD0301</v>
      </c>
      <c r="CQ9" s="353" t="str">
        <v>RD0301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>
        <v>12</v>
      </c>
      <c r="C10" s="383">
        <v>13</v>
      </c>
      <c r="D10" s="383">
        <v>8</v>
      </c>
      <c r="E10" s="383">
        <v>13</v>
      </c>
      <c r="F10" s="383"/>
      <c r="G10" s="383"/>
      <c r="H10" s="383">
        <v>8</v>
      </c>
      <c r="I10" s="383">
        <v>20</v>
      </c>
      <c r="J10" s="383">
        <v>14</v>
      </c>
      <c r="K10" s="383">
        <v>15</v>
      </c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12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13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8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13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0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0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8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20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14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15</v>
      </c>
      <c r="CP10" s="353" t="str">
        <v>RD0301</v>
      </c>
      <c r="CQ10" s="353" t="str">
        <v>RD0301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>
        <v>9</v>
      </c>
      <c r="C11" s="383">
        <v>11</v>
      </c>
      <c r="D11" s="383">
        <v>9</v>
      </c>
      <c r="E11" s="383">
        <v>11</v>
      </c>
      <c r="F11" s="383"/>
      <c r="G11" s="383"/>
      <c r="H11" s="383">
        <v>9</v>
      </c>
      <c r="I11" s="383">
        <v>12</v>
      </c>
      <c r="J11" s="383">
        <v>9</v>
      </c>
      <c r="K11" s="383">
        <v>9</v>
      </c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9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11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9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11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0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0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9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12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9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9</v>
      </c>
      <c r="CP11" s="353" t="str">
        <v>RD0301</v>
      </c>
      <c r="CQ11" s="353" t="str">
        <v>RD0301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>
        <v>14</v>
      </c>
      <c r="C12" s="383">
        <v>15</v>
      </c>
      <c r="D12" s="383">
        <v>14</v>
      </c>
      <c r="E12" s="383">
        <v>18</v>
      </c>
      <c r="F12" s="383"/>
      <c r="G12" s="383"/>
      <c r="H12" s="383">
        <v>15</v>
      </c>
      <c r="I12" s="383">
        <v>18</v>
      </c>
      <c r="J12" s="383">
        <v>13</v>
      </c>
      <c r="K12" s="383">
        <v>14</v>
      </c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14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15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14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18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0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0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15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18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13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14</v>
      </c>
      <c r="CP12" s="353" t="str">
        <v>RD0301</v>
      </c>
      <c r="CQ12" s="353" t="str">
        <v>RD0301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>
        <v>21</v>
      </c>
      <c r="C13" s="383">
        <v>24</v>
      </c>
      <c r="D13" s="383">
        <v>16</v>
      </c>
      <c r="E13" s="383">
        <v>24</v>
      </c>
      <c r="F13" s="383"/>
      <c r="G13" s="383"/>
      <c r="H13" s="383">
        <v>16</v>
      </c>
      <c r="I13" s="383">
        <v>19</v>
      </c>
      <c r="J13" s="383">
        <v>17</v>
      </c>
      <c r="K13" s="383">
        <v>19</v>
      </c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21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24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16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24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0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0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16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19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17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19</v>
      </c>
      <c r="CP13" s="353" t="str">
        <v>RD0301</v>
      </c>
      <c r="CQ13" s="353" t="str">
        <v>RD0301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>
        <v>12</v>
      </c>
      <c r="C14" s="383">
        <v>13</v>
      </c>
      <c r="D14" s="383">
        <v>10</v>
      </c>
      <c r="E14" s="383">
        <v>13</v>
      </c>
      <c r="F14" s="383"/>
      <c r="G14" s="383"/>
      <c r="H14" s="383">
        <v>10</v>
      </c>
      <c r="I14" s="383">
        <v>12</v>
      </c>
      <c r="J14" s="383">
        <v>10</v>
      </c>
      <c r="K14" s="383">
        <v>12</v>
      </c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12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13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10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13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0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0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10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12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10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12</v>
      </c>
      <c r="CP14" s="353" t="str">
        <v>RD0301</v>
      </c>
      <c r="CQ14" s="353" t="str">
        <v>RD0301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>
        <v>9</v>
      </c>
      <c r="C15" s="383">
        <v>12</v>
      </c>
      <c r="D15" s="383">
        <v>12</v>
      </c>
      <c r="E15" s="383">
        <v>12</v>
      </c>
      <c r="F15" s="383"/>
      <c r="G15" s="383"/>
      <c r="H15" s="383">
        <v>11</v>
      </c>
      <c r="I15" s="383">
        <v>14</v>
      </c>
      <c r="J15" s="383">
        <v>8</v>
      </c>
      <c r="K15" s="383">
        <v>12</v>
      </c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9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12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12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12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0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0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11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14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8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12</v>
      </c>
      <c r="CP15" s="353" t="str">
        <v>RD0301</v>
      </c>
      <c r="CQ15" s="353" t="str">
        <v>RD0301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>
        <v>9</v>
      </c>
      <c r="C16" s="383">
        <v>9</v>
      </c>
      <c r="D16" s="383">
        <v>9</v>
      </c>
      <c r="E16" s="383">
        <v>9</v>
      </c>
      <c r="F16" s="383"/>
      <c r="G16" s="383"/>
      <c r="H16" s="383">
        <v>7</v>
      </c>
      <c r="I16" s="383">
        <v>8</v>
      </c>
      <c r="J16" s="383">
        <v>9</v>
      </c>
      <c r="K16" s="383">
        <v>9.3000000000000007</v>
      </c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9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9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9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9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0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0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7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8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9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9.3000000000000007</v>
      </c>
      <c r="CP16" s="353" t="str">
        <v>RD0301</v>
      </c>
      <c r="CQ16" s="353" t="str">
        <v>RD0301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>
        <v>15</v>
      </c>
      <c r="C17" s="383">
        <v>16</v>
      </c>
      <c r="D17" s="383">
        <v>15</v>
      </c>
      <c r="E17" s="383">
        <v>15</v>
      </c>
      <c r="F17" s="383"/>
      <c r="G17" s="383"/>
      <c r="H17" s="383">
        <v>19</v>
      </c>
      <c r="I17" s="383">
        <v>19</v>
      </c>
      <c r="J17" s="383">
        <v>15</v>
      </c>
      <c r="K17" s="383">
        <v>18</v>
      </c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15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16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15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15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0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0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19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19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15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18</v>
      </c>
      <c r="CP17" s="353" t="str">
        <v>RD0301</v>
      </c>
      <c r="CQ17" s="353" t="str">
        <v>RD0301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>
        <v>30</v>
      </c>
      <c r="C18" s="383">
        <v>35</v>
      </c>
      <c r="D18" s="383">
        <v>29</v>
      </c>
      <c r="E18" s="383">
        <v>30</v>
      </c>
      <c r="F18" s="383"/>
      <c r="G18" s="383"/>
      <c r="H18" s="383">
        <v>28</v>
      </c>
      <c r="I18" s="383">
        <v>29</v>
      </c>
      <c r="J18" s="383">
        <v>30</v>
      </c>
      <c r="K18" s="383">
        <v>32.200000000000003</v>
      </c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30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35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29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30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0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0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28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29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30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32.200000000000003</v>
      </c>
      <c r="CP18" s="353" t="str">
        <v>RD0301</v>
      </c>
      <c r="CQ18" s="353" t="str">
        <v>RD0301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>
        <v>10</v>
      </c>
      <c r="C19" s="383">
        <v>10</v>
      </c>
      <c r="D19" s="383">
        <v>9</v>
      </c>
      <c r="E19" s="383">
        <v>10</v>
      </c>
      <c r="F19" s="383"/>
      <c r="G19" s="383"/>
      <c r="H19" s="383">
        <v>9</v>
      </c>
      <c r="I19" s="383">
        <v>11</v>
      </c>
      <c r="J19" s="383">
        <v>11</v>
      </c>
      <c r="K19" s="383">
        <v>12</v>
      </c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10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10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9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10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0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0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9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11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11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12</v>
      </c>
      <c r="CP19" s="353" t="str">
        <v>RD0301</v>
      </c>
      <c r="CQ19" s="353" t="str">
        <v>RD0301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>
        <v>13</v>
      </c>
      <c r="C20" s="383">
        <v>13</v>
      </c>
      <c r="D20" s="383">
        <v>12</v>
      </c>
      <c r="E20" s="383">
        <v>13</v>
      </c>
      <c r="F20" s="383"/>
      <c r="G20" s="383"/>
      <c r="H20" s="383">
        <v>11</v>
      </c>
      <c r="I20" s="383">
        <v>12</v>
      </c>
      <c r="J20" s="383">
        <v>12</v>
      </c>
      <c r="K20" s="383">
        <v>13</v>
      </c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13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13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12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13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0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0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11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12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12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13</v>
      </c>
      <c r="CP20" s="353" t="str">
        <v>RD0301</v>
      </c>
      <c r="CQ20" s="353" t="str">
        <v>RD0301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>
        <v>8</v>
      </c>
      <c r="C21" s="383">
        <v>8</v>
      </c>
      <c r="D21" s="383">
        <v>8</v>
      </c>
      <c r="E21" s="383">
        <v>11</v>
      </c>
      <c r="F21" s="383"/>
      <c r="G21" s="383"/>
      <c r="H21" s="383">
        <v>8</v>
      </c>
      <c r="I21" s="383">
        <v>12</v>
      </c>
      <c r="J21" s="383">
        <v>8</v>
      </c>
      <c r="K21" s="383">
        <v>11</v>
      </c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8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8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8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11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0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0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8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12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8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11</v>
      </c>
      <c r="CP21" s="353" t="str">
        <v>RD0301</v>
      </c>
      <c r="CQ21" s="353" t="str">
        <v>RD0301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>
        <v>12</v>
      </c>
      <c r="C22" s="383">
        <v>13</v>
      </c>
      <c r="D22" s="383">
        <v>13</v>
      </c>
      <c r="E22" s="383">
        <v>15</v>
      </c>
      <c r="F22" s="383"/>
      <c r="G22" s="383"/>
      <c r="H22" s="383">
        <v>13</v>
      </c>
      <c r="I22" s="383">
        <v>15</v>
      </c>
      <c r="J22" s="383">
        <v>13</v>
      </c>
      <c r="K22" s="383">
        <v>14</v>
      </c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12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13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13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15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0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0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13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15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13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14</v>
      </c>
      <c r="CP22" s="353" t="str">
        <v>RD0301</v>
      </c>
      <c r="CQ22" s="353" t="str">
        <v>RD0301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>
        <v>19</v>
      </c>
      <c r="C23" s="383">
        <v>20</v>
      </c>
      <c r="D23" s="383">
        <v>19</v>
      </c>
      <c r="E23" s="383">
        <v>19</v>
      </c>
      <c r="F23" s="383"/>
      <c r="G23" s="383"/>
      <c r="H23" s="383">
        <v>18</v>
      </c>
      <c r="I23" s="383">
        <v>18</v>
      </c>
      <c r="J23" s="383">
        <v>19</v>
      </c>
      <c r="K23" s="383">
        <v>19</v>
      </c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19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20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19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19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0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0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18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18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19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19</v>
      </c>
      <c r="CP23" s="353" t="str">
        <v>RD0301</v>
      </c>
      <c r="CQ23" s="353" t="str">
        <v>RD0301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>
        <v>13</v>
      </c>
      <c r="C24" s="383">
        <v>13</v>
      </c>
      <c r="D24" s="383">
        <v>13</v>
      </c>
      <c r="E24" s="383">
        <v>13.2</v>
      </c>
      <c r="F24" s="383"/>
      <c r="G24" s="383"/>
      <c r="H24" s="383">
        <v>12</v>
      </c>
      <c r="I24" s="383">
        <v>15</v>
      </c>
      <c r="J24" s="383">
        <v>13</v>
      </c>
      <c r="K24" s="383">
        <v>13.2</v>
      </c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13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13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13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13.2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0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0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12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15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13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13.2</v>
      </c>
      <c r="CP24" s="353" t="str">
        <v>RD0301</v>
      </c>
      <c r="CQ24" s="353" t="str">
        <v>RD0301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>
        <v>23</v>
      </c>
      <c r="C25" s="383">
        <v>25</v>
      </c>
      <c r="D25" s="383">
        <v>21</v>
      </c>
      <c r="E25" s="383">
        <v>23</v>
      </c>
      <c r="F25" s="383"/>
      <c r="G25" s="383"/>
      <c r="H25" s="383">
        <v>21</v>
      </c>
      <c r="I25" s="383">
        <v>23</v>
      </c>
      <c r="J25" s="383">
        <v>21</v>
      </c>
      <c r="K25" s="383">
        <v>22</v>
      </c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23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25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21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23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0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0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21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23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21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22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>
        <v>10</v>
      </c>
      <c r="C26" s="383">
        <v>16</v>
      </c>
      <c r="D26" s="383">
        <v>10</v>
      </c>
      <c r="E26" s="383">
        <v>16</v>
      </c>
      <c r="F26" s="383"/>
      <c r="G26" s="383"/>
      <c r="H26" s="383">
        <v>15</v>
      </c>
      <c r="I26" s="383">
        <v>16</v>
      </c>
      <c r="J26" s="383">
        <v>15</v>
      </c>
      <c r="K26" s="383">
        <v>16</v>
      </c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10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16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10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16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0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0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15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16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15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16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MATERNIDADE CONFIRMADA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5" t="str">
        <f>'PD0101'!AG43</f>
        <v>NIHIL</v>
      </c>
      <c r="AJ41" s="695"/>
      <c r="AK41" s="695"/>
      <c r="AL41" s="695"/>
      <c r="AM41" s="695"/>
      <c r="AN41" s="695"/>
      <c r="AO41" s="695"/>
      <c r="AP41" s="695"/>
      <c r="AQ41" s="695"/>
      <c r="AR41" s="695"/>
      <c r="AS41" s="695"/>
      <c r="AT41" s="695"/>
      <c r="AU41" s="695"/>
      <c r="AV41" s="695"/>
      <c r="AW41" s="695"/>
      <c r="AX41" s="695"/>
      <c r="AY41" s="695"/>
      <c r="AZ41" s="695"/>
      <c r="BA41" s="695"/>
      <c r="BB41" s="695"/>
      <c r="BC41" s="695"/>
      <c r="BD41" s="695"/>
      <c r="BE41" s="695"/>
      <c r="BF41" s="695"/>
      <c r="BG41" s="695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EXCLUSÃO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opLeftCell="A18" zoomScale="170" zoomScaleNormal="170" workbookViewId="0">
      <selection activeCell="O20" sqref="O2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4"/>
      <c r="B1" s="385"/>
      <c r="C1" s="385"/>
      <c r="D1" s="385"/>
      <c r="E1" s="385"/>
      <c r="F1" s="653"/>
      <c r="G1" s="653"/>
      <c r="H1" s="653"/>
      <c r="I1" s="653"/>
      <c r="J1" s="653"/>
      <c r="K1" s="653"/>
      <c r="L1" s="653"/>
      <c r="M1" s="653"/>
      <c r="N1" s="653"/>
      <c r="O1" s="654"/>
    </row>
    <row r="2" spans="1:15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1"/>
    </row>
    <row r="3" spans="1:15">
      <c r="A3" s="386"/>
      <c r="B3" s="390"/>
      <c r="C3" s="390"/>
      <c r="D3" s="390"/>
      <c r="E3" s="400"/>
      <c r="F3" s="387"/>
      <c r="G3" s="387"/>
      <c r="H3" s="387"/>
      <c r="I3" s="655"/>
      <c r="J3" s="712"/>
      <c r="K3" s="712"/>
      <c r="L3" s="712"/>
      <c r="M3" s="712"/>
      <c r="N3" s="712"/>
      <c r="O3" s="713"/>
    </row>
    <row r="4" spans="1:15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17"/>
      <c r="M4" s="721"/>
      <c r="N4" s="721"/>
      <c r="O4" s="722"/>
    </row>
    <row r="5" spans="1:15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2"/>
    </row>
    <row r="6" spans="1:15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2"/>
    </row>
    <row r="7" spans="1:15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2"/>
    </row>
    <row r="8" spans="1:15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2"/>
    </row>
    <row r="9" spans="1:15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2"/>
    </row>
    <row r="10" spans="1:15" ht="12.75" customHeight="1" thickBot="1">
      <c r="A10" s="725"/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4"/>
    </row>
    <row r="11" spans="1:15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20"/>
    </row>
    <row r="12" spans="1:15" ht="13.5" thickTop="1">
      <c r="A12" s="309" t="s">
        <v>250</v>
      </c>
      <c r="B12" s="709"/>
      <c r="C12" s="709"/>
      <c r="D12" s="709"/>
      <c r="E12" s="709"/>
      <c r="F12" s="709"/>
      <c r="G12" s="709"/>
      <c r="H12" s="709"/>
      <c r="I12" s="651"/>
      <c r="J12" s="652" t="s">
        <v>357</v>
      </c>
      <c r="K12" s="709"/>
      <c r="L12" s="709"/>
      <c r="M12" s="709"/>
      <c r="N12" s="709"/>
      <c r="O12" s="728"/>
    </row>
    <row r="13" spans="1:15">
      <c r="A13" s="309" t="s">
        <v>359</v>
      </c>
      <c r="B13" s="702"/>
      <c r="C13" s="702"/>
      <c r="D13" s="702"/>
      <c r="E13" s="702"/>
      <c r="F13" s="702"/>
      <c r="G13" s="702"/>
      <c r="H13" s="321"/>
      <c r="I13" s="392"/>
      <c r="J13" s="321" t="s">
        <v>362</v>
      </c>
      <c r="K13" s="392"/>
      <c r="L13" s="392"/>
      <c r="M13" s="392"/>
      <c r="N13" s="392"/>
      <c r="O13" s="388"/>
    </row>
    <row r="14" spans="1:15">
      <c r="A14" s="309"/>
      <c r="B14" s="700"/>
      <c r="C14" s="700"/>
      <c r="D14" s="700"/>
      <c r="E14" s="700"/>
      <c r="F14" s="700"/>
      <c r="G14" s="700"/>
      <c r="H14" s="662"/>
      <c r="I14" s="662"/>
      <c r="J14" s="321" t="s">
        <v>251</v>
      </c>
      <c r="K14" s="700"/>
      <c r="L14" s="700"/>
      <c r="M14" s="700"/>
      <c r="N14" s="700"/>
      <c r="O14" s="731"/>
    </row>
    <row r="15" spans="1:15">
      <c r="A15" s="309"/>
      <c r="B15" s="700"/>
      <c r="C15" s="700"/>
      <c r="D15" s="700"/>
      <c r="E15" s="700"/>
      <c r="F15" s="700"/>
      <c r="G15" s="700"/>
      <c r="H15" s="392"/>
      <c r="I15" s="392"/>
      <c r="J15" s="321"/>
      <c r="K15" s="700"/>
      <c r="L15" s="700"/>
      <c r="M15" s="700"/>
      <c r="N15" s="700"/>
      <c r="O15" s="396"/>
    </row>
    <row r="16" spans="1:15">
      <c r="A16" s="309"/>
      <c r="B16" s="700"/>
      <c r="C16" s="700"/>
      <c r="D16" s="700"/>
      <c r="E16" s="700"/>
      <c r="F16" s="700"/>
      <c r="G16" s="700"/>
      <c r="H16" s="392"/>
      <c r="I16" s="392"/>
      <c r="J16" s="405"/>
      <c r="K16" s="392"/>
      <c r="L16" s="392"/>
      <c r="M16" s="322"/>
      <c r="N16" s="395"/>
      <c r="O16" s="396"/>
    </row>
    <row r="17" spans="1:15" ht="13.5" thickBot="1">
      <c r="A17" s="309" t="str">
        <f>IF(B17="","","Sup. Pai2:")</f>
        <v/>
      </c>
      <c r="B17" s="727"/>
      <c r="C17" s="727"/>
      <c r="D17" s="727"/>
      <c r="E17" s="727"/>
      <c r="F17" s="727"/>
      <c r="G17" s="727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6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3" t="s">
        <v>50</v>
      </c>
      <c r="G19" s="701" t="str">
        <f>'PD0101'!B8</f>
        <v>MÃE</v>
      </c>
      <c r="H19" s="701"/>
      <c r="I19" s="701" t="s">
        <v>253</v>
      </c>
      <c r="J19" s="701"/>
      <c r="K19" s="701" t="str">
        <f>'PD0101'!F8</f>
        <v>SUP. PAI</v>
      </c>
      <c r="L19" s="701"/>
      <c r="M19" s="664" t="str">
        <f>'PD0101'!$AG$8</f>
        <v>FREQ.</v>
      </c>
      <c r="N19" s="664" t="str">
        <f>'PD0101'!$AH$8</f>
        <v>PI</v>
      </c>
      <c r="O19" s="665" t="str">
        <f>'PD0101'!$AI$8</f>
        <v>PR. PAT</v>
      </c>
    </row>
    <row r="20" spans="1:15" ht="15.75" customHeight="1">
      <c r="A20" s="706"/>
      <c r="B20" s="707"/>
      <c r="C20" s="707"/>
      <c r="D20" s="707"/>
      <c r="E20" s="708"/>
      <c r="F20" s="666" t="str">
        <f>'PD0101'!$A$9</f>
        <v>D3S1358</v>
      </c>
      <c r="G20" s="667">
        <f>'PD0101'!$B$9</f>
        <v>15</v>
      </c>
      <c r="H20" s="667">
        <f>'PD0101'!$C$9</f>
        <v>16</v>
      </c>
      <c r="I20" s="667">
        <f>'PD0101'!$D$9</f>
        <v>16</v>
      </c>
      <c r="J20" s="667">
        <f>'PD0101'!$E$9</f>
        <v>16</v>
      </c>
      <c r="K20" s="667">
        <f>'PD0101'!$F$9</f>
        <v>0</v>
      </c>
      <c r="L20" s="667">
        <f>'PD0101'!$G$9</f>
        <v>0</v>
      </c>
      <c r="M20" s="668">
        <f>'PD0101'!$AG$9</f>
        <v>0</v>
      </c>
      <c r="N20" s="669">
        <f>'PD0101'!$AH$9</f>
        <v>0</v>
      </c>
      <c r="O20" s="670">
        <f>'PD0101'!$AI$9</f>
        <v>0</v>
      </c>
    </row>
    <row r="21" spans="1:15" ht="15.75" customHeight="1">
      <c r="A21" s="706" t="s">
        <v>350</v>
      </c>
      <c r="B21" s="707"/>
      <c r="C21" s="707"/>
      <c r="D21" s="707"/>
      <c r="E21" s="708"/>
      <c r="F21" s="666" t="str">
        <f>'PD0101'!$A$10</f>
        <v>D1S1656</v>
      </c>
      <c r="G21" s="667">
        <f>'PD0101'!$B$10</f>
        <v>15</v>
      </c>
      <c r="H21" s="667">
        <f>'PD0101'!$C$10</f>
        <v>17</v>
      </c>
      <c r="I21" s="667">
        <f>'PD0101'!$D$10</f>
        <v>16</v>
      </c>
      <c r="J21" s="667">
        <f>'PD0101'!$E$10</f>
        <v>17</v>
      </c>
      <c r="K21" s="667">
        <f>'PD0101'!$F$10</f>
        <v>0</v>
      </c>
      <c r="L21" s="667">
        <f>'PD0101'!$G$10</f>
        <v>0</v>
      </c>
      <c r="M21" s="668">
        <f>'PD0101'!$AG$10</f>
        <v>0</v>
      </c>
      <c r="N21" s="669">
        <f>'PD0101'!$AH$10</f>
        <v>0</v>
      </c>
      <c r="O21" s="670">
        <f>'PD0101'!$AI$10</f>
        <v>0</v>
      </c>
    </row>
    <row r="22" spans="1:15" ht="15.75" customHeight="1">
      <c r="A22" s="706" t="s">
        <v>293</v>
      </c>
      <c r="B22" s="707"/>
      <c r="C22" s="707"/>
      <c r="D22" s="707"/>
      <c r="E22" s="708"/>
      <c r="F22" s="666" t="str">
        <f>'PD0101'!$A$11</f>
        <v>D2S441</v>
      </c>
      <c r="G22" s="667">
        <f>'PD0101'!$B$11</f>
        <v>10</v>
      </c>
      <c r="H22" s="667">
        <f>'PD0101'!$C$11</f>
        <v>10</v>
      </c>
      <c r="I22" s="667">
        <f>'PD0101'!$D$11</f>
        <v>10</v>
      </c>
      <c r="J22" s="667">
        <f>'PD0101'!$E$11</f>
        <v>12</v>
      </c>
      <c r="K22" s="667">
        <f>'PD0101'!$F$11</f>
        <v>0</v>
      </c>
      <c r="L22" s="667">
        <f>'PD0101'!$G$11</f>
        <v>0</v>
      </c>
      <c r="M22" s="668">
        <f>'PD0101'!$AG$11</f>
        <v>0</v>
      </c>
      <c r="N22" s="669">
        <f>'PD0101'!$AH$11</f>
        <v>0</v>
      </c>
      <c r="O22" s="670">
        <f>'PD0101'!$AI$11</f>
        <v>0</v>
      </c>
    </row>
    <row r="23" spans="1:15" ht="15.75" customHeight="1">
      <c r="A23" s="706" t="s">
        <v>290</v>
      </c>
      <c r="B23" s="707"/>
      <c r="C23" s="707"/>
      <c r="D23" s="707"/>
      <c r="E23" s="708"/>
      <c r="F23" s="666" t="str">
        <f>'PD0101'!$A$12</f>
        <v>D10S1248</v>
      </c>
      <c r="G23" s="667">
        <f>'PD0101'!$B$12</f>
        <v>13</v>
      </c>
      <c r="H23" s="667">
        <f>'PD0101'!$C$12</f>
        <v>16</v>
      </c>
      <c r="I23" s="667">
        <f>'PD0101'!$D$12</f>
        <v>13</v>
      </c>
      <c r="J23" s="667">
        <f>'PD0101'!$E$12</f>
        <v>13</v>
      </c>
      <c r="K23" s="667">
        <f>'PD0101'!$F$12</f>
        <v>0</v>
      </c>
      <c r="L23" s="667">
        <f>'PD0101'!$G$12</f>
        <v>0</v>
      </c>
      <c r="M23" s="668">
        <f>'PD0101'!$AG$12</f>
        <v>0</v>
      </c>
      <c r="N23" s="669">
        <f>'PD0101'!$AH$12</f>
        <v>0</v>
      </c>
      <c r="O23" s="670">
        <f>'PD0101'!$AI$12</f>
        <v>0</v>
      </c>
    </row>
    <row r="24" spans="1:15" ht="15.75" customHeight="1">
      <c r="A24" s="706" t="s">
        <v>294</v>
      </c>
      <c r="B24" s="707"/>
      <c r="C24" s="707"/>
      <c r="D24" s="707"/>
      <c r="E24" s="708"/>
      <c r="F24" s="666" t="str">
        <f>'PD0101'!$A$13</f>
        <v>D13S317</v>
      </c>
      <c r="G24" s="667">
        <f>'PD0101'!$B$13</f>
        <v>11</v>
      </c>
      <c r="H24" s="667">
        <f>'PD0101'!$C$13</f>
        <v>12</v>
      </c>
      <c r="I24" s="667">
        <f>'PD0101'!$D$13</f>
        <v>12</v>
      </c>
      <c r="J24" s="667">
        <f>'PD0101'!$E$13</f>
        <v>12</v>
      </c>
      <c r="K24" s="667">
        <f>'PD0101'!$F$13</f>
        <v>0</v>
      </c>
      <c r="L24" s="667">
        <f>'PD0101'!$G$13</f>
        <v>0</v>
      </c>
      <c r="M24" s="668">
        <f>'PD0101'!$AG$13</f>
        <v>0</v>
      </c>
      <c r="N24" s="669">
        <f>'PD0101'!$AH$13</f>
        <v>0</v>
      </c>
      <c r="O24" s="670">
        <f>'PD0101'!$AI$13</f>
        <v>0</v>
      </c>
    </row>
    <row r="25" spans="1:15" ht="15.75" customHeight="1">
      <c r="A25" s="706" t="s">
        <v>363</v>
      </c>
      <c r="B25" s="707"/>
      <c r="C25" s="707"/>
      <c r="D25" s="707"/>
      <c r="E25" s="708"/>
      <c r="F25" s="666" t="str">
        <f>'PD0101'!$A$14</f>
        <v>Penta_E</v>
      </c>
      <c r="G25" s="667">
        <f>'PD0101'!$B$14</f>
        <v>12</v>
      </c>
      <c r="H25" s="667">
        <f>'PD0101'!$C$14</f>
        <v>13</v>
      </c>
      <c r="I25" s="667">
        <f>'PD0101'!$D$14</f>
        <v>8</v>
      </c>
      <c r="J25" s="667">
        <f>'PD0101'!$E$14</f>
        <v>13</v>
      </c>
      <c r="K25" s="667">
        <f>'PD0101'!$F$14</f>
        <v>0</v>
      </c>
      <c r="L25" s="667">
        <f>'PD0101'!$G$14</f>
        <v>0</v>
      </c>
      <c r="M25" s="668">
        <f>'PD0101'!$AG$14</f>
        <v>0</v>
      </c>
      <c r="N25" s="669">
        <f>'PD0101'!$AH$14</f>
        <v>0</v>
      </c>
      <c r="O25" s="670">
        <f>'PD0101'!$AI$14</f>
        <v>0</v>
      </c>
    </row>
    <row r="26" spans="1:15" ht="15.75" customHeight="1">
      <c r="A26" s="706"/>
      <c r="B26" s="707"/>
      <c r="C26" s="707"/>
      <c r="D26" s="707"/>
      <c r="E26" s="708"/>
      <c r="F26" s="666" t="str">
        <f>'PD0101'!$A$15</f>
        <v>D16S539</v>
      </c>
      <c r="G26" s="667">
        <f>'PD0101'!$B$15</f>
        <v>9</v>
      </c>
      <c r="H26" s="667">
        <f>'PD0101'!$C$15</f>
        <v>11</v>
      </c>
      <c r="I26" s="667">
        <f>'PD0101'!$D$15</f>
        <v>9</v>
      </c>
      <c r="J26" s="667">
        <f>'PD0101'!$E$15</f>
        <v>11</v>
      </c>
      <c r="K26" s="667">
        <f>'PD0101'!$F$15</f>
        <v>0</v>
      </c>
      <c r="L26" s="667">
        <f>'PD0101'!$G$15</f>
        <v>0</v>
      </c>
      <c r="M26" s="668">
        <f>'PD0101'!$AG$15</f>
        <v>0</v>
      </c>
      <c r="N26" s="669">
        <f>'PD0101'!$AH$15</f>
        <v>0</v>
      </c>
      <c r="O26" s="670">
        <f>'PD0101'!$AI$15</f>
        <v>0</v>
      </c>
    </row>
    <row r="27" spans="1:15" ht="15.75" customHeight="1">
      <c r="A27" s="706"/>
      <c r="B27" s="707"/>
      <c r="C27" s="707"/>
      <c r="D27" s="707"/>
      <c r="E27" s="708"/>
      <c r="F27" s="666" t="str">
        <f>'PD0101'!$A$16</f>
        <v>D18S51</v>
      </c>
      <c r="G27" s="667">
        <f>'PD0101'!$B$16</f>
        <v>14</v>
      </c>
      <c r="H27" s="667">
        <f>'PD0101'!$C$16</f>
        <v>15</v>
      </c>
      <c r="I27" s="667">
        <f>'PD0101'!$D$16</f>
        <v>14</v>
      </c>
      <c r="J27" s="667">
        <f>'PD0101'!$E$16</f>
        <v>18</v>
      </c>
      <c r="K27" s="667">
        <f>'PD0101'!$F$16</f>
        <v>0</v>
      </c>
      <c r="L27" s="667">
        <f>'PD0101'!$G$16</f>
        <v>0</v>
      </c>
      <c r="M27" s="668">
        <f>'PD0101'!$AG$16</f>
        <v>0</v>
      </c>
      <c r="N27" s="669">
        <f>'PD0101'!$AH$16</f>
        <v>0</v>
      </c>
      <c r="O27" s="670">
        <f>'PD0101'!$AI$16</f>
        <v>0</v>
      </c>
    </row>
    <row r="28" spans="1:15" ht="15.75" customHeight="1" thickBot="1">
      <c r="A28" s="706"/>
      <c r="B28" s="707"/>
      <c r="C28" s="707"/>
      <c r="D28" s="707"/>
      <c r="E28" s="708"/>
      <c r="F28" s="666" t="str">
        <f>'PD0101'!$A$17</f>
        <v>D2S1338</v>
      </c>
      <c r="G28" s="667">
        <f>'PD0101'!$B$17</f>
        <v>21</v>
      </c>
      <c r="H28" s="667">
        <f>'PD0101'!$C$17</f>
        <v>24</v>
      </c>
      <c r="I28" s="667">
        <f>'PD0101'!$D$17</f>
        <v>16</v>
      </c>
      <c r="J28" s="667">
        <f>'PD0101'!$E$17</f>
        <v>24</v>
      </c>
      <c r="K28" s="667">
        <f>'PD0101'!$F$17</f>
        <v>0</v>
      </c>
      <c r="L28" s="667">
        <f>'PD0101'!$G$17</f>
        <v>0</v>
      </c>
      <c r="M28" s="668">
        <f>'PD0101'!$AG$17</f>
        <v>0</v>
      </c>
      <c r="N28" s="669">
        <f>'PD0101'!$AH$17</f>
        <v>0</v>
      </c>
      <c r="O28" s="670">
        <f>'PD0101'!$AI$17</f>
        <v>0</v>
      </c>
    </row>
    <row r="29" spans="1:15" ht="15.75" customHeight="1" thickTop="1" thickBot="1">
      <c r="A29" s="410" t="s">
        <v>300</v>
      </c>
      <c r="B29" s="411"/>
      <c r="C29" s="409"/>
      <c r="D29" s="409"/>
      <c r="E29" s="412"/>
      <c r="F29" s="666" t="str">
        <f>'PD0101'!$A$18</f>
        <v>CSF1PO</v>
      </c>
      <c r="G29" s="667">
        <f>'PD0101'!$B$18</f>
        <v>12</v>
      </c>
      <c r="H29" s="667">
        <f>'PD0101'!$C$18</f>
        <v>13</v>
      </c>
      <c r="I29" s="667">
        <f>'PD0101'!$D$18</f>
        <v>10</v>
      </c>
      <c r="J29" s="667">
        <f>'PD0101'!$E$18</f>
        <v>13</v>
      </c>
      <c r="K29" s="667">
        <f>'PD0101'!$F$18</f>
        <v>0</v>
      </c>
      <c r="L29" s="667">
        <f>'PD0101'!$G$18</f>
        <v>0</v>
      </c>
      <c r="M29" s="668">
        <f>'PD0101'!$AG$18</f>
        <v>0</v>
      </c>
      <c r="N29" s="669">
        <f>'PD0101'!$AH$18</f>
        <v>0</v>
      </c>
      <c r="O29" s="670">
        <f>'PD0101'!$AI$18</f>
        <v>0</v>
      </c>
    </row>
    <row r="30" spans="1:15" ht="15.75" customHeight="1" thickTop="1">
      <c r="A30" s="706" t="s">
        <v>364</v>
      </c>
      <c r="B30" s="707"/>
      <c r="C30" s="707"/>
      <c r="D30" s="707"/>
      <c r="E30" s="708"/>
      <c r="F30" s="666" t="str">
        <f>'PD0101'!$A$19</f>
        <v>Penta_D</v>
      </c>
      <c r="G30" s="667">
        <f>'PD0101'!$B$19</f>
        <v>9</v>
      </c>
      <c r="H30" s="667">
        <f>'PD0101'!$C$19</f>
        <v>12</v>
      </c>
      <c r="I30" s="667">
        <f>'PD0101'!$D$19</f>
        <v>12</v>
      </c>
      <c r="J30" s="667">
        <f>'PD0101'!$E$19</f>
        <v>12</v>
      </c>
      <c r="K30" s="667">
        <f>'PD0101'!$F$19</f>
        <v>0</v>
      </c>
      <c r="L30" s="667">
        <f>'PD0101'!$G$19</f>
        <v>0</v>
      </c>
      <c r="M30" s="668">
        <f>'PD0101'!$AG$19</f>
        <v>0</v>
      </c>
      <c r="N30" s="669">
        <f>'PD0101'!$AH$19</f>
        <v>0</v>
      </c>
      <c r="O30" s="670">
        <f>'PD0101'!$AI$19</f>
        <v>0</v>
      </c>
    </row>
    <row r="31" spans="1:15" ht="15.75" customHeight="1">
      <c r="A31" s="706"/>
      <c r="B31" s="707"/>
      <c r="C31" s="707"/>
      <c r="D31" s="707"/>
      <c r="E31" s="708"/>
      <c r="F31" s="666" t="str">
        <f>'PD0101'!$A$20</f>
        <v>TH01</v>
      </c>
      <c r="G31" s="667">
        <f>'PD0101'!$B$20</f>
        <v>9</v>
      </c>
      <c r="H31" s="667">
        <f>'PD0101'!$C$20</f>
        <v>9</v>
      </c>
      <c r="I31" s="667">
        <f>'PD0101'!$D$20</f>
        <v>9</v>
      </c>
      <c r="J31" s="667">
        <f>'PD0101'!$E$20</f>
        <v>9</v>
      </c>
      <c r="K31" s="667">
        <f>'PD0101'!$F$20</f>
        <v>0</v>
      </c>
      <c r="L31" s="667">
        <f>'PD0101'!$G$20</f>
        <v>0</v>
      </c>
      <c r="M31" s="668">
        <f>'PD0101'!$AG$20</f>
        <v>0</v>
      </c>
      <c r="N31" s="669">
        <f>'PD0101'!$AH$20</f>
        <v>0</v>
      </c>
      <c r="O31" s="670">
        <f>'PD0101'!$AI$20</f>
        <v>0</v>
      </c>
    </row>
    <row r="32" spans="1:15" ht="15.75" customHeight="1">
      <c r="A32" s="706"/>
      <c r="B32" s="707"/>
      <c r="C32" s="707"/>
      <c r="D32" s="707"/>
      <c r="E32" s="708"/>
      <c r="F32" s="666" t="str">
        <f>'PD0101'!$A$21</f>
        <v>vWA</v>
      </c>
      <c r="G32" s="667">
        <f>'PD0101'!$B$21</f>
        <v>15</v>
      </c>
      <c r="H32" s="667">
        <f>'PD0101'!$C$21</f>
        <v>16</v>
      </c>
      <c r="I32" s="667">
        <f>'PD0101'!$D$21</f>
        <v>15</v>
      </c>
      <c r="J32" s="667">
        <f>'PD0101'!$E$21</f>
        <v>15</v>
      </c>
      <c r="K32" s="667">
        <f>'PD0101'!$F$21</f>
        <v>0</v>
      </c>
      <c r="L32" s="667">
        <f>'PD0101'!$G$21</f>
        <v>0</v>
      </c>
      <c r="M32" s="668">
        <f>'PD0101'!$AG$21</f>
        <v>0</v>
      </c>
      <c r="N32" s="669">
        <f>'PD0101'!$AH$21</f>
        <v>0</v>
      </c>
      <c r="O32" s="670">
        <f>'PD0101'!$AI$21</f>
        <v>0</v>
      </c>
    </row>
    <row r="33" spans="1:15" ht="15.75" customHeight="1">
      <c r="A33" s="706"/>
      <c r="B33" s="707"/>
      <c r="C33" s="707"/>
      <c r="D33" s="707"/>
      <c r="E33" s="708"/>
      <c r="F33" s="666" t="str">
        <f>'PD0101'!$A$22</f>
        <v>D21S11</v>
      </c>
      <c r="G33" s="667">
        <f>'PD0101'!$B$22</f>
        <v>30</v>
      </c>
      <c r="H33" s="667">
        <f>'PD0101'!$C$22</f>
        <v>35</v>
      </c>
      <c r="I33" s="667">
        <f>'PD0101'!$D$22</f>
        <v>29</v>
      </c>
      <c r="J33" s="667">
        <f>'PD0101'!$E$22</f>
        <v>30</v>
      </c>
      <c r="K33" s="667">
        <f>'PD0101'!$F$22</f>
        <v>0</v>
      </c>
      <c r="L33" s="667">
        <f>'PD0101'!$G$22</f>
        <v>0</v>
      </c>
      <c r="M33" s="668">
        <f>'PD0101'!$AG$22</f>
        <v>0</v>
      </c>
      <c r="N33" s="669">
        <f>'PD0101'!$AH$22</f>
        <v>0</v>
      </c>
      <c r="O33" s="670">
        <f>'PD0101'!$AI$22</f>
        <v>0</v>
      </c>
    </row>
    <row r="34" spans="1:15" ht="15.75" customHeight="1">
      <c r="A34" s="706"/>
      <c r="B34" s="707"/>
      <c r="C34" s="707"/>
      <c r="D34" s="707"/>
      <c r="E34" s="708"/>
      <c r="F34" s="666" t="str">
        <f>'PD0101'!$A$23</f>
        <v>D7S820</v>
      </c>
      <c r="G34" s="667">
        <f>'PD0101'!$B$23</f>
        <v>10</v>
      </c>
      <c r="H34" s="667">
        <f>'PD0101'!$C$23</f>
        <v>10</v>
      </c>
      <c r="I34" s="667">
        <f>'PD0101'!$D$23</f>
        <v>9</v>
      </c>
      <c r="J34" s="667">
        <f>'PD0101'!$E$23</f>
        <v>10</v>
      </c>
      <c r="K34" s="667">
        <f>'PD0101'!$F$23</f>
        <v>0</v>
      </c>
      <c r="L34" s="667">
        <f>'PD0101'!$G$23</f>
        <v>0</v>
      </c>
      <c r="M34" s="668">
        <f>'PD0101'!$AG$23</f>
        <v>0</v>
      </c>
      <c r="N34" s="669">
        <f>'PD0101'!$AH$23</f>
        <v>0</v>
      </c>
      <c r="O34" s="670">
        <f>'PD0101'!$AI$23</f>
        <v>0</v>
      </c>
    </row>
    <row r="35" spans="1:15" ht="15.75" customHeight="1">
      <c r="A35" s="706"/>
      <c r="B35" s="707"/>
      <c r="C35" s="707"/>
      <c r="D35" s="707"/>
      <c r="E35" s="708"/>
      <c r="F35" s="666" t="str">
        <f>'PD0101'!$A$24</f>
        <v>D5S818</v>
      </c>
      <c r="G35" s="667">
        <f>'PD0101'!$B$24</f>
        <v>13</v>
      </c>
      <c r="H35" s="667">
        <f>'PD0101'!$C$24</f>
        <v>13</v>
      </c>
      <c r="I35" s="667">
        <f>'PD0101'!$D$24</f>
        <v>12</v>
      </c>
      <c r="J35" s="667">
        <f>'PD0101'!$E$24</f>
        <v>13</v>
      </c>
      <c r="K35" s="667">
        <f>'PD0101'!$F$24</f>
        <v>0</v>
      </c>
      <c r="L35" s="667">
        <f>'PD0101'!$G$24</f>
        <v>0</v>
      </c>
      <c r="M35" s="668">
        <f>'PD0101'!$AG$24</f>
        <v>0</v>
      </c>
      <c r="N35" s="669">
        <f>'PD0101'!$AH$24</f>
        <v>0</v>
      </c>
      <c r="O35" s="670">
        <f>'PD0101'!$AI$24</f>
        <v>0</v>
      </c>
    </row>
    <row r="36" spans="1:15" ht="15.75" customHeight="1" thickBot="1">
      <c r="A36" s="706"/>
      <c r="B36" s="707"/>
      <c r="C36" s="707"/>
      <c r="D36" s="707"/>
      <c r="E36" s="708"/>
      <c r="F36" s="666" t="str">
        <f>'PD0101'!$A$25</f>
        <v>TPOX</v>
      </c>
      <c r="G36" s="667">
        <f>'PD0101'!$B$25</f>
        <v>8</v>
      </c>
      <c r="H36" s="667">
        <f>'PD0101'!$C$25</f>
        <v>8</v>
      </c>
      <c r="I36" s="667">
        <f>'PD0101'!$D$25</f>
        <v>8</v>
      </c>
      <c r="J36" s="667">
        <f>'PD0101'!$E$25</f>
        <v>11</v>
      </c>
      <c r="K36" s="667">
        <f>'PD0101'!$F$25</f>
        <v>0</v>
      </c>
      <c r="L36" s="667">
        <f>'PD0101'!$G$25</f>
        <v>0</v>
      </c>
      <c r="M36" s="668">
        <f>'PD0101'!$AG$25</f>
        <v>0</v>
      </c>
      <c r="N36" s="669">
        <f>'PD0101'!$AH$25</f>
        <v>0</v>
      </c>
      <c r="O36" s="670">
        <f>'PD0101'!$AI$25</f>
        <v>0</v>
      </c>
    </row>
    <row r="37" spans="1:15" ht="15.75" customHeight="1" thickTop="1" thickBot="1">
      <c r="A37" s="413" t="s">
        <v>301</v>
      </c>
      <c r="B37" s="409"/>
      <c r="C37" s="409"/>
      <c r="D37" s="409"/>
      <c r="E37" s="412"/>
      <c r="F37" s="666" t="str">
        <f>'PD0101'!$A$26</f>
        <v>D8S1179</v>
      </c>
      <c r="G37" s="667">
        <f>'PD0101'!$B$26</f>
        <v>12</v>
      </c>
      <c r="H37" s="667">
        <f>'PD0101'!$C$26</f>
        <v>13</v>
      </c>
      <c r="I37" s="667">
        <f>'PD0101'!$D$26</f>
        <v>13</v>
      </c>
      <c r="J37" s="667">
        <f>'PD0101'!$E$26</f>
        <v>15</v>
      </c>
      <c r="K37" s="667">
        <f>'PD0101'!$F$26</f>
        <v>0</v>
      </c>
      <c r="L37" s="667">
        <f>'PD0101'!$G$26</f>
        <v>0</v>
      </c>
      <c r="M37" s="668">
        <f>'PD0101'!$AG$26</f>
        <v>0</v>
      </c>
      <c r="N37" s="669">
        <f>'PD0101'!$AH$26</f>
        <v>0</v>
      </c>
      <c r="O37" s="670">
        <f>'PD0101'!$AI$26</f>
        <v>0</v>
      </c>
    </row>
    <row r="38" spans="1:15" ht="15.75" customHeight="1" thickTop="1">
      <c r="A38" s="706"/>
      <c r="B38" s="707"/>
      <c r="C38" s="707"/>
      <c r="D38" s="707"/>
      <c r="E38" s="708"/>
      <c r="F38" s="666" t="str">
        <f>'PD0101'!$A$27</f>
        <v>D12S391</v>
      </c>
      <c r="G38" s="667">
        <f>'PD0101'!$B$27</f>
        <v>19</v>
      </c>
      <c r="H38" s="667">
        <f>'PD0101'!$C$27</f>
        <v>20</v>
      </c>
      <c r="I38" s="667">
        <f>'PD0101'!$D$27</f>
        <v>19</v>
      </c>
      <c r="J38" s="667">
        <f>'PD0101'!$E$27</f>
        <v>19</v>
      </c>
      <c r="K38" s="667">
        <f>'PD0101'!$F$27</f>
        <v>0</v>
      </c>
      <c r="L38" s="667">
        <f>'PD0101'!$G$27</f>
        <v>0</v>
      </c>
      <c r="M38" s="668">
        <f>'PD0101'!$AG$27</f>
        <v>0</v>
      </c>
      <c r="N38" s="669">
        <f>'PD0101'!$AH$27</f>
        <v>0</v>
      </c>
      <c r="O38" s="670">
        <f>'PD0101'!$AI$27</f>
        <v>0</v>
      </c>
    </row>
    <row r="39" spans="1:15" ht="15.75" customHeight="1">
      <c r="A39" s="703"/>
      <c r="B39" s="704"/>
      <c r="C39" s="704"/>
      <c r="D39" s="704"/>
      <c r="E39" s="705"/>
      <c r="F39" s="666" t="str">
        <f>'PD0101'!$A$28</f>
        <v>D19S433</v>
      </c>
      <c r="G39" s="667">
        <f>'PD0101'!$B$28</f>
        <v>13</v>
      </c>
      <c r="H39" s="667">
        <f>'PD0101'!$C$28</f>
        <v>13</v>
      </c>
      <c r="I39" s="667">
        <f>'PD0101'!$D$28</f>
        <v>13</v>
      </c>
      <c r="J39" s="667">
        <f>'PD0101'!$E$28</f>
        <v>13.2</v>
      </c>
      <c r="K39" s="667">
        <f>'PD0101'!$F$28</f>
        <v>0</v>
      </c>
      <c r="L39" s="667">
        <f>'PD0101'!$G$28</f>
        <v>0</v>
      </c>
      <c r="M39" s="668">
        <f>'PD0101'!$AG$28</f>
        <v>0</v>
      </c>
      <c r="N39" s="669">
        <f>'PD0101'!$AH$28</f>
        <v>0</v>
      </c>
      <c r="O39" s="670">
        <f>'PD0101'!$AI$28</f>
        <v>0</v>
      </c>
    </row>
    <row r="40" spans="1:15" ht="15.75" customHeight="1">
      <c r="A40" s="706" t="s">
        <v>361</v>
      </c>
      <c r="B40" s="707"/>
      <c r="C40" s="707"/>
      <c r="D40" s="707"/>
      <c r="E40" s="708"/>
      <c r="F40" s="666" t="str">
        <f>'PD0101'!$A$29</f>
        <v>FGA</v>
      </c>
      <c r="G40" s="667">
        <f>'PD0101'!$B$29</f>
        <v>23</v>
      </c>
      <c r="H40" s="667">
        <f>'PD0101'!$C$29</f>
        <v>25</v>
      </c>
      <c r="I40" s="667">
        <f>'PD0101'!$D$29</f>
        <v>21</v>
      </c>
      <c r="J40" s="667">
        <f>'PD0101'!$E$29</f>
        <v>23</v>
      </c>
      <c r="K40" s="667">
        <f>'PD0101'!$F$29</f>
        <v>0</v>
      </c>
      <c r="L40" s="667">
        <f>'PD0101'!$G$29</f>
        <v>0</v>
      </c>
      <c r="M40" s="668">
        <f>'PD0101'!$AG$29</f>
        <v>0</v>
      </c>
      <c r="N40" s="669">
        <f>'PD0101'!$AH$29</f>
        <v>0</v>
      </c>
      <c r="O40" s="670">
        <f>'PD0101'!$AI$29</f>
        <v>0</v>
      </c>
    </row>
    <row r="41" spans="1:15" ht="15.75" customHeight="1" thickBot="1">
      <c r="A41" s="706" t="s">
        <v>296</v>
      </c>
      <c r="B41" s="707"/>
      <c r="C41" s="707"/>
      <c r="D41" s="707"/>
      <c r="E41" s="708"/>
      <c r="F41" s="671" t="str">
        <f>'PD0101'!$A$30</f>
        <v>D22S1045</v>
      </c>
      <c r="G41" s="672">
        <f>'PD0101'!$B$30</f>
        <v>10</v>
      </c>
      <c r="H41" s="672">
        <f>'PD0101'!$C$30</f>
        <v>16</v>
      </c>
      <c r="I41" s="672">
        <f>'PD0101'!$D$30</f>
        <v>10</v>
      </c>
      <c r="J41" s="672">
        <f>'PD0101'!$E$30</f>
        <v>16</v>
      </c>
      <c r="K41" s="672">
        <f>'PD0101'!$F$30</f>
        <v>0</v>
      </c>
      <c r="L41" s="672">
        <f>'PD0101'!$G$30</f>
        <v>0</v>
      </c>
      <c r="M41" s="673">
        <f>'PD0101'!$AG$30</f>
        <v>0</v>
      </c>
      <c r="N41" s="674">
        <f>'PD0101'!$AH$30</f>
        <v>0</v>
      </c>
      <c r="O41" s="675">
        <f>'PD0101'!$AI$30</f>
        <v>0</v>
      </c>
    </row>
    <row r="42" spans="1:15" ht="15.75" customHeight="1" thickTop="1">
      <c r="A42" s="706"/>
      <c r="B42" s="707"/>
      <c r="C42" s="707"/>
      <c r="D42" s="707"/>
      <c r="E42" s="708"/>
      <c r="F42" s="398"/>
      <c r="G42" s="398"/>
      <c r="H42" s="398"/>
      <c r="I42" s="638"/>
      <c r="J42" s="638"/>
      <c r="K42" s="639"/>
      <c r="L42" s="404" t="str">
        <f>'PD0101'!G43</f>
        <v xml:space="preserve">ÍNDICE DE PATERNIDADE ACUMULADO: </v>
      </c>
      <c r="M42" s="729" t="str">
        <f>'PD0101'!$AG$43</f>
        <v>NIHIL</v>
      </c>
      <c r="N42" s="729"/>
      <c r="O42" s="730"/>
    </row>
    <row r="43" spans="1:15" ht="15.75" customHeight="1">
      <c r="A43" s="706" t="s">
        <v>297</v>
      </c>
      <c r="B43" s="707"/>
      <c r="C43" s="707"/>
      <c r="D43" s="707"/>
      <c r="E43" s="708"/>
      <c r="F43" s="398"/>
      <c r="G43" s="398"/>
      <c r="H43" s="398"/>
      <c r="I43" s="638"/>
      <c r="J43" s="638"/>
      <c r="K43" s="639"/>
      <c r="L43" s="404" t="str">
        <f>'PD0101'!G44</f>
        <v xml:space="preserve">PROBABILIDADE DE PATERNIDADE: </v>
      </c>
      <c r="M43" s="732" t="str">
        <f>'PD0101'!$AG$44</f>
        <v>NIHIL</v>
      </c>
      <c r="N43" s="732"/>
      <c r="O43" s="733"/>
    </row>
    <row r="44" spans="1:15" ht="15.75" customHeight="1">
      <c r="A44" s="706"/>
      <c r="B44" s="707"/>
      <c r="C44" s="707"/>
      <c r="D44" s="707"/>
      <c r="E44" s="708"/>
      <c r="F44" s="398"/>
      <c r="G44" s="398"/>
      <c r="H44" s="398"/>
      <c r="I44" s="638"/>
      <c r="J44" s="638"/>
      <c r="K44" s="639"/>
      <c r="L44" s="404" t="str">
        <f>'PD0101'!G45</f>
        <v xml:space="preserve">CAP. DE EFICIÊNCIA DOS MARCADORES: </v>
      </c>
      <c r="M44" s="732" t="str">
        <f>'PD0101'!$AG$45</f>
        <v>EXCLUSÃO</v>
      </c>
      <c r="N44" s="732"/>
      <c r="O44" s="733"/>
    </row>
    <row r="45" spans="1:15" ht="15.75" customHeight="1" thickBot="1">
      <c r="A45" s="739"/>
      <c r="B45" s="740"/>
      <c r="C45" s="740"/>
      <c r="D45" s="740"/>
      <c r="E45" s="741"/>
      <c r="F45" s="320"/>
      <c r="G45" s="316"/>
      <c r="H45" s="316"/>
      <c r="I45" s="403" t="str">
        <f>'PD0101'!$G$46</f>
        <v xml:space="preserve">RESULTADO: </v>
      </c>
      <c r="J45" s="737" t="str">
        <f>'PD0101'!$AG$46</f>
        <v>EXCLUSÃO</v>
      </c>
      <c r="K45" s="737"/>
      <c r="L45" s="737"/>
      <c r="M45" s="737"/>
      <c r="N45" s="737"/>
      <c r="O45" s="738"/>
    </row>
    <row r="46" spans="1:15" ht="13.5" thickTop="1">
      <c r="A46" s="317"/>
      <c r="O46" s="391"/>
    </row>
    <row r="47" spans="1:15" hidden="1">
      <c r="A47" s="317"/>
      <c r="O47" s="391"/>
    </row>
    <row r="48" spans="1:15">
      <c r="A48" s="748"/>
      <c r="B48" s="749"/>
      <c r="C48" s="749"/>
      <c r="D48" s="749"/>
      <c r="E48" s="749"/>
      <c r="F48" s="749"/>
      <c r="G48" s="749"/>
      <c r="H48" s="749"/>
      <c r="I48" s="749"/>
      <c r="J48" s="749"/>
      <c r="K48" s="749"/>
      <c r="L48" s="749"/>
      <c r="M48" s="749"/>
      <c r="N48" s="749"/>
      <c r="O48" s="750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4"/>
    </row>
    <row r="53" spans="1:15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7"/>
    </row>
    <row r="54" spans="1:15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6"/>
    </row>
    <row r="55" spans="1:15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6"/>
    </row>
    <row r="56" spans="1:15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6"/>
    </row>
    <row r="57" spans="1:15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6"/>
    </row>
    <row r="58" spans="1:15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4"/>
    </row>
    <row r="59" spans="1:15" ht="13.5" hidden="1" thickTop="1">
      <c r="A59" s="317"/>
      <c r="O59" s="391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/>
    <row r="63" spans="1:15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322"/>
      <c r="N63" s="322"/>
      <c r="O63" s="322"/>
    </row>
    <row r="64" spans="1:15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322"/>
      <c r="N64" s="322"/>
      <c r="O64" s="322"/>
    </row>
    <row r="65" spans="1:15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</row>
    <row r="66" spans="1:15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</row>
    <row r="67" spans="1:15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</row>
    <row r="68" spans="1:15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</row>
    <row r="69" spans="1:15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</row>
  </sheetData>
  <mergeCells count="57">
    <mergeCell ref="C69:O69"/>
    <mergeCell ref="A48:O48"/>
    <mergeCell ref="C67:O67"/>
    <mergeCell ref="C68:O68"/>
    <mergeCell ref="A55:O55"/>
    <mergeCell ref="C65:O65"/>
    <mergeCell ref="C66:O66"/>
    <mergeCell ref="C63:L63"/>
    <mergeCell ref="C64:L64"/>
    <mergeCell ref="A58:O58"/>
    <mergeCell ref="A57:O57"/>
    <mergeCell ref="A56:O56"/>
    <mergeCell ref="A43:E43"/>
    <mergeCell ref="J45:O45"/>
    <mergeCell ref="M44:O44"/>
    <mergeCell ref="A45:E45"/>
    <mergeCell ref="A52:O52"/>
    <mergeCell ref="A53:O53"/>
    <mergeCell ref="A54:O54"/>
    <mergeCell ref="A44:E44"/>
    <mergeCell ref="M42:O42"/>
    <mergeCell ref="A28:E28"/>
    <mergeCell ref="K14:O14"/>
    <mergeCell ref="A41:E41"/>
    <mergeCell ref="M43:O43"/>
    <mergeCell ref="A42:E42"/>
    <mergeCell ref="A24:E24"/>
    <mergeCell ref="A25:E25"/>
    <mergeCell ref="A26:E26"/>
    <mergeCell ref="A27:E27"/>
    <mergeCell ref="A30:E36"/>
    <mergeCell ref="A38:E38"/>
    <mergeCell ref="A40:E40"/>
    <mergeCell ref="A23:E23"/>
    <mergeCell ref="B12:H12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K12:O12"/>
    <mergeCell ref="K15:N15"/>
    <mergeCell ref="I19:J19"/>
    <mergeCell ref="B15:G15"/>
    <mergeCell ref="B13:G13"/>
    <mergeCell ref="A39:E39"/>
    <mergeCell ref="B14:G14"/>
    <mergeCell ref="B16:G16"/>
    <mergeCell ref="A21:E21"/>
    <mergeCell ref="A20:E20"/>
  </mergeCells>
  <phoneticPr fontId="31" type="noConversion"/>
  <pageMargins left="1.2598425196850394" right="0.39370078740157483" top="0.39370078740157483" bottom="0.39370078740157483" header="0.31496062992125984" footer="0.31496062992125984"/>
  <pageSetup paperSize="9" scale="88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9"/>
  <sheetViews>
    <sheetView zoomScale="160" zoomScaleNormal="160" workbookViewId="0">
      <selection activeCell="M20" sqref="M20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3" width="5.7109375" customWidth="1"/>
    <col min="14" max="14" width="6.28515625" customWidth="1"/>
    <col min="16" max="18" width="9.140625" customWidth="1"/>
    <col min="19" max="19" width="0" hidden="1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70"/>
      <c r="G2" s="770"/>
      <c r="H2" s="770"/>
      <c r="I2" s="770"/>
      <c r="J2" s="770"/>
      <c r="K2" s="770"/>
      <c r="L2" s="770"/>
      <c r="M2" s="770"/>
      <c r="N2" s="771"/>
    </row>
    <row r="3" spans="1:19">
      <c r="A3" s="386"/>
      <c r="B3" s="390"/>
      <c r="C3" s="390"/>
      <c r="D3" s="390"/>
      <c r="E3" s="400"/>
      <c r="F3" s="656"/>
      <c r="G3" s="656"/>
      <c r="H3" s="655"/>
      <c r="I3" s="773"/>
      <c r="J3" s="773"/>
      <c r="K3" s="773"/>
      <c r="L3" s="773"/>
      <c r="M3" s="773"/>
      <c r="N3" s="774"/>
    </row>
    <row r="4" spans="1:19" ht="12.75" customHeight="1">
      <c r="A4" s="386"/>
      <c r="B4" s="390"/>
      <c r="C4" s="390"/>
      <c r="D4" s="390"/>
      <c r="E4" s="717"/>
      <c r="F4" s="717"/>
      <c r="G4" s="717"/>
      <c r="H4" s="717"/>
      <c r="I4" s="717"/>
      <c r="J4" s="717"/>
      <c r="K4" s="717"/>
      <c r="L4" s="721"/>
      <c r="M4" s="721"/>
      <c r="N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21"/>
      <c r="M5" s="721"/>
      <c r="N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21"/>
      <c r="M6" s="721"/>
      <c r="N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21"/>
      <c r="M7" s="721"/>
      <c r="N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21"/>
      <c r="M8" s="721"/>
      <c r="N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21"/>
      <c r="M9" s="721"/>
      <c r="N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23"/>
      <c r="M10" s="723"/>
      <c r="N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20"/>
    </row>
    <row r="12" spans="1:19" ht="13.5" thickTop="1">
      <c r="A12" s="407" t="s">
        <v>250</v>
      </c>
      <c r="B12" s="777"/>
      <c r="C12" s="777"/>
      <c r="D12" s="777"/>
      <c r="E12" s="777"/>
      <c r="F12" s="777"/>
      <c r="G12" s="777"/>
      <c r="H12" s="777"/>
      <c r="I12" s="686"/>
      <c r="J12" s="687" t="s">
        <v>357</v>
      </c>
      <c r="K12" s="775"/>
      <c r="L12" s="775"/>
      <c r="M12" s="775"/>
      <c r="N12" s="776"/>
    </row>
    <row r="13" spans="1:19">
      <c r="A13" s="407" t="s">
        <v>356</v>
      </c>
      <c r="B13" s="778"/>
      <c r="C13" s="778"/>
      <c r="D13" s="778"/>
      <c r="E13" s="778"/>
      <c r="F13" s="778"/>
      <c r="G13" s="778"/>
      <c r="H13" s="321"/>
      <c r="J13" s="321" t="s">
        <v>362</v>
      </c>
      <c r="K13" s="406"/>
      <c r="L13" s="406"/>
      <c r="M13" s="406"/>
      <c r="N13" s="691"/>
    </row>
    <row r="14" spans="1:19">
      <c r="A14" s="407"/>
      <c r="B14" s="755"/>
      <c r="C14" s="755"/>
      <c r="D14" s="755"/>
      <c r="E14" s="755"/>
      <c r="F14" s="755"/>
      <c r="G14" s="755"/>
      <c r="H14" s="405"/>
      <c r="J14" s="321" t="s">
        <v>251</v>
      </c>
      <c r="K14" s="755"/>
      <c r="L14" s="755"/>
      <c r="M14" s="755"/>
      <c r="N14" s="756"/>
    </row>
    <row r="15" spans="1:19">
      <c r="A15" s="407"/>
      <c r="B15" s="755"/>
      <c r="C15" s="755"/>
      <c r="D15" s="755"/>
      <c r="E15" s="755"/>
      <c r="F15" s="755"/>
      <c r="G15" s="755"/>
      <c r="H15" s="406"/>
      <c r="J15" s="321"/>
      <c r="K15" s="755"/>
      <c r="L15" s="755"/>
      <c r="M15" s="755"/>
      <c r="N15" s="756"/>
    </row>
    <row r="16" spans="1:19">
      <c r="A16" s="407"/>
      <c r="B16" s="755"/>
      <c r="C16" s="755"/>
      <c r="D16" s="755"/>
      <c r="E16" s="755"/>
      <c r="F16" s="755"/>
      <c r="G16" s="755"/>
      <c r="H16" s="406"/>
      <c r="J16" s="405"/>
      <c r="K16" s="406"/>
      <c r="L16" s="406"/>
      <c r="M16" s="406"/>
      <c r="N16" s="688"/>
    </row>
    <row r="17" spans="1:14" ht="13.5" thickBot="1">
      <c r="A17" s="407" t="str">
        <f>IF(B17="","","Sup. Pai2:")</f>
        <v/>
      </c>
      <c r="B17" s="772"/>
      <c r="C17" s="772"/>
      <c r="D17" s="772"/>
      <c r="E17" s="772"/>
      <c r="F17" s="689"/>
      <c r="G17" s="689"/>
      <c r="H17" s="689"/>
      <c r="I17" s="689"/>
      <c r="J17" s="689"/>
      <c r="K17" s="689"/>
      <c r="L17" s="690"/>
      <c r="M17" s="108"/>
      <c r="N17" s="688"/>
    </row>
    <row r="18" spans="1:14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6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57" t="s">
        <v>50</v>
      </c>
      <c r="G19" s="758"/>
      <c r="H19" s="758" t="s">
        <v>253</v>
      </c>
      <c r="I19" s="758"/>
      <c r="J19" s="758" t="str">
        <f>'PD0201'!D11</f>
        <v>SUP. PAI</v>
      </c>
      <c r="K19" s="758"/>
      <c r="L19" s="676" t="str">
        <f>'PD0201'!X11</f>
        <v>FREQ.</v>
      </c>
      <c r="M19" s="676" t="str">
        <f>'PD0201'!Y11</f>
        <v>PI</v>
      </c>
      <c r="N19" s="677" t="str">
        <f>'PD0201'!Z11</f>
        <v>PR. PAT</v>
      </c>
    </row>
    <row r="20" spans="1:14" ht="15.75" customHeight="1">
      <c r="A20" s="706"/>
      <c r="B20" s="707"/>
      <c r="C20" s="707"/>
      <c r="D20" s="707"/>
      <c r="E20" s="708"/>
      <c r="F20" s="759" t="str">
        <f>'PD0201'!A12</f>
        <v>D3S1358</v>
      </c>
      <c r="G20" s="760"/>
      <c r="H20" s="678">
        <f>'PD0201'!B12</f>
        <v>16</v>
      </c>
      <c r="I20" s="678">
        <f>'PD0201'!C12</f>
        <v>16</v>
      </c>
      <c r="J20" s="678">
        <f>'PD0201'!D12</f>
        <v>0</v>
      </c>
      <c r="K20" s="678">
        <f>'PD0201'!E12</f>
        <v>0</v>
      </c>
      <c r="L20" s="679">
        <f>'PD0201'!X12</f>
        <v>0</v>
      </c>
      <c r="M20" s="680" t="str">
        <f>'PD0201'!Y12</f>
        <v>EXCLUI</v>
      </c>
      <c r="N20" s="681">
        <f>'PD0201'!Z12</f>
        <v>0</v>
      </c>
    </row>
    <row r="21" spans="1:14" ht="15.75" customHeight="1">
      <c r="A21" s="706" t="s">
        <v>350</v>
      </c>
      <c r="B21" s="707"/>
      <c r="C21" s="707"/>
      <c r="D21" s="707"/>
      <c r="E21" s="708"/>
      <c r="F21" s="759" t="str">
        <f>'PD0201'!A13</f>
        <v>D1S1656</v>
      </c>
      <c r="G21" s="760"/>
      <c r="H21" s="678">
        <f>'PD0201'!B13</f>
        <v>16</v>
      </c>
      <c r="I21" s="678">
        <f>'PD0201'!C13</f>
        <v>17</v>
      </c>
      <c r="J21" s="678">
        <f>'PD0201'!D13</f>
        <v>0</v>
      </c>
      <c r="K21" s="678">
        <f>'PD0201'!E13</f>
        <v>0</v>
      </c>
      <c r="L21" s="679">
        <f>'PD0201'!X13</f>
        <v>0</v>
      </c>
      <c r="M21" s="680" t="str">
        <f>'PD0201'!Y13</f>
        <v>EXCLUI</v>
      </c>
      <c r="N21" s="681">
        <f>'PD0201'!Z13</f>
        <v>0</v>
      </c>
    </row>
    <row r="22" spans="1:14" ht="15.75" customHeight="1">
      <c r="A22" s="706" t="s">
        <v>293</v>
      </c>
      <c r="B22" s="707"/>
      <c r="C22" s="707"/>
      <c r="D22" s="707"/>
      <c r="E22" s="708"/>
      <c r="F22" s="759" t="str">
        <f>'PD0201'!A14</f>
        <v>D2S441</v>
      </c>
      <c r="G22" s="760"/>
      <c r="H22" s="678">
        <f>'PD0201'!B14</f>
        <v>10</v>
      </c>
      <c r="I22" s="678">
        <f>'PD0201'!C14</f>
        <v>12</v>
      </c>
      <c r="J22" s="678">
        <f>'PD0201'!D14</f>
        <v>0</v>
      </c>
      <c r="K22" s="678">
        <f>'PD0201'!E14</f>
        <v>0</v>
      </c>
      <c r="L22" s="679">
        <f>'PD0201'!X14</f>
        <v>0</v>
      </c>
      <c r="M22" s="680" t="str">
        <f>'PD0201'!Y14</f>
        <v>EXCLUI</v>
      </c>
      <c r="N22" s="681">
        <f>'PD0201'!Z14</f>
        <v>0</v>
      </c>
    </row>
    <row r="23" spans="1:14" ht="15.75" customHeight="1">
      <c r="A23" s="706" t="s">
        <v>290</v>
      </c>
      <c r="B23" s="707"/>
      <c r="C23" s="707"/>
      <c r="D23" s="707"/>
      <c r="E23" s="708"/>
      <c r="F23" s="759" t="str">
        <f>'PD0201'!A15</f>
        <v>D10S1248</v>
      </c>
      <c r="G23" s="760"/>
      <c r="H23" s="678">
        <f>'PD0201'!B15</f>
        <v>13</v>
      </c>
      <c r="I23" s="678">
        <f>'PD0201'!C15</f>
        <v>13</v>
      </c>
      <c r="J23" s="678">
        <f>'PD0201'!D15</f>
        <v>0</v>
      </c>
      <c r="K23" s="678">
        <f>'PD0201'!E15</f>
        <v>0</v>
      </c>
      <c r="L23" s="679">
        <f>'PD0201'!X15</f>
        <v>0</v>
      </c>
      <c r="M23" s="680" t="str">
        <f>'PD0201'!Y15</f>
        <v>EXCLUI</v>
      </c>
      <c r="N23" s="681">
        <f>'PD0201'!Z15</f>
        <v>0</v>
      </c>
    </row>
    <row r="24" spans="1:14" ht="15.75" customHeight="1">
      <c r="A24" s="706" t="s">
        <v>294</v>
      </c>
      <c r="B24" s="707"/>
      <c r="C24" s="707"/>
      <c r="D24" s="707"/>
      <c r="E24" s="708"/>
      <c r="F24" s="759" t="str">
        <f>'PD0201'!A16</f>
        <v>D13S317</v>
      </c>
      <c r="G24" s="760"/>
      <c r="H24" s="678">
        <f>'PD0201'!B16</f>
        <v>12</v>
      </c>
      <c r="I24" s="678">
        <f>'PD0201'!C16</f>
        <v>12</v>
      </c>
      <c r="J24" s="678">
        <f>'PD0201'!D16</f>
        <v>0</v>
      </c>
      <c r="K24" s="678">
        <f>'PD0201'!E16</f>
        <v>0</v>
      </c>
      <c r="L24" s="679">
        <f>'PD0201'!X16</f>
        <v>0</v>
      </c>
      <c r="M24" s="680" t="str">
        <f>'PD0201'!Y16</f>
        <v>EXCLUI</v>
      </c>
      <c r="N24" s="681">
        <f>'PD0201'!Z16</f>
        <v>0</v>
      </c>
    </row>
    <row r="25" spans="1:14" ht="15.75" customHeight="1">
      <c r="A25" s="706" t="s">
        <v>295</v>
      </c>
      <c r="B25" s="707"/>
      <c r="C25" s="707"/>
      <c r="D25" s="707"/>
      <c r="E25" s="708"/>
      <c r="F25" s="759" t="str">
        <f>'PD0201'!A17</f>
        <v>Penta_E</v>
      </c>
      <c r="G25" s="760"/>
      <c r="H25" s="678">
        <f>'PD0201'!B17</f>
        <v>8</v>
      </c>
      <c r="I25" s="678">
        <f>'PD0201'!C17</f>
        <v>13</v>
      </c>
      <c r="J25" s="678">
        <f>'PD0201'!D17</f>
        <v>0</v>
      </c>
      <c r="K25" s="678">
        <f>'PD0201'!E17</f>
        <v>0</v>
      </c>
      <c r="L25" s="679">
        <f>'PD0201'!X17</f>
        <v>0</v>
      </c>
      <c r="M25" s="680" t="str">
        <f>'PD0201'!Y17</f>
        <v>EXCLUI</v>
      </c>
      <c r="N25" s="681">
        <f>'PD0201'!Z17</f>
        <v>0</v>
      </c>
    </row>
    <row r="26" spans="1:14" ht="15.75" customHeight="1">
      <c r="A26" s="706"/>
      <c r="B26" s="707"/>
      <c r="C26" s="707"/>
      <c r="D26" s="707"/>
      <c r="E26" s="708"/>
      <c r="F26" s="759" t="str">
        <f>'PD0201'!A18</f>
        <v>D16S539</v>
      </c>
      <c r="G26" s="760"/>
      <c r="H26" s="678">
        <f>'PD0201'!B18</f>
        <v>9</v>
      </c>
      <c r="I26" s="678">
        <f>'PD0201'!C18</f>
        <v>11</v>
      </c>
      <c r="J26" s="678">
        <f>'PD0201'!D18</f>
        <v>0</v>
      </c>
      <c r="K26" s="678">
        <f>'PD0201'!E18</f>
        <v>0</v>
      </c>
      <c r="L26" s="679">
        <f>'PD0201'!X18</f>
        <v>0</v>
      </c>
      <c r="M26" s="680" t="str">
        <f>'PD0201'!Y18</f>
        <v>EXCLUI</v>
      </c>
      <c r="N26" s="681">
        <f>'PD0201'!Z18</f>
        <v>0</v>
      </c>
    </row>
    <row r="27" spans="1:14" ht="15.75" customHeight="1">
      <c r="A27" s="706"/>
      <c r="B27" s="707"/>
      <c r="C27" s="707"/>
      <c r="D27" s="707"/>
      <c r="E27" s="708"/>
      <c r="F27" s="759" t="str">
        <f>'PD0201'!A19</f>
        <v>D18S51</v>
      </c>
      <c r="G27" s="760"/>
      <c r="H27" s="678">
        <f>'PD0201'!B19</f>
        <v>14</v>
      </c>
      <c r="I27" s="678">
        <f>'PD0201'!C19</f>
        <v>18</v>
      </c>
      <c r="J27" s="678">
        <f>'PD0201'!D19</f>
        <v>0</v>
      </c>
      <c r="K27" s="678">
        <f>'PD0201'!E19</f>
        <v>0</v>
      </c>
      <c r="L27" s="679">
        <f>'PD0201'!X19</f>
        <v>0</v>
      </c>
      <c r="M27" s="680" t="str">
        <f>'PD0201'!Y19</f>
        <v>EXCLUI</v>
      </c>
      <c r="N27" s="681">
        <f>'PD0201'!Z19</f>
        <v>0</v>
      </c>
    </row>
    <row r="28" spans="1:14" ht="15.75" customHeight="1" thickBot="1">
      <c r="A28" s="706"/>
      <c r="B28" s="707"/>
      <c r="C28" s="707"/>
      <c r="D28" s="707"/>
      <c r="E28" s="708"/>
      <c r="F28" s="759" t="str">
        <f>'PD0201'!A20</f>
        <v>D2S1338</v>
      </c>
      <c r="G28" s="760"/>
      <c r="H28" s="678">
        <f>'PD0201'!B20</f>
        <v>16</v>
      </c>
      <c r="I28" s="678">
        <f>'PD0201'!C20</f>
        <v>24</v>
      </c>
      <c r="J28" s="678">
        <f>'PD0201'!D20</f>
        <v>0</v>
      </c>
      <c r="K28" s="678">
        <f>'PD0201'!E20</f>
        <v>0</v>
      </c>
      <c r="L28" s="679">
        <f>'PD0201'!X20</f>
        <v>0</v>
      </c>
      <c r="M28" s="680" t="str">
        <f>'PD0201'!Y20</f>
        <v>EXCLUI</v>
      </c>
      <c r="N28" s="681">
        <f>'PD0201'!Z20</f>
        <v>0</v>
      </c>
    </row>
    <row r="29" spans="1:14" ht="15.75" customHeight="1" thickTop="1" thickBot="1">
      <c r="A29" s="410" t="s">
        <v>300</v>
      </c>
      <c r="B29" s="411"/>
      <c r="C29" s="409"/>
      <c r="D29" s="409"/>
      <c r="E29" s="412"/>
      <c r="F29" s="759" t="str">
        <f>'PD0201'!A21</f>
        <v>CSF1PO</v>
      </c>
      <c r="G29" s="760"/>
      <c r="H29" s="678">
        <f>'PD0201'!B21</f>
        <v>10</v>
      </c>
      <c r="I29" s="678">
        <f>'PD0201'!C21</f>
        <v>13</v>
      </c>
      <c r="J29" s="678">
        <f>'PD0201'!D21</f>
        <v>0</v>
      </c>
      <c r="K29" s="678">
        <f>'PD0201'!E21</f>
        <v>0</v>
      </c>
      <c r="L29" s="679">
        <f>'PD0201'!X21</f>
        <v>0</v>
      </c>
      <c r="M29" s="680" t="str">
        <f>'PD0201'!Y21</f>
        <v>EXCLUI</v>
      </c>
      <c r="N29" s="681">
        <f>'PD0201'!Z21</f>
        <v>0</v>
      </c>
    </row>
    <row r="30" spans="1:14" ht="15.75" customHeight="1" thickTop="1">
      <c r="A30" s="706" t="s">
        <v>348</v>
      </c>
      <c r="B30" s="707"/>
      <c r="C30" s="707"/>
      <c r="D30" s="707"/>
      <c r="E30" s="708"/>
      <c r="F30" s="759" t="str">
        <f>'PD0201'!A22</f>
        <v>Penta_D</v>
      </c>
      <c r="G30" s="760"/>
      <c r="H30" s="678">
        <f>'PD0201'!B22</f>
        <v>12</v>
      </c>
      <c r="I30" s="678">
        <f>'PD0201'!C22</f>
        <v>12</v>
      </c>
      <c r="J30" s="678">
        <f>'PD0201'!D22</f>
        <v>0</v>
      </c>
      <c r="K30" s="678">
        <f>'PD0201'!E22</f>
        <v>0</v>
      </c>
      <c r="L30" s="679">
        <f>'PD0201'!X22</f>
        <v>0</v>
      </c>
      <c r="M30" s="680" t="str">
        <f>'PD0201'!Y22</f>
        <v>EXCLUI</v>
      </c>
      <c r="N30" s="681">
        <f>'PD0201'!Z22</f>
        <v>0</v>
      </c>
    </row>
    <row r="31" spans="1:14" ht="15.75" customHeight="1">
      <c r="A31" s="706"/>
      <c r="B31" s="707"/>
      <c r="C31" s="707"/>
      <c r="D31" s="707"/>
      <c r="E31" s="708"/>
      <c r="F31" s="759" t="str">
        <f>'PD0201'!A23</f>
        <v>TH01</v>
      </c>
      <c r="G31" s="760"/>
      <c r="H31" s="678">
        <f>'PD0201'!B23</f>
        <v>9</v>
      </c>
      <c r="I31" s="678">
        <f>'PD0201'!C23</f>
        <v>9</v>
      </c>
      <c r="J31" s="678">
        <f>'PD0201'!D23</f>
        <v>0</v>
      </c>
      <c r="K31" s="678">
        <f>'PD0201'!E23</f>
        <v>0</v>
      </c>
      <c r="L31" s="679">
        <f>'PD0201'!X23</f>
        <v>0</v>
      </c>
      <c r="M31" s="680" t="str">
        <f>'PD0201'!Y23</f>
        <v>EXCLUI</v>
      </c>
      <c r="N31" s="681">
        <f>'PD0201'!Z23</f>
        <v>0</v>
      </c>
    </row>
    <row r="32" spans="1:14" ht="15.75" customHeight="1">
      <c r="A32" s="706"/>
      <c r="B32" s="707"/>
      <c r="C32" s="707"/>
      <c r="D32" s="707"/>
      <c r="E32" s="708"/>
      <c r="F32" s="759" t="str">
        <f>'PD0201'!A24</f>
        <v>vWA</v>
      </c>
      <c r="G32" s="760"/>
      <c r="H32" s="678">
        <f>'PD0201'!B24</f>
        <v>15</v>
      </c>
      <c r="I32" s="678">
        <f>'PD0201'!C24</f>
        <v>15</v>
      </c>
      <c r="J32" s="678">
        <f>'PD0201'!D24</f>
        <v>0</v>
      </c>
      <c r="K32" s="678">
        <f>'PD0201'!E24</f>
        <v>0</v>
      </c>
      <c r="L32" s="679">
        <f>'PD0201'!X24</f>
        <v>0</v>
      </c>
      <c r="M32" s="680" t="str">
        <f>'PD0201'!Y24</f>
        <v>EXCLUI</v>
      </c>
      <c r="N32" s="681">
        <f>'PD0201'!Z24</f>
        <v>0</v>
      </c>
    </row>
    <row r="33" spans="1:14" ht="15.75" customHeight="1">
      <c r="A33" s="706"/>
      <c r="B33" s="707"/>
      <c r="C33" s="707"/>
      <c r="D33" s="707"/>
      <c r="E33" s="708"/>
      <c r="F33" s="759" t="str">
        <f>'PD0201'!A25</f>
        <v>D21S11</v>
      </c>
      <c r="G33" s="760"/>
      <c r="H33" s="678">
        <f>'PD0201'!B25</f>
        <v>29</v>
      </c>
      <c r="I33" s="678">
        <f>'PD0201'!C25</f>
        <v>30</v>
      </c>
      <c r="J33" s="678">
        <f>'PD0201'!D25</f>
        <v>0</v>
      </c>
      <c r="K33" s="678">
        <f>'PD0201'!E25</f>
        <v>0</v>
      </c>
      <c r="L33" s="679">
        <f>'PD0201'!X25</f>
        <v>0</v>
      </c>
      <c r="M33" s="680" t="str">
        <f>'PD0201'!Y25</f>
        <v>EXCLUI</v>
      </c>
      <c r="N33" s="681">
        <f>'PD0201'!Z25</f>
        <v>0</v>
      </c>
    </row>
    <row r="34" spans="1:14" ht="15.75" customHeight="1">
      <c r="A34" s="706"/>
      <c r="B34" s="707"/>
      <c r="C34" s="707"/>
      <c r="D34" s="707"/>
      <c r="E34" s="708"/>
      <c r="F34" s="759" t="str">
        <f>'PD0201'!A26</f>
        <v>D7S820</v>
      </c>
      <c r="G34" s="760"/>
      <c r="H34" s="678">
        <f>'PD0201'!B26</f>
        <v>9</v>
      </c>
      <c r="I34" s="678">
        <f>'PD0201'!C26</f>
        <v>10</v>
      </c>
      <c r="J34" s="678">
        <f>'PD0201'!D26</f>
        <v>0</v>
      </c>
      <c r="K34" s="678">
        <f>'PD0201'!E26</f>
        <v>0</v>
      </c>
      <c r="L34" s="679">
        <f>'PD0201'!X26</f>
        <v>0</v>
      </c>
      <c r="M34" s="680" t="str">
        <f>'PD0201'!Y26</f>
        <v>EXCLUI</v>
      </c>
      <c r="N34" s="681">
        <f>'PD0201'!Z26</f>
        <v>0</v>
      </c>
    </row>
    <row r="35" spans="1:14" ht="15.75" customHeight="1">
      <c r="A35" s="706"/>
      <c r="B35" s="707"/>
      <c r="C35" s="707"/>
      <c r="D35" s="707"/>
      <c r="E35" s="708"/>
      <c r="F35" s="759" t="str">
        <f>'PD0201'!A27</f>
        <v>D5S818</v>
      </c>
      <c r="G35" s="760"/>
      <c r="H35" s="678">
        <f>'PD0201'!B27</f>
        <v>12</v>
      </c>
      <c r="I35" s="678">
        <f>'PD0201'!C27</f>
        <v>13</v>
      </c>
      <c r="J35" s="678">
        <f>'PD0201'!D27</f>
        <v>0</v>
      </c>
      <c r="K35" s="678">
        <f>'PD0201'!E27</f>
        <v>0</v>
      </c>
      <c r="L35" s="679">
        <f>'PD0201'!X27</f>
        <v>0</v>
      </c>
      <c r="M35" s="680" t="str">
        <f>'PD0201'!Y27</f>
        <v>EXCLUI</v>
      </c>
      <c r="N35" s="681">
        <f>'PD0201'!Z27</f>
        <v>0</v>
      </c>
    </row>
    <row r="36" spans="1:14" ht="15.75" customHeight="1" thickBot="1">
      <c r="A36" s="706"/>
      <c r="B36" s="707"/>
      <c r="C36" s="707"/>
      <c r="D36" s="707"/>
      <c r="E36" s="708"/>
      <c r="F36" s="759" t="str">
        <f>'PD0201'!A28</f>
        <v>TPOX</v>
      </c>
      <c r="G36" s="760"/>
      <c r="H36" s="678">
        <f>'PD0201'!B28</f>
        <v>8</v>
      </c>
      <c r="I36" s="678">
        <f>'PD0201'!C28</f>
        <v>11</v>
      </c>
      <c r="J36" s="678">
        <f>'PD0201'!D28</f>
        <v>0</v>
      </c>
      <c r="K36" s="678">
        <f>'PD0201'!E28</f>
        <v>0</v>
      </c>
      <c r="L36" s="679">
        <f>'PD0201'!X28</f>
        <v>0</v>
      </c>
      <c r="M36" s="680" t="str">
        <f>'PD0201'!Y28</f>
        <v>EXCLUI</v>
      </c>
      <c r="N36" s="681">
        <f>'PD0201'!Z28</f>
        <v>0</v>
      </c>
    </row>
    <row r="37" spans="1:14" ht="15.75" customHeight="1" thickTop="1" thickBot="1">
      <c r="A37" s="413" t="s">
        <v>301</v>
      </c>
      <c r="B37" s="409"/>
      <c r="C37" s="409"/>
      <c r="D37" s="409"/>
      <c r="E37" s="412"/>
      <c r="F37" s="759" t="str">
        <f>'PD0201'!A29</f>
        <v>D8S1179</v>
      </c>
      <c r="G37" s="760"/>
      <c r="H37" s="678">
        <f>'PD0201'!B29</f>
        <v>13</v>
      </c>
      <c r="I37" s="678">
        <f>'PD0201'!C29</f>
        <v>15</v>
      </c>
      <c r="J37" s="678">
        <f>'PD0201'!D29</f>
        <v>0</v>
      </c>
      <c r="K37" s="678">
        <f>'PD0201'!E29</f>
        <v>0</v>
      </c>
      <c r="L37" s="679">
        <f>'PD0201'!X29</f>
        <v>0</v>
      </c>
      <c r="M37" s="680" t="str">
        <f>'PD0201'!Y29</f>
        <v>EXCLUI</v>
      </c>
      <c r="N37" s="681">
        <f>'PD0201'!Z29</f>
        <v>0</v>
      </c>
    </row>
    <row r="38" spans="1:14" ht="15.75" customHeight="1" thickTop="1">
      <c r="A38" s="706"/>
      <c r="B38" s="707"/>
      <c r="C38" s="707"/>
      <c r="D38" s="707"/>
      <c r="E38" s="708"/>
      <c r="F38" s="759" t="str">
        <f>'PD0201'!A30</f>
        <v>D12S391</v>
      </c>
      <c r="G38" s="760"/>
      <c r="H38" s="678">
        <f>'PD0201'!B30</f>
        <v>19</v>
      </c>
      <c r="I38" s="678">
        <f>'PD0201'!C30</f>
        <v>19</v>
      </c>
      <c r="J38" s="678">
        <f>'PD0201'!D30</f>
        <v>0</v>
      </c>
      <c r="K38" s="678">
        <f>'PD0201'!E30</f>
        <v>0</v>
      </c>
      <c r="L38" s="679">
        <f>'PD0201'!X30</f>
        <v>0</v>
      </c>
      <c r="M38" s="680" t="str">
        <f>'PD0201'!Y30</f>
        <v>EXCLUI</v>
      </c>
      <c r="N38" s="681">
        <f>'PD0201'!Z30</f>
        <v>0</v>
      </c>
    </row>
    <row r="39" spans="1:14" ht="15.75" customHeight="1">
      <c r="A39" s="703"/>
      <c r="B39" s="704"/>
      <c r="C39" s="704"/>
      <c r="D39" s="704"/>
      <c r="E39" s="705"/>
      <c r="F39" s="759" t="str">
        <f>'PD0201'!A31</f>
        <v>D19S433</v>
      </c>
      <c r="G39" s="760"/>
      <c r="H39" s="678">
        <f>'PD0201'!B31</f>
        <v>13</v>
      </c>
      <c r="I39" s="678">
        <f>'PD0201'!C31</f>
        <v>13.2</v>
      </c>
      <c r="J39" s="678">
        <f>'PD0201'!D31</f>
        <v>0</v>
      </c>
      <c r="K39" s="678">
        <f>'PD0201'!E31</f>
        <v>0</v>
      </c>
      <c r="L39" s="679">
        <f>'PD0201'!X31</f>
        <v>0</v>
      </c>
      <c r="M39" s="680" t="str">
        <f>'PD0201'!Y31</f>
        <v>EXCLUI</v>
      </c>
      <c r="N39" s="681">
        <f>'PD0201'!Z31</f>
        <v>0</v>
      </c>
    </row>
    <row r="40" spans="1:14" ht="15.75" customHeight="1">
      <c r="A40" s="706"/>
      <c r="B40" s="707"/>
      <c r="C40" s="707"/>
      <c r="D40" s="707"/>
      <c r="E40" s="708"/>
      <c r="F40" s="759" t="str">
        <f>'PD0201'!A32</f>
        <v>FGA</v>
      </c>
      <c r="G40" s="760"/>
      <c r="H40" s="678">
        <f>'PD0201'!B32</f>
        <v>21</v>
      </c>
      <c r="I40" s="678">
        <f>'PD0201'!C32</f>
        <v>23</v>
      </c>
      <c r="J40" s="678">
        <f>'PD0201'!D32</f>
        <v>0</v>
      </c>
      <c r="K40" s="678">
        <f>'PD0201'!E32</f>
        <v>0</v>
      </c>
      <c r="L40" s="679">
        <f>'PD0201'!X32</f>
        <v>0</v>
      </c>
      <c r="M40" s="680" t="str">
        <f>'PD0201'!Y32</f>
        <v>EXCLUI</v>
      </c>
      <c r="N40" s="681">
        <f>'PD0201'!Z32</f>
        <v>0</v>
      </c>
    </row>
    <row r="41" spans="1:14" ht="15.75" customHeight="1" thickBot="1">
      <c r="A41" s="706" t="s">
        <v>296</v>
      </c>
      <c r="B41" s="707"/>
      <c r="C41" s="707"/>
      <c r="D41" s="707"/>
      <c r="E41" s="708"/>
      <c r="F41" s="765" t="str">
        <f>'PD0201'!A33</f>
        <v>D22S1045</v>
      </c>
      <c r="G41" s="766"/>
      <c r="H41" s="682">
        <f>'PD0201'!B33</f>
        <v>10</v>
      </c>
      <c r="I41" s="682">
        <f>'PD0201'!C33</f>
        <v>16</v>
      </c>
      <c r="J41" s="682">
        <f>'PD0201'!D33</f>
        <v>0</v>
      </c>
      <c r="K41" s="682">
        <f>'PD0201'!E33</f>
        <v>0</v>
      </c>
      <c r="L41" s="683">
        <f>'PD0201'!X33</f>
        <v>0</v>
      </c>
      <c r="M41" s="684" t="str">
        <f>'PD0201'!Y33</f>
        <v>EXCLUI</v>
      </c>
      <c r="N41" s="685">
        <f>'PD0201'!Z33</f>
        <v>0</v>
      </c>
    </row>
    <row r="42" spans="1:14" ht="15.75" customHeight="1" thickTop="1">
      <c r="A42" s="706"/>
      <c r="B42" s="707"/>
      <c r="C42" s="707"/>
      <c r="D42" s="707"/>
      <c r="E42" s="708"/>
      <c r="F42" s="398"/>
      <c r="G42" s="86"/>
      <c r="H42" s="636"/>
      <c r="I42" s="636"/>
      <c r="J42" s="86"/>
      <c r="K42" s="404"/>
      <c r="L42" s="404" t="str">
        <f>'PD0201'!$X$46</f>
        <v>ÍNDICE DE PATERNIDADE ACUMULADO:</v>
      </c>
      <c r="M42" s="761" t="str">
        <f>'PD0201'!Y46</f>
        <v>NIHIL</v>
      </c>
      <c r="N42" s="762"/>
    </row>
    <row r="43" spans="1:14" ht="15.75" customHeight="1">
      <c r="A43" s="706" t="s">
        <v>297</v>
      </c>
      <c r="B43" s="707"/>
      <c r="C43" s="707"/>
      <c r="D43" s="707"/>
      <c r="E43" s="708"/>
      <c r="F43" s="398"/>
      <c r="G43" s="86"/>
      <c r="H43" s="636"/>
      <c r="I43" s="636"/>
      <c r="J43" s="86"/>
      <c r="K43" s="404"/>
      <c r="L43" s="635" t="str">
        <f>'PD0201'!$X$47</f>
        <v>PROBABILIDADE DE PATERNIDADE:</v>
      </c>
      <c r="M43" s="763" t="str">
        <f>'PD0201'!Y47</f>
        <v>EXCLUSÃO</v>
      </c>
      <c r="N43" s="764"/>
    </row>
    <row r="44" spans="1:14" ht="15.75" customHeight="1">
      <c r="A44" s="706"/>
      <c r="B44" s="707"/>
      <c r="C44" s="707"/>
      <c r="D44" s="707"/>
      <c r="E44" s="708"/>
      <c r="F44" s="398"/>
      <c r="G44" s="86"/>
      <c r="H44" s="636"/>
      <c r="I44" s="636"/>
      <c r="J44" s="86"/>
      <c r="K44" s="404"/>
      <c r="L44" s="404" t="str">
        <f>'PD0201'!$X$48</f>
        <v>CAP. DE EFICIÊNCIA DOS MARCADORES:</v>
      </c>
      <c r="M44" s="763" t="str">
        <f>'PD0201'!Y48</f>
        <v>EXCLUSÃO</v>
      </c>
      <c r="N44" s="764"/>
    </row>
    <row r="45" spans="1:14" ht="15.75" customHeight="1" thickBot="1">
      <c r="A45" s="739"/>
      <c r="B45" s="740"/>
      <c r="C45" s="740"/>
      <c r="D45" s="740"/>
      <c r="E45" s="741"/>
      <c r="F45" s="316"/>
      <c r="G45" s="637"/>
      <c r="H45" s="403" t="str">
        <f>'PD0201'!$X$49</f>
        <v>RESULTADO:</v>
      </c>
      <c r="I45" s="737" t="str">
        <f>'PD0201'!$Y$49</f>
        <v>EXCLUSÃO</v>
      </c>
      <c r="J45" s="737"/>
      <c r="K45" s="737"/>
      <c r="L45" s="737"/>
      <c r="M45" s="737"/>
      <c r="N45" s="738"/>
    </row>
    <row r="46" spans="1:14" ht="13.5" thickTop="1">
      <c r="A46" s="317"/>
      <c r="N46" s="391"/>
    </row>
    <row r="47" spans="1:14" hidden="1">
      <c r="A47" s="317"/>
      <c r="N47" s="391"/>
    </row>
    <row r="48" spans="1:14">
      <c r="A48" s="767"/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9"/>
    </row>
    <row r="49" spans="1:14">
      <c r="A49" s="692"/>
      <c r="B49" s="694"/>
      <c r="C49" s="694"/>
      <c r="D49" s="694"/>
      <c r="E49" s="694"/>
      <c r="F49" s="694"/>
      <c r="G49" s="694"/>
      <c r="H49" s="694"/>
      <c r="I49" s="694"/>
      <c r="J49" s="694"/>
      <c r="K49" s="694"/>
      <c r="L49" s="694"/>
      <c r="M49" s="694"/>
      <c r="N49" s="693"/>
    </row>
    <row r="50" spans="1:14" hidden="1">
      <c r="A50" s="692"/>
      <c r="B50" s="694"/>
      <c r="C50" s="694"/>
      <c r="D50" s="694"/>
      <c r="E50" s="694"/>
      <c r="F50" s="694"/>
      <c r="G50" s="694"/>
      <c r="H50" s="694"/>
      <c r="I50" s="694"/>
      <c r="J50" s="694"/>
      <c r="K50" s="694"/>
      <c r="L50" s="694"/>
      <c r="M50" s="694"/>
      <c r="N50" s="693"/>
    </row>
    <row r="51" spans="1:14">
      <c r="A51" s="692"/>
      <c r="B51" s="694"/>
      <c r="C51" s="694"/>
      <c r="D51" s="694"/>
      <c r="E51" s="694"/>
      <c r="F51" s="694"/>
      <c r="G51" s="694"/>
      <c r="H51" s="694"/>
      <c r="I51" s="694"/>
      <c r="J51" s="694"/>
      <c r="K51" s="694"/>
      <c r="L51" s="694"/>
      <c r="M51" s="694"/>
      <c r="N51" s="693"/>
    </row>
    <row r="52" spans="1:14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4"/>
    </row>
    <row r="53" spans="1:14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7"/>
    </row>
    <row r="54" spans="1:14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6"/>
    </row>
    <row r="55" spans="1:14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6"/>
    </row>
    <row r="56" spans="1:14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6"/>
    </row>
    <row r="57" spans="1:14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6"/>
    </row>
    <row r="58" spans="1:14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4"/>
    </row>
    <row r="59" spans="1:14" ht="13.5" hidden="1" thickTop="1">
      <c r="A59" s="317"/>
      <c r="N59" s="391"/>
    </row>
    <row r="60" spans="1:14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99"/>
    </row>
    <row r="61" spans="1:14" ht="13.5" thickTop="1"/>
    <row r="63" spans="1:14">
      <c r="C63" s="751"/>
      <c r="D63" s="751"/>
      <c r="E63" s="751"/>
      <c r="F63" s="751"/>
      <c r="G63" s="751"/>
      <c r="H63" s="751"/>
      <c r="I63" s="751"/>
      <c r="J63" s="751"/>
      <c r="K63" s="751"/>
      <c r="L63" s="322"/>
      <c r="M63" s="322"/>
      <c r="N63" s="322"/>
    </row>
    <row r="64" spans="1:14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322"/>
      <c r="M64" s="322"/>
      <c r="N64" s="322"/>
    </row>
    <row r="65" spans="1:14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</row>
    <row r="66" spans="1:14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</row>
    <row r="67" spans="1:14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</row>
    <row r="68" spans="1:14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</row>
    <row r="69" spans="1:14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</row>
  </sheetData>
  <mergeCells count="79">
    <mergeCell ref="A48:N48"/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J19:K19"/>
    <mergeCell ref="C68:N68"/>
    <mergeCell ref="A52:N52"/>
    <mergeCell ref="A53:N53"/>
    <mergeCell ref="A54:N54"/>
    <mergeCell ref="A55:N55"/>
    <mergeCell ref="A56:N56"/>
    <mergeCell ref="A57:N57"/>
    <mergeCell ref="C65:N65"/>
    <mergeCell ref="C66:N66"/>
    <mergeCell ref="C67:N67"/>
    <mergeCell ref="A58:N58"/>
    <mergeCell ref="C63:K63"/>
    <mergeCell ref="C64:K64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I45:N45"/>
    <mergeCell ref="F35:G35"/>
    <mergeCell ref="F36:G36"/>
    <mergeCell ref="M42:N42"/>
    <mergeCell ref="M43:N43"/>
    <mergeCell ref="M44:N44"/>
    <mergeCell ref="F41:G41"/>
    <mergeCell ref="F29:G29"/>
    <mergeCell ref="F39:G39"/>
    <mergeCell ref="F37:G37"/>
    <mergeCell ref="F38:G38"/>
    <mergeCell ref="F34:G34"/>
    <mergeCell ref="C69:N69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9"/>
  <sheetViews>
    <sheetView tabSelected="1" zoomScale="160" zoomScaleNormal="160" workbookViewId="0">
      <selection activeCell="M4" sqref="M4:Q10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3"/>
      <c r="S1" t="s">
        <v>347</v>
      </c>
    </row>
    <row r="2" spans="1:19">
      <c r="A2" s="386"/>
      <c r="B2" s="390"/>
      <c r="C2" s="390"/>
      <c r="D2" s="390"/>
      <c r="E2" s="387"/>
      <c r="F2" s="710"/>
      <c r="G2" s="710"/>
      <c r="H2" s="710"/>
      <c r="I2" s="710"/>
      <c r="J2" s="710"/>
      <c r="K2" s="710"/>
      <c r="L2" s="710"/>
      <c r="M2" s="710"/>
      <c r="N2" s="710"/>
      <c r="O2" s="710"/>
      <c r="P2" s="710"/>
      <c r="Q2" s="711"/>
    </row>
    <row r="3" spans="1:19">
      <c r="A3" s="386"/>
      <c r="B3" s="390"/>
      <c r="C3" s="390"/>
      <c r="D3" s="390"/>
      <c r="E3" s="400"/>
      <c r="F3" s="656"/>
      <c r="G3" s="656"/>
      <c r="H3" s="656"/>
      <c r="I3" s="655"/>
      <c r="J3" s="773"/>
      <c r="K3" s="773"/>
      <c r="L3" s="773"/>
      <c r="M3" s="773"/>
      <c r="N3" s="773"/>
      <c r="O3" s="773"/>
      <c r="P3" s="773"/>
      <c r="Q3" s="774"/>
    </row>
    <row r="4" spans="1:19" ht="12.75" customHeight="1">
      <c r="A4" s="386"/>
      <c r="B4" s="390"/>
      <c r="C4" s="390"/>
      <c r="D4" s="390"/>
      <c r="E4" s="717" t="s">
        <v>368</v>
      </c>
      <c r="F4" s="717"/>
      <c r="G4" s="717"/>
      <c r="H4" s="717"/>
      <c r="I4" s="717"/>
      <c r="J4" s="717"/>
      <c r="K4" s="717"/>
      <c r="L4" s="717"/>
      <c r="M4" s="721"/>
      <c r="N4" s="721"/>
      <c r="O4" s="721"/>
      <c r="P4" s="721"/>
      <c r="Q4" s="722"/>
    </row>
    <row r="5" spans="1:19" ht="12.75" customHeight="1">
      <c r="A5" s="386"/>
      <c r="B5" s="390"/>
      <c r="C5" s="390"/>
      <c r="D5" s="390"/>
      <c r="E5" s="717"/>
      <c r="F5" s="717"/>
      <c r="G5" s="717"/>
      <c r="H5" s="717"/>
      <c r="I5" s="717"/>
      <c r="J5" s="717"/>
      <c r="K5" s="717"/>
      <c r="L5" s="717"/>
      <c r="M5" s="721"/>
      <c r="N5" s="721"/>
      <c r="O5" s="721"/>
      <c r="P5" s="721"/>
      <c r="Q5" s="722"/>
    </row>
    <row r="6" spans="1:19" ht="12.75" customHeight="1">
      <c r="A6" s="386"/>
      <c r="B6" s="390"/>
      <c r="C6" s="390"/>
      <c r="D6" s="390"/>
      <c r="E6" s="717"/>
      <c r="F6" s="717"/>
      <c r="G6" s="717"/>
      <c r="H6" s="717"/>
      <c r="I6" s="717"/>
      <c r="J6" s="717"/>
      <c r="K6" s="717"/>
      <c r="L6" s="717"/>
      <c r="M6" s="721"/>
      <c r="N6" s="721"/>
      <c r="O6" s="721"/>
      <c r="P6" s="721"/>
      <c r="Q6" s="722"/>
    </row>
    <row r="7" spans="1:19" ht="12.75" customHeight="1">
      <c r="A7" s="386"/>
      <c r="B7" s="390"/>
      <c r="C7" s="390"/>
      <c r="D7" s="390"/>
      <c r="E7" s="717"/>
      <c r="F7" s="717"/>
      <c r="G7" s="717"/>
      <c r="H7" s="717"/>
      <c r="I7" s="717"/>
      <c r="J7" s="717"/>
      <c r="K7" s="717"/>
      <c r="L7" s="717"/>
      <c r="M7" s="721"/>
      <c r="N7" s="721"/>
      <c r="O7" s="721"/>
      <c r="P7" s="721"/>
      <c r="Q7" s="722"/>
    </row>
    <row r="8" spans="1:19" ht="12.75" customHeight="1">
      <c r="A8" s="386"/>
      <c r="B8" s="390"/>
      <c r="C8" s="390"/>
      <c r="D8" s="390"/>
      <c r="E8" s="717"/>
      <c r="F8" s="717"/>
      <c r="G8" s="717"/>
      <c r="H8" s="717"/>
      <c r="I8" s="717"/>
      <c r="J8" s="717"/>
      <c r="K8" s="717"/>
      <c r="L8" s="717"/>
      <c r="M8" s="721"/>
      <c r="N8" s="721"/>
      <c r="O8" s="721"/>
      <c r="P8" s="721"/>
      <c r="Q8" s="722"/>
    </row>
    <row r="9" spans="1:19" ht="12.75" customHeight="1">
      <c r="A9" s="386"/>
      <c r="B9" s="390"/>
      <c r="C9" s="390"/>
      <c r="D9" s="390"/>
      <c r="E9" s="717"/>
      <c r="F9" s="717"/>
      <c r="G9" s="717"/>
      <c r="H9" s="717"/>
      <c r="I9" s="717"/>
      <c r="J9" s="717"/>
      <c r="K9" s="717"/>
      <c r="L9" s="717"/>
      <c r="M9" s="721"/>
      <c r="N9" s="721"/>
      <c r="O9" s="721"/>
      <c r="P9" s="721"/>
      <c r="Q9" s="722"/>
    </row>
    <row r="10" spans="1:19" ht="12.75" customHeight="1" thickBot="1">
      <c r="A10" s="725" t="s">
        <v>349</v>
      </c>
      <c r="B10" s="726"/>
      <c r="C10" s="726"/>
      <c r="D10" s="726"/>
      <c r="E10" s="717"/>
      <c r="F10" s="717"/>
      <c r="G10" s="717"/>
      <c r="H10" s="717"/>
      <c r="I10" s="717"/>
      <c r="J10" s="717"/>
      <c r="K10" s="717"/>
      <c r="L10" s="717"/>
      <c r="M10" s="723"/>
      <c r="N10" s="723"/>
      <c r="O10" s="723"/>
      <c r="P10" s="723"/>
      <c r="Q10" s="724"/>
    </row>
    <row r="11" spans="1:19" ht="14.25" thickTop="1" thickBot="1">
      <c r="A11" s="718" t="s">
        <v>298</v>
      </c>
      <c r="B11" s="719"/>
      <c r="C11" s="719"/>
      <c r="D11" s="719"/>
      <c r="E11" s="719"/>
      <c r="F11" s="719"/>
      <c r="G11" s="719"/>
      <c r="H11" s="719"/>
      <c r="I11" s="719"/>
      <c r="J11" s="719"/>
      <c r="K11" s="719"/>
      <c r="L11" s="719"/>
      <c r="M11" s="719"/>
      <c r="N11" s="719"/>
      <c r="O11" s="719"/>
      <c r="P11" s="719"/>
      <c r="Q11" s="720"/>
    </row>
    <row r="12" spans="1:19" ht="13.5" thickTop="1">
      <c r="A12" s="309" t="s">
        <v>250</v>
      </c>
      <c r="B12" s="780" t="s">
        <v>369</v>
      </c>
      <c r="C12" s="780"/>
      <c r="D12" s="780"/>
      <c r="E12" s="780"/>
      <c r="F12" s="780"/>
      <c r="G12" s="780"/>
      <c r="H12" s="780"/>
      <c r="I12" s="651"/>
      <c r="J12" s="652" t="s">
        <v>357</v>
      </c>
      <c r="K12" s="709" t="s">
        <v>375</v>
      </c>
      <c r="L12" s="709"/>
      <c r="M12" s="709"/>
      <c r="N12" s="709"/>
      <c r="O12" s="709"/>
      <c r="P12" s="709"/>
      <c r="Q12" s="728"/>
    </row>
    <row r="13" spans="1:19">
      <c r="A13" s="407" t="s">
        <v>359</v>
      </c>
      <c r="B13" s="781" t="s">
        <v>370</v>
      </c>
      <c r="C13" s="781"/>
      <c r="D13" s="781"/>
      <c r="E13" s="781"/>
      <c r="F13" s="781"/>
      <c r="G13" s="781"/>
      <c r="H13" s="781"/>
      <c r="I13" s="392"/>
      <c r="J13" s="321" t="s">
        <v>362</v>
      </c>
      <c r="K13" s="392" t="s">
        <v>372</v>
      </c>
      <c r="L13" s="392"/>
      <c r="M13" s="392"/>
      <c r="N13" s="392"/>
      <c r="O13" s="392"/>
      <c r="P13" s="392"/>
      <c r="Q13" s="388"/>
    </row>
    <row r="14" spans="1:19">
      <c r="A14" s="407" t="s">
        <v>378</v>
      </c>
      <c r="B14" s="782" t="s">
        <v>379</v>
      </c>
      <c r="C14" s="782"/>
      <c r="D14" s="782"/>
      <c r="E14" s="782"/>
      <c r="F14" s="782"/>
      <c r="G14" s="782"/>
      <c r="H14" s="782"/>
      <c r="I14" s="484"/>
      <c r="J14" s="321" t="s">
        <v>251</v>
      </c>
      <c r="K14" s="755" t="s">
        <v>373</v>
      </c>
      <c r="L14" s="755"/>
      <c r="M14" s="755"/>
      <c r="N14" s="755"/>
      <c r="O14" s="755"/>
      <c r="P14" s="755"/>
      <c r="Q14" s="756"/>
    </row>
    <row r="15" spans="1:19">
      <c r="A15" s="407" t="s">
        <v>380</v>
      </c>
      <c r="B15" s="782" t="s">
        <v>381</v>
      </c>
      <c r="C15" s="782"/>
      <c r="D15" s="782"/>
      <c r="E15" s="782"/>
      <c r="F15" s="782"/>
      <c r="G15" s="782"/>
      <c r="H15" s="782"/>
      <c r="I15" s="406"/>
      <c r="J15" s="321" t="s">
        <v>360</v>
      </c>
      <c r="K15" s="755">
        <v>40808</v>
      </c>
      <c r="L15" s="755"/>
      <c r="M15" s="755"/>
      <c r="N15" s="755"/>
      <c r="O15" s="755"/>
      <c r="P15" s="392"/>
      <c r="Q15" s="388"/>
    </row>
    <row r="16" spans="1:19">
      <c r="A16" s="407" t="s">
        <v>382</v>
      </c>
      <c r="B16" s="782" t="s">
        <v>383</v>
      </c>
      <c r="C16" s="782"/>
      <c r="D16" s="782"/>
      <c r="E16" s="782"/>
      <c r="F16" s="782"/>
      <c r="G16" s="782"/>
      <c r="H16" s="782"/>
      <c r="I16" s="406"/>
      <c r="J16" s="405" t="s">
        <v>291</v>
      </c>
      <c r="K16" s="406" t="s">
        <v>374</v>
      </c>
      <c r="L16" s="406"/>
      <c r="M16" s="408"/>
      <c r="N16" s="395"/>
      <c r="O16" s="395"/>
      <c r="P16" s="392"/>
      <c r="Q16" s="388"/>
    </row>
    <row r="17" spans="1:17" ht="13.5" thickBot="1">
      <c r="A17" s="309" t="s">
        <v>384</v>
      </c>
      <c r="B17" s="783" t="s">
        <v>385</v>
      </c>
      <c r="C17" s="783"/>
      <c r="D17" s="783"/>
      <c r="E17" s="783"/>
      <c r="F17" s="783"/>
      <c r="G17" s="783"/>
      <c r="H17" s="783"/>
      <c r="I17" s="393"/>
      <c r="J17" s="393"/>
      <c r="K17" s="659"/>
      <c r="L17" s="659"/>
      <c r="M17" s="660"/>
      <c r="N17" s="661"/>
      <c r="O17" s="661"/>
      <c r="P17" s="657"/>
      <c r="Q17" s="658"/>
    </row>
    <row r="18" spans="1:17" ht="15.75" customHeight="1" thickTop="1" thickBot="1">
      <c r="A18" s="718" t="s">
        <v>299</v>
      </c>
      <c r="B18" s="719"/>
      <c r="C18" s="719"/>
      <c r="D18" s="719"/>
      <c r="E18" s="720"/>
      <c r="F18" s="714" t="s">
        <v>252</v>
      </c>
      <c r="G18" s="715"/>
      <c r="H18" s="715"/>
      <c r="I18" s="715"/>
      <c r="J18" s="715"/>
      <c r="K18" s="715"/>
      <c r="L18" s="715"/>
      <c r="M18" s="715"/>
      <c r="N18" s="715"/>
      <c r="O18" s="715"/>
      <c r="P18" s="715"/>
      <c r="Q18" s="716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79" t="str">
        <f>'RD0301'!B8</f>
        <v>MÃE</v>
      </c>
      <c r="H19" s="779"/>
      <c r="I19" s="779" t="s">
        <v>253</v>
      </c>
      <c r="J19" s="779"/>
      <c r="K19" s="779" t="str">
        <f>'RD0301'!F8</f>
        <v>SP. AVÔ</v>
      </c>
      <c r="L19" s="779"/>
      <c r="M19" s="779" t="str">
        <f>'RD0301'!H8</f>
        <v>SP. AVÓ</v>
      </c>
      <c r="N19" s="779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706" t="s">
        <v>371</v>
      </c>
      <c r="B20" s="707"/>
      <c r="C20" s="707"/>
      <c r="D20" s="707"/>
      <c r="E20" s="708"/>
      <c r="F20" s="312" t="str">
        <f>'RD0301'!$A$9</f>
        <v>D3S1358</v>
      </c>
      <c r="G20" s="313">
        <f>'RD0301'!$B$9</f>
        <v>15</v>
      </c>
      <c r="H20" s="313">
        <f>'RD0301'!$C$9</f>
        <v>16</v>
      </c>
      <c r="I20" s="313">
        <f>'RD0301'!$D$9</f>
        <v>16</v>
      </c>
      <c r="J20" s="313">
        <f>'RD0301'!$E$9</f>
        <v>16</v>
      </c>
      <c r="K20" s="313">
        <f>'RD0301'!$F$9</f>
        <v>16</v>
      </c>
      <c r="L20" s="313">
        <f>'RD0301'!$G$9</f>
        <v>17</v>
      </c>
      <c r="M20" s="313">
        <f>'RD0301'!$H$9</f>
        <v>15</v>
      </c>
      <c r="N20" s="313">
        <f>'RD0301'!$I$9</f>
        <v>15</v>
      </c>
      <c r="O20" s="641">
        <f>'RD0301'!$AM$9</f>
        <v>0.27030799999999999</v>
      </c>
      <c r="P20" s="647">
        <f>'RD0301'!$AN$9</f>
        <v>0.92487088802403183</v>
      </c>
      <c r="Q20" s="649">
        <f>'RD0301'!$AO$9</f>
        <v>0.48048463602327851</v>
      </c>
    </row>
    <row r="21" spans="1:17" ht="15.75" customHeight="1">
      <c r="A21" s="706" t="s">
        <v>350</v>
      </c>
      <c r="B21" s="707"/>
      <c r="C21" s="707"/>
      <c r="D21" s="707"/>
      <c r="E21" s="708"/>
      <c r="F21" s="312" t="str">
        <f>'RD0301'!$A$10</f>
        <v>D1S1656</v>
      </c>
      <c r="G21" s="313">
        <f>'RD0301'!$B$10</f>
        <v>15</v>
      </c>
      <c r="H21" s="313">
        <f>'RD0301'!$C$10</f>
        <v>17</v>
      </c>
      <c r="I21" s="313">
        <f>'RD0301'!$D$10</f>
        <v>16</v>
      </c>
      <c r="J21" s="313">
        <f>'RD0301'!$E$10</f>
        <v>17</v>
      </c>
      <c r="K21" s="313">
        <f>'RD0301'!$F$10</f>
        <v>15</v>
      </c>
      <c r="L21" s="313">
        <f>'RD0301'!$G$10</f>
        <v>17</v>
      </c>
      <c r="M21" s="313">
        <f>'RD0301'!$H$10</f>
        <v>16</v>
      </c>
      <c r="N21" s="313">
        <f>'RD0301'!$I$10</f>
        <v>17.3</v>
      </c>
      <c r="O21" s="641">
        <f>'RD0301'!$AM$10</f>
        <v>0.1328</v>
      </c>
      <c r="P21" s="647">
        <f>'RD0301'!$AN$10</f>
        <v>1.8825301204819276</v>
      </c>
      <c r="Q21" s="649">
        <f>'RD0301'!$AO$10</f>
        <v>0.6530825496342737</v>
      </c>
    </row>
    <row r="22" spans="1:17" ht="15.75" customHeight="1">
      <c r="A22" s="706" t="s">
        <v>293</v>
      </c>
      <c r="B22" s="707"/>
      <c r="C22" s="707"/>
      <c r="D22" s="707"/>
      <c r="E22" s="708"/>
      <c r="F22" s="312" t="str">
        <f>'RD0301'!$A$11</f>
        <v>D2S441</v>
      </c>
      <c r="G22" s="313">
        <f>'RD0301'!$B$11</f>
        <v>10</v>
      </c>
      <c r="H22" s="313">
        <f>'RD0301'!$C$11</f>
        <v>10</v>
      </c>
      <c r="I22" s="313">
        <f>'RD0301'!$D$11</f>
        <v>10</v>
      </c>
      <c r="J22" s="313">
        <f>'RD0301'!$E$11</f>
        <v>12</v>
      </c>
      <c r="K22" s="313">
        <f>'RD0301'!$F$11</f>
        <v>10</v>
      </c>
      <c r="L22" s="313">
        <f>'RD0301'!$G$11</f>
        <v>14</v>
      </c>
      <c r="M22" s="313">
        <f>'RD0301'!$H$11</f>
        <v>10</v>
      </c>
      <c r="N22" s="313">
        <f>'RD0301'!$I$11</f>
        <v>12</v>
      </c>
      <c r="O22" s="641">
        <f>'RD0301'!$AM$11</f>
        <v>7.3099999999999998E-2</v>
      </c>
      <c r="P22" s="647">
        <f>'RD0301'!$AN$11</f>
        <v>3.4199726402188784</v>
      </c>
      <c r="Q22" s="649">
        <f>'RD0301'!$AO$11</f>
        <v>0.77375425564840605</v>
      </c>
    </row>
    <row r="23" spans="1:17" ht="15.75" customHeight="1">
      <c r="A23" s="706" t="s">
        <v>290</v>
      </c>
      <c r="B23" s="707"/>
      <c r="C23" s="707"/>
      <c r="D23" s="707"/>
      <c r="E23" s="708"/>
      <c r="F23" s="312" t="str">
        <f>'RD0301'!$A$12</f>
        <v>D10S1248</v>
      </c>
      <c r="G23" s="313">
        <f>'RD0301'!$B$12</f>
        <v>13</v>
      </c>
      <c r="H23" s="313">
        <f>'RD0301'!$C$12</f>
        <v>16</v>
      </c>
      <c r="I23" s="313">
        <f>'RD0301'!$D$12</f>
        <v>13</v>
      </c>
      <c r="J23" s="313">
        <f>'RD0301'!$E$12</f>
        <v>13</v>
      </c>
      <c r="K23" s="313">
        <f>'RD0301'!$F$12</f>
        <v>13</v>
      </c>
      <c r="L23" s="313">
        <f>'RD0301'!$G$12</f>
        <v>14</v>
      </c>
      <c r="M23" s="313">
        <f>'RD0301'!$H$12</f>
        <v>15</v>
      </c>
      <c r="N23" s="313">
        <f>'RD0301'!$I$12</f>
        <v>16</v>
      </c>
      <c r="O23" s="641">
        <f>'RD0301'!$AM$12</f>
        <v>0.27010000000000001</v>
      </c>
      <c r="P23" s="647">
        <f>'RD0301'!$AN$12</f>
        <v>0.92558311736393928</v>
      </c>
      <c r="Q23" s="649">
        <f>'RD0301'!$AO$12</f>
        <v>0.4806767929244376</v>
      </c>
    </row>
    <row r="24" spans="1:17" ht="15.75" customHeight="1">
      <c r="A24" s="706" t="s">
        <v>294</v>
      </c>
      <c r="B24" s="707"/>
      <c r="C24" s="707"/>
      <c r="D24" s="707"/>
      <c r="E24" s="708"/>
      <c r="F24" s="312" t="str">
        <f>'RD0301'!$A$13</f>
        <v>D13S317</v>
      </c>
      <c r="G24" s="313">
        <f>'RD0301'!$B$13</f>
        <v>11</v>
      </c>
      <c r="H24" s="313">
        <f>'RD0301'!$C$13</f>
        <v>12</v>
      </c>
      <c r="I24" s="313">
        <f>'RD0301'!$D$13</f>
        <v>12</v>
      </c>
      <c r="J24" s="313">
        <f>'RD0301'!$E$13</f>
        <v>12</v>
      </c>
      <c r="K24" s="313">
        <f>'RD0301'!$F$13</f>
        <v>12</v>
      </c>
      <c r="L24" s="313">
        <f>'RD0301'!$G$13</f>
        <v>12</v>
      </c>
      <c r="M24" s="313">
        <f>'RD0301'!$H$13</f>
        <v>9</v>
      </c>
      <c r="N24" s="313">
        <f>'RD0301'!$I$13</f>
        <v>12</v>
      </c>
      <c r="O24" s="641">
        <f>'RD0301'!$AM$13</f>
        <v>0.29337999999999997</v>
      </c>
      <c r="P24" s="647">
        <f>'RD0301'!$AN$13</f>
        <v>2.5564114799918198</v>
      </c>
      <c r="Q24" s="649">
        <f>'RD0301'!$AO$13</f>
        <v>0.71881768866568274</v>
      </c>
    </row>
    <row r="25" spans="1:17" ht="15.75" customHeight="1">
      <c r="A25" s="706" t="s">
        <v>295</v>
      </c>
      <c r="B25" s="707"/>
      <c r="C25" s="707"/>
      <c r="D25" s="707"/>
      <c r="E25" s="708"/>
      <c r="F25" s="312" t="str">
        <f>'RD0301'!$A$14</f>
        <v>Penta_E</v>
      </c>
      <c r="G25" s="313">
        <f>'RD0301'!$B$14</f>
        <v>12</v>
      </c>
      <c r="H25" s="313">
        <f>'RD0301'!$C$14</f>
        <v>13</v>
      </c>
      <c r="I25" s="313">
        <f>'RD0301'!$D$14</f>
        <v>8</v>
      </c>
      <c r="J25" s="313">
        <f>'RD0301'!$E$14</f>
        <v>13</v>
      </c>
      <c r="K25" s="313">
        <f>'RD0301'!$F$14</f>
        <v>8</v>
      </c>
      <c r="L25" s="313">
        <f>'RD0301'!$G$14</f>
        <v>20</v>
      </c>
      <c r="M25" s="313">
        <f>'RD0301'!$H$14</f>
        <v>14</v>
      </c>
      <c r="N25" s="313">
        <f>'RD0301'!$I$14</f>
        <v>15</v>
      </c>
      <c r="O25" s="641">
        <f>'RD0301'!$AM$14</f>
        <v>5.7986999999999997E-2</v>
      </c>
      <c r="P25" s="647">
        <f>'RD0301'!$AN$14</f>
        <v>4.3113111559487471</v>
      </c>
      <c r="Q25" s="649">
        <f>'RD0301'!$AO$14</f>
        <v>0.8117225727059908</v>
      </c>
    </row>
    <row r="26" spans="1:17" ht="15.75" customHeight="1">
      <c r="A26" s="706" t="s">
        <v>369</v>
      </c>
      <c r="B26" s="707"/>
      <c r="C26" s="707"/>
      <c r="D26" s="707"/>
      <c r="E26" s="708"/>
      <c r="F26" s="312" t="str">
        <f>'RD0301'!$A$15</f>
        <v>D16S539</v>
      </c>
      <c r="G26" s="313">
        <f>'RD0301'!$B$15</f>
        <v>9</v>
      </c>
      <c r="H26" s="313">
        <f>'RD0301'!$C$15</f>
        <v>11</v>
      </c>
      <c r="I26" s="313">
        <f>'RD0301'!$D$15</f>
        <v>9</v>
      </c>
      <c r="J26" s="313">
        <f>'RD0301'!$E$15</f>
        <v>11</v>
      </c>
      <c r="K26" s="313">
        <f>'RD0301'!$F$15</f>
        <v>9</v>
      </c>
      <c r="L26" s="313">
        <f>'RD0301'!$G$15</f>
        <v>12</v>
      </c>
      <c r="M26" s="313">
        <f>'RD0301'!$H$15</f>
        <v>9</v>
      </c>
      <c r="N26" s="313">
        <f>'RD0301'!$I$15</f>
        <v>9</v>
      </c>
      <c r="O26" s="641">
        <f>'RD0301'!$AM$15</f>
        <v>0.160298</v>
      </c>
      <c r="P26" s="647">
        <f>'RD0301'!$AN$15</f>
        <v>4.6787857615191708</v>
      </c>
      <c r="Q26" s="649">
        <f>'RD0301'!$AO$15</f>
        <v>0.82390601758984416</v>
      </c>
    </row>
    <row r="27" spans="1:17" ht="15.75" customHeight="1">
      <c r="A27" s="706"/>
      <c r="B27" s="707"/>
      <c r="C27" s="707"/>
      <c r="D27" s="707"/>
      <c r="E27" s="708"/>
      <c r="F27" s="312" t="str">
        <f>'RD0301'!$A$16</f>
        <v>D18S51</v>
      </c>
      <c r="G27" s="313">
        <f>'RD0301'!$B$16</f>
        <v>14</v>
      </c>
      <c r="H27" s="313">
        <f>'RD0301'!$C$16</f>
        <v>15</v>
      </c>
      <c r="I27" s="313">
        <f>'RD0301'!$D$16</f>
        <v>14</v>
      </c>
      <c r="J27" s="313">
        <f>'RD0301'!$E$16</f>
        <v>18</v>
      </c>
      <c r="K27" s="313">
        <f>'RD0301'!$F$16</f>
        <v>15</v>
      </c>
      <c r="L27" s="313">
        <f>'RD0301'!$G$16</f>
        <v>18</v>
      </c>
      <c r="M27" s="313">
        <f>'RD0301'!$H$16</f>
        <v>13</v>
      </c>
      <c r="N27" s="313">
        <f>'RD0301'!$I$16</f>
        <v>14</v>
      </c>
      <c r="O27" s="641">
        <f>'RD0301'!$AM$16</f>
        <v>7.7560000000000004E-2</v>
      </c>
      <c r="P27" s="647">
        <f>'RD0301'!$AN$16</f>
        <v>3.2233109850438368</v>
      </c>
      <c r="Q27" s="649">
        <f>'RD0301'!$AO$16</f>
        <v>0.76321895225302239</v>
      </c>
    </row>
    <row r="28" spans="1:17" ht="15.75" customHeight="1" thickBot="1">
      <c r="A28" s="706"/>
      <c r="B28" s="707"/>
      <c r="C28" s="707"/>
      <c r="D28" s="707"/>
      <c r="E28" s="708"/>
      <c r="F28" s="312" t="str">
        <f>'RD0301'!$A$17</f>
        <v>D2S1338</v>
      </c>
      <c r="G28" s="313">
        <f>'RD0301'!$B$17</f>
        <v>21</v>
      </c>
      <c r="H28" s="313">
        <f>'RD0301'!$C$17</f>
        <v>24</v>
      </c>
      <c r="I28" s="313">
        <f>'RD0301'!$D$17</f>
        <v>16</v>
      </c>
      <c r="J28" s="313">
        <f>'RD0301'!$E$17</f>
        <v>24</v>
      </c>
      <c r="K28" s="313">
        <f>'RD0301'!$F$17</f>
        <v>16</v>
      </c>
      <c r="L28" s="313">
        <f>'RD0301'!$G$17</f>
        <v>19</v>
      </c>
      <c r="M28" s="313">
        <f>'RD0301'!$H$17</f>
        <v>17</v>
      </c>
      <c r="N28" s="313">
        <f>'RD0301'!$I$17</f>
        <v>19</v>
      </c>
      <c r="O28" s="641">
        <f>'RD0301'!$AM$17</f>
        <v>0.05</v>
      </c>
      <c r="P28" s="647">
        <f>'RD0301'!$AN$17</f>
        <v>5</v>
      </c>
      <c r="Q28" s="649">
        <f>'RD0301'!$AO$17</f>
        <v>0.83333333333333337</v>
      </c>
    </row>
    <row r="29" spans="1:17" ht="15.75" customHeight="1" thickTop="1" thickBot="1">
      <c r="A29" s="410" t="s">
        <v>300</v>
      </c>
      <c r="B29" s="411"/>
      <c r="C29" s="409"/>
      <c r="D29" s="409"/>
      <c r="E29" s="412"/>
      <c r="F29" s="312" t="str">
        <f>'RD0301'!$A$18</f>
        <v>CSF1PO</v>
      </c>
      <c r="G29" s="313">
        <f>'RD0301'!$B$18</f>
        <v>12</v>
      </c>
      <c r="H29" s="313">
        <f>'RD0301'!$C$18</f>
        <v>13</v>
      </c>
      <c r="I29" s="313">
        <f>'RD0301'!$D$18</f>
        <v>10</v>
      </c>
      <c r="J29" s="313">
        <f>'RD0301'!$E$18</f>
        <v>13</v>
      </c>
      <c r="K29" s="313">
        <f>'RD0301'!$F$18</f>
        <v>10</v>
      </c>
      <c r="L29" s="313">
        <f>'RD0301'!$G$18</f>
        <v>12</v>
      </c>
      <c r="M29" s="313">
        <f>'RD0301'!$H$18</f>
        <v>10</v>
      </c>
      <c r="N29" s="313">
        <f>'RD0301'!$I$18</f>
        <v>12</v>
      </c>
      <c r="O29" s="641">
        <f>'RD0301'!$AM$18</f>
        <v>0.262376</v>
      </c>
      <c r="P29" s="647">
        <f>'RD0301'!$AN$18</f>
        <v>1.90566210324115</v>
      </c>
      <c r="Q29" s="649">
        <f>'RD0301'!$AO$18</f>
        <v>0.65584436026317716</v>
      </c>
    </row>
    <row r="30" spans="1:17" ht="15.75" customHeight="1" thickTop="1">
      <c r="A30" s="706" t="s">
        <v>348</v>
      </c>
      <c r="B30" s="707"/>
      <c r="C30" s="707"/>
      <c r="D30" s="707"/>
      <c r="E30" s="708"/>
      <c r="F30" s="312" t="str">
        <f>'RD0301'!$A$19</f>
        <v>Penta_D</v>
      </c>
      <c r="G30" s="313">
        <f>'RD0301'!$B$19</f>
        <v>9</v>
      </c>
      <c r="H30" s="313">
        <f>'RD0301'!$C$19</f>
        <v>12</v>
      </c>
      <c r="I30" s="313">
        <f>'RD0301'!$D$19</f>
        <v>12</v>
      </c>
      <c r="J30" s="313">
        <f>'RD0301'!$E$19</f>
        <v>12</v>
      </c>
      <c r="K30" s="313">
        <f>'RD0301'!$F$19</f>
        <v>11</v>
      </c>
      <c r="L30" s="313">
        <f>'RD0301'!$G$19</f>
        <v>14</v>
      </c>
      <c r="M30" s="313">
        <f>'RD0301'!$H$19</f>
        <v>8</v>
      </c>
      <c r="N30" s="313">
        <f>'RD0301'!$I$19</f>
        <v>12</v>
      </c>
      <c r="O30" s="641">
        <f>'RD0301'!$AM$19</f>
        <v>0.16545399999999999</v>
      </c>
      <c r="P30" s="647">
        <f>'RD0301'!$AN$19</f>
        <v>1.5109939922878868</v>
      </c>
      <c r="Q30" s="649">
        <f>'RD0301'!$AO$19</f>
        <v>0.60175133709147111</v>
      </c>
    </row>
    <row r="31" spans="1:17" ht="15.75" customHeight="1">
      <c r="A31" s="706"/>
      <c r="B31" s="707"/>
      <c r="C31" s="707"/>
      <c r="D31" s="707"/>
      <c r="E31" s="708"/>
      <c r="F31" s="312" t="str">
        <f>'RD0301'!$A$20</f>
        <v>TH01</v>
      </c>
      <c r="G31" s="313">
        <f>'RD0301'!$B$20</f>
        <v>9</v>
      </c>
      <c r="H31" s="313">
        <f>'RD0301'!$C$20</f>
        <v>9</v>
      </c>
      <c r="I31" s="313">
        <f>'RD0301'!$D$20</f>
        <v>9</v>
      </c>
      <c r="J31" s="313">
        <f>'RD0301'!$E$20</f>
        <v>9</v>
      </c>
      <c r="K31" s="313">
        <f>'RD0301'!$F$20</f>
        <v>7</v>
      </c>
      <c r="L31" s="313">
        <f>'RD0301'!$G$20</f>
        <v>8</v>
      </c>
      <c r="M31" s="313">
        <f>'RD0301'!$H$20</f>
        <v>9</v>
      </c>
      <c r="N31" s="313">
        <f>'RD0301'!$I$20</f>
        <v>9.3000000000000007</v>
      </c>
      <c r="O31" s="641">
        <f>'RD0301'!$AM$20</f>
        <v>0.16256300000000001</v>
      </c>
      <c r="P31" s="647">
        <f>'RD0301'!$AN$20</f>
        <v>1.5378653199067438</v>
      </c>
      <c r="Q31" s="649">
        <f>'RD0301'!$AO$20</f>
        <v>0.60596805821171551</v>
      </c>
    </row>
    <row r="32" spans="1:17" ht="15.75" customHeight="1">
      <c r="A32" s="706"/>
      <c r="B32" s="707"/>
      <c r="C32" s="707"/>
      <c r="D32" s="707"/>
      <c r="E32" s="708"/>
      <c r="F32" s="312" t="str">
        <f>'RD0301'!$A$21</f>
        <v>vWA</v>
      </c>
      <c r="G32" s="313">
        <f>'RD0301'!$B$21</f>
        <v>15</v>
      </c>
      <c r="H32" s="313">
        <f>'RD0301'!$C$21</f>
        <v>16</v>
      </c>
      <c r="I32" s="313">
        <f>'RD0301'!$D$21</f>
        <v>15</v>
      </c>
      <c r="J32" s="313">
        <f>'RD0301'!$E$21</f>
        <v>15</v>
      </c>
      <c r="K32" s="313">
        <f>'RD0301'!$F$21</f>
        <v>19</v>
      </c>
      <c r="L32" s="313">
        <f>'RD0301'!$G$21</f>
        <v>19</v>
      </c>
      <c r="M32" s="313">
        <f>'RD0301'!$H$21</f>
        <v>15</v>
      </c>
      <c r="N32" s="313">
        <f>'RD0301'!$I$21</f>
        <v>18</v>
      </c>
      <c r="O32" s="641">
        <f>'RD0301'!$AM$21</f>
        <v>0.13799400000000001</v>
      </c>
      <c r="P32" s="647">
        <f>'RD0301'!$AN$21</f>
        <v>1.8116729712886066</v>
      </c>
      <c r="Q32" s="649">
        <f>'RD0301'!$AO$21</f>
        <v>0.6443398609256844</v>
      </c>
    </row>
    <row r="33" spans="1:17" ht="15.75" customHeight="1">
      <c r="A33" s="706"/>
      <c r="B33" s="707"/>
      <c r="C33" s="707"/>
      <c r="D33" s="707"/>
      <c r="E33" s="708"/>
      <c r="F33" s="312" t="str">
        <f>'RD0301'!$A$22</f>
        <v>D21S11</v>
      </c>
      <c r="G33" s="313">
        <f>'RD0301'!$B$22</f>
        <v>30</v>
      </c>
      <c r="H33" s="313">
        <f>'RD0301'!$C$22</f>
        <v>35</v>
      </c>
      <c r="I33" s="313">
        <f>'RD0301'!$D$22</f>
        <v>29</v>
      </c>
      <c r="J33" s="313">
        <f>'RD0301'!$E$22</f>
        <v>30</v>
      </c>
      <c r="K33" s="313">
        <f>'RD0301'!$F$22</f>
        <v>28</v>
      </c>
      <c r="L33" s="313">
        <f>'RD0301'!$G$22</f>
        <v>29</v>
      </c>
      <c r="M33" s="313">
        <f>'RD0301'!$H$22</f>
        <v>30</v>
      </c>
      <c r="N33" s="313">
        <f>'RD0301'!$I$22</f>
        <v>32.200000000000003</v>
      </c>
      <c r="O33" s="641">
        <f>'RD0301'!$AM$22</f>
        <v>0.20807800000000001</v>
      </c>
      <c r="P33" s="647">
        <f>'RD0301'!$AN$22</f>
        <v>1.2014725247263045</v>
      </c>
      <c r="Q33" s="649">
        <f>'RD0301'!$AO$22</f>
        <v>0.54575858259946997</v>
      </c>
    </row>
    <row r="34" spans="1:17" ht="15.75" customHeight="1">
      <c r="A34" s="706"/>
      <c r="B34" s="707"/>
      <c r="C34" s="707"/>
      <c r="D34" s="707"/>
      <c r="E34" s="708"/>
      <c r="F34" s="312" t="str">
        <f>'RD0301'!$A$23</f>
        <v>D7S820</v>
      </c>
      <c r="G34" s="313">
        <f>'RD0301'!$B$23</f>
        <v>10</v>
      </c>
      <c r="H34" s="313">
        <f>'RD0301'!$C$23</f>
        <v>10</v>
      </c>
      <c r="I34" s="313">
        <f>'RD0301'!$D$23</f>
        <v>9</v>
      </c>
      <c r="J34" s="313">
        <f>'RD0301'!$E$23</f>
        <v>10</v>
      </c>
      <c r="K34" s="313">
        <f>'RD0301'!$F$23</f>
        <v>9</v>
      </c>
      <c r="L34" s="313">
        <f>'RD0301'!$G$23</f>
        <v>11</v>
      </c>
      <c r="M34" s="313">
        <f>'RD0301'!$H$23</f>
        <v>11</v>
      </c>
      <c r="N34" s="313">
        <f>'RD0301'!$I$23</f>
        <v>12</v>
      </c>
      <c r="O34" s="641">
        <f>'RD0301'!$AM$23</f>
        <v>0.12053</v>
      </c>
      <c r="P34" s="647">
        <f>'RD0301'!$AN$23</f>
        <v>2.0741724052103212</v>
      </c>
      <c r="Q34" s="649">
        <f>'RD0301'!$AO$23</f>
        <v>0.67470920033465576</v>
      </c>
    </row>
    <row r="35" spans="1:17" ht="15.75" customHeight="1">
      <c r="A35" s="706"/>
      <c r="B35" s="707"/>
      <c r="C35" s="707"/>
      <c r="D35" s="707"/>
      <c r="E35" s="708"/>
      <c r="F35" s="312" t="str">
        <f>'RD0301'!$A$24</f>
        <v>D5S818</v>
      </c>
      <c r="G35" s="313">
        <f>'RD0301'!$B$24</f>
        <v>13</v>
      </c>
      <c r="H35" s="313">
        <f>'RD0301'!$C$24</f>
        <v>13</v>
      </c>
      <c r="I35" s="313">
        <f>'RD0301'!$D$24</f>
        <v>12</v>
      </c>
      <c r="J35" s="313">
        <f>'RD0301'!$E$24</f>
        <v>13</v>
      </c>
      <c r="K35" s="313">
        <f>'RD0301'!$F$24</f>
        <v>11</v>
      </c>
      <c r="L35" s="313">
        <f>'RD0301'!$G$24</f>
        <v>12</v>
      </c>
      <c r="M35" s="313">
        <f>'RD0301'!$H$24</f>
        <v>12</v>
      </c>
      <c r="N35" s="313">
        <f>'RD0301'!$I$24</f>
        <v>13</v>
      </c>
      <c r="O35" s="641">
        <f>'RD0301'!$AM$24</f>
        <v>0.34637600000000002</v>
      </c>
      <c r="P35" s="647">
        <f>'RD0301'!$AN$24</f>
        <v>1.4435180266531167</v>
      </c>
      <c r="Q35" s="649">
        <f>'RD0301'!$AO$24</f>
        <v>0.5907539911339641</v>
      </c>
    </row>
    <row r="36" spans="1:17" ht="15.75" customHeight="1" thickBot="1">
      <c r="A36" s="706"/>
      <c r="B36" s="707"/>
      <c r="C36" s="707"/>
      <c r="D36" s="707"/>
      <c r="E36" s="708"/>
      <c r="F36" s="312" t="str">
        <f>'RD0301'!$A$25</f>
        <v>TPOX</v>
      </c>
      <c r="G36" s="313">
        <f>'RD0301'!$B$25</f>
        <v>8</v>
      </c>
      <c r="H36" s="313">
        <f>'RD0301'!$C$25</f>
        <v>8</v>
      </c>
      <c r="I36" s="313">
        <f>'RD0301'!$D$25</f>
        <v>8</v>
      </c>
      <c r="J36" s="313">
        <f>'RD0301'!$E$25</f>
        <v>11</v>
      </c>
      <c r="K36" s="313">
        <f>'RD0301'!$F$25</f>
        <v>8</v>
      </c>
      <c r="L36" s="313">
        <f>'RD0301'!$G$25</f>
        <v>12</v>
      </c>
      <c r="M36" s="313">
        <f>'RD0301'!$H$25</f>
        <v>8</v>
      </c>
      <c r="N36" s="313">
        <f>'RD0301'!$I$25</f>
        <v>11</v>
      </c>
      <c r="O36" s="641">
        <f>'RD0301'!$AM$25</f>
        <v>0.275532</v>
      </c>
      <c r="P36" s="647">
        <f>'RD0301'!$AN$25</f>
        <v>0.90733562707779858</v>
      </c>
      <c r="Q36" s="649">
        <f>'RD0301'!$AO$25</f>
        <v>0.47570842498648985</v>
      </c>
    </row>
    <row r="37" spans="1:17" ht="15.75" customHeight="1" thickTop="1" thickBot="1">
      <c r="A37" s="413" t="s">
        <v>301</v>
      </c>
      <c r="B37" s="409"/>
      <c r="C37" s="409"/>
      <c r="D37" s="409"/>
      <c r="E37" s="412"/>
      <c r="F37" s="312" t="str">
        <f>'RD0301'!$A$26</f>
        <v>D8S1179</v>
      </c>
      <c r="G37" s="313">
        <f>'RD0301'!$B$26</f>
        <v>12</v>
      </c>
      <c r="H37" s="313">
        <f>'RD0301'!$C$26</f>
        <v>13</v>
      </c>
      <c r="I37" s="313">
        <f>'RD0301'!$D$26</f>
        <v>13</v>
      </c>
      <c r="J37" s="313">
        <f>'RD0301'!$E$26</f>
        <v>15</v>
      </c>
      <c r="K37" s="313">
        <f>'RD0301'!$F$26</f>
        <v>13</v>
      </c>
      <c r="L37" s="313">
        <f>'RD0301'!$G$26</f>
        <v>15</v>
      </c>
      <c r="M37" s="313">
        <f>'RD0301'!$H$26</f>
        <v>13</v>
      </c>
      <c r="N37" s="313">
        <f>'RD0301'!$I$26</f>
        <v>14</v>
      </c>
      <c r="O37" s="641">
        <f>'RD0301'!$AM$26</f>
        <v>0.13833100000000001</v>
      </c>
      <c r="P37" s="647">
        <f>'RD0301'!$AN$26</f>
        <v>1.807259399556137</v>
      </c>
      <c r="Q37" s="649">
        <f>'RD0301'!$AO$26</f>
        <v>0.64378069224450285</v>
      </c>
    </row>
    <row r="38" spans="1:17" ht="15.75" customHeight="1" thickTop="1">
      <c r="A38" s="706"/>
      <c r="B38" s="707"/>
      <c r="C38" s="707"/>
      <c r="D38" s="707"/>
      <c r="E38" s="708"/>
      <c r="F38" s="312" t="str">
        <f>'RD0301'!$A$27</f>
        <v>D12S391</v>
      </c>
      <c r="G38" s="313">
        <f>'RD0301'!$B$27</f>
        <v>19</v>
      </c>
      <c r="H38" s="313">
        <f>'RD0301'!$C$27</f>
        <v>20</v>
      </c>
      <c r="I38" s="313">
        <f>'RD0301'!$D$27</f>
        <v>19</v>
      </c>
      <c r="J38" s="313">
        <f>'RD0301'!$E$27</f>
        <v>19</v>
      </c>
      <c r="K38" s="313">
        <f>'RD0301'!$F$27</f>
        <v>18</v>
      </c>
      <c r="L38" s="313">
        <f>'RD0301'!$G$27</f>
        <v>18</v>
      </c>
      <c r="M38" s="313">
        <f>'RD0301'!$H$27</f>
        <v>19</v>
      </c>
      <c r="N38" s="313">
        <f>'RD0301'!$I$27</f>
        <v>19</v>
      </c>
      <c r="O38" s="641">
        <f>'RD0301'!$AM$27</f>
        <v>0.1699</v>
      </c>
      <c r="P38" s="647">
        <f>'RD0301'!$AN$27</f>
        <v>2.9429075927015891</v>
      </c>
      <c r="Q38" s="649">
        <f>'RD0301'!$AO$27</f>
        <v>0.74638005672488428</v>
      </c>
    </row>
    <row r="39" spans="1:17" ht="15.75" customHeight="1">
      <c r="A39" s="703" t="s">
        <v>376</v>
      </c>
      <c r="B39" s="704"/>
      <c r="C39" s="704"/>
      <c r="D39" s="704"/>
      <c r="E39" s="705"/>
      <c r="F39" s="312" t="str">
        <f>'RD0301'!$A$28</f>
        <v>D19S433</v>
      </c>
      <c r="G39" s="313">
        <f>'RD0301'!$B$28</f>
        <v>13</v>
      </c>
      <c r="H39" s="313">
        <f>'RD0301'!$C$28</f>
        <v>13</v>
      </c>
      <c r="I39" s="313">
        <f>'RD0301'!$D$28</f>
        <v>13</v>
      </c>
      <c r="J39" s="313">
        <f>'RD0301'!$E$28</f>
        <v>13.2</v>
      </c>
      <c r="K39" s="313">
        <f>'RD0301'!$F$28</f>
        <v>12</v>
      </c>
      <c r="L39" s="313">
        <f>'RD0301'!$G$28</f>
        <v>15</v>
      </c>
      <c r="M39" s="313">
        <f>'RD0301'!$H$28</f>
        <v>13</v>
      </c>
      <c r="N39" s="313">
        <f>'RD0301'!$I$28</f>
        <v>13.2</v>
      </c>
      <c r="O39" s="641">
        <f>'RD0301'!$AM$28</f>
        <v>0.05</v>
      </c>
      <c r="P39" s="647">
        <f>'RD0301'!$AN$28</f>
        <v>5</v>
      </c>
      <c r="Q39" s="649">
        <f>'RD0301'!$AO$28</f>
        <v>0.83333333333333337</v>
      </c>
    </row>
    <row r="40" spans="1:17" ht="15.75" customHeight="1">
      <c r="A40" s="706" t="s">
        <v>361</v>
      </c>
      <c r="B40" s="707"/>
      <c r="C40" s="707"/>
      <c r="D40" s="707"/>
      <c r="E40" s="708"/>
      <c r="F40" s="312" t="str">
        <f>'RD0301'!$A$29</f>
        <v>FGA</v>
      </c>
      <c r="G40" s="313">
        <f>'RD0301'!$B$29</f>
        <v>23</v>
      </c>
      <c r="H40" s="313">
        <f>'RD0301'!$C$29</f>
        <v>25</v>
      </c>
      <c r="I40" s="313">
        <f>'RD0301'!$D$29</f>
        <v>21</v>
      </c>
      <c r="J40" s="313">
        <f>'RD0301'!$E$29</f>
        <v>23</v>
      </c>
      <c r="K40" s="313">
        <f>'RD0301'!$F$29</f>
        <v>21</v>
      </c>
      <c r="L40" s="313">
        <f>'RD0301'!$G$29</f>
        <v>23</v>
      </c>
      <c r="M40" s="313">
        <f>'RD0301'!$H$29</f>
        <v>21</v>
      </c>
      <c r="N40" s="313">
        <f>'RD0301'!$I$29</f>
        <v>22</v>
      </c>
      <c r="O40" s="641">
        <f>'RD0301'!$AM$29</f>
        <v>0.15107999999999999</v>
      </c>
      <c r="P40" s="647">
        <f>'RD0301'!$AN$29</f>
        <v>3.3095048980672495</v>
      </c>
      <c r="Q40" s="649">
        <f>'RD0301'!$AO$29</f>
        <v>0.76795478282238738</v>
      </c>
    </row>
    <row r="41" spans="1:17" ht="15.75" customHeight="1" thickBot="1">
      <c r="A41" s="706" t="s">
        <v>296</v>
      </c>
      <c r="B41" s="707"/>
      <c r="C41" s="707"/>
      <c r="D41" s="707"/>
      <c r="E41" s="708"/>
      <c r="F41" s="314" t="str">
        <f>'RD0301'!$A$30</f>
        <v>D22S1045</v>
      </c>
      <c r="G41" s="315">
        <f>'RD0301'!$B$30</f>
        <v>10</v>
      </c>
      <c r="H41" s="315">
        <f>'RD0301'!$C$30</f>
        <v>16</v>
      </c>
      <c r="I41" s="315">
        <f>'RD0301'!$D$30</f>
        <v>10</v>
      </c>
      <c r="J41" s="315">
        <f>'RD0301'!$E$30</f>
        <v>16</v>
      </c>
      <c r="K41" s="315">
        <f>'RD0301'!$F$30</f>
        <v>15</v>
      </c>
      <c r="L41" s="315">
        <f>'RD0301'!$G$30</f>
        <v>16</v>
      </c>
      <c r="M41" s="315">
        <f>'RD0301'!$H$30</f>
        <v>15</v>
      </c>
      <c r="N41" s="315">
        <f>'RD0301'!$I$30</f>
        <v>16</v>
      </c>
      <c r="O41" s="642">
        <f>'RD0301'!$AM$30</f>
        <v>0.32869999999999999</v>
      </c>
      <c r="P41" s="648">
        <f>'RD0301'!$AN$30</f>
        <v>1.5211439002129601</v>
      </c>
      <c r="Q41" s="650">
        <f>'RD0301'!$AO$30</f>
        <v>0.60335465186436588</v>
      </c>
    </row>
    <row r="42" spans="1:17" ht="15.75" customHeight="1" thickTop="1">
      <c r="A42" s="706" t="s">
        <v>377</v>
      </c>
      <c r="B42" s="707"/>
      <c r="C42" s="707"/>
      <c r="D42" s="707"/>
      <c r="E42" s="708"/>
      <c r="F42" s="398"/>
      <c r="G42" s="398"/>
      <c r="H42" s="639"/>
      <c r="I42" s="638"/>
      <c r="J42" s="638"/>
      <c r="K42" s="639"/>
      <c r="L42" s="404" t="str">
        <f>'PD0101'!G43</f>
        <v xml:space="preserve">ÍNDICE DE PATERNIDADE ACUMULADO: </v>
      </c>
      <c r="M42" s="729">
        <f>'RD0301'!$H$43</f>
        <v>16056935.548482534</v>
      </c>
      <c r="N42" s="729"/>
      <c r="O42" s="729"/>
      <c r="P42" s="729"/>
      <c r="Q42" s="730"/>
    </row>
    <row r="43" spans="1:17" ht="15.75" customHeight="1">
      <c r="A43" s="706" t="s">
        <v>297</v>
      </c>
      <c r="B43" s="707"/>
      <c r="C43" s="707"/>
      <c r="D43" s="707"/>
      <c r="E43" s="708"/>
      <c r="F43" s="398"/>
      <c r="G43" s="398"/>
      <c r="H43" s="639"/>
      <c r="I43" s="638"/>
      <c r="J43" s="638"/>
      <c r="K43" s="639"/>
      <c r="L43" s="404" t="str">
        <f>'PD0101'!G44</f>
        <v xml:space="preserve">PROBABILIDADE DE PATERNIDADE: </v>
      </c>
      <c r="M43" s="732">
        <f>'RD0301'!$H$44</f>
        <v>0.99999993771999995</v>
      </c>
      <c r="N43" s="732"/>
      <c r="O43" s="732"/>
      <c r="P43" s="732"/>
      <c r="Q43" s="733"/>
    </row>
    <row r="44" spans="1:17" ht="15.75" customHeight="1">
      <c r="A44" s="706"/>
      <c r="B44" s="707"/>
      <c r="C44" s="707"/>
      <c r="D44" s="707"/>
      <c r="E44" s="708"/>
      <c r="F44" s="398"/>
      <c r="G44" s="398"/>
      <c r="H44" s="639"/>
      <c r="I44" s="638"/>
      <c r="J44" s="638"/>
      <c r="K44" s="639"/>
      <c r="L44" s="404" t="str">
        <f>'PD0101'!G45</f>
        <v xml:space="preserve">CAP. DE EFICIÊNCIA DOS MARCADORES: </v>
      </c>
      <c r="M44" s="732">
        <f>'RD0301'!$H$45</f>
        <v>0.99999999999</v>
      </c>
      <c r="N44" s="732"/>
      <c r="O44" s="732"/>
      <c r="P44" s="732"/>
      <c r="Q44" s="733"/>
    </row>
    <row r="45" spans="1:17" ht="15.75" customHeight="1" thickBot="1">
      <c r="A45" s="739"/>
      <c r="B45" s="740"/>
      <c r="C45" s="740"/>
      <c r="D45" s="740"/>
      <c r="E45" s="741"/>
      <c r="F45" s="320"/>
      <c r="G45" s="316"/>
      <c r="H45" s="640"/>
      <c r="I45" s="403" t="str">
        <f>'RD0301'!$G$46</f>
        <v>RESULTADO:</v>
      </c>
      <c r="J45" s="737" t="str">
        <f>'RD0301'!$H$46</f>
        <v>VÍNCULO BIOLOGICAMENTE PROVADO</v>
      </c>
      <c r="K45" s="737"/>
      <c r="L45" s="737"/>
      <c r="M45" s="737"/>
      <c r="N45" s="737"/>
      <c r="O45" s="737"/>
      <c r="P45" s="737"/>
      <c r="Q45" s="738"/>
    </row>
    <row r="46" spans="1:17" ht="13.5" hidden="1" thickTop="1">
      <c r="A46" s="317"/>
      <c r="Q46" s="391"/>
    </row>
    <row r="47" spans="1:17" ht="13.5" thickTop="1">
      <c r="A47" s="317"/>
      <c r="Q47" s="391"/>
    </row>
    <row r="48" spans="1:17">
      <c r="A48" s="767" t="s">
        <v>367</v>
      </c>
      <c r="B48" s="768"/>
      <c r="C48" s="768"/>
      <c r="D48" s="768"/>
      <c r="E48" s="768"/>
      <c r="F48" s="768"/>
      <c r="G48" s="768"/>
      <c r="H48" s="768"/>
      <c r="I48" s="768"/>
      <c r="J48" s="768"/>
      <c r="K48" s="768"/>
      <c r="L48" s="768"/>
      <c r="M48" s="768"/>
      <c r="N48" s="768"/>
      <c r="O48" s="768"/>
      <c r="P48" s="768"/>
      <c r="Q48" s="769"/>
    </row>
    <row r="49" spans="1:17" hidden="1">
      <c r="A49" s="317"/>
      <c r="Q49" s="391"/>
    </row>
    <row r="50" spans="1:17">
      <c r="A50" s="317"/>
      <c r="Q50" s="391"/>
    </row>
    <row r="51" spans="1:17">
      <c r="A51" s="317"/>
      <c r="Q51" s="391"/>
    </row>
    <row r="52" spans="1:17" ht="9.9499999999999993" customHeight="1">
      <c r="A52" s="742"/>
      <c r="B52" s="743"/>
      <c r="C52" s="743"/>
      <c r="D52" s="743"/>
      <c r="E52" s="743"/>
      <c r="F52" s="743"/>
      <c r="G52" s="743"/>
      <c r="H52" s="743"/>
      <c r="I52" s="743"/>
      <c r="J52" s="743"/>
      <c r="K52" s="743"/>
      <c r="L52" s="743"/>
      <c r="M52" s="743"/>
      <c r="N52" s="743"/>
      <c r="O52" s="743"/>
      <c r="P52" s="743"/>
      <c r="Q52" s="744"/>
    </row>
    <row r="53" spans="1:17" ht="9.75" customHeight="1">
      <c r="A53" s="745" t="s">
        <v>358</v>
      </c>
      <c r="B53" s="746"/>
      <c r="C53" s="746"/>
      <c r="D53" s="746"/>
      <c r="E53" s="746"/>
      <c r="F53" s="746"/>
      <c r="G53" s="746"/>
      <c r="H53" s="746"/>
      <c r="I53" s="746"/>
      <c r="J53" s="746"/>
      <c r="K53" s="746"/>
      <c r="L53" s="746"/>
      <c r="M53" s="746"/>
      <c r="N53" s="746"/>
      <c r="O53" s="746"/>
      <c r="P53" s="746"/>
      <c r="Q53" s="747"/>
    </row>
    <row r="54" spans="1:17" ht="9.75" customHeight="1">
      <c r="A54" s="734" t="s">
        <v>355</v>
      </c>
      <c r="B54" s="735"/>
      <c r="C54" s="735"/>
      <c r="D54" s="735"/>
      <c r="E54" s="735"/>
      <c r="F54" s="735"/>
      <c r="G54" s="735"/>
      <c r="H54" s="735"/>
      <c r="I54" s="735"/>
      <c r="J54" s="735"/>
      <c r="K54" s="735"/>
      <c r="L54" s="735"/>
      <c r="M54" s="735"/>
      <c r="N54" s="735"/>
      <c r="O54" s="735"/>
      <c r="P54" s="735"/>
      <c r="Q54" s="736"/>
    </row>
    <row r="55" spans="1:17" ht="9.75" customHeight="1">
      <c r="A55" s="734" t="s">
        <v>351</v>
      </c>
      <c r="B55" s="735"/>
      <c r="C55" s="735"/>
      <c r="D55" s="735"/>
      <c r="E55" s="735"/>
      <c r="F55" s="735"/>
      <c r="G55" s="735"/>
      <c r="H55" s="735"/>
      <c r="I55" s="735"/>
      <c r="J55" s="735"/>
      <c r="K55" s="735"/>
      <c r="L55" s="735"/>
      <c r="M55" s="735"/>
      <c r="N55" s="735"/>
      <c r="O55" s="735"/>
      <c r="P55" s="735"/>
      <c r="Q55" s="736"/>
    </row>
    <row r="56" spans="1:17" ht="9.75" customHeight="1">
      <c r="A56" s="734" t="s">
        <v>352</v>
      </c>
      <c r="B56" s="735"/>
      <c r="C56" s="735"/>
      <c r="D56" s="735"/>
      <c r="E56" s="735"/>
      <c r="F56" s="735"/>
      <c r="G56" s="735"/>
      <c r="H56" s="735"/>
      <c r="I56" s="735"/>
      <c r="J56" s="735"/>
      <c r="K56" s="735"/>
      <c r="L56" s="735"/>
      <c r="M56" s="735"/>
      <c r="N56" s="735"/>
      <c r="O56" s="735"/>
      <c r="P56" s="735"/>
      <c r="Q56" s="736"/>
    </row>
    <row r="57" spans="1:17" ht="9.75" customHeight="1">
      <c r="A57" s="734" t="s">
        <v>353</v>
      </c>
      <c r="B57" s="735"/>
      <c r="C57" s="735"/>
      <c r="D57" s="735"/>
      <c r="E57" s="735"/>
      <c r="F57" s="735"/>
      <c r="G57" s="735"/>
      <c r="H57" s="735"/>
      <c r="I57" s="735"/>
      <c r="J57" s="735"/>
      <c r="K57" s="735"/>
      <c r="L57" s="735"/>
      <c r="M57" s="735"/>
      <c r="N57" s="735"/>
      <c r="O57" s="735"/>
      <c r="P57" s="735"/>
      <c r="Q57" s="736"/>
    </row>
    <row r="58" spans="1:17" ht="9.75" customHeight="1" thickBot="1">
      <c r="A58" s="752" t="s">
        <v>354</v>
      </c>
      <c r="B58" s="753"/>
      <c r="C58" s="753"/>
      <c r="D58" s="753"/>
      <c r="E58" s="753"/>
      <c r="F58" s="753"/>
      <c r="G58" s="753"/>
      <c r="H58" s="753"/>
      <c r="I58" s="753"/>
      <c r="J58" s="753"/>
      <c r="K58" s="753"/>
      <c r="L58" s="753"/>
      <c r="M58" s="753"/>
      <c r="N58" s="753"/>
      <c r="O58" s="753"/>
      <c r="P58" s="753"/>
      <c r="Q58" s="754"/>
    </row>
    <row r="59" spans="1:17" ht="13.5" hidden="1" thickTop="1">
      <c r="A59" s="317"/>
      <c r="Q59" s="391"/>
    </row>
    <row r="60" spans="1:17" ht="13.5" hidden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19"/>
      <c r="P60" s="319"/>
      <c r="Q60" s="399"/>
    </row>
    <row r="61" spans="1:17" ht="13.5" thickTop="1"/>
    <row r="63" spans="1:17">
      <c r="C63" s="751"/>
      <c r="D63" s="751"/>
      <c r="E63" s="751"/>
      <c r="F63" s="751"/>
      <c r="G63" s="751"/>
      <c r="H63" s="751"/>
      <c r="I63" s="751"/>
      <c r="J63" s="751"/>
      <c r="K63" s="751"/>
      <c r="L63" s="751"/>
      <c r="M63" s="751"/>
      <c r="N63" s="751"/>
      <c r="O63" s="322"/>
      <c r="P63" s="322"/>
      <c r="Q63" s="322"/>
    </row>
    <row r="64" spans="1:17">
      <c r="A64" s="392"/>
      <c r="B64" s="392"/>
      <c r="C64" s="700"/>
      <c r="D64" s="700"/>
      <c r="E64" s="700"/>
      <c r="F64" s="700"/>
      <c r="G64" s="700"/>
      <c r="H64" s="700"/>
      <c r="I64" s="700"/>
      <c r="J64" s="700"/>
      <c r="K64" s="700"/>
      <c r="L64" s="700"/>
      <c r="M64" s="700"/>
      <c r="N64" s="700"/>
      <c r="O64" s="322"/>
      <c r="P64" s="322"/>
      <c r="Q64" s="322"/>
    </row>
    <row r="65" spans="1:17">
      <c r="A65" s="392"/>
      <c r="B65" s="392"/>
      <c r="C65" s="700"/>
      <c r="D65" s="700"/>
      <c r="E65" s="700"/>
      <c r="F65" s="700"/>
      <c r="G65" s="700"/>
      <c r="H65" s="700"/>
      <c r="I65" s="700"/>
      <c r="J65" s="700"/>
      <c r="K65" s="700"/>
      <c r="L65" s="700"/>
      <c r="M65" s="700"/>
      <c r="N65" s="700"/>
      <c r="O65" s="700"/>
      <c r="P65" s="700"/>
      <c r="Q65" s="700"/>
    </row>
    <row r="66" spans="1:17">
      <c r="A66" s="392"/>
      <c r="B66" s="392"/>
      <c r="C66" s="700"/>
      <c r="D66" s="700"/>
      <c r="E66" s="700"/>
      <c r="F66" s="700"/>
      <c r="G66" s="700"/>
      <c r="H66" s="700"/>
      <c r="I66" s="700"/>
      <c r="J66" s="700"/>
      <c r="K66" s="700"/>
      <c r="L66" s="700"/>
      <c r="M66" s="700"/>
      <c r="N66" s="700"/>
      <c r="O66" s="700"/>
      <c r="P66" s="700"/>
      <c r="Q66" s="700"/>
    </row>
    <row r="67" spans="1:17">
      <c r="A67" s="392"/>
      <c r="B67" s="392"/>
      <c r="C67" s="700"/>
      <c r="D67" s="700"/>
      <c r="E67" s="700"/>
      <c r="F67" s="700"/>
      <c r="G67" s="700"/>
      <c r="H67" s="700"/>
      <c r="I67" s="700"/>
      <c r="J67" s="700"/>
      <c r="K67" s="700"/>
      <c r="L67" s="700"/>
      <c r="M67" s="700"/>
      <c r="N67" s="700"/>
      <c r="O67" s="700"/>
      <c r="P67" s="700"/>
      <c r="Q67" s="700"/>
    </row>
    <row r="68" spans="1:17">
      <c r="A68" s="392"/>
      <c r="B68" s="392"/>
      <c r="C68" s="700"/>
      <c r="D68" s="700"/>
      <c r="E68" s="700"/>
      <c r="F68" s="700"/>
      <c r="G68" s="700"/>
      <c r="H68" s="700"/>
      <c r="I68" s="700"/>
      <c r="J68" s="700"/>
      <c r="K68" s="700"/>
      <c r="L68" s="700"/>
      <c r="M68" s="700"/>
      <c r="N68" s="700"/>
      <c r="O68" s="700"/>
      <c r="P68" s="700"/>
      <c r="Q68" s="700"/>
    </row>
    <row r="69" spans="1:17">
      <c r="C69" s="700"/>
      <c r="D69" s="700"/>
      <c r="E69" s="700"/>
      <c r="F69" s="700"/>
      <c r="G69" s="700"/>
      <c r="H69" s="700"/>
      <c r="I69" s="700"/>
      <c r="J69" s="700"/>
      <c r="K69" s="700"/>
      <c r="L69" s="700"/>
      <c r="M69" s="700"/>
      <c r="N69" s="700"/>
      <c r="O69" s="700"/>
      <c r="P69" s="700"/>
      <c r="Q69" s="700"/>
    </row>
  </sheetData>
  <mergeCells count="58">
    <mergeCell ref="A48:Q48"/>
    <mergeCell ref="B12:H12"/>
    <mergeCell ref="B13:H13"/>
    <mergeCell ref="B14:H14"/>
    <mergeCell ref="B15:H15"/>
    <mergeCell ref="A24:E24"/>
    <mergeCell ref="A25:E25"/>
    <mergeCell ref="A26:E26"/>
    <mergeCell ref="A27:E27"/>
    <mergeCell ref="B16:H16"/>
    <mergeCell ref="B17:H17"/>
    <mergeCell ref="A18:E18"/>
    <mergeCell ref="F18:Q18"/>
    <mergeCell ref="K19:L19"/>
    <mergeCell ref="A20:E20"/>
    <mergeCell ref="A21:E21"/>
    <mergeCell ref="M4:Q10"/>
    <mergeCell ref="K14:Q14"/>
    <mergeCell ref="K15:O15"/>
    <mergeCell ref="F2:Q2"/>
    <mergeCell ref="J3:Q3"/>
    <mergeCell ref="E4:L10"/>
    <mergeCell ref="A11:Q11"/>
    <mergeCell ref="A10:D10"/>
    <mergeCell ref="C68:Q68"/>
    <mergeCell ref="A52:Q52"/>
    <mergeCell ref="A53:Q53"/>
    <mergeCell ref="A54:Q54"/>
    <mergeCell ref="A55:Q55"/>
    <mergeCell ref="A56:Q56"/>
    <mergeCell ref="A57:Q57"/>
    <mergeCell ref="C65:Q65"/>
    <mergeCell ref="C66:Q66"/>
    <mergeCell ref="C67:Q67"/>
    <mergeCell ref="A58:Q58"/>
    <mergeCell ref="C63:N63"/>
    <mergeCell ref="A40:E40"/>
    <mergeCell ref="A41:E41"/>
    <mergeCell ref="A22:E22"/>
    <mergeCell ref="A23:E23"/>
    <mergeCell ref="K12:Q12"/>
    <mergeCell ref="A28:E28"/>
    <mergeCell ref="A42:E42"/>
    <mergeCell ref="A43:E43"/>
    <mergeCell ref="G19:H19"/>
    <mergeCell ref="I19:J19"/>
    <mergeCell ref="C69:Q69"/>
    <mergeCell ref="M19:N19"/>
    <mergeCell ref="M42:Q42"/>
    <mergeCell ref="M43:Q43"/>
    <mergeCell ref="M44:Q44"/>
    <mergeCell ref="C64:N64"/>
    <mergeCell ref="A44:E44"/>
    <mergeCell ref="A45:E45"/>
    <mergeCell ref="J45:Q45"/>
    <mergeCell ref="A30:E36"/>
    <mergeCell ref="A38:E38"/>
    <mergeCell ref="A39:E39"/>
  </mergeCells>
  <pageMargins left="1.259842519685039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H9" sqref="AH9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94" t="s">
        <v>245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97"/>
      <c r="C3" s="797"/>
      <c r="D3" s="797"/>
      <c r="E3" s="797"/>
      <c r="F3" s="797"/>
      <c r="G3" s="797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93" t="s">
        <v>0</v>
      </c>
      <c r="AI3" s="793"/>
      <c r="AJ3" s="793"/>
      <c r="AK3" s="793"/>
      <c r="AL3" s="793"/>
      <c r="AM3" s="793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XX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XX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ERRO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MATERNIDADE CONFIRMADA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800" t="s">
        <v>87</v>
      </c>
      <c r="BA7" s="801"/>
      <c r="BB7" s="802"/>
      <c r="BF7" s="38"/>
      <c r="BG7" s="38"/>
      <c r="BI7" s="800" t="s">
        <v>108</v>
      </c>
      <c r="BJ7" s="801"/>
      <c r="BK7" s="802"/>
      <c r="BL7" s="810" t="s">
        <v>109</v>
      </c>
      <c r="BM7" s="811"/>
      <c r="BN7" s="812"/>
      <c r="BO7" s="813" t="s">
        <v>111</v>
      </c>
      <c r="BP7" s="814"/>
      <c r="BQ7" s="815"/>
    </row>
    <row r="8" spans="1:80" ht="14.45" customHeight="1" thickTop="1" thickBot="1">
      <c r="A8" s="214" t="s">
        <v>50</v>
      </c>
      <c r="B8" s="816" t="s">
        <v>130</v>
      </c>
      <c r="C8" s="817"/>
      <c r="D8" s="816" t="s">
        <v>131</v>
      </c>
      <c r="E8" s="817"/>
      <c r="F8" s="816" t="s">
        <v>133</v>
      </c>
      <c r="G8" s="817"/>
      <c r="H8" s="816" t="s">
        <v>97</v>
      </c>
      <c r="I8" s="817"/>
      <c r="J8" s="816" t="s">
        <v>98</v>
      </c>
      <c r="K8" s="817"/>
      <c r="L8" s="816" t="s">
        <v>99</v>
      </c>
      <c r="M8" s="817"/>
      <c r="N8" s="816" t="s">
        <v>165</v>
      </c>
      <c r="O8" s="817"/>
      <c r="P8" s="816" t="s">
        <v>166</v>
      </c>
      <c r="Q8" s="817"/>
      <c r="R8" s="816" t="s">
        <v>167</v>
      </c>
      <c r="S8" s="817"/>
      <c r="T8" s="215" t="s">
        <v>135</v>
      </c>
      <c r="U8" s="215" t="s">
        <v>136</v>
      </c>
      <c r="V8" s="215" t="s">
        <v>137</v>
      </c>
      <c r="W8" s="216" t="s">
        <v>134</v>
      </c>
      <c r="X8" s="807" t="s">
        <v>138</v>
      </c>
      <c r="Y8" s="809"/>
      <c r="Z8" s="807" t="s">
        <v>141</v>
      </c>
      <c r="AA8" s="809"/>
      <c r="AB8" s="215" t="s">
        <v>145</v>
      </c>
      <c r="AC8" s="215" t="s">
        <v>147</v>
      </c>
      <c r="AD8" s="807" t="s">
        <v>244</v>
      </c>
      <c r="AE8" s="808"/>
      <c r="AF8" s="809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16</v>
      </c>
      <c r="E9" s="292">
        <f>'IMPORTAÇÃO GENOTIPER'!AQ5</f>
        <v>16</v>
      </c>
      <c r="F9" s="292">
        <f>'IMPORTAÇÃO GENOTIPER'!AY5</f>
        <v>0</v>
      </c>
      <c r="G9" s="292">
        <f>'IMPORTAÇÃO GENOTIPER'!BG5</f>
        <v>0</v>
      </c>
      <c r="H9" s="293">
        <f t="shared" ref="H9:H42" si="0">(IF(CODE(B9)=(60),($BF9-1),(IF(CODE(B9)=(62),($BG9+1),B9))))</f>
        <v>15</v>
      </c>
      <c r="I9" s="293">
        <f t="shared" ref="I9:I42" si="1">(IF(CODE(C9)=(60),($BF9-1),(IF(CODE(C9)=(62),($BG9+1),C9))))</f>
        <v>16</v>
      </c>
      <c r="J9" s="293">
        <f t="shared" ref="J9:J42" si="2">(IF(CODE(D9)=(60),($BF9-1),(IF(CODE(D9)=(62),($BG9+1),D9))))</f>
        <v>16</v>
      </c>
      <c r="K9" s="293">
        <f t="shared" ref="K9:K42" si="3">(IF(CODE(E9)=(60),($BF9-1),(IF(CODE(E9)=(62),($BG9+1),E9))))</f>
        <v>16</v>
      </c>
      <c r="L9" s="293">
        <f t="shared" ref="L9:L42" si="4">(IF(CODE(F9)=(60),($BF9-1),(IF(CODE(F9)=(62),($BG9+1),F9))))</f>
        <v>0</v>
      </c>
      <c r="M9" s="293">
        <f t="shared" ref="M9:M42" si="5">(IF(CODE(G9)=(60),($BF9-1),(IF(CODE(G9)=(62),($BG9+1),G9))))</f>
        <v>0</v>
      </c>
      <c r="N9" s="91">
        <f t="shared" ref="N9:N23" si="6">IF((H9&gt;I9),I9,H9)</f>
        <v>15</v>
      </c>
      <c r="O9" s="91">
        <f t="shared" ref="O9:O23" si="7">IF((I9&gt;H9),I9,H9)</f>
        <v>16</v>
      </c>
      <c r="P9" s="91">
        <f t="shared" ref="P9:P23" si="8">IF((J9&gt;K9),K9,J9)</f>
        <v>16</v>
      </c>
      <c r="Q9" s="91">
        <f t="shared" ref="Q9:Q23" si="9">IF((K9&gt;J9),K9,J9)</f>
        <v>16</v>
      </c>
      <c r="R9" s="91">
        <f t="shared" ref="R9:R23" si="10">IF((L9&gt;M9),M9,L9)</f>
        <v>0</v>
      </c>
      <c r="S9" s="91">
        <f t="shared" ref="S9:S23" si="11">IF((M9&gt;L9),M9,L9)</f>
        <v>0</v>
      </c>
      <c r="T9" s="92">
        <f t="shared" ref="T9:T23" si="12">IF((P9=N9),P9,(IF((P9=O9),P9,0)))</f>
        <v>16</v>
      </c>
      <c r="U9" s="92">
        <f t="shared" ref="U9:U23" si="13">IF((Q9=N9),Q9,(IF((Q9=O9),Q9,0)))</f>
        <v>16</v>
      </c>
      <c r="V9" s="93">
        <f>(IF((OR((P9="&gt;18"),(Q9="&gt;18"))),2,(IF(((T9+U9)=(P9+Q9)),0,1))))</f>
        <v>0</v>
      </c>
      <c r="W9" s="94">
        <f>IF(OR(($T9=$U9),($U9=0)),$T9,(IF(AND(($T9=0),($U9&lt;&gt;0)),$U9,$AJ$7)))</f>
        <v>16</v>
      </c>
      <c r="X9" s="116">
        <f t="shared" ref="X9:X42" si="14">(ROUND( (IF((AND((T9=0),(U9=0))),D9,(IF((V9=2),S9,(IF((W9&lt;&gt;$AJ$7),(P9+Q9-W9),P9)))))),1))</f>
        <v>16</v>
      </c>
      <c r="Y9" s="92">
        <f>(IF((AND(($T9=0),($U9=0))),$E9,(IF(($W9&lt;&gt;$AJ$7),0,$Q9))))</f>
        <v>0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</v>
      </c>
      <c r="AD9" s="97"/>
      <c r="AE9" s="306"/>
      <c r="AF9" s="97"/>
      <c r="AG9" s="98">
        <f>(IF((A9="ERRO-FT"),"11",(IF((AND(($Z9=0),($AA9=0),(AX$44="S"))),0,(IF((AB9+AC9)&lt;=$AI$7,$AI$7,(AB9+AC9)))))))</f>
        <v>0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0</v>
      </c>
      <c r="AI9" s="100">
        <f t="shared" ref="AI9:AI23" si="18">(IF((AH9=0),0,(AH9/(AH9+1))))</f>
        <v>0</v>
      </c>
      <c r="AJ9" s="101"/>
      <c r="AK9" s="102">
        <f>IF(AG9=0,0,(1-AG9)^2)</f>
        <v>0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42" si="20">(IF((AND(($BD$43&lt;=2),(BD9=1))),"MT",(IF((AND(($BD$43&gt;2),(BD9=1))),"EM","OK"))))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1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0</v>
      </c>
      <c r="BD9" s="2">
        <f t="shared" ref="BD9:BD30" si="23"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42" si="24">IF(($W9=($BF9-1)),"&lt;",IF(($W9=($BG9+1)),"&gt;",""))</f>
        <v/>
      </c>
      <c r="BJ9" s="54">
        <f t="shared" ref="BJ9:BJ42" si="25">IF(($W9=($BF9-1)),$BF9,IF(($W9=($BG9-1)),$BG9,$W9))</f>
        <v>16</v>
      </c>
      <c r="BK9" s="54">
        <f t="shared" ref="BK9:BK42" si="26">(IF((OR(($W9=($BF9-1)),($W9=($BG9+1)))),(CONCATENATE((BI9),(BJ9))),$W9))</f>
        <v>16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0</v>
      </c>
      <c r="BQ9" s="37">
        <f t="shared" ref="BQ9:BQ42" si="32">(IF((OR(($AA9=($BF9-1)),($AA9=($BG9+1)))),(CONCATENATE((BO9),(BP9))),$AA9))</f>
        <v>0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15</v>
      </c>
      <c r="C10" s="292">
        <f>'IMPORTAÇÃO GENOTIPER'!AA6</f>
        <v>17</v>
      </c>
      <c r="D10" s="292">
        <f>'IMPORTAÇÃO GENOTIPER'!AI6</f>
        <v>16</v>
      </c>
      <c r="E10" s="292">
        <f>'IMPORTAÇÃO GENOTIPER'!AQ6</f>
        <v>17</v>
      </c>
      <c r="F10" s="292">
        <f>'IMPORTAÇÃO GENOTIPER'!AY6</f>
        <v>0</v>
      </c>
      <c r="G10" s="292">
        <f>'IMPORTAÇÃO GENOTIPER'!BG6</f>
        <v>0</v>
      </c>
      <c r="H10" s="293">
        <f t="shared" si="0"/>
        <v>15</v>
      </c>
      <c r="I10" s="293">
        <f t="shared" si="1"/>
        <v>17</v>
      </c>
      <c r="J10" s="293">
        <f t="shared" si="2"/>
        <v>16</v>
      </c>
      <c r="K10" s="293">
        <f t="shared" si="3"/>
        <v>17</v>
      </c>
      <c r="L10" s="293">
        <f t="shared" si="4"/>
        <v>0</v>
      </c>
      <c r="M10" s="293">
        <f t="shared" si="5"/>
        <v>0</v>
      </c>
      <c r="N10" s="91">
        <f t="shared" si="6"/>
        <v>15</v>
      </c>
      <c r="O10" s="91">
        <f t="shared" si="7"/>
        <v>17</v>
      </c>
      <c r="P10" s="91">
        <f t="shared" si="8"/>
        <v>16</v>
      </c>
      <c r="Q10" s="91">
        <f t="shared" si="9"/>
        <v>17</v>
      </c>
      <c r="R10" s="91">
        <f t="shared" si="10"/>
        <v>0</v>
      </c>
      <c r="S10" s="91">
        <f t="shared" si="11"/>
        <v>0</v>
      </c>
      <c r="T10" s="92">
        <f t="shared" si="12"/>
        <v>0</v>
      </c>
      <c r="U10" s="92">
        <f t="shared" si="13"/>
        <v>17</v>
      </c>
      <c r="V10" s="93">
        <f>(IF((OR((P10="&gt;36"),(Q10="&gt;36"))),2,(IF(((T10+U10)=(P10+Q10)),0,1))))</f>
        <v>1</v>
      </c>
      <c r="W10" s="94">
        <f t="shared" ref="W10:W23" si="33">IF(OR((T10=U10),(U10=0)),T10,(IF(AND((T10=0),(U10&lt;&gt;0)),U10,$AJ$7)))</f>
        <v>17</v>
      </c>
      <c r="X10" s="116">
        <f t="shared" si="14"/>
        <v>16</v>
      </c>
      <c r="Y10" s="92">
        <f>(IF((AND((T10=0),(U10=0))),E10,(IF((W10&lt;&gt;$AJ$7),0,Q10))))</f>
        <v>0</v>
      </c>
      <c r="Z10" s="95">
        <f t="shared" si="15"/>
        <v>0</v>
      </c>
      <c r="AA10" s="96">
        <f t="shared" si="16"/>
        <v>0</v>
      </c>
      <c r="AB10" s="97">
        <f>IF(X10=0,0,VLOOKUP(X10,FREQUENCIAS!$1:$1048576,(IF(($A10=FREQUENCIAS!$C$1),3,"ERRO")),FREQUENCIAS!$1:$1048576))</f>
        <v>0.1328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</v>
      </c>
      <c r="AH10" s="99">
        <f t="shared" si="17"/>
        <v>0</v>
      </c>
      <c r="AI10" s="100">
        <f t="shared" si="18"/>
        <v>0</v>
      </c>
      <c r="AJ10" s="101"/>
      <c r="AK10" s="102">
        <f t="shared" ref="AK10:AK30" si="35">IF(AG10=0,0,(1-AG10)^2)</f>
        <v>0</v>
      </c>
      <c r="AL10" s="101"/>
      <c r="AM10" s="103" t="str">
        <f t="shared" si="19"/>
        <v>EXCLUI</v>
      </c>
      <c r="AN10" s="94" t="str">
        <f t="shared" si="20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1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0</v>
      </c>
      <c r="BD10" s="2">
        <f t="shared" si="23"/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17</v>
      </c>
      <c r="BK10" s="54">
        <f t="shared" si="26"/>
        <v>17</v>
      </c>
      <c r="BL10" s="57" t="str">
        <f t="shared" si="27"/>
        <v/>
      </c>
      <c r="BM10" s="63">
        <f t="shared" si="28"/>
        <v>0</v>
      </c>
      <c r="BN10" s="57">
        <f t="shared" si="29"/>
        <v>0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10</v>
      </c>
      <c r="D11" s="292">
        <f>'IMPORTAÇÃO GENOTIPER'!AI7</f>
        <v>10</v>
      </c>
      <c r="E11" s="292">
        <f>'IMPORTAÇÃO GENOTIPER'!AQ7</f>
        <v>12</v>
      </c>
      <c r="F11" s="292">
        <f>'IMPORTAÇÃO GENOTIPER'!AY7</f>
        <v>0</v>
      </c>
      <c r="G11" s="292">
        <f>'IMPORTAÇÃO GENOTIPER'!BG7</f>
        <v>0</v>
      </c>
      <c r="H11" s="293">
        <f t="shared" si="0"/>
        <v>10</v>
      </c>
      <c r="I11" s="293">
        <f t="shared" si="1"/>
        <v>10</v>
      </c>
      <c r="J11" s="293">
        <f t="shared" si="2"/>
        <v>10</v>
      </c>
      <c r="K11" s="293">
        <f t="shared" si="3"/>
        <v>12</v>
      </c>
      <c r="L11" s="293">
        <f t="shared" si="4"/>
        <v>0</v>
      </c>
      <c r="M11" s="293">
        <f t="shared" si="5"/>
        <v>0</v>
      </c>
      <c r="N11" s="91">
        <f t="shared" si="6"/>
        <v>10</v>
      </c>
      <c r="O11" s="91">
        <f t="shared" si="7"/>
        <v>10</v>
      </c>
      <c r="P11" s="91">
        <f t="shared" si="8"/>
        <v>10</v>
      </c>
      <c r="Q11" s="91">
        <f t="shared" si="9"/>
        <v>12</v>
      </c>
      <c r="R11" s="91">
        <f t="shared" si="10"/>
        <v>0</v>
      </c>
      <c r="S11" s="91">
        <f t="shared" si="11"/>
        <v>0</v>
      </c>
      <c r="T11" s="92">
        <f t="shared" si="12"/>
        <v>10</v>
      </c>
      <c r="U11" s="92">
        <f t="shared" si="13"/>
        <v>0</v>
      </c>
      <c r="V11" s="93">
        <f>(IF((OR((P11="&gt;22"),(Q11="&gt;22"))),2,(IF(((T11+U11)=(P11+Q11)),0,1))))</f>
        <v>1</v>
      </c>
      <c r="W11" s="94">
        <f t="shared" si="33"/>
        <v>10</v>
      </c>
      <c r="X11" s="116">
        <f t="shared" si="14"/>
        <v>12</v>
      </c>
      <c r="Y11" s="92">
        <f>(ROUND( (IF((AND((T11=0),(U11=0))),E11,(IF((W11&lt;&gt;$AJ$7),0,Q11)))),1))</f>
        <v>0</v>
      </c>
      <c r="Z11" s="95">
        <f t="shared" si="15"/>
        <v>0</v>
      </c>
      <c r="AA11" s="96">
        <f t="shared" si="16"/>
        <v>0</v>
      </c>
      <c r="AB11" s="97">
        <f>IF(X11=0,0,VLOOKUP(X11,FREQUENCIAS!$1:$1048576,(IF(($A11=FREQUENCIAS!$D$1),4,"ERRO")),FREQUENCIAS!$1:$1048576))</f>
        <v>7.3099999999999998E-2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</v>
      </c>
      <c r="AH11" s="99">
        <f t="shared" si="17"/>
        <v>0</v>
      </c>
      <c r="AI11" s="100">
        <f t="shared" si="18"/>
        <v>0</v>
      </c>
      <c r="AJ11" s="101"/>
      <c r="AK11" s="102">
        <f t="shared" si="35"/>
        <v>0</v>
      </c>
      <c r="AL11" s="101"/>
      <c r="AM11" s="103" t="str">
        <f t="shared" si="19"/>
        <v>EXCLUI</v>
      </c>
      <c r="AN11" s="94" t="str">
        <f t="shared" si="20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1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0</v>
      </c>
      <c r="BD11" s="2">
        <f t="shared" si="23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24"/>
        <v/>
      </c>
      <c r="BJ11" s="54">
        <f t="shared" si="25"/>
        <v>10</v>
      </c>
      <c r="BK11" s="54">
        <f t="shared" si="26"/>
        <v>10</v>
      </c>
      <c r="BL11" s="57" t="str">
        <f t="shared" si="27"/>
        <v/>
      </c>
      <c r="BM11" s="57">
        <f t="shared" si="28"/>
        <v>0</v>
      </c>
      <c r="BN11" s="57">
        <f t="shared" si="29"/>
        <v>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13</v>
      </c>
      <c r="C12" s="296">
        <f>'IMPORTAÇÃO GENOTIPER'!AA8</f>
        <v>16</v>
      </c>
      <c r="D12" s="296">
        <f>'IMPORTAÇÃO GENOTIPER'!AI8</f>
        <v>13</v>
      </c>
      <c r="E12" s="296">
        <f>'IMPORTAÇÃO GENOTIPER'!AQ8</f>
        <v>13</v>
      </c>
      <c r="F12" s="296">
        <f>'IMPORTAÇÃO GENOTIPER'!AY8</f>
        <v>0</v>
      </c>
      <c r="G12" s="296">
        <f>'IMPORTAÇÃO GENOTIPER'!BG8</f>
        <v>0</v>
      </c>
      <c r="H12" s="297">
        <f t="shared" si="0"/>
        <v>13</v>
      </c>
      <c r="I12" s="297">
        <f t="shared" si="1"/>
        <v>16</v>
      </c>
      <c r="J12" s="297">
        <f t="shared" si="2"/>
        <v>13</v>
      </c>
      <c r="K12" s="297">
        <f t="shared" si="3"/>
        <v>13</v>
      </c>
      <c r="L12" s="297">
        <f t="shared" si="4"/>
        <v>0</v>
      </c>
      <c r="M12" s="297">
        <f t="shared" si="5"/>
        <v>0</v>
      </c>
      <c r="N12" s="113">
        <f t="shared" si="6"/>
        <v>13</v>
      </c>
      <c r="O12" s="113">
        <f t="shared" si="7"/>
        <v>16</v>
      </c>
      <c r="P12" s="113">
        <f t="shared" si="8"/>
        <v>13</v>
      </c>
      <c r="Q12" s="113">
        <f t="shared" si="9"/>
        <v>13</v>
      </c>
      <c r="R12" s="113">
        <f t="shared" si="10"/>
        <v>0</v>
      </c>
      <c r="S12" s="113">
        <f t="shared" si="11"/>
        <v>0</v>
      </c>
      <c r="T12" s="114">
        <f t="shared" si="12"/>
        <v>13</v>
      </c>
      <c r="U12" s="114">
        <f t="shared" si="13"/>
        <v>13</v>
      </c>
      <c r="V12" s="115">
        <f>(IF((OR((P12="&gt;21"),(Q12="&gt;21"))),2,(IF(((T12+U12)=(P12+Q12)),0,1))))</f>
        <v>0</v>
      </c>
      <c r="W12" s="114">
        <f t="shared" si="33"/>
        <v>13</v>
      </c>
      <c r="X12" s="116">
        <f t="shared" si="14"/>
        <v>13</v>
      </c>
      <c r="Y12" s="114">
        <f xml:space="preserve"> (IF((AND((T12=0),(U12=0))),E12,(IF((W12&lt;&gt;$AJ$7),0,Q12))))</f>
        <v>0</v>
      </c>
      <c r="Z12" s="117">
        <f t="shared" si="15"/>
        <v>0</v>
      </c>
      <c r="AA12" s="118">
        <f t="shared" si="16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</v>
      </c>
      <c r="AH12" s="99">
        <f t="shared" si="17"/>
        <v>0</v>
      </c>
      <c r="AI12" s="122">
        <f t="shared" si="18"/>
        <v>0</v>
      </c>
      <c r="AJ12" s="123" t="s">
        <v>140</v>
      </c>
      <c r="AK12" s="102">
        <f t="shared" si="35"/>
        <v>0</v>
      </c>
      <c r="AL12" s="123"/>
      <c r="AM12" s="103" t="str">
        <f t="shared" si="19"/>
        <v>EXCLUI</v>
      </c>
      <c r="AN12" s="126" t="str">
        <f t="shared" si="20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1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0</v>
      </c>
      <c r="BD12" s="132">
        <f t="shared" si="23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24"/>
        <v/>
      </c>
      <c r="BJ12" s="114">
        <f t="shared" si="25"/>
        <v>13</v>
      </c>
      <c r="BK12" s="114">
        <f t="shared" si="26"/>
        <v>13</v>
      </c>
      <c r="BL12" s="114" t="str">
        <f t="shared" si="27"/>
        <v/>
      </c>
      <c r="BM12" s="114">
        <f t="shared" si="28"/>
        <v>0</v>
      </c>
      <c r="BN12" s="114">
        <f t="shared" si="29"/>
        <v>0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12</v>
      </c>
      <c r="D13" s="292">
        <f>'IMPORTAÇÃO GENOTIPER'!AI9</f>
        <v>12</v>
      </c>
      <c r="E13" s="292">
        <f>'IMPORTAÇÃO GENOTIPER'!AQ9</f>
        <v>12</v>
      </c>
      <c r="F13" s="292">
        <f>'IMPORTAÇÃO GENOTIPER'!AY9</f>
        <v>0</v>
      </c>
      <c r="G13" s="292">
        <f>'IMPORTAÇÃO GENOTIPER'!BG9</f>
        <v>0</v>
      </c>
      <c r="H13" s="293">
        <f t="shared" si="0"/>
        <v>11</v>
      </c>
      <c r="I13" s="293">
        <f t="shared" si="1"/>
        <v>12</v>
      </c>
      <c r="J13" s="293">
        <f t="shared" si="2"/>
        <v>12</v>
      </c>
      <c r="K13" s="293">
        <f t="shared" si="3"/>
        <v>12</v>
      </c>
      <c r="L13" s="293">
        <f t="shared" si="4"/>
        <v>0</v>
      </c>
      <c r="M13" s="293">
        <f t="shared" si="5"/>
        <v>0</v>
      </c>
      <c r="N13" s="91">
        <f t="shared" si="6"/>
        <v>11</v>
      </c>
      <c r="O13" s="91">
        <f t="shared" si="7"/>
        <v>12</v>
      </c>
      <c r="P13" s="91">
        <f t="shared" si="8"/>
        <v>12</v>
      </c>
      <c r="Q13" s="91">
        <f t="shared" si="9"/>
        <v>12</v>
      </c>
      <c r="R13" s="91">
        <f t="shared" si="10"/>
        <v>0</v>
      </c>
      <c r="S13" s="91">
        <f t="shared" si="11"/>
        <v>0</v>
      </c>
      <c r="T13" s="92">
        <f t="shared" si="12"/>
        <v>12</v>
      </c>
      <c r="U13" s="92">
        <f t="shared" si="13"/>
        <v>12</v>
      </c>
      <c r="V13" s="93">
        <f>(IF((OR((P13="&gt;21"),(Q13="&gt;21"))),2,(IF(((T13+U13)=(P13+Q13)),0,1))))</f>
        <v>0</v>
      </c>
      <c r="W13" s="94">
        <f t="shared" si="33"/>
        <v>12</v>
      </c>
      <c r="X13" s="116">
        <f t="shared" si="14"/>
        <v>12</v>
      </c>
      <c r="Y13" s="92">
        <f t="shared" ref="Y13:Y23" si="38">(IF((AND((T13=0),(U13=0))),E13,(IF((W13&lt;&gt;$AJ$7),0,Q13))))</f>
        <v>0</v>
      </c>
      <c r="Z13" s="95">
        <f t="shared" si="15"/>
        <v>0</v>
      </c>
      <c r="AA13" s="96">
        <f t="shared" si="16"/>
        <v>0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</v>
      </c>
      <c r="AH13" s="99">
        <f t="shared" si="17"/>
        <v>0</v>
      </c>
      <c r="AI13" s="100">
        <f t="shared" si="18"/>
        <v>0</v>
      </c>
      <c r="AJ13" s="101" t="s">
        <v>163</v>
      </c>
      <c r="AK13" s="102">
        <f t="shared" si="35"/>
        <v>0</v>
      </c>
      <c r="AL13" s="101"/>
      <c r="AM13" s="103" t="str">
        <f t="shared" si="19"/>
        <v>EXCLUI</v>
      </c>
      <c r="AN13" s="94" t="str">
        <f t="shared" si="20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1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0</v>
      </c>
      <c r="BD13" s="2">
        <f t="shared" si="23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12</v>
      </c>
      <c r="BK13" s="54">
        <f t="shared" si="26"/>
        <v>12</v>
      </c>
      <c r="BL13" s="57" t="str">
        <f t="shared" si="27"/>
        <v/>
      </c>
      <c r="BM13" s="57">
        <f t="shared" si="28"/>
        <v>0</v>
      </c>
      <c r="BN13" s="57">
        <f t="shared" si="29"/>
        <v>0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12</v>
      </c>
      <c r="C14" s="292">
        <f>'IMPORTAÇÃO GENOTIPER'!AA10</f>
        <v>13</v>
      </c>
      <c r="D14" s="292">
        <f>'IMPORTAÇÃO GENOTIPER'!AI10</f>
        <v>8</v>
      </c>
      <c r="E14" s="292">
        <f>'IMPORTAÇÃO GENOTIPER'!AQ10</f>
        <v>13</v>
      </c>
      <c r="F14" s="292">
        <f>'IMPORTAÇÃO GENOTIPER'!AY10</f>
        <v>0</v>
      </c>
      <c r="G14" s="292">
        <f>'IMPORTAÇÃO GENOTIPER'!BG10</f>
        <v>0</v>
      </c>
      <c r="H14" s="293">
        <f t="shared" si="0"/>
        <v>12</v>
      </c>
      <c r="I14" s="293">
        <f t="shared" si="1"/>
        <v>13</v>
      </c>
      <c r="J14" s="293">
        <f t="shared" si="2"/>
        <v>8</v>
      </c>
      <c r="K14" s="293">
        <f t="shared" si="3"/>
        <v>13</v>
      </c>
      <c r="L14" s="293">
        <f t="shared" si="4"/>
        <v>0</v>
      </c>
      <c r="M14" s="293">
        <f t="shared" si="5"/>
        <v>0</v>
      </c>
      <c r="N14" s="91">
        <f t="shared" si="6"/>
        <v>12</v>
      </c>
      <c r="O14" s="91">
        <f t="shared" si="7"/>
        <v>13</v>
      </c>
      <c r="P14" s="91">
        <f t="shared" si="8"/>
        <v>8</v>
      </c>
      <c r="Q14" s="91">
        <f t="shared" si="9"/>
        <v>13</v>
      </c>
      <c r="R14" s="91">
        <f t="shared" si="10"/>
        <v>0</v>
      </c>
      <c r="S14" s="91">
        <f t="shared" si="11"/>
        <v>0</v>
      </c>
      <c r="T14" s="92">
        <f t="shared" si="12"/>
        <v>0</v>
      </c>
      <c r="U14" s="92">
        <f t="shared" si="13"/>
        <v>13</v>
      </c>
      <c r="V14" s="93">
        <f>(IF((OR((P14="&gt;20"),(Q14="&gt;20"))),2,(IF(((T14+U14)=(P14+Q14)),0,1))))</f>
        <v>1</v>
      </c>
      <c r="W14" s="94">
        <f t="shared" si="33"/>
        <v>13</v>
      </c>
      <c r="X14" s="116">
        <f t="shared" si="14"/>
        <v>8</v>
      </c>
      <c r="Y14" s="92">
        <f t="shared" si="38"/>
        <v>0</v>
      </c>
      <c r="Z14" s="95">
        <f t="shared" si="15"/>
        <v>0</v>
      </c>
      <c r="AA14" s="96">
        <f t="shared" si="16"/>
        <v>0</v>
      </c>
      <c r="AB14" s="97">
        <f>IF(X14=0,0,VLOOKUP(X14,FREQUENCIAS!$1:$1048576,(IF(($A14=FREQUENCIAS!$G$1),7,"ERRO")),FREQUENCIAS!$1:$1048576))</f>
        <v>5.7986999999999997E-2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</v>
      </c>
      <c r="AH14" s="99">
        <f t="shared" si="17"/>
        <v>0</v>
      </c>
      <c r="AI14" s="100">
        <f t="shared" si="18"/>
        <v>0</v>
      </c>
      <c r="AJ14" s="101"/>
      <c r="AK14" s="102">
        <f t="shared" si="35"/>
        <v>0</v>
      </c>
      <c r="AL14" s="101"/>
      <c r="AM14" s="103" t="str">
        <f t="shared" si="19"/>
        <v>EXCLUI</v>
      </c>
      <c r="AN14" s="94" t="str">
        <f t="shared" si="20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1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0</v>
      </c>
      <c r="BD14" s="2">
        <f t="shared" si="23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13</v>
      </c>
      <c r="BK14" s="54">
        <f t="shared" si="26"/>
        <v>13</v>
      </c>
      <c r="BL14" s="57" t="str">
        <f t="shared" si="27"/>
        <v/>
      </c>
      <c r="BM14" s="57">
        <f t="shared" si="28"/>
        <v>0</v>
      </c>
      <c r="BN14" s="57">
        <f t="shared" si="29"/>
        <v>0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11</v>
      </c>
      <c r="D15" s="292">
        <f>'IMPORTAÇÃO GENOTIPER'!AI11</f>
        <v>9</v>
      </c>
      <c r="E15" s="292">
        <f>'IMPORTAÇÃO GENOTIPER'!AQ11</f>
        <v>11</v>
      </c>
      <c r="F15" s="292">
        <f>'IMPORTAÇÃO GENOTIPER'!AY11</f>
        <v>0</v>
      </c>
      <c r="G15" s="292">
        <f>'IMPORTAÇÃO GENOTIPER'!BG11</f>
        <v>0</v>
      </c>
      <c r="H15" s="293">
        <f t="shared" si="0"/>
        <v>9</v>
      </c>
      <c r="I15" s="293">
        <f t="shared" si="1"/>
        <v>11</v>
      </c>
      <c r="J15" s="293">
        <f t="shared" si="2"/>
        <v>9</v>
      </c>
      <c r="K15" s="293">
        <f t="shared" si="3"/>
        <v>11</v>
      </c>
      <c r="L15" s="293">
        <f t="shared" si="4"/>
        <v>0</v>
      </c>
      <c r="M15" s="293">
        <f t="shared" si="5"/>
        <v>0</v>
      </c>
      <c r="N15" s="91">
        <f t="shared" si="6"/>
        <v>9</v>
      </c>
      <c r="O15" s="91">
        <f t="shared" si="7"/>
        <v>11</v>
      </c>
      <c r="P15" s="91">
        <f t="shared" si="8"/>
        <v>9</v>
      </c>
      <c r="Q15" s="91">
        <f t="shared" si="9"/>
        <v>11</v>
      </c>
      <c r="R15" s="91">
        <f t="shared" si="10"/>
        <v>0</v>
      </c>
      <c r="S15" s="91">
        <f t="shared" si="11"/>
        <v>0</v>
      </c>
      <c r="T15" s="92">
        <f t="shared" si="12"/>
        <v>9</v>
      </c>
      <c r="U15" s="92">
        <f t="shared" si="13"/>
        <v>11</v>
      </c>
      <c r="V15" s="93">
        <f>(IF((OR((P15="&gt;23"),(Q15="&gt;23"))),2,(IF(((T15+U15)=(P15+Q15)),0,1))))</f>
        <v>0</v>
      </c>
      <c r="W15" s="94" t="str">
        <f t="shared" si="33"/>
        <v>NÃO DEF</v>
      </c>
      <c r="X15" s="116">
        <f t="shared" si="14"/>
        <v>9</v>
      </c>
      <c r="Y15" s="92">
        <f t="shared" si="38"/>
        <v>11</v>
      </c>
      <c r="Z15" s="95">
        <f t="shared" si="15"/>
        <v>0</v>
      </c>
      <c r="AA15" s="96">
        <f t="shared" si="16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0.28868100000000002</v>
      </c>
      <c r="AD15" s="97"/>
      <c r="AE15" s="306"/>
      <c r="AF15" s="97"/>
      <c r="AG15" s="98">
        <f t="shared" si="34"/>
        <v>0</v>
      </c>
      <c r="AH15" s="99">
        <f t="shared" si="17"/>
        <v>0</v>
      </c>
      <c r="AI15" s="100">
        <f t="shared" si="18"/>
        <v>0</v>
      </c>
      <c r="AJ15" s="101"/>
      <c r="AK15" s="102">
        <f t="shared" si="35"/>
        <v>0</v>
      </c>
      <c r="AL15" s="101"/>
      <c r="AM15" s="103" t="str">
        <f t="shared" si="19"/>
        <v>EXCLUI</v>
      </c>
      <c r="AN15" s="94" t="str">
        <f t="shared" si="20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1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0</v>
      </c>
      <c r="BD15" s="2">
        <f t="shared" si="23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24"/>
        <v/>
      </c>
      <c r="BJ15" s="54" t="str">
        <f t="shared" si="25"/>
        <v>NÃO DEF</v>
      </c>
      <c r="BK15" s="54" t="str">
        <f t="shared" si="26"/>
        <v>NÃO DEF</v>
      </c>
      <c r="BL15" s="57" t="str">
        <f t="shared" si="27"/>
        <v/>
      </c>
      <c r="BM15" s="57">
        <f t="shared" si="28"/>
        <v>0</v>
      </c>
      <c r="BN15" s="57">
        <f t="shared" si="29"/>
        <v>0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15</v>
      </c>
      <c r="D16" s="292">
        <f>'IMPORTAÇÃO GENOTIPER'!AI12</f>
        <v>14</v>
      </c>
      <c r="E16" s="292">
        <f>'IMPORTAÇÃO GENOTIPER'!AQ12</f>
        <v>18</v>
      </c>
      <c r="F16" s="292">
        <f>'IMPORTAÇÃO GENOTIPER'!AY12</f>
        <v>0</v>
      </c>
      <c r="G16" s="292">
        <f>'IMPORTAÇÃO GENOTIPER'!BG12</f>
        <v>0</v>
      </c>
      <c r="H16" s="293">
        <f t="shared" si="0"/>
        <v>14</v>
      </c>
      <c r="I16" s="293">
        <f t="shared" si="1"/>
        <v>15</v>
      </c>
      <c r="J16" s="293">
        <f t="shared" si="2"/>
        <v>14</v>
      </c>
      <c r="K16" s="293">
        <f t="shared" si="3"/>
        <v>18</v>
      </c>
      <c r="L16" s="293">
        <f t="shared" si="4"/>
        <v>0</v>
      </c>
      <c r="M16" s="293">
        <f t="shared" si="5"/>
        <v>0</v>
      </c>
      <c r="N16" s="91">
        <f t="shared" si="6"/>
        <v>14</v>
      </c>
      <c r="O16" s="91">
        <f t="shared" si="7"/>
        <v>15</v>
      </c>
      <c r="P16" s="91">
        <f t="shared" si="8"/>
        <v>14</v>
      </c>
      <c r="Q16" s="91">
        <f t="shared" si="9"/>
        <v>18</v>
      </c>
      <c r="R16" s="91">
        <f t="shared" si="10"/>
        <v>0</v>
      </c>
      <c r="S16" s="91">
        <f t="shared" si="11"/>
        <v>0</v>
      </c>
      <c r="T16" s="92">
        <f t="shared" si="12"/>
        <v>14</v>
      </c>
      <c r="U16" s="92">
        <f t="shared" si="13"/>
        <v>0</v>
      </c>
      <c r="V16" s="93">
        <f>(IF((OR((P16="&gt;22"),(Q16="&gt;22"))),2,(IF(((T16+U16)=(P16+Q16)),0,1))))</f>
        <v>1</v>
      </c>
      <c r="W16" s="94">
        <f t="shared" si="33"/>
        <v>14</v>
      </c>
      <c r="X16" s="116">
        <f t="shared" si="14"/>
        <v>18</v>
      </c>
      <c r="Y16" s="92">
        <f t="shared" si="38"/>
        <v>0</v>
      </c>
      <c r="Z16" s="95">
        <f t="shared" si="15"/>
        <v>0</v>
      </c>
      <c r="AA16" s="96">
        <f t="shared" si="16"/>
        <v>0</v>
      </c>
      <c r="AB16" s="97">
        <f>IF(X16=0,0,VLOOKUP(X16,FREQUENCIAS!$1:$1048576,(IF(($A16=FREQUENCIAS!$I$1),9,"ERRO")),FREQUENCIAS!$1:$1048576))</f>
        <v>7.7560000000000004E-2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</v>
      </c>
      <c r="AH16" s="99">
        <f t="shared" si="17"/>
        <v>0</v>
      </c>
      <c r="AI16" s="100">
        <f t="shared" si="18"/>
        <v>0</v>
      </c>
      <c r="AJ16" s="101"/>
      <c r="AK16" s="102">
        <f t="shared" si="35"/>
        <v>0</v>
      </c>
      <c r="AL16" s="101"/>
      <c r="AM16" s="103" t="str">
        <f t="shared" si="19"/>
        <v>EXCLUI</v>
      </c>
      <c r="AN16" s="94" t="str">
        <f t="shared" si="20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1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0</v>
      </c>
      <c r="BD16" s="2">
        <f t="shared" si="23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24"/>
        <v/>
      </c>
      <c r="BJ16" s="54">
        <f t="shared" si="25"/>
        <v>15</v>
      </c>
      <c r="BK16" s="54">
        <f t="shared" si="26"/>
        <v>14</v>
      </c>
      <c r="BL16" s="57" t="str">
        <f t="shared" si="27"/>
        <v/>
      </c>
      <c r="BM16" s="57">
        <f t="shared" si="28"/>
        <v>0</v>
      </c>
      <c r="BN16" s="57">
        <f t="shared" si="29"/>
        <v>0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21</v>
      </c>
      <c r="C17" s="292">
        <f>'IMPORTAÇÃO GENOTIPER'!AA13</f>
        <v>24</v>
      </c>
      <c r="D17" s="292">
        <f>'IMPORTAÇÃO GENOTIPER'!AI13</f>
        <v>16</v>
      </c>
      <c r="E17" s="292">
        <f>'IMPORTAÇÃO GENOTIPER'!AQ13</f>
        <v>24</v>
      </c>
      <c r="F17" s="292">
        <f>'IMPORTAÇÃO GENOTIPER'!AY13</f>
        <v>0</v>
      </c>
      <c r="G17" s="292">
        <f>'IMPORTAÇÃO GENOTIPER'!BG13</f>
        <v>0</v>
      </c>
      <c r="H17" s="293">
        <f t="shared" si="0"/>
        <v>21</v>
      </c>
      <c r="I17" s="293">
        <f t="shared" si="1"/>
        <v>24</v>
      </c>
      <c r="J17" s="293">
        <f t="shared" si="2"/>
        <v>16</v>
      </c>
      <c r="K17" s="293">
        <f t="shared" si="3"/>
        <v>24</v>
      </c>
      <c r="L17" s="293">
        <f t="shared" si="4"/>
        <v>0</v>
      </c>
      <c r="M17" s="293">
        <f t="shared" si="5"/>
        <v>0</v>
      </c>
      <c r="N17" s="91">
        <f t="shared" si="6"/>
        <v>21</v>
      </c>
      <c r="O17" s="91">
        <f t="shared" si="7"/>
        <v>24</v>
      </c>
      <c r="P17" s="91">
        <f t="shared" si="8"/>
        <v>16</v>
      </c>
      <c r="Q17" s="91">
        <f t="shared" si="9"/>
        <v>24</v>
      </c>
      <c r="R17" s="91">
        <f t="shared" si="10"/>
        <v>0</v>
      </c>
      <c r="S17" s="91">
        <f t="shared" si="11"/>
        <v>0</v>
      </c>
      <c r="T17" s="92">
        <f t="shared" si="12"/>
        <v>0</v>
      </c>
      <c r="U17" s="92">
        <f t="shared" si="13"/>
        <v>24</v>
      </c>
      <c r="V17" s="93">
        <f>(IF((OR((P17="&gt;28"),(Q17="&gt;28"))),2,(IF(((T17+U17)=(P17+Q17)),0,1))))</f>
        <v>1</v>
      </c>
      <c r="W17" s="94">
        <f t="shared" si="33"/>
        <v>24</v>
      </c>
      <c r="X17" s="116">
        <f t="shared" si="14"/>
        <v>16</v>
      </c>
      <c r="Y17" s="92">
        <f t="shared" si="38"/>
        <v>0</v>
      </c>
      <c r="Z17" s="95">
        <f t="shared" si="15"/>
        <v>0</v>
      </c>
      <c r="AA17" s="96">
        <f t="shared" si="16"/>
        <v>0</v>
      </c>
      <c r="AB17" s="97">
        <f>IF(X17=0,0,VLOOKUP(X17,FREQUENCIAS!$1:$1048576,(IF(($A17=FREQUENCIAS!$J$1),10,"ERRO")),FREQUENCIAS!$1:$1048576))</f>
        <v>4.4999999999999998E-2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</v>
      </c>
      <c r="AH17" s="99">
        <f t="shared" si="17"/>
        <v>0</v>
      </c>
      <c r="AI17" s="100">
        <f t="shared" si="18"/>
        <v>0</v>
      </c>
      <c r="AJ17" s="101" t="s">
        <v>173</v>
      </c>
      <c r="AK17" s="102">
        <f t="shared" si="35"/>
        <v>0</v>
      </c>
      <c r="AL17" s="101"/>
      <c r="AM17" s="103" t="str">
        <f t="shared" si="19"/>
        <v>EXCLUI</v>
      </c>
      <c r="AN17" s="94" t="str">
        <f t="shared" si="20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1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0</v>
      </c>
      <c r="BD17" s="2">
        <f t="shared" si="23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24"/>
        <v/>
      </c>
      <c r="BJ17" s="54">
        <f t="shared" si="25"/>
        <v>24</v>
      </c>
      <c r="BK17" s="54">
        <f t="shared" si="26"/>
        <v>24</v>
      </c>
      <c r="BL17" s="57" t="str">
        <f t="shared" si="27"/>
        <v/>
      </c>
      <c r="BM17" s="57">
        <f t="shared" si="28"/>
        <v>0</v>
      </c>
      <c r="BN17" s="57">
        <f t="shared" si="29"/>
        <v>0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12</v>
      </c>
      <c r="C18" s="292">
        <f>'IMPORTAÇÃO GENOTIPER'!AA14</f>
        <v>13</v>
      </c>
      <c r="D18" s="292">
        <f>'IMPORTAÇÃO GENOTIPER'!AI14</f>
        <v>10</v>
      </c>
      <c r="E18" s="292">
        <f>'IMPORTAÇÃO GENOTIPER'!AQ14</f>
        <v>13</v>
      </c>
      <c r="F18" s="292">
        <f>'IMPORTAÇÃO GENOTIPER'!AY14</f>
        <v>0</v>
      </c>
      <c r="G18" s="292">
        <f>'IMPORTAÇÃO GENOTIPER'!BG14</f>
        <v>0</v>
      </c>
      <c r="H18" s="293">
        <f t="shared" si="0"/>
        <v>12</v>
      </c>
      <c r="I18" s="293">
        <f t="shared" si="1"/>
        <v>13</v>
      </c>
      <c r="J18" s="293">
        <f t="shared" si="2"/>
        <v>10</v>
      </c>
      <c r="K18" s="293">
        <f t="shared" si="3"/>
        <v>13</v>
      </c>
      <c r="L18" s="293">
        <f t="shared" si="4"/>
        <v>0</v>
      </c>
      <c r="M18" s="293">
        <f t="shared" si="5"/>
        <v>0</v>
      </c>
      <c r="N18" s="91">
        <f t="shared" si="6"/>
        <v>12</v>
      </c>
      <c r="O18" s="91">
        <f t="shared" si="7"/>
        <v>13</v>
      </c>
      <c r="P18" s="91">
        <f t="shared" si="8"/>
        <v>10</v>
      </c>
      <c r="Q18" s="91">
        <f t="shared" si="9"/>
        <v>13</v>
      </c>
      <c r="R18" s="91">
        <f t="shared" si="10"/>
        <v>0</v>
      </c>
      <c r="S18" s="91">
        <f t="shared" si="11"/>
        <v>0</v>
      </c>
      <c r="T18" s="92">
        <f t="shared" si="12"/>
        <v>0</v>
      </c>
      <c r="U18" s="92">
        <f t="shared" si="13"/>
        <v>13</v>
      </c>
      <c r="V18" s="93">
        <f>(IF((OR((P18="&gt;17,2"),(Q18="&gt;17,2"))),2,(IF(((T18+U18)=(P18+Q18)),0,1))))</f>
        <v>1</v>
      </c>
      <c r="W18" s="94">
        <f t="shared" si="33"/>
        <v>13</v>
      </c>
      <c r="X18" s="116">
        <f t="shared" si="14"/>
        <v>10</v>
      </c>
      <c r="Y18" s="92">
        <f t="shared" si="38"/>
        <v>0</v>
      </c>
      <c r="Z18" s="95">
        <f t="shared" si="15"/>
        <v>0</v>
      </c>
      <c r="AA18" s="96">
        <f t="shared" si="16"/>
        <v>0</v>
      </c>
      <c r="AB18" s="97">
        <f>IF(X18=0,0,VLOOKUP(X18,FREQUENCIAS!$1:$1048576,(IF(($A18=FREQUENCIAS!$K$1),11,"ERRO")),FREQUENCIAS!$1:$1048576))</f>
        <v>0.262376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</v>
      </c>
      <c r="AH18" s="99">
        <f t="shared" si="17"/>
        <v>0</v>
      </c>
      <c r="AI18" s="100">
        <f t="shared" si="18"/>
        <v>0</v>
      </c>
      <c r="AJ18" s="101"/>
      <c r="AK18" s="102">
        <f t="shared" si="35"/>
        <v>0</v>
      </c>
      <c r="AL18" s="101"/>
      <c r="AM18" s="103" t="str">
        <f t="shared" si="19"/>
        <v>EXCLUI</v>
      </c>
      <c r="AN18" s="94" t="str">
        <f t="shared" si="20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1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0</v>
      </c>
      <c r="BD18" s="2">
        <f t="shared" si="23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24"/>
        <v/>
      </c>
      <c r="BJ18" s="54">
        <f t="shared" si="25"/>
        <v>13</v>
      </c>
      <c r="BK18" s="54">
        <f t="shared" si="26"/>
        <v>13</v>
      </c>
      <c r="BL18" s="57" t="str">
        <f t="shared" si="27"/>
        <v/>
      </c>
      <c r="BM18" s="57">
        <f t="shared" si="28"/>
        <v>0</v>
      </c>
      <c r="BN18" s="57">
        <f t="shared" si="29"/>
        <v>0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12</v>
      </c>
      <c r="D19" s="292">
        <f>'IMPORTAÇÃO GENOTIPER'!AI15</f>
        <v>12</v>
      </c>
      <c r="E19" s="292">
        <f>'IMPORTAÇÃO GENOTIPER'!AQ15</f>
        <v>12</v>
      </c>
      <c r="F19" s="292">
        <f>'IMPORTAÇÃO GENOTIPER'!AY15</f>
        <v>0</v>
      </c>
      <c r="G19" s="292">
        <f>'IMPORTAÇÃO GENOTIPER'!BG15</f>
        <v>0</v>
      </c>
      <c r="H19" s="293">
        <f t="shared" si="0"/>
        <v>9</v>
      </c>
      <c r="I19" s="293">
        <f t="shared" si="1"/>
        <v>12</v>
      </c>
      <c r="J19" s="293">
        <f t="shared" si="2"/>
        <v>12</v>
      </c>
      <c r="K19" s="293">
        <f t="shared" si="3"/>
        <v>12</v>
      </c>
      <c r="L19" s="293">
        <f t="shared" si="4"/>
        <v>0</v>
      </c>
      <c r="M19" s="293">
        <f t="shared" si="5"/>
        <v>0</v>
      </c>
      <c r="N19" s="91">
        <f t="shared" si="6"/>
        <v>9</v>
      </c>
      <c r="O19" s="91">
        <f t="shared" si="7"/>
        <v>12</v>
      </c>
      <c r="P19" s="91">
        <f t="shared" si="8"/>
        <v>12</v>
      </c>
      <c r="Q19" s="91">
        <f t="shared" si="9"/>
        <v>12</v>
      </c>
      <c r="R19" s="91">
        <f t="shared" si="10"/>
        <v>0</v>
      </c>
      <c r="S19" s="91">
        <f t="shared" si="11"/>
        <v>0</v>
      </c>
      <c r="T19" s="92">
        <f t="shared" si="12"/>
        <v>12</v>
      </c>
      <c r="U19" s="92">
        <f t="shared" si="13"/>
        <v>12</v>
      </c>
      <c r="V19" s="93">
        <f>(IF((OR((P19="&gt;21"),(Q19="&gt;21"))),2,(IF(((T19+U19)=(P19+Q19)),0,1))))</f>
        <v>0</v>
      </c>
      <c r="W19" s="94">
        <f t="shared" si="33"/>
        <v>12</v>
      </c>
      <c r="X19" s="116">
        <f t="shared" si="14"/>
        <v>12</v>
      </c>
      <c r="Y19" s="92">
        <f t="shared" si="38"/>
        <v>0</v>
      </c>
      <c r="Z19" s="95">
        <f t="shared" si="15"/>
        <v>0</v>
      </c>
      <c r="AA19" s="96">
        <f t="shared" si="16"/>
        <v>0</v>
      </c>
      <c r="AB19" s="97">
        <f>IF(X19=0,0,VLOOKUP(X19,FREQUENCIAS!$1:$1048576,(IF(($A19=FREQUENCIAS!$L$1),12,"ERRO")),FREQUENCIAS!$1:$1048576))</f>
        <v>0.16545399999999999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</v>
      </c>
      <c r="AH19" s="99">
        <f t="shared" si="17"/>
        <v>0</v>
      </c>
      <c r="AI19" s="100">
        <f t="shared" si="18"/>
        <v>0</v>
      </c>
      <c r="AJ19" s="101" t="s">
        <v>164</v>
      </c>
      <c r="AK19" s="102">
        <f t="shared" si="35"/>
        <v>0</v>
      </c>
      <c r="AL19" s="101"/>
      <c r="AM19" s="103" t="str">
        <f t="shared" si="19"/>
        <v>EXCLUI</v>
      </c>
      <c r="AN19" s="94" t="str">
        <f t="shared" si="20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1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0</v>
      </c>
      <c r="BD19" s="2">
        <f t="shared" si="23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12</v>
      </c>
      <c r="BK19" s="54">
        <f t="shared" si="26"/>
        <v>12</v>
      </c>
      <c r="BL19" s="57" t="str">
        <f t="shared" si="27"/>
        <v/>
      </c>
      <c r="BM19" s="57">
        <f t="shared" si="28"/>
        <v>0</v>
      </c>
      <c r="BN19" s="57">
        <f t="shared" si="29"/>
        <v>0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9</v>
      </c>
      <c r="C20" s="292">
        <f>'IMPORTAÇÃO GENOTIPER'!AA16</f>
        <v>9</v>
      </c>
      <c r="D20" s="292">
        <f>'IMPORTAÇÃO GENOTIPER'!AI16</f>
        <v>9</v>
      </c>
      <c r="E20" s="292">
        <f>'IMPORTAÇÃO GENOTIPER'!AQ16</f>
        <v>9</v>
      </c>
      <c r="F20" s="292">
        <f>'IMPORTAÇÃO GENOTIPER'!AY16</f>
        <v>0</v>
      </c>
      <c r="G20" s="292">
        <f>'IMPORTAÇÃO GENOTIPER'!BG16</f>
        <v>0</v>
      </c>
      <c r="H20" s="293">
        <f t="shared" si="0"/>
        <v>9</v>
      </c>
      <c r="I20" s="293">
        <f t="shared" si="1"/>
        <v>9</v>
      </c>
      <c r="J20" s="293">
        <f t="shared" si="2"/>
        <v>9</v>
      </c>
      <c r="K20" s="293">
        <f t="shared" si="3"/>
        <v>9</v>
      </c>
      <c r="L20" s="293">
        <f t="shared" si="4"/>
        <v>0</v>
      </c>
      <c r="M20" s="293">
        <f t="shared" si="5"/>
        <v>0</v>
      </c>
      <c r="N20" s="91">
        <f t="shared" si="6"/>
        <v>9</v>
      </c>
      <c r="O20" s="91">
        <f t="shared" si="7"/>
        <v>9</v>
      </c>
      <c r="P20" s="91">
        <f t="shared" si="8"/>
        <v>9</v>
      </c>
      <c r="Q20" s="91">
        <f t="shared" si="9"/>
        <v>9</v>
      </c>
      <c r="R20" s="91">
        <f t="shared" si="10"/>
        <v>0</v>
      </c>
      <c r="S20" s="91">
        <f t="shared" si="11"/>
        <v>0</v>
      </c>
      <c r="T20" s="92">
        <f t="shared" si="12"/>
        <v>9</v>
      </c>
      <c r="U20" s="92">
        <f t="shared" si="13"/>
        <v>9</v>
      </c>
      <c r="V20" s="93">
        <f>(IF((OR((P20="&gt;20"),(Q20="&gt;20"))),2,(IF(((T20+U20)=(P20+Q20)),0,1))))</f>
        <v>0</v>
      </c>
      <c r="W20" s="94">
        <f t="shared" si="33"/>
        <v>9</v>
      </c>
      <c r="X20" s="116">
        <f t="shared" si="14"/>
        <v>9</v>
      </c>
      <c r="Y20" s="92">
        <f t="shared" si="38"/>
        <v>0</v>
      </c>
      <c r="Z20" s="95">
        <f t="shared" si="15"/>
        <v>0</v>
      </c>
      <c r="AA20" s="96">
        <f t="shared" si="16"/>
        <v>0</v>
      </c>
      <c r="AB20" s="97">
        <f>IF(X20=0,0,VLOOKUP(X20,FREQUENCIAS!$1:$1048576,(IF(($A20=FREQUENCIAS!$M$1),13,"ERRO")),FREQUENCIAS!$1:$1048576))</f>
        <v>0.16256300000000001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</v>
      </c>
      <c r="AH20" s="99">
        <f t="shared" si="17"/>
        <v>0</v>
      </c>
      <c r="AI20" s="100">
        <f t="shared" si="18"/>
        <v>0</v>
      </c>
      <c r="AJ20" s="101"/>
      <c r="AK20" s="102">
        <f t="shared" si="35"/>
        <v>0</v>
      </c>
      <c r="AL20" s="101"/>
      <c r="AM20" s="103" t="str">
        <f t="shared" si="19"/>
        <v>EXCLUI</v>
      </c>
      <c r="AN20" s="94" t="str">
        <f t="shared" si="20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1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0</v>
      </c>
      <c r="BD20" s="2">
        <f t="shared" si="23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24"/>
        <v/>
      </c>
      <c r="BJ20" s="54">
        <f t="shared" si="25"/>
        <v>9</v>
      </c>
      <c r="BK20" s="54">
        <f t="shared" si="26"/>
        <v>9</v>
      </c>
      <c r="BL20" s="57" t="str">
        <f t="shared" si="27"/>
        <v/>
      </c>
      <c r="BM20" s="57">
        <f t="shared" si="28"/>
        <v>0</v>
      </c>
      <c r="BN20" s="57">
        <f t="shared" si="29"/>
        <v>0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15</v>
      </c>
      <c r="C21" s="292">
        <f>'IMPORTAÇÃO GENOTIPER'!AA17</f>
        <v>16</v>
      </c>
      <c r="D21" s="292">
        <f>'IMPORTAÇÃO GENOTIPER'!AI17</f>
        <v>15</v>
      </c>
      <c r="E21" s="292">
        <f>'IMPORTAÇÃO GENOTIPER'!AQ17</f>
        <v>15</v>
      </c>
      <c r="F21" s="292">
        <f>'IMPORTAÇÃO GENOTIPER'!AY17</f>
        <v>0</v>
      </c>
      <c r="G21" s="292">
        <f>'IMPORTAÇÃO GENOTIPER'!BG17</f>
        <v>0</v>
      </c>
      <c r="H21" s="293">
        <f t="shared" si="0"/>
        <v>15</v>
      </c>
      <c r="I21" s="293">
        <f t="shared" si="1"/>
        <v>16</v>
      </c>
      <c r="J21" s="293">
        <f t="shared" si="2"/>
        <v>15</v>
      </c>
      <c r="K21" s="293">
        <f t="shared" si="3"/>
        <v>15</v>
      </c>
      <c r="L21" s="293">
        <f t="shared" si="4"/>
        <v>0</v>
      </c>
      <c r="M21" s="293">
        <f t="shared" si="5"/>
        <v>0</v>
      </c>
      <c r="N21" s="91">
        <f t="shared" si="6"/>
        <v>15</v>
      </c>
      <c r="O21" s="91">
        <f t="shared" si="7"/>
        <v>16</v>
      </c>
      <c r="P21" s="91">
        <f t="shared" si="8"/>
        <v>15</v>
      </c>
      <c r="Q21" s="91">
        <f t="shared" si="9"/>
        <v>15</v>
      </c>
      <c r="R21" s="91">
        <f t="shared" si="10"/>
        <v>0</v>
      </c>
      <c r="S21" s="91">
        <f t="shared" si="11"/>
        <v>0</v>
      </c>
      <c r="T21" s="92">
        <f t="shared" si="12"/>
        <v>15</v>
      </c>
      <c r="U21" s="92">
        <f t="shared" si="13"/>
        <v>15</v>
      </c>
      <c r="V21" s="93">
        <f>(IF((OR((P21="&gt;24"),(Q21="&gt;24"))),2,(IF(((T21+U21)=(P21+Q21)),0,1))))</f>
        <v>0</v>
      </c>
      <c r="W21" s="94">
        <f t="shared" si="33"/>
        <v>15</v>
      </c>
      <c r="X21" s="116">
        <f t="shared" si="14"/>
        <v>15</v>
      </c>
      <c r="Y21" s="92">
        <f t="shared" si="38"/>
        <v>0</v>
      </c>
      <c r="Z21" s="95">
        <f t="shared" si="15"/>
        <v>0</v>
      </c>
      <c r="AA21" s="96">
        <f t="shared" si="16"/>
        <v>0</v>
      </c>
      <c r="AB21" s="97">
        <f>IF(X21=0,0,VLOOKUP(X21,FREQUENCIAS!$1:$1048576,(IF(($A21=FREQUENCIAS!$N$1),14,"ERRO")),FREQUENCIAS!$1:$1048576))</f>
        <v>0.13799400000000001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</v>
      </c>
      <c r="AH21" s="99">
        <f t="shared" si="17"/>
        <v>0</v>
      </c>
      <c r="AI21" s="100">
        <f t="shared" si="18"/>
        <v>0</v>
      </c>
      <c r="AJ21" s="101"/>
      <c r="AK21" s="102">
        <f t="shared" si="35"/>
        <v>0</v>
      </c>
      <c r="AL21" s="101"/>
      <c r="AM21" s="103" t="str">
        <f t="shared" si="19"/>
        <v>EXCLUI</v>
      </c>
      <c r="AN21" s="94" t="str">
        <f t="shared" si="20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1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0</v>
      </c>
      <c r="BD21" s="2">
        <f t="shared" si="23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24"/>
        <v/>
      </c>
      <c r="BJ21" s="54">
        <f t="shared" si="25"/>
        <v>15</v>
      </c>
      <c r="BK21" s="54">
        <f t="shared" si="26"/>
        <v>15</v>
      </c>
      <c r="BL21" s="57" t="str">
        <f t="shared" si="27"/>
        <v/>
      </c>
      <c r="BM21" s="57">
        <f t="shared" si="28"/>
        <v>0</v>
      </c>
      <c r="BN21" s="57">
        <f t="shared" si="29"/>
        <v>0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30</v>
      </c>
      <c r="C22" s="292">
        <f>'IMPORTAÇÃO GENOTIPER'!AA18</f>
        <v>35</v>
      </c>
      <c r="D22" s="292">
        <f>'IMPORTAÇÃO GENOTIPER'!AI18</f>
        <v>29</v>
      </c>
      <c r="E22" s="292">
        <f>'IMPORTAÇÃO GENOTIPER'!AQ18</f>
        <v>30</v>
      </c>
      <c r="F22" s="292">
        <f>'IMPORTAÇÃO GENOTIPER'!AY18</f>
        <v>0</v>
      </c>
      <c r="G22" s="292">
        <f>'IMPORTAÇÃO GENOTIPER'!BG18</f>
        <v>0</v>
      </c>
      <c r="H22" s="293">
        <f t="shared" si="0"/>
        <v>30</v>
      </c>
      <c r="I22" s="293">
        <f t="shared" si="1"/>
        <v>35</v>
      </c>
      <c r="J22" s="293">
        <f t="shared" si="2"/>
        <v>29</v>
      </c>
      <c r="K22" s="293">
        <f t="shared" si="3"/>
        <v>30</v>
      </c>
      <c r="L22" s="293">
        <f t="shared" si="4"/>
        <v>0</v>
      </c>
      <c r="M22" s="293">
        <f t="shared" si="5"/>
        <v>0</v>
      </c>
      <c r="N22" s="91">
        <f t="shared" si="6"/>
        <v>30</v>
      </c>
      <c r="O22" s="91">
        <f t="shared" si="7"/>
        <v>35</v>
      </c>
      <c r="P22" s="91">
        <f t="shared" si="8"/>
        <v>29</v>
      </c>
      <c r="Q22" s="91">
        <f t="shared" si="9"/>
        <v>30</v>
      </c>
      <c r="R22" s="91">
        <f t="shared" si="10"/>
        <v>0</v>
      </c>
      <c r="S22" s="91">
        <f t="shared" si="11"/>
        <v>0</v>
      </c>
      <c r="T22" s="92">
        <f t="shared" si="12"/>
        <v>0</v>
      </c>
      <c r="U22" s="92">
        <f t="shared" si="13"/>
        <v>30</v>
      </c>
      <c r="V22" s="93">
        <f>(IF((OR((P22="&gt;22"),(Q22="&gt;22"))),2,(IF(((T22+U22)=(P22+Q22)),0,1))))</f>
        <v>1</v>
      </c>
      <c r="W22" s="94">
        <f t="shared" si="33"/>
        <v>30</v>
      </c>
      <c r="X22" s="116">
        <f t="shared" si="14"/>
        <v>29</v>
      </c>
      <c r="Y22" s="92">
        <f t="shared" si="38"/>
        <v>0</v>
      </c>
      <c r="Z22" s="95">
        <f t="shared" si="15"/>
        <v>0</v>
      </c>
      <c r="AA22" s="96">
        <f t="shared" si="16"/>
        <v>0</v>
      </c>
      <c r="AB22" s="97">
        <f>IF(X22=0,0,VLOOKUP(X22,FREQUENCIAS!$1:$1048576,(IF(($A22=FREQUENCIAS!$O$1),15,"ERRO")),FREQUENCIAS!$1:$1048576))</f>
        <v>0.20807800000000001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0</v>
      </c>
      <c r="AH22" s="99">
        <f t="shared" si="17"/>
        <v>0</v>
      </c>
      <c r="AI22" s="100">
        <f t="shared" si="18"/>
        <v>0</v>
      </c>
      <c r="AJ22" s="101"/>
      <c r="AK22" s="102">
        <f t="shared" si="35"/>
        <v>0</v>
      </c>
      <c r="AL22" s="101"/>
      <c r="AM22" s="103" t="str">
        <f t="shared" si="19"/>
        <v>EXCLUI</v>
      </c>
      <c r="AN22" s="94" t="str">
        <f t="shared" si="20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1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0</v>
      </c>
      <c r="BD22" s="2">
        <f t="shared" si="23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30</v>
      </c>
      <c r="BK22" s="54">
        <f t="shared" si="26"/>
        <v>30</v>
      </c>
      <c r="BL22" s="57" t="str">
        <f t="shared" si="27"/>
        <v/>
      </c>
      <c r="BM22" s="57">
        <f t="shared" si="28"/>
        <v>0</v>
      </c>
      <c r="BN22" s="57">
        <f t="shared" si="29"/>
        <v>0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10</v>
      </c>
      <c r="C23" s="292">
        <f>'IMPORTAÇÃO GENOTIPER'!AA19</f>
        <v>10</v>
      </c>
      <c r="D23" s="292">
        <f>'IMPORTAÇÃO GENOTIPER'!AI19</f>
        <v>9</v>
      </c>
      <c r="E23" s="292">
        <f>'IMPORTAÇÃO GENOTIPER'!AQ19</f>
        <v>10</v>
      </c>
      <c r="F23" s="292">
        <f>'IMPORTAÇÃO GENOTIPER'!AY19</f>
        <v>0</v>
      </c>
      <c r="G23" s="292">
        <f>'IMPORTAÇÃO GENOTIPER'!BG19</f>
        <v>0</v>
      </c>
      <c r="H23" s="293">
        <f t="shared" si="0"/>
        <v>10</v>
      </c>
      <c r="I23" s="293">
        <f t="shared" si="1"/>
        <v>10</v>
      </c>
      <c r="J23" s="293">
        <f t="shared" si="2"/>
        <v>9</v>
      </c>
      <c r="K23" s="293">
        <f t="shared" si="3"/>
        <v>10</v>
      </c>
      <c r="L23" s="293">
        <f t="shared" si="4"/>
        <v>0</v>
      </c>
      <c r="M23" s="293">
        <f t="shared" si="5"/>
        <v>0</v>
      </c>
      <c r="N23" s="91">
        <f t="shared" si="6"/>
        <v>10</v>
      </c>
      <c r="O23" s="91">
        <f t="shared" si="7"/>
        <v>10</v>
      </c>
      <c r="P23" s="91">
        <f t="shared" si="8"/>
        <v>9</v>
      </c>
      <c r="Q23" s="91">
        <f t="shared" si="9"/>
        <v>10</v>
      </c>
      <c r="R23" s="91">
        <f t="shared" si="10"/>
        <v>0</v>
      </c>
      <c r="S23" s="91">
        <f t="shared" si="11"/>
        <v>0</v>
      </c>
      <c r="T23" s="92">
        <f t="shared" si="12"/>
        <v>0</v>
      </c>
      <c r="U23" s="92">
        <f t="shared" si="13"/>
        <v>10</v>
      </c>
      <c r="V23" s="93">
        <f>(IF((OR((P23="&gt;32"),(Q23="&gt;32"))),2,(IF(((T23+U23)=(P23+Q23)),0,1))))</f>
        <v>1</v>
      </c>
      <c r="W23" s="94">
        <f t="shared" si="33"/>
        <v>10</v>
      </c>
      <c r="X23" s="116">
        <f t="shared" si="14"/>
        <v>9</v>
      </c>
      <c r="Y23" s="92">
        <f t="shared" si="38"/>
        <v>0</v>
      </c>
      <c r="Z23" s="95">
        <f t="shared" si="15"/>
        <v>0</v>
      </c>
      <c r="AA23" s="96">
        <f t="shared" si="16"/>
        <v>0</v>
      </c>
      <c r="AB23" s="97">
        <f>IF(X23=0,0,VLOOKUP(X23,FREQUENCIAS!$1:$1048576,(IF(($A23=FREQUENCIAS!$P$1),16,"ERRO")),FREQUENCIAS!$1:$1048576))</f>
        <v>0.12053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</v>
      </c>
      <c r="AH23" s="99">
        <f t="shared" si="17"/>
        <v>0</v>
      </c>
      <c r="AI23" s="100">
        <f t="shared" si="18"/>
        <v>0</v>
      </c>
      <c r="AJ23" s="101" t="s">
        <v>173</v>
      </c>
      <c r="AK23" s="102">
        <f t="shared" si="35"/>
        <v>0</v>
      </c>
      <c r="AL23" s="101"/>
      <c r="AM23" s="103" t="str">
        <f t="shared" si="19"/>
        <v>EXCLUI</v>
      </c>
      <c r="AN23" s="94" t="str">
        <f t="shared" si="20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1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0</v>
      </c>
      <c r="BD23" s="2">
        <f t="shared" si="23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10</v>
      </c>
      <c r="BK23" s="25">
        <f t="shared" si="26"/>
        <v>10</v>
      </c>
      <c r="BL23" s="61" t="str">
        <f t="shared" si="27"/>
        <v/>
      </c>
      <c r="BM23" s="61">
        <f t="shared" si="28"/>
        <v>0</v>
      </c>
      <c r="BN23" s="61">
        <f t="shared" si="29"/>
        <v>0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13</v>
      </c>
      <c r="C24" s="292">
        <f>'IMPORTAÇÃO GENOTIPER'!AA20</f>
        <v>13</v>
      </c>
      <c r="D24" s="292">
        <f>'IMPORTAÇÃO GENOTIPER'!AI20</f>
        <v>12</v>
      </c>
      <c r="E24" s="292">
        <f>'IMPORTAÇÃO GENOTIPER'!AQ20</f>
        <v>13</v>
      </c>
      <c r="F24" s="292">
        <f>'IMPORTAÇÃO GENOTIPER'!AY20</f>
        <v>0</v>
      </c>
      <c r="G24" s="292">
        <f>'IMPORTAÇÃO GENOTIPER'!BG20</f>
        <v>0</v>
      </c>
      <c r="H24" s="293">
        <f t="shared" si="0"/>
        <v>13</v>
      </c>
      <c r="I24" s="293">
        <f t="shared" si="1"/>
        <v>13</v>
      </c>
      <c r="J24" s="293">
        <f t="shared" si="2"/>
        <v>12</v>
      </c>
      <c r="K24" s="293">
        <f t="shared" si="3"/>
        <v>13</v>
      </c>
      <c r="L24" s="293">
        <f t="shared" si="4"/>
        <v>0</v>
      </c>
      <c r="M24" s="293">
        <f t="shared" si="5"/>
        <v>0</v>
      </c>
      <c r="N24" s="91">
        <f t="shared" ref="N24:N30" si="40">IF((H24&gt;I24),I24,H24)</f>
        <v>13</v>
      </c>
      <c r="O24" s="91">
        <f t="shared" ref="O24:O30" si="41">IF((I24&gt;H24),I24,H24)</f>
        <v>13</v>
      </c>
      <c r="P24" s="91">
        <f t="shared" ref="P24:P30" si="42">IF((J24&gt;K24),K24,J24)</f>
        <v>12</v>
      </c>
      <c r="Q24" s="91">
        <f t="shared" ref="Q24:Q30" si="43">IF((K24&gt;J24),K24,J24)</f>
        <v>13</v>
      </c>
      <c r="R24" s="91">
        <f t="shared" ref="R24:R30" si="44">IF((L24&gt;M24),M24,L24)</f>
        <v>0</v>
      </c>
      <c r="S24" s="91">
        <f t="shared" ref="S24:S30" si="45">IF((M24&gt;L24),M24,L24)</f>
        <v>0</v>
      </c>
      <c r="T24" s="92">
        <f t="shared" ref="T24:T30" si="46">IF((P24=N24),P24,(IF((P24=O24),P24,0)))</f>
        <v>0</v>
      </c>
      <c r="U24" s="92">
        <f t="shared" ref="U24:U30" si="47">IF((Q24=N24),Q24,(IF((Q24=O24),Q24,0)))</f>
        <v>13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13</v>
      </c>
      <c r="X24" s="116">
        <f t="shared" si="14"/>
        <v>12</v>
      </c>
      <c r="Y24" s="92">
        <f>(IF((AND(($T24=0),($U24=0))),$E24,(IF(($W24&lt;&gt;$AJ$7),0,$Q24))))</f>
        <v>0</v>
      </c>
      <c r="Z24" s="95">
        <f t="shared" ref="Z24:Z30" si="48">(IF(OR((X24=R24),(X24=S24)),X24,0))</f>
        <v>0</v>
      </c>
      <c r="AA24" s="96">
        <f t="shared" si="16"/>
        <v>0</v>
      </c>
      <c r="AB24" s="97">
        <f>IF(X24=0,0,VLOOKUP(X24,FREQUENCIAS!$1:$1048576,(IF(($A24=FREQUENCIAS!$Q$1),17,"ERRO")),FREQUENCIAS!$1:$1048576))</f>
        <v>0.34637600000000002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</v>
      </c>
      <c r="AH24" s="99">
        <f t="shared" si="17"/>
        <v>0</v>
      </c>
      <c r="AI24" s="100">
        <f t="shared" ref="AI24:AI30" si="49">(IF((AH24=0),0,(AH24/(AH24+1))))</f>
        <v>0</v>
      </c>
      <c r="AJ24" s="101"/>
      <c r="AK24" s="102">
        <f t="shared" si="35"/>
        <v>0</v>
      </c>
      <c r="AL24" s="101"/>
      <c r="AM24" s="103" t="str">
        <f t="shared" si="19"/>
        <v>EXCLUI</v>
      </c>
      <c r="AN24" s="94" t="str">
        <f t="shared" si="20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1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0</v>
      </c>
      <c r="BD24" s="2">
        <f t="shared" si="23"/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24"/>
        <v/>
      </c>
      <c r="BJ24" s="54">
        <f t="shared" si="25"/>
        <v>13</v>
      </c>
      <c r="BK24" s="54">
        <f t="shared" si="26"/>
        <v>13</v>
      </c>
      <c r="BL24" s="57" t="str">
        <f t="shared" si="27"/>
        <v/>
      </c>
      <c r="BM24" s="57">
        <f t="shared" si="28"/>
        <v>0</v>
      </c>
      <c r="BN24" s="57">
        <f t="shared" si="29"/>
        <v>0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8</v>
      </c>
      <c r="D25" s="292">
        <f>'IMPORTAÇÃO GENOTIPER'!AI21</f>
        <v>8</v>
      </c>
      <c r="E25" s="292">
        <f>'IMPORTAÇÃO GENOTIPER'!AQ21</f>
        <v>11</v>
      </c>
      <c r="F25" s="292">
        <f>'IMPORTAÇÃO GENOTIPER'!AY21</f>
        <v>0</v>
      </c>
      <c r="G25" s="292">
        <f>'IMPORTAÇÃO GENOTIPER'!BG21</f>
        <v>0</v>
      </c>
      <c r="H25" s="293">
        <f t="shared" si="0"/>
        <v>8</v>
      </c>
      <c r="I25" s="293">
        <f t="shared" si="1"/>
        <v>8</v>
      </c>
      <c r="J25" s="293">
        <f t="shared" si="2"/>
        <v>8</v>
      </c>
      <c r="K25" s="293">
        <f t="shared" si="3"/>
        <v>11</v>
      </c>
      <c r="L25" s="293">
        <f t="shared" si="4"/>
        <v>0</v>
      </c>
      <c r="M25" s="293">
        <f t="shared" si="5"/>
        <v>0</v>
      </c>
      <c r="N25" s="91">
        <f t="shared" si="40"/>
        <v>8</v>
      </c>
      <c r="O25" s="91">
        <f t="shared" si="41"/>
        <v>8</v>
      </c>
      <c r="P25" s="91">
        <f t="shared" si="42"/>
        <v>8</v>
      </c>
      <c r="Q25" s="91">
        <f t="shared" si="43"/>
        <v>11</v>
      </c>
      <c r="R25" s="91">
        <f t="shared" si="44"/>
        <v>0</v>
      </c>
      <c r="S25" s="91">
        <f t="shared" si="45"/>
        <v>0</v>
      </c>
      <c r="T25" s="92">
        <f t="shared" si="46"/>
        <v>8</v>
      </c>
      <c r="U25" s="92">
        <f t="shared" si="47"/>
        <v>0</v>
      </c>
      <c r="V25" s="93">
        <f>(IF((OR((P25="&gt;36"),(Q25="&gt;36"))),2,(IF(((T25+U25)=(P25+Q25)),0,1))))</f>
        <v>1</v>
      </c>
      <c r="W25" s="94">
        <f t="shared" ref="W25:W42" si="50">IF(OR((T25=U25),(U25=0)),T25,(IF(AND((T25=0),(U25&lt;&gt;0)),U25,$AJ$7)))</f>
        <v>8</v>
      </c>
      <c r="X25" s="116">
        <f t="shared" si="14"/>
        <v>11</v>
      </c>
      <c r="Y25" s="92">
        <f>(IF((AND((T25=0),(U25=0))),E25,(IF((W25&lt;&gt;$AJ$7),0,Q25))))</f>
        <v>0</v>
      </c>
      <c r="Z25" s="95">
        <f t="shared" si="48"/>
        <v>0</v>
      </c>
      <c r="AA25" s="96">
        <f t="shared" si="16"/>
        <v>0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</v>
      </c>
      <c r="AH25" s="99">
        <f t="shared" si="17"/>
        <v>0</v>
      </c>
      <c r="AI25" s="100">
        <f t="shared" si="49"/>
        <v>0</v>
      </c>
      <c r="AJ25" s="101"/>
      <c r="AK25" s="102">
        <f t="shared" si="35"/>
        <v>0</v>
      </c>
      <c r="AL25" s="101"/>
      <c r="AM25" s="103" t="str">
        <f t="shared" si="19"/>
        <v>EXCLUI</v>
      </c>
      <c r="AN25" s="94" t="str">
        <f t="shared" si="20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1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0</v>
      </c>
      <c r="BD25" s="2">
        <f t="shared" si="23"/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8</v>
      </c>
      <c r="BK25" s="54">
        <f t="shared" si="26"/>
        <v>8</v>
      </c>
      <c r="BL25" s="57" t="str">
        <f t="shared" si="27"/>
        <v/>
      </c>
      <c r="BM25" s="63">
        <f t="shared" si="28"/>
        <v>0</v>
      </c>
      <c r="BN25" s="57">
        <f t="shared" si="29"/>
        <v>0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12</v>
      </c>
      <c r="C26" s="292">
        <f>'IMPORTAÇÃO GENOTIPER'!AA22</f>
        <v>13</v>
      </c>
      <c r="D26" s="292">
        <f>'IMPORTAÇÃO GENOTIPER'!AI22</f>
        <v>13</v>
      </c>
      <c r="E26" s="292">
        <f>'IMPORTAÇÃO GENOTIPER'!AQ22</f>
        <v>15</v>
      </c>
      <c r="F26" s="292">
        <f>'IMPORTAÇÃO GENOTIPER'!AY22</f>
        <v>0</v>
      </c>
      <c r="G26" s="292">
        <f>'IMPORTAÇÃO GENOTIPER'!BG22</f>
        <v>0</v>
      </c>
      <c r="H26" s="293">
        <f t="shared" si="0"/>
        <v>12</v>
      </c>
      <c r="I26" s="293">
        <f t="shared" si="1"/>
        <v>13</v>
      </c>
      <c r="J26" s="293">
        <f t="shared" si="2"/>
        <v>13</v>
      </c>
      <c r="K26" s="293">
        <f t="shared" si="3"/>
        <v>15</v>
      </c>
      <c r="L26" s="293">
        <f t="shared" si="4"/>
        <v>0</v>
      </c>
      <c r="M26" s="293">
        <f t="shared" si="5"/>
        <v>0</v>
      </c>
      <c r="N26" s="91">
        <f t="shared" si="40"/>
        <v>12</v>
      </c>
      <c r="O26" s="91">
        <f t="shared" si="41"/>
        <v>13</v>
      </c>
      <c r="P26" s="91">
        <f t="shared" si="42"/>
        <v>13</v>
      </c>
      <c r="Q26" s="91">
        <f t="shared" si="43"/>
        <v>15</v>
      </c>
      <c r="R26" s="91">
        <f t="shared" si="44"/>
        <v>0</v>
      </c>
      <c r="S26" s="91">
        <f t="shared" si="45"/>
        <v>0</v>
      </c>
      <c r="T26" s="92">
        <f t="shared" si="46"/>
        <v>13</v>
      </c>
      <c r="U26" s="92">
        <f t="shared" si="47"/>
        <v>0</v>
      </c>
      <c r="V26" s="93">
        <f>(IF((OR((P26="&gt;21"),(Q26="&gt;21"))),2,(IF(((T26+U26)=(P26+Q26)),0,1))))</f>
        <v>1</v>
      </c>
      <c r="W26" s="92">
        <f t="shared" si="50"/>
        <v>13</v>
      </c>
      <c r="X26" s="116">
        <f t="shared" si="14"/>
        <v>15</v>
      </c>
      <c r="Y26" s="92">
        <f xml:space="preserve"> (IF((AND((T26=0),(U26=0))),E26,(IF((W26&lt;&gt;$AJ$7),0,Q26))))</f>
        <v>0</v>
      </c>
      <c r="Z26" s="95">
        <f t="shared" si="48"/>
        <v>0</v>
      </c>
      <c r="AA26" s="96">
        <f t="shared" si="16"/>
        <v>0</v>
      </c>
      <c r="AB26" s="97">
        <f>IF(X26=0,0,VLOOKUP(X26,FREQUENCIAS!$1:$1048576,(IF(($A26=FREQUENCIAS!$S$1),19,"ERRO")),FREQUENCIAS!$1:$1048576))</f>
        <v>0.13833100000000001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</v>
      </c>
      <c r="AH26" s="99">
        <f t="shared" si="17"/>
        <v>0</v>
      </c>
      <c r="AI26" s="100">
        <f t="shared" si="49"/>
        <v>0</v>
      </c>
      <c r="AJ26" s="101" t="s">
        <v>140</v>
      </c>
      <c r="AK26" s="102">
        <f t="shared" si="35"/>
        <v>0</v>
      </c>
      <c r="AL26" s="101"/>
      <c r="AM26" s="103" t="str">
        <f t="shared" si="19"/>
        <v>EXCLUI</v>
      </c>
      <c r="AN26" s="94" t="str">
        <f t="shared" si="20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1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0</v>
      </c>
      <c r="BD26" s="2">
        <f t="shared" si="23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24"/>
        <v/>
      </c>
      <c r="BJ26" s="54">
        <f t="shared" si="25"/>
        <v>13</v>
      </c>
      <c r="BK26" s="54">
        <f t="shared" si="26"/>
        <v>13</v>
      </c>
      <c r="BL26" s="57" t="str">
        <f t="shared" si="27"/>
        <v/>
      </c>
      <c r="BM26" s="57">
        <f t="shared" si="28"/>
        <v>0</v>
      </c>
      <c r="BN26" s="57">
        <f t="shared" si="29"/>
        <v>0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19</v>
      </c>
      <c r="C27" s="292">
        <f>'IMPORTAÇÃO GENOTIPER'!AA23</f>
        <v>20</v>
      </c>
      <c r="D27" s="292">
        <f>'IMPORTAÇÃO GENOTIPER'!AI23</f>
        <v>19</v>
      </c>
      <c r="E27" s="292">
        <f>'IMPORTAÇÃO GENOTIPER'!AQ23</f>
        <v>19</v>
      </c>
      <c r="F27" s="292">
        <f>'IMPORTAÇÃO GENOTIPER'!AY23</f>
        <v>0</v>
      </c>
      <c r="G27" s="292">
        <f>'IMPORTAÇÃO GENOTIPER'!BG23</f>
        <v>0</v>
      </c>
      <c r="H27" s="293">
        <f t="shared" si="0"/>
        <v>19</v>
      </c>
      <c r="I27" s="293">
        <f t="shared" si="1"/>
        <v>20</v>
      </c>
      <c r="J27" s="293">
        <f t="shared" si="2"/>
        <v>19</v>
      </c>
      <c r="K27" s="293">
        <f t="shared" si="3"/>
        <v>19</v>
      </c>
      <c r="L27" s="293">
        <f t="shared" si="4"/>
        <v>0</v>
      </c>
      <c r="M27" s="293">
        <f t="shared" si="5"/>
        <v>0</v>
      </c>
      <c r="N27" s="91">
        <f t="shared" si="40"/>
        <v>19</v>
      </c>
      <c r="O27" s="91">
        <f t="shared" si="41"/>
        <v>20</v>
      </c>
      <c r="P27" s="91">
        <f t="shared" si="42"/>
        <v>19</v>
      </c>
      <c r="Q27" s="91">
        <f t="shared" si="43"/>
        <v>19</v>
      </c>
      <c r="R27" s="91">
        <f t="shared" si="44"/>
        <v>0</v>
      </c>
      <c r="S27" s="91">
        <f t="shared" si="45"/>
        <v>0</v>
      </c>
      <c r="T27" s="92">
        <f t="shared" si="46"/>
        <v>19</v>
      </c>
      <c r="U27" s="92">
        <f t="shared" si="47"/>
        <v>19</v>
      </c>
      <c r="V27" s="93">
        <f>(IF((OR((P27="&gt;21"),(Q27="&gt;21"))),2,(IF(((T27+U27)=(P27+Q27)),0,1))))</f>
        <v>0</v>
      </c>
      <c r="W27" s="94">
        <f t="shared" si="50"/>
        <v>19</v>
      </c>
      <c r="X27" s="116">
        <f t="shared" si="14"/>
        <v>19</v>
      </c>
      <c r="Y27" s="92">
        <f t="shared" ref="Y27:Y42" si="52">(IF((AND((T27=0),(U27=0))),E27,(IF((W27&lt;&gt;$AJ$7),0,Q27))))</f>
        <v>0</v>
      </c>
      <c r="Z27" s="95">
        <f t="shared" si="48"/>
        <v>0</v>
      </c>
      <c r="AA27" s="96">
        <f t="shared" si="16"/>
        <v>0</v>
      </c>
      <c r="AB27" s="97">
        <f>IF(X27=0,0,VLOOKUP(X27,FREQUENCIAS!$1:$1048576,(IF(($A27=FREQUENCIAS!$T$1),20,"ERRO")),FREQUENCIAS!$1:$1048576))</f>
        <v>0.1699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</v>
      </c>
      <c r="AH27" s="99">
        <f t="shared" si="17"/>
        <v>0</v>
      </c>
      <c r="AI27" s="100">
        <f t="shared" si="49"/>
        <v>0</v>
      </c>
      <c r="AJ27" s="101" t="s">
        <v>163</v>
      </c>
      <c r="AK27" s="102">
        <f t="shared" si="35"/>
        <v>0</v>
      </c>
      <c r="AL27" s="101"/>
      <c r="AM27" s="103" t="str">
        <f t="shared" si="19"/>
        <v>EXCLUI</v>
      </c>
      <c r="AN27" s="94" t="str">
        <f t="shared" si="20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1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0</v>
      </c>
      <c r="BD27" s="2">
        <f t="shared" si="23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/>
      </c>
      <c r="BJ27" s="54">
        <f t="shared" si="25"/>
        <v>19</v>
      </c>
      <c r="BK27" s="54">
        <f t="shared" si="26"/>
        <v>19</v>
      </c>
      <c r="BL27" s="57" t="str">
        <f t="shared" si="27"/>
        <v/>
      </c>
      <c r="BM27" s="57">
        <f t="shared" si="28"/>
        <v>0</v>
      </c>
      <c r="BN27" s="57">
        <f t="shared" si="29"/>
        <v>0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13</v>
      </c>
      <c r="D28" s="292">
        <f>'IMPORTAÇÃO GENOTIPER'!AI24</f>
        <v>13</v>
      </c>
      <c r="E28" s="292">
        <f>'IMPORTAÇÃO GENOTIPER'!AQ24</f>
        <v>13.2</v>
      </c>
      <c r="F28" s="292">
        <f>'IMPORTAÇÃO GENOTIPER'!AY24</f>
        <v>0</v>
      </c>
      <c r="G28" s="292">
        <f>'IMPORTAÇÃO GENOTIPER'!BG24</f>
        <v>0</v>
      </c>
      <c r="H28" s="293">
        <f t="shared" si="0"/>
        <v>13</v>
      </c>
      <c r="I28" s="293">
        <f t="shared" si="1"/>
        <v>13</v>
      </c>
      <c r="J28" s="293">
        <f t="shared" si="2"/>
        <v>13</v>
      </c>
      <c r="K28" s="293">
        <f t="shared" si="3"/>
        <v>13.2</v>
      </c>
      <c r="L28" s="293">
        <f t="shared" si="4"/>
        <v>0</v>
      </c>
      <c r="M28" s="293">
        <f t="shared" si="5"/>
        <v>0</v>
      </c>
      <c r="N28" s="91">
        <f t="shared" si="40"/>
        <v>13</v>
      </c>
      <c r="O28" s="91">
        <f t="shared" si="41"/>
        <v>13</v>
      </c>
      <c r="P28" s="91">
        <f t="shared" si="42"/>
        <v>13</v>
      </c>
      <c r="Q28" s="91">
        <f t="shared" si="43"/>
        <v>13.2</v>
      </c>
      <c r="R28" s="91">
        <f t="shared" si="44"/>
        <v>0</v>
      </c>
      <c r="S28" s="91">
        <f t="shared" si="45"/>
        <v>0</v>
      </c>
      <c r="T28" s="92">
        <f t="shared" si="46"/>
        <v>13</v>
      </c>
      <c r="U28" s="92">
        <f t="shared" si="47"/>
        <v>0</v>
      </c>
      <c r="V28" s="93">
        <f>(IF((OR((P28="&gt;20"),(Q28="&gt;20"))),2,(IF(((T28+U28)=(P28+Q28)),0,1))))</f>
        <v>1</v>
      </c>
      <c r="W28" s="94">
        <f t="shared" si="50"/>
        <v>13</v>
      </c>
      <c r="X28" s="116">
        <f t="shared" si="14"/>
        <v>13.2</v>
      </c>
      <c r="Y28" s="92">
        <f t="shared" si="52"/>
        <v>0</v>
      </c>
      <c r="Z28" s="95">
        <f t="shared" si="48"/>
        <v>0</v>
      </c>
      <c r="AA28" s="96">
        <f t="shared" si="16"/>
        <v>0</v>
      </c>
      <c r="AB28" s="97">
        <f>IF(X28=0,0,VLOOKUP(X28,FREQUENCIAS!$1:$1048576,(IF(($A28=FREQUENCIAS!$U$1),21,"ERRO")),FREQUENCIAS!$1:$1048576))</f>
        <v>3.2599999999999997E-2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</v>
      </c>
      <c r="AH28" s="99">
        <f t="shared" si="17"/>
        <v>0</v>
      </c>
      <c r="AI28" s="100">
        <f t="shared" si="49"/>
        <v>0</v>
      </c>
      <c r="AJ28" s="101"/>
      <c r="AK28" s="102">
        <f t="shared" si="35"/>
        <v>0</v>
      </c>
      <c r="AL28" s="101"/>
      <c r="AM28" s="103" t="str">
        <f t="shared" si="19"/>
        <v>EXCLUI</v>
      </c>
      <c r="AN28" s="94" t="str">
        <f t="shared" si="20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1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0</v>
      </c>
      <c r="BD28" s="2">
        <f t="shared" si="23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13</v>
      </c>
      <c r="BK28" s="54">
        <f t="shared" si="26"/>
        <v>13</v>
      </c>
      <c r="BL28" s="57" t="str">
        <f t="shared" si="27"/>
        <v/>
      </c>
      <c r="BM28" s="57">
        <f t="shared" si="28"/>
        <v>0</v>
      </c>
      <c r="BN28" s="57">
        <f t="shared" si="29"/>
        <v>0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23</v>
      </c>
      <c r="C29" s="292">
        <f>'IMPORTAÇÃO GENOTIPER'!AA25</f>
        <v>25</v>
      </c>
      <c r="D29" s="292">
        <f>'IMPORTAÇÃO GENOTIPER'!AI25</f>
        <v>21</v>
      </c>
      <c r="E29" s="292">
        <f>'IMPORTAÇÃO GENOTIPER'!AQ25</f>
        <v>23</v>
      </c>
      <c r="F29" s="292">
        <f>'IMPORTAÇÃO GENOTIPER'!AY25</f>
        <v>0</v>
      </c>
      <c r="G29" s="292">
        <f>'IMPORTAÇÃO GENOTIPER'!BG25</f>
        <v>0</v>
      </c>
      <c r="H29" s="293">
        <f t="shared" si="0"/>
        <v>23</v>
      </c>
      <c r="I29" s="293">
        <f t="shared" si="1"/>
        <v>25</v>
      </c>
      <c r="J29" s="293">
        <f t="shared" si="2"/>
        <v>21</v>
      </c>
      <c r="K29" s="293">
        <f t="shared" si="3"/>
        <v>23</v>
      </c>
      <c r="L29" s="293">
        <f t="shared" si="4"/>
        <v>0</v>
      </c>
      <c r="M29" s="293">
        <f t="shared" si="5"/>
        <v>0</v>
      </c>
      <c r="N29" s="91">
        <f t="shared" si="40"/>
        <v>23</v>
      </c>
      <c r="O29" s="91">
        <f t="shared" si="41"/>
        <v>25</v>
      </c>
      <c r="P29" s="91">
        <f t="shared" si="42"/>
        <v>21</v>
      </c>
      <c r="Q29" s="91">
        <f t="shared" si="43"/>
        <v>23</v>
      </c>
      <c r="R29" s="91">
        <f t="shared" si="44"/>
        <v>0</v>
      </c>
      <c r="S29" s="91">
        <f t="shared" si="45"/>
        <v>0</v>
      </c>
      <c r="T29" s="92">
        <f t="shared" si="46"/>
        <v>0</v>
      </c>
      <c r="U29" s="92">
        <f t="shared" si="47"/>
        <v>23</v>
      </c>
      <c r="V29" s="93">
        <f>(IF((OR((P29="&gt;23"),(Q29="&gt;23"))),2,(IF(((T29+U29)=(P29+Q29)),0,1))))</f>
        <v>1</v>
      </c>
      <c r="W29" s="94">
        <f t="shared" si="50"/>
        <v>23</v>
      </c>
      <c r="X29" s="116">
        <f t="shared" si="14"/>
        <v>21</v>
      </c>
      <c r="Y29" s="92">
        <f t="shared" si="52"/>
        <v>0</v>
      </c>
      <c r="Z29" s="95">
        <f t="shared" si="48"/>
        <v>0</v>
      </c>
      <c r="AA29" s="96">
        <f t="shared" si="16"/>
        <v>0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</v>
      </c>
      <c r="AH29" s="99">
        <f t="shared" si="17"/>
        <v>0</v>
      </c>
      <c r="AI29" s="100">
        <f t="shared" si="49"/>
        <v>0</v>
      </c>
      <c r="AJ29" s="101"/>
      <c r="AK29" s="102">
        <f t="shared" si="35"/>
        <v>0</v>
      </c>
      <c r="AL29" s="101"/>
      <c r="AM29" s="103" t="str">
        <f t="shared" si="19"/>
        <v>EXCLUI</v>
      </c>
      <c r="AN29" s="94" t="str">
        <f t="shared" si="20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1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0</v>
      </c>
      <c r="BD29" s="2">
        <f t="shared" si="23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23</v>
      </c>
      <c r="BK29" s="54">
        <f t="shared" si="26"/>
        <v>23</v>
      </c>
      <c r="BL29" s="57" t="str">
        <f t="shared" si="27"/>
        <v/>
      </c>
      <c r="BM29" s="57">
        <f t="shared" si="28"/>
        <v>0</v>
      </c>
      <c r="BN29" s="57">
        <f t="shared" si="29"/>
        <v>0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10</v>
      </c>
      <c r="C30" s="292">
        <f>'IMPORTAÇÃO GENOTIPER'!AA26</f>
        <v>16</v>
      </c>
      <c r="D30" s="292">
        <f>'IMPORTAÇÃO GENOTIPER'!AI26</f>
        <v>10</v>
      </c>
      <c r="E30" s="292">
        <f>'IMPORTAÇÃO GENOTIPER'!AQ26</f>
        <v>16</v>
      </c>
      <c r="F30" s="292">
        <f>'IMPORTAÇÃO GENOTIPER'!AY26</f>
        <v>0</v>
      </c>
      <c r="G30" s="292">
        <f>'IMPORTAÇÃO GENOTIPER'!BG26</f>
        <v>0</v>
      </c>
      <c r="H30" s="293">
        <f t="shared" si="0"/>
        <v>10</v>
      </c>
      <c r="I30" s="293">
        <f t="shared" si="1"/>
        <v>16</v>
      </c>
      <c r="J30" s="293">
        <f t="shared" si="2"/>
        <v>10</v>
      </c>
      <c r="K30" s="293">
        <f t="shared" si="3"/>
        <v>16</v>
      </c>
      <c r="L30" s="293">
        <f t="shared" si="4"/>
        <v>0</v>
      </c>
      <c r="M30" s="293">
        <f t="shared" si="5"/>
        <v>0</v>
      </c>
      <c r="N30" s="91">
        <f t="shared" si="40"/>
        <v>10</v>
      </c>
      <c r="O30" s="91">
        <f t="shared" si="41"/>
        <v>16</v>
      </c>
      <c r="P30" s="91">
        <f t="shared" si="42"/>
        <v>10</v>
      </c>
      <c r="Q30" s="91">
        <f t="shared" si="43"/>
        <v>16</v>
      </c>
      <c r="R30" s="91">
        <f t="shared" si="44"/>
        <v>0</v>
      </c>
      <c r="S30" s="91">
        <f t="shared" si="45"/>
        <v>0</v>
      </c>
      <c r="T30" s="92">
        <f t="shared" si="46"/>
        <v>10</v>
      </c>
      <c r="U30" s="92">
        <f t="shared" si="47"/>
        <v>16</v>
      </c>
      <c r="V30" s="93">
        <f>(IF((OR((P30="&gt;22"),(Q30="&gt;22"))),2,(IF(((T30+U30)=(P30+Q30)),0,1))))</f>
        <v>0</v>
      </c>
      <c r="W30" s="94" t="str">
        <f t="shared" si="50"/>
        <v>NÃO DEF</v>
      </c>
      <c r="X30" s="116">
        <f t="shared" si="14"/>
        <v>10</v>
      </c>
      <c r="Y30" s="92">
        <f t="shared" si="52"/>
        <v>16</v>
      </c>
      <c r="Z30" s="95">
        <f t="shared" si="48"/>
        <v>0</v>
      </c>
      <c r="AA30" s="96">
        <f t="shared" si="16"/>
        <v>0</v>
      </c>
      <c r="AB30" s="97">
        <f>IF(X30=0,0,VLOOKUP(X30,FREQUENCIAS!$1:$1048576,(IF(($A30=FREQUENCIAS!$W$1),23,"ERRO")),FREQUENCIAS!$1:$1048576))</f>
        <v>1.7399999999999999E-2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 t="shared" si="34"/>
        <v>0</v>
      </c>
      <c r="AH30" s="99">
        <f t="shared" si="17"/>
        <v>0</v>
      </c>
      <c r="AI30" s="100">
        <f t="shared" si="49"/>
        <v>0</v>
      </c>
      <c r="AJ30" s="101"/>
      <c r="AK30" s="102">
        <f t="shared" si="35"/>
        <v>0</v>
      </c>
      <c r="AL30" s="101"/>
      <c r="AM30" s="103" t="str">
        <f t="shared" si="19"/>
        <v>EXCLUI</v>
      </c>
      <c r="AN30" s="94" t="str">
        <f t="shared" si="20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1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0</v>
      </c>
      <c r="BD30" s="2">
        <f t="shared" si="23"/>
        <v>0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 t="str">
        <f t="shared" si="25"/>
        <v>NÃO DEF</v>
      </c>
      <c r="BK30" s="54" t="str">
        <f t="shared" si="26"/>
        <v>NÃO DEF</v>
      </c>
      <c r="BL30" s="57" t="str">
        <f t="shared" si="27"/>
        <v/>
      </c>
      <c r="BM30" s="57">
        <f t="shared" si="28"/>
        <v>0</v>
      </c>
      <c r="BN30" s="57">
        <f t="shared" si="29"/>
        <v>0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EXCLUI</v>
      </c>
      <c r="AN31" s="94" t="str">
        <f t="shared" si="20"/>
        <v>MT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EXCLUI</v>
      </c>
      <c r="AN32" s="94" t="str">
        <f t="shared" si="20"/>
        <v>MT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EXCLUI</v>
      </c>
      <c r="AN33" s="94" t="str">
        <f t="shared" si="20"/>
        <v>MT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EXCLUI</v>
      </c>
      <c r="AN34" s="94" t="str">
        <f t="shared" si="20"/>
        <v>MT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EXCLUI</v>
      </c>
      <c r="AN35" s="94" t="str">
        <f t="shared" si="20"/>
        <v>MT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EXCLUI</v>
      </c>
      <c r="AN36" s="94" t="str">
        <f t="shared" si="20"/>
        <v>MT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EXCLUI</v>
      </c>
      <c r="AN37" s="94" t="str">
        <f t="shared" si="20"/>
        <v>MT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EXCLUI</v>
      </c>
      <c r="AN38" s="94" t="str">
        <f t="shared" si="20"/>
        <v>MT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EXCLUI</v>
      </c>
      <c r="AN39" s="94" t="str">
        <f t="shared" si="20"/>
        <v>MT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EXCLUI</v>
      </c>
      <c r="AN40" s="94" t="str">
        <f t="shared" si="20"/>
        <v>MT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EXCLUI</v>
      </c>
      <c r="AN41" s="94" t="str">
        <f t="shared" si="20"/>
        <v>MT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EXCLUI</v>
      </c>
      <c r="AN42" s="94" t="str">
        <f t="shared" si="20"/>
        <v>MT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803" t="str">
        <f>(IF((AND(($AX$48="N"),($AX$50="O"),($AX$47&lt;=2))),($BC$47),(IF(AND(((PRODUCT(AH9:AH42))&lt;&gt;0),($AX$47&lt;=2)),PRODUCT(AH9:AH42),"NIHIL"))))</f>
        <v>NIHIL</v>
      </c>
      <c r="AH43" s="803"/>
      <c r="AI43" s="803"/>
      <c r="AJ43" s="22"/>
      <c r="AK43" s="804" t="str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NIHIL</v>
      </c>
      <c r="AL43" s="804"/>
      <c r="AM43" s="210"/>
      <c r="AN43" s="17"/>
      <c r="AX43" s="52">
        <f>SUM(AX9:AX30)</f>
        <v>22</v>
      </c>
      <c r="BC43" s="40">
        <f>(IF((AND(($AX$44="N"),($AX$46="O"))),(BC9*BC10*BC11*BC12*BC13*BC14*BC15*BC16*BC17*BC18*BC19*BC20*BC21*BC22*BC23),0))</f>
        <v>0</v>
      </c>
      <c r="BD43" s="35">
        <f>SUM(BD9:BD23)</f>
        <v>0</v>
      </c>
      <c r="CD43" s="401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805" t="str">
        <f>(IF((AND(($AX$48="N"),($AX$50="O"),($AX$47&lt;=2))),(ROUNDDOWN(($AG43/($AG43+1)),11)),(IF(((PRODUCT(AH9:AH42))&lt;&gt;0),(ROUNDDOWN(($AG43/($AG43+1)),11)),"NIHIL"))))</f>
        <v>NIHIL</v>
      </c>
      <c r="AH44" s="805"/>
      <c r="AI44" s="805"/>
      <c r="AJ44" s="805"/>
      <c r="AK44" s="805"/>
      <c r="AL44" s="805"/>
      <c r="AM44" s="805"/>
      <c r="AN44" s="73"/>
      <c r="AR44" s="1" t="s">
        <v>102</v>
      </c>
      <c r="AX44" s="300" t="s">
        <v>241</v>
      </c>
      <c r="AY44" s="47" t="s">
        <v>124</v>
      </c>
      <c r="CD44" s="402" t="str">
        <f>AG44</f>
        <v>NIHIL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6" t="str">
        <f>(IF((AND(((OR(($AX$47=1),($AX$47=2)))),($AX$48="N"),($AX$50="O"))),"CÁLCULO COM OMISSÃO DE LOCUS",(IF(((PRODUCT(AH9:AH42))&lt;&gt;0),(ROUNDDOWN((1-$AK43),11)),"EXCLUSÃO"))))</f>
        <v>EXCLUSÃO</v>
      </c>
      <c r="AH45" s="806"/>
      <c r="AI45" s="806"/>
      <c r="AJ45" s="806"/>
      <c r="AK45" s="806"/>
      <c r="AL45" s="806"/>
      <c r="AM45" s="806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EXCLUSÃO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84" t="s">
        <v>223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6"/>
    </row>
    <row r="48" spans="1:82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9"/>
    </row>
    <row r="49" spans="1:74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9"/>
    </row>
    <row r="50" spans="1:74" ht="12" customHeight="1" thickBot="1">
      <c r="A50" s="790"/>
      <c r="B50" s="791"/>
      <c r="C50" s="791"/>
      <c r="D50" s="791"/>
      <c r="E50" s="791"/>
      <c r="F50" s="791"/>
      <c r="G50" s="791"/>
      <c r="H50" s="791"/>
      <c r="I50" s="791"/>
      <c r="J50" s="791"/>
      <c r="K50" s="791"/>
      <c r="L50" s="791"/>
      <c r="M50" s="791"/>
      <c r="N50" s="791"/>
      <c r="O50" s="791"/>
      <c r="P50" s="791"/>
      <c r="Q50" s="791"/>
      <c r="R50" s="791"/>
      <c r="S50" s="791"/>
      <c r="T50" s="791"/>
      <c r="U50" s="791"/>
      <c r="V50" s="791"/>
      <c r="W50" s="791"/>
      <c r="X50" s="791"/>
      <c r="Y50" s="791"/>
      <c r="Z50" s="791"/>
      <c r="AA50" s="791"/>
      <c r="AB50" s="791"/>
      <c r="AC50" s="791"/>
      <c r="AD50" s="791"/>
      <c r="AE50" s="791"/>
      <c r="AF50" s="791"/>
      <c r="AG50" s="791"/>
      <c r="AH50" s="791"/>
      <c r="AI50" s="791"/>
      <c r="AJ50" s="791"/>
      <c r="AK50" s="791"/>
      <c r="AL50" s="791"/>
      <c r="AM50" s="791"/>
      <c r="AN50" s="792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30">
        <f ca="1">TODAY()</f>
        <v>45902</v>
      </c>
      <c r="AH56" s="830"/>
      <c r="AI56" s="830"/>
      <c r="AJ56" s="830"/>
      <c r="AK56" s="830"/>
      <c r="AL56" s="830"/>
      <c r="AM56" s="830"/>
      <c r="AN56" s="831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7" t="s">
        <v>249</v>
      </c>
      <c r="B61" s="828"/>
      <c r="C61" s="828"/>
      <c r="D61" s="828"/>
      <c r="E61" s="828"/>
      <c r="F61" s="828"/>
      <c r="G61" s="828"/>
      <c r="H61" s="828"/>
      <c r="I61" s="828"/>
      <c r="J61" s="828"/>
      <c r="K61" s="828"/>
      <c r="L61" s="828"/>
      <c r="M61" s="828"/>
      <c r="N61" s="828"/>
      <c r="O61" s="828"/>
      <c r="P61" s="828"/>
      <c r="Q61" s="828"/>
      <c r="R61" s="828"/>
      <c r="S61" s="828"/>
      <c r="T61" s="828"/>
      <c r="U61" s="828"/>
      <c r="V61" s="828"/>
      <c r="W61" s="828"/>
      <c r="X61" s="828"/>
      <c r="Y61" s="828"/>
      <c r="Z61" s="828"/>
      <c r="AA61" s="828"/>
      <c r="AB61" s="828"/>
      <c r="AC61" s="828"/>
      <c r="AD61" s="828"/>
      <c r="AE61" s="828"/>
      <c r="AF61" s="828"/>
      <c r="AG61" s="828"/>
      <c r="AH61" s="828"/>
      <c r="AI61" s="828"/>
      <c r="AJ61" s="828"/>
      <c r="AK61" s="828"/>
      <c r="AL61" s="828"/>
      <c r="AM61" s="828"/>
      <c r="AN61" s="829"/>
    </row>
    <row r="62" spans="1:74" ht="11.1" customHeight="1">
      <c r="A62" s="824" t="s">
        <v>242</v>
      </c>
      <c r="B62" s="825"/>
      <c r="C62" s="825"/>
      <c r="D62" s="825"/>
      <c r="E62" s="825"/>
      <c r="F62" s="825"/>
      <c r="G62" s="825"/>
      <c r="H62" s="825"/>
      <c r="I62" s="825"/>
      <c r="J62" s="825"/>
      <c r="K62" s="825"/>
      <c r="L62" s="825"/>
      <c r="M62" s="825"/>
      <c r="N62" s="825"/>
      <c r="O62" s="825"/>
      <c r="P62" s="825"/>
      <c r="Q62" s="825"/>
      <c r="R62" s="825"/>
      <c r="S62" s="825"/>
      <c r="T62" s="825"/>
      <c r="U62" s="825"/>
      <c r="V62" s="825"/>
      <c r="W62" s="825"/>
      <c r="X62" s="825"/>
      <c r="Y62" s="825"/>
      <c r="Z62" s="825"/>
      <c r="AA62" s="825"/>
      <c r="AB62" s="825"/>
      <c r="AC62" s="825"/>
      <c r="AD62" s="825"/>
      <c r="AE62" s="825"/>
      <c r="AF62" s="825"/>
      <c r="AG62" s="825"/>
      <c r="AH62" s="825"/>
      <c r="AI62" s="825"/>
      <c r="AJ62" s="825"/>
      <c r="AK62" s="825"/>
      <c r="AL62" s="825"/>
      <c r="AM62" s="825"/>
      <c r="AN62" s="826"/>
    </row>
    <row r="63" spans="1:74" ht="11.1" customHeight="1" thickBot="1">
      <c r="A63" s="821" t="s">
        <v>243</v>
      </c>
      <c r="B63" s="822"/>
      <c r="C63" s="822"/>
      <c r="D63" s="822"/>
      <c r="E63" s="822"/>
      <c r="F63" s="822"/>
      <c r="G63" s="822"/>
      <c r="H63" s="822"/>
      <c r="I63" s="822"/>
      <c r="J63" s="822"/>
      <c r="K63" s="822"/>
      <c r="L63" s="822"/>
      <c r="M63" s="822"/>
      <c r="N63" s="822"/>
      <c r="O63" s="822"/>
      <c r="P63" s="822"/>
      <c r="Q63" s="822"/>
      <c r="R63" s="822"/>
      <c r="S63" s="822"/>
      <c r="T63" s="822"/>
      <c r="U63" s="822"/>
      <c r="V63" s="822"/>
      <c r="W63" s="822"/>
      <c r="X63" s="822"/>
      <c r="Y63" s="822"/>
      <c r="Z63" s="822"/>
      <c r="AA63" s="822"/>
      <c r="AB63" s="822"/>
      <c r="AC63" s="822"/>
      <c r="AD63" s="822"/>
      <c r="AE63" s="822"/>
      <c r="AF63" s="822"/>
      <c r="AG63" s="822"/>
      <c r="AH63" s="822"/>
      <c r="AI63" s="822"/>
      <c r="AJ63" s="822"/>
      <c r="AK63" s="822"/>
      <c r="AL63" s="822"/>
      <c r="AM63" s="822"/>
      <c r="AN63" s="823"/>
    </row>
    <row r="64" spans="1:74" ht="9" hidden="1" customHeight="1" thickBot="1">
      <c r="A64" s="818"/>
      <c r="B64" s="819"/>
      <c r="C64" s="819"/>
      <c r="D64" s="819"/>
      <c r="E64" s="819"/>
      <c r="F64" s="819"/>
      <c r="G64" s="819"/>
      <c r="H64" s="819"/>
      <c r="I64" s="819"/>
      <c r="J64" s="819"/>
      <c r="K64" s="819"/>
      <c r="L64" s="819"/>
      <c r="M64" s="819"/>
      <c r="N64" s="819"/>
      <c r="O64" s="819"/>
      <c r="P64" s="819"/>
      <c r="Q64" s="819"/>
      <c r="R64" s="819"/>
      <c r="S64" s="819"/>
      <c r="T64" s="819"/>
      <c r="U64" s="819"/>
      <c r="V64" s="819"/>
      <c r="W64" s="819"/>
      <c r="X64" s="819"/>
      <c r="Y64" s="819"/>
      <c r="Z64" s="819"/>
      <c r="AA64" s="819"/>
      <c r="AB64" s="819"/>
      <c r="AC64" s="819"/>
      <c r="AD64" s="819"/>
      <c r="AE64" s="819"/>
      <c r="AF64" s="819"/>
      <c r="AG64" s="819"/>
      <c r="AH64" s="819"/>
      <c r="AI64" s="819"/>
      <c r="AJ64" s="819"/>
      <c r="AK64" s="819"/>
      <c r="AL64" s="819"/>
      <c r="AM64" s="819"/>
      <c r="AN64" s="820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12" sqref="Y12"/>
    </sheetView>
  </sheetViews>
  <sheetFormatPr defaultColWidth="8.85546875" defaultRowHeight="12.75"/>
  <cols>
    <col min="1" max="1" width="10.42578125" style="485" customWidth="1"/>
    <col min="2" max="5" width="6.7109375" style="485" customWidth="1"/>
    <col min="6" max="7" width="7.140625" style="485" hidden="1" customWidth="1"/>
    <col min="8" max="8" width="6.7109375" style="485" hidden="1" customWidth="1"/>
    <col min="9" max="9" width="6.42578125" style="485" hidden="1" customWidth="1"/>
    <col min="10" max="10" width="6.28515625" style="485" hidden="1" customWidth="1"/>
    <col min="11" max="11" width="5.42578125" style="485" hidden="1" customWidth="1"/>
    <col min="12" max="12" width="6.7109375" style="485" hidden="1" customWidth="1"/>
    <col min="13" max="13" width="7.42578125" style="485" hidden="1" customWidth="1"/>
    <col min="14" max="14" width="6.42578125" style="485" hidden="1" customWidth="1"/>
    <col min="15" max="15" width="7.140625" style="485" hidden="1" customWidth="1"/>
    <col min="16" max="16" width="7.7109375" style="485" hidden="1" customWidth="1"/>
    <col min="17" max="17" width="8.42578125" style="485" hidden="1" customWidth="1"/>
    <col min="18" max="18" width="9.140625" style="485" hidden="1" customWidth="1"/>
    <col min="19" max="19" width="7.7109375" style="485" hidden="1" customWidth="1"/>
    <col min="20" max="20" width="8.28515625" style="485" hidden="1" customWidth="1"/>
    <col min="21" max="21" width="9.28515625" style="485" hidden="1" customWidth="1"/>
    <col min="22" max="22" width="10.28515625" style="485" hidden="1" customWidth="1"/>
    <col min="23" max="23" width="3.5703125" style="485" customWidth="1"/>
    <col min="24" max="24" width="10.7109375" style="485" customWidth="1"/>
    <col min="25" max="25" width="9.42578125" style="485" customWidth="1"/>
    <col min="26" max="26" width="12.28515625" style="485" customWidth="1"/>
    <col min="27" max="27" width="11.85546875" style="485" hidden="1" customWidth="1"/>
    <col min="28" max="28" width="9.7109375" style="485" customWidth="1"/>
    <col min="29" max="30" width="9.7109375" style="485" hidden="1" customWidth="1"/>
    <col min="31" max="31" width="12.28515625" style="485" hidden="1" customWidth="1"/>
    <col min="32" max="32" width="14.7109375" style="485" hidden="1" customWidth="1"/>
    <col min="33" max="36" width="14" style="485" hidden="1" customWidth="1"/>
    <col min="37" max="37" width="11.85546875" style="485" hidden="1" customWidth="1"/>
    <col min="38" max="38" width="12.7109375" style="485" hidden="1" customWidth="1"/>
    <col min="39" max="39" width="12.42578125" style="485" hidden="1" customWidth="1"/>
    <col min="40" max="40" width="10.42578125" style="485" hidden="1" customWidth="1"/>
    <col min="41" max="41" width="9.7109375" style="485" hidden="1" customWidth="1"/>
    <col min="42" max="42" width="13" style="485" hidden="1" customWidth="1"/>
    <col min="43" max="43" width="12.28515625" style="485" hidden="1" customWidth="1"/>
    <col min="44" max="44" width="16.28515625" style="485" hidden="1" customWidth="1"/>
    <col min="45" max="45" width="16" style="485" hidden="1" customWidth="1"/>
    <col min="46" max="46" width="16.7109375" style="485" hidden="1" customWidth="1"/>
    <col min="47" max="47" width="14" style="485" hidden="1" customWidth="1"/>
    <col min="48" max="48" width="14.28515625" style="485" hidden="1" customWidth="1"/>
    <col min="49" max="49" width="16.28515625" style="485" hidden="1" customWidth="1"/>
    <col min="50" max="50" width="14.7109375" style="485" hidden="1" customWidth="1"/>
    <col min="51" max="51" width="14.85546875" style="485" hidden="1" customWidth="1"/>
    <col min="52" max="52" width="13" style="485" hidden="1" customWidth="1"/>
    <col min="53" max="53" width="10.42578125" style="485" hidden="1" customWidth="1"/>
    <col min="54" max="54" width="7.85546875" style="485" hidden="1" customWidth="1"/>
    <col min="55" max="55" width="5.7109375" style="485" hidden="1" customWidth="1"/>
    <col min="56" max="56" width="8.85546875" style="485" hidden="1" customWidth="1"/>
    <col min="57" max="57" width="11.28515625" style="485" hidden="1" customWidth="1"/>
    <col min="58" max="58" width="14.140625" style="485" hidden="1" customWidth="1"/>
    <col min="59" max="59" width="12.7109375" style="485" hidden="1" customWidth="1"/>
    <col min="60" max="60" width="11.28515625" style="485" hidden="1" customWidth="1"/>
    <col min="61" max="16384" width="8.85546875" style="485"/>
  </cols>
  <sheetData>
    <row r="1" spans="1:58" ht="17.25" thickTop="1" thickBot="1">
      <c r="A1" s="854" t="s">
        <v>203</v>
      </c>
      <c r="B1" s="855"/>
      <c r="C1" s="855"/>
      <c r="D1" s="855"/>
      <c r="E1" s="855"/>
      <c r="F1" s="855"/>
      <c r="G1" s="855"/>
      <c r="H1" s="855"/>
      <c r="I1" s="855"/>
      <c r="J1" s="855"/>
      <c r="K1" s="855"/>
      <c r="L1" s="855"/>
      <c r="M1" s="855"/>
      <c r="N1" s="855"/>
      <c r="O1" s="855"/>
      <c r="P1" s="855"/>
      <c r="Q1" s="855"/>
      <c r="R1" s="855"/>
      <c r="S1" s="855"/>
      <c r="T1" s="855"/>
      <c r="U1" s="855"/>
      <c r="V1" s="855"/>
      <c r="W1" s="855"/>
      <c r="X1" s="855"/>
      <c r="Y1" s="855"/>
      <c r="Z1" s="855"/>
      <c r="AA1" s="855"/>
      <c r="AB1" s="856"/>
    </row>
    <row r="2" spans="1:58" ht="11.25" customHeight="1" thickTop="1">
      <c r="A2" s="486"/>
      <c r="B2" s="487"/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  <c r="R2" s="487"/>
      <c r="S2" s="487"/>
      <c r="T2" s="487"/>
      <c r="U2" s="487"/>
      <c r="V2" s="487"/>
      <c r="W2" s="487"/>
      <c r="X2" s="487"/>
      <c r="Y2" s="487"/>
      <c r="Z2" s="487"/>
      <c r="AA2" s="487"/>
      <c r="AB2" s="488" t="s">
        <v>122</v>
      </c>
      <c r="AC2" s="488"/>
      <c r="AD2" s="488"/>
      <c r="AE2" s="488"/>
      <c r="AF2" s="488"/>
      <c r="AG2" s="488"/>
    </row>
    <row r="3" spans="1:58" ht="13.5" customHeight="1">
      <c r="A3" s="489"/>
      <c r="B3" s="490"/>
      <c r="C3" s="490"/>
      <c r="D3" s="490"/>
      <c r="E3" s="490"/>
      <c r="F3" s="490"/>
      <c r="G3" s="490"/>
      <c r="H3" s="490"/>
      <c r="I3" s="490"/>
      <c r="J3" s="490"/>
      <c r="K3" s="490"/>
      <c r="L3" s="490"/>
      <c r="M3" s="490"/>
      <c r="N3" s="490"/>
      <c r="O3" s="490"/>
      <c r="P3" s="490"/>
      <c r="Q3" s="490"/>
      <c r="R3" s="490"/>
      <c r="S3" s="490"/>
      <c r="T3" s="490"/>
      <c r="U3" s="490"/>
      <c r="V3" s="490"/>
      <c r="W3" s="490"/>
      <c r="X3" s="857">
        <f ca="1">TODAY()</f>
        <v>45902</v>
      </c>
      <c r="Y3" s="857"/>
      <c r="Z3" s="857"/>
      <c r="AA3" s="857"/>
      <c r="AB3" s="858"/>
      <c r="AC3" s="491"/>
      <c r="AD3" s="491"/>
      <c r="AE3" s="491"/>
      <c r="AF3" s="491"/>
      <c r="AG3" s="491"/>
    </row>
    <row r="4" spans="1:58" ht="11.25" customHeight="1">
      <c r="A4" s="489"/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  <c r="U4" s="490"/>
      <c r="V4" s="490"/>
      <c r="W4" s="490"/>
      <c r="X4" s="490"/>
      <c r="Y4" s="490"/>
      <c r="Z4" s="490"/>
      <c r="AA4" s="490"/>
      <c r="AB4" s="492"/>
      <c r="AC4" s="491"/>
      <c r="AD4" s="491"/>
      <c r="AE4" s="491"/>
      <c r="AF4" s="491"/>
      <c r="AG4" s="491"/>
    </row>
    <row r="5" spans="1:58" ht="18" customHeight="1">
      <c r="A5" s="493" t="s">
        <v>81</v>
      </c>
      <c r="B5" s="859"/>
      <c r="C5" s="859"/>
      <c r="D5" s="859"/>
      <c r="E5" s="859"/>
      <c r="F5" s="494"/>
      <c r="G5" s="494"/>
      <c r="H5" s="494"/>
      <c r="I5" s="494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860" t="s">
        <v>329</v>
      </c>
      <c r="Z5" s="860"/>
      <c r="AB5" s="495"/>
    </row>
    <row r="6" spans="1:58" ht="15" hidden="1">
      <c r="A6" s="496" t="s">
        <v>330</v>
      </c>
      <c r="B6" s="497" t="s">
        <v>331</v>
      </c>
      <c r="C6" s="498"/>
      <c r="D6" s="498"/>
      <c r="E6" s="498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B6" s="499"/>
    </row>
    <row r="7" spans="1:58" ht="18" customHeight="1">
      <c r="A7" s="493" t="s">
        <v>162</v>
      </c>
      <c r="B7" s="497"/>
      <c r="C7" s="498"/>
      <c r="D7" s="498"/>
      <c r="E7" s="498"/>
      <c r="F7" s="494"/>
      <c r="G7" s="494"/>
      <c r="H7" s="494"/>
      <c r="I7" s="494"/>
      <c r="J7" s="494"/>
      <c r="K7" s="494"/>
      <c r="L7" s="494"/>
      <c r="M7" s="494"/>
      <c r="N7" s="494"/>
      <c r="O7" s="500"/>
      <c r="P7" s="500"/>
      <c r="Q7" s="501"/>
      <c r="R7" s="501"/>
      <c r="S7" s="501"/>
      <c r="T7" s="501"/>
      <c r="U7" s="494"/>
      <c r="V7" s="494"/>
      <c r="W7" s="494"/>
      <c r="X7" s="494"/>
      <c r="Y7" s="494"/>
      <c r="Z7" s="502" t="str">
        <f>(IF(('[1]IMPORTAÇÃO GENOTIPER'!AM4="Y"),"XY",(IF(('[1]IMPORTAÇÃO GENOTIPER'!AM4="X"),"XX","ERRO"))))</f>
        <v>ERRO</v>
      </c>
      <c r="AB7" s="499"/>
    </row>
    <row r="8" spans="1:58" ht="18" customHeight="1">
      <c r="A8" s="493" t="s">
        <v>332</v>
      </c>
      <c r="B8" s="497"/>
      <c r="C8" s="498"/>
      <c r="D8" s="498"/>
      <c r="E8" s="498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503"/>
      <c r="Z8" s="502" t="str">
        <f>(IF(('[1]IMPORTAÇÃO GENOTIPER'!BC4="Y"),"XY",(IF(('[1]IMPORTAÇÃO GENOTIPER'!BC4&lt;&gt;"Y"),"ERRO","ERRO"))))</f>
        <v>ERRO</v>
      </c>
      <c r="AB8" s="499"/>
    </row>
    <row r="9" spans="1:58" ht="18" customHeight="1">
      <c r="A9" s="504"/>
      <c r="B9" s="505"/>
      <c r="C9" s="506"/>
      <c r="D9" s="506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506"/>
      <c r="V9" s="506"/>
      <c r="W9" s="506"/>
      <c r="X9" s="506"/>
      <c r="Y9" s="507"/>
      <c r="Z9" s="508"/>
      <c r="AB9" s="499"/>
    </row>
    <row r="10" spans="1:58" ht="13.5" customHeight="1" thickBot="1">
      <c r="A10" s="509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10" t="s">
        <v>333</v>
      </c>
      <c r="Z10" s="508">
        <v>0.05</v>
      </c>
      <c r="AB10" s="499"/>
      <c r="AD10" s="485" t="s">
        <v>334</v>
      </c>
      <c r="AH10" s="485" t="s">
        <v>335</v>
      </c>
      <c r="AL10" s="485" t="s">
        <v>336</v>
      </c>
    </row>
    <row r="11" spans="1:58" ht="15" customHeight="1" thickTop="1" thickBot="1">
      <c r="A11" s="511" t="s">
        <v>50</v>
      </c>
      <c r="B11" s="861" t="s">
        <v>131</v>
      </c>
      <c r="C11" s="861"/>
      <c r="D11" s="861" t="s">
        <v>133</v>
      </c>
      <c r="E11" s="862"/>
      <c r="F11" s="863" t="s">
        <v>166</v>
      </c>
      <c r="G11" s="864"/>
      <c r="H11" s="865" t="s">
        <v>167</v>
      </c>
      <c r="I11" s="865"/>
      <c r="J11" s="512" t="s">
        <v>135</v>
      </c>
      <c r="K11" s="512" t="s">
        <v>136</v>
      </c>
      <c r="L11" s="512" t="s">
        <v>137</v>
      </c>
      <c r="M11" s="513" t="s">
        <v>134</v>
      </c>
      <c r="N11" s="865" t="s">
        <v>138</v>
      </c>
      <c r="O11" s="865"/>
      <c r="P11" s="865" t="s">
        <v>141</v>
      </c>
      <c r="Q11" s="865"/>
      <c r="R11" s="512" t="s">
        <v>145</v>
      </c>
      <c r="S11" s="512" t="s">
        <v>147</v>
      </c>
      <c r="T11" s="512" t="s">
        <v>146</v>
      </c>
      <c r="U11" s="512" t="s">
        <v>148</v>
      </c>
      <c r="V11" s="512" t="s">
        <v>160</v>
      </c>
      <c r="W11" s="512" t="s">
        <v>123</v>
      </c>
      <c r="X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2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2" t="s">
        <v>143</v>
      </c>
      <c r="AA11" s="514"/>
      <c r="AB11" s="515" t="s">
        <v>176</v>
      </c>
      <c r="AD11" s="485" t="s">
        <v>334</v>
      </c>
      <c r="AH11" s="848" t="s">
        <v>337</v>
      </c>
      <c r="AI11" s="849"/>
      <c r="AJ11" s="849"/>
      <c r="AK11" s="850"/>
      <c r="AL11" s="848" t="s">
        <v>338</v>
      </c>
      <c r="AM11" s="849"/>
      <c r="AN11" s="849"/>
      <c r="AO11" s="850"/>
      <c r="BF11" s="516">
        <f>PRODUCT(BF12:BF33)</f>
        <v>3.0903154382632598E-35</v>
      </c>
    </row>
    <row r="12" spans="1:58" ht="15" customHeight="1" thickTop="1" thickBot="1">
      <c r="A12" s="517" t="str">
        <f>'IMPORTAÇÃO GENOTIPER'!A5</f>
        <v>D3S1358</v>
      </c>
      <c r="B12" s="644">
        <f>'IMPORTAÇÃO GENOTIPER'!AI5</f>
        <v>16</v>
      </c>
      <c r="C12" s="645">
        <f>'IMPORTAÇÃO GENOTIPER'!AQ5</f>
        <v>16</v>
      </c>
      <c r="D12" s="645">
        <f>'IMPORTAÇÃO GENOTIPER'!AY5</f>
        <v>0</v>
      </c>
      <c r="E12" s="646">
        <f>'IMPORTAÇÃO GENOTIPER'!BG5</f>
        <v>0</v>
      </c>
      <c r="F12" s="521">
        <f t="shared" ref="F12:F45" si="0">IF((B12&gt;C12),C12,B12)</f>
        <v>16</v>
      </c>
      <c r="G12" s="521">
        <f t="shared" ref="G12:G45" si="1">IF((C12&gt;B12),C12,B12)</f>
        <v>16</v>
      </c>
      <c r="H12" s="521">
        <f t="shared" ref="H12:H45" si="2">IF((D12&gt;E12),E12,D12)</f>
        <v>0</v>
      </c>
      <c r="I12" s="521">
        <f t="shared" ref="I12:I45" si="3">IF((E12&gt;D12),E12,D12)</f>
        <v>0</v>
      </c>
      <c r="J12" s="522"/>
      <c r="K12" s="522"/>
      <c r="L12" s="522"/>
      <c r="M12" s="523"/>
      <c r="N12" s="522">
        <f t="shared" ref="N12:N45" si="4">IF(OR((H12=F12),(H12=G12)),H12,0)</f>
        <v>0</v>
      </c>
      <c r="O12" s="522">
        <f t="shared" ref="O12:O45" si="5">IF((H12=I12),0,(IF(OR((I12=G12),(I12=F12)),I12,0)))</f>
        <v>0</v>
      </c>
      <c r="P12" s="524">
        <f t="shared" ref="P12:P45" si="6">(IF(OR((N12=H12),(N12=I12)),N12,0))</f>
        <v>0</v>
      </c>
      <c r="Q12" s="525">
        <f t="shared" ref="Q12:Q45" si="7">(IF((O12&lt;&gt;0),(IF(OR((O12=H12),(O12=I12)),O12,0)),0))</f>
        <v>0</v>
      </c>
      <c r="R12" s="526"/>
      <c r="S12" s="526"/>
      <c r="T12" s="527">
        <f>IF(P12=0,0,VLOOKUP(P12,FREQUENCIAS!1:1048576,(IF(($A12=FREQUENCIAS!$B$1),2,"ERRO")),FREQUENCIAS!1:1048576))</f>
        <v>0</v>
      </c>
      <c r="U12" s="527">
        <f>IF(Q12=0,0,VLOOKUP(Q12,FREQUENCIAS!1:1048576,(IF(($A12=FREQUENCIAS!$B$1),2,"ERRO")),FREQUENCIAS!1:1048576))</f>
        <v>0</v>
      </c>
      <c r="V12" s="528"/>
      <c r="W12" s="529" t="str">
        <f t="shared" ref="W12:W45" si="8">IF(AND((Y12="EXCLUI"),($BE$46=1)),"M?","OK")</f>
        <v>OK</v>
      </c>
      <c r="X12" s="530">
        <f>(IF((A12="   ERRO-FT"),"8",(IF((AND((P12=0),(Q12=0))),0,(IF((R12+S12+T12+U12+V12)&lt;=$Z$10,$Z$10,(R12+S12+T12+U12+V12)))))))</f>
        <v>0</v>
      </c>
      <c r="Y12" s="531" t="str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EXCLUI</v>
      </c>
      <c r="Z12" s="532">
        <f>IF(SUM(B12:E12)=0,0.5,IF((AND((P12=0),(Q12=0))),0,(Y12/(Y12+1))))</f>
        <v>0</v>
      </c>
      <c r="AA12" s="533"/>
      <c r="AB12" s="534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EXCLUI</v>
      </c>
      <c r="AC12" s="485" t="e">
        <f t="shared" ref="AC12:AC45" si="10">IF(AND(($F12=$G12),($G12=$H12),($H12=$I12)),(1/$X12),(1/(4*$X12)))</f>
        <v>#DIV/0!</v>
      </c>
      <c r="AD12" s="485" t="s">
        <v>334</v>
      </c>
      <c r="AE12" s="485" t="str">
        <f t="shared" ref="AE12:AE45" si="11">IF(AND(($F12=$G12),($G12=$H12),($H12=$I12)),($AD$16),($AD$26))</f>
        <v>1 / 4F</v>
      </c>
      <c r="AF12" s="535">
        <f t="shared" ref="AF12:AF45" si="12">(IF((B12=C12),((1-AK12)^2),(1-(AK12+AO12))^2))</f>
        <v>0.53245041486400002</v>
      </c>
      <c r="AH12" s="536">
        <f>IF(B12=0,0,VLOOKUP(B12,FREQUENCIAS!$1:$1048576,(IF(($A12=FREQUENCIAS!$B$1),2,"ERRO")),FREQUENCIAS!$1:$1048576))</f>
        <v>0.27030799999999999</v>
      </c>
      <c r="AI12" s="536"/>
      <c r="AJ12" s="536"/>
      <c r="AK12" s="537">
        <f t="shared" ref="AK12:AK45" si="13">SUM(AH12:AJ12)</f>
        <v>0.27030799999999999</v>
      </c>
      <c r="AL12" s="536">
        <f>IF(C12=0,0,VLOOKUP(C12,FREQUENCIAS!$1:$1048576,(IF(($A12=FREQUENCIAS!$B$1),2,"ERRO")),FREQUENCIAS!$1:$1048576))</f>
        <v>0.27030799999999999</v>
      </c>
      <c r="AM12" s="536"/>
      <c r="AN12" s="536"/>
      <c r="AO12" s="537">
        <f t="shared" ref="AO12:AO45" si="14">SUM(AL12:AN12)</f>
        <v>0.27030799999999999</v>
      </c>
      <c r="AV12" s="538">
        <f>IF(B12=0,0,VLOOKUP(B12,FREQUENCIAS!$1:$1048576,(IF(($A12=FREQUENCIAS!$B$1),2,"ERRO")),FREQUENCIAS!$1:$1048576))</f>
        <v>0.27030799999999999</v>
      </c>
      <c r="AW12" s="538">
        <f>IF(C12=0,0,VLOOKUP(C12,FREQUENCIAS!$1:$1048576,(IF(($A12=FREQUENCIAS!$B$1),2,"ERRO")),FREQUENCIAS!$1:$1048576))</f>
        <v>0.27030799999999999</v>
      </c>
      <c r="AX12" s="538">
        <f>IF(D12=0,0,VLOOKUP(D12,FREQUENCIAS!$1:$1048576,(IF(($A12=FREQUENCIAS!$B$1),2,"ERRO")),FREQUENCIAS!$1:$1048576))</f>
        <v>0</v>
      </c>
      <c r="AY12" s="538">
        <f>IF(E12=0,0,VLOOKUP(E12,FREQUENCIAS!$1:$1048576,(IF(($A12=FREQUENCIAS!$B$1),2,"ERRO")),FREQUENCIAS!$1:$1048576))</f>
        <v>0</v>
      </c>
      <c r="BD12" s="485">
        <f>IF((AND((F12=H12),(G12=I12))),1,0)</f>
        <v>0</v>
      </c>
      <c r="BE12" s="485">
        <f>IF((Y12="EXCLUI"),1,0)</f>
        <v>1</v>
      </c>
      <c r="BF12" s="539">
        <f t="shared" ref="BF12:BF45" si="15">(IF((AND(($B$46&lt;=1),(Y12&lt;&gt;"EXCLUI"))),Y12,(IF((AND(($B$46&lt;=1),(Y12="EXCLUI"))),$BF$46,0))))</f>
        <v>2.7E-2</v>
      </c>
    </row>
    <row r="13" spans="1:58" ht="15" customHeight="1" thickTop="1" thickBot="1">
      <c r="A13" s="517" t="str">
        <f>'IMPORTAÇÃO GENOTIPER'!A6</f>
        <v>D1S1656</v>
      </c>
      <c r="B13" s="644">
        <f>'IMPORTAÇÃO GENOTIPER'!AI6</f>
        <v>16</v>
      </c>
      <c r="C13" s="645">
        <f>'IMPORTAÇÃO GENOTIPER'!AQ6</f>
        <v>17</v>
      </c>
      <c r="D13" s="645">
        <f>'IMPORTAÇÃO GENOTIPER'!AY6</f>
        <v>0</v>
      </c>
      <c r="E13" s="646">
        <f>'IMPORTAÇÃO GENOTIPER'!BG6</f>
        <v>0</v>
      </c>
      <c r="F13" s="541">
        <f t="shared" si="0"/>
        <v>16</v>
      </c>
      <c r="G13" s="541">
        <f t="shared" si="1"/>
        <v>17</v>
      </c>
      <c r="H13" s="541">
        <f t="shared" si="2"/>
        <v>0</v>
      </c>
      <c r="I13" s="541">
        <f t="shared" si="3"/>
        <v>0</v>
      </c>
      <c r="J13" s="542"/>
      <c r="K13" s="542"/>
      <c r="L13" s="542"/>
      <c r="M13" s="543"/>
      <c r="N13" s="542">
        <f t="shared" si="4"/>
        <v>0</v>
      </c>
      <c r="O13" s="542">
        <f t="shared" si="5"/>
        <v>0</v>
      </c>
      <c r="P13" s="544">
        <f t="shared" si="6"/>
        <v>0</v>
      </c>
      <c r="Q13" s="545">
        <f t="shared" si="7"/>
        <v>0</v>
      </c>
      <c r="R13" s="546"/>
      <c r="S13" s="546"/>
      <c r="T13" s="527">
        <f>IF(P13=0,0,VLOOKUP(P13,FREQUENCIAS!1:1048576,(IF(($A13=FREQUENCIAS!$C$1),3,"ERRO")),FREQUENCIAS!1:1048576))</f>
        <v>0</v>
      </c>
      <c r="U13" s="527">
        <f>IF(Q13=0,0,VLOOKUP(Q13,FREQUENCIAS!1:1048576,(IF(($A13=FREQUENCIAS!$C$1),3,"ERRO")),FREQUENCIAS!1:1048576))</f>
        <v>0</v>
      </c>
      <c r="V13" s="547"/>
      <c r="W13" s="529" t="str">
        <f t="shared" si="8"/>
        <v>OK</v>
      </c>
      <c r="X13" s="548">
        <f>(IF((A13="   ERRO-FT"),"24",(IF((AND((P13=0),(Q13=0))),0,(IF((R13+S13+T13+U13+V13)&lt;=$Z$10,$Z$10,(R13+S13+T13+U13+V13)))))))</f>
        <v>0</v>
      </c>
      <c r="Y13" s="549" t="str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EXCLUI</v>
      </c>
      <c r="Z13" s="532">
        <f t="shared" ref="Z13:Z45" si="17">IF(SUM(B13:E13)=0,0.5,IF((AND((P13=0),(Q13=0))),0,(Y13/(Y13+1))))</f>
        <v>0</v>
      </c>
      <c r="AA13" s="533"/>
      <c r="AB13" s="550" t="str">
        <f t="shared" si="9"/>
        <v>EXCLUI</v>
      </c>
      <c r="AC13" s="485" t="e">
        <f t="shared" si="10"/>
        <v>#DIV/0!</v>
      </c>
      <c r="AE13" s="485" t="str">
        <f t="shared" si="11"/>
        <v>1 / 4F</v>
      </c>
      <c r="AF13" s="535">
        <f t="shared" si="12"/>
        <v>0.68178048999999996</v>
      </c>
      <c r="AH13" s="536">
        <f>IF(B13=0,0,VLOOKUP(B13,FREQUENCIAS!$1:$1048576,(IF(($A13=FREQUENCIAS!$C$1),3,"ERRO")),FREQUENCIAS!$1:$1048576))</f>
        <v>0.1328</v>
      </c>
      <c r="AI13" s="536"/>
      <c r="AJ13" s="536"/>
      <c r="AK13" s="537">
        <f t="shared" si="13"/>
        <v>0.1328</v>
      </c>
      <c r="AL13" s="536">
        <f>IF(C13=0,0,VLOOKUP(C13,FREQUENCIAS!$1:$1048576,(IF(($A13=FREQUENCIAS!$C$1),3,"ERRO")),FREQUENCIAS!$1:$1048576))</f>
        <v>4.1500000000000002E-2</v>
      </c>
      <c r="AM13" s="536"/>
      <c r="AN13" s="536"/>
      <c r="AO13" s="537">
        <f t="shared" si="14"/>
        <v>4.1500000000000002E-2</v>
      </c>
      <c r="AV13" s="551">
        <f>IF(B13=0,0,VLOOKUP(B13,FREQUENCIAS!$1:$1048576,(IF(($A13=FREQUENCIAS!$C$1),3,"ERRO")),FREQUENCIAS!$1:$1048576))</f>
        <v>0.1328</v>
      </c>
      <c r="AW13" s="551">
        <f>IF(C13=0,0,VLOOKUP(C13,FREQUENCIAS!$1:$1048576,(IF(($A13=FREQUENCIAS!$C$1),3,"ERRO")),FREQUENCIAS!$1:$1048576))</f>
        <v>4.1500000000000002E-2</v>
      </c>
      <c r="AX13" s="551">
        <f>IF(D13=0,0,VLOOKUP(D13,FREQUENCIAS!$1:$1048576,(IF(($A13=FREQUENCIAS!$C$1),3,"ERRO")),FREQUENCIAS!$1:$1048576))</f>
        <v>0</v>
      </c>
      <c r="AY13" s="551">
        <f>IF(E13=0,0,VLOOKUP(E13,FREQUENCIAS!$1:$1048576,(IF(($A13=FREQUENCIAS!$C$1),3,"ERRO")),FREQUENCIAS!$1:$1048576))</f>
        <v>0</v>
      </c>
      <c r="AZ13" s="552">
        <f>IF((B13=35.2),1,0)</f>
        <v>0</v>
      </c>
      <c r="BA13" s="552">
        <f>IF((C13=35.2),1,0)</f>
        <v>0</v>
      </c>
      <c r="BB13" s="552">
        <f>IF((D13=35.2),1,0)</f>
        <v>0</v>
      </c>
      <c r="BC13" s="552">
        <f>IF((E13=35.2),1,0)</f>
        <v>0</v>
      </c>
      <c r="BD13" s="485">
        <f t="shared" ref="BD13:BD45" si="18">IF((AND((F13=H13),(G13=I13))),1,0)</f>
        <v>0</v>
      </c>
      <c r="BE13" s="485">
        <f t="shared" ref="BE13:BE45" si="19">IF((Y13="EXCLUI"),1,0)</f>
        <v>1</v>
      </c>
      <c r="BF13" s="539">
        <f t="shared" si="15"/>
        <v>2.7E-2</v>
      </c>
    </row>
    <row r="14" spans="1:58" ht="15" customHeight="1" thickTop="1" thickBot="1">
      <c r="A14" s="517" t="str">
        <f>'IMPORTAÇÃO GENOTIPER'!A7</f>
        <v>D2S441</v>
      </c>
      <c r="B14" s="644">
        <f>'IMPORTAÇÃO GENOTIPER'!AI7</f>
        <v>10</v>
      </c>
      <c r="C14" s="645">
        <f>'IMPORTAÇÃO GENOTIPER'!AQ7</f>
        <v>12</v>
      </c>
      <c r="D14" s="645">
        <f>'IMPORTAÇÃO GENOTIPER'!AY7</f>
        <v>0</v>
      </c>
      <c r="E14" s="646">
        <f>'IMPORTAÇÃO GENOTIPER'!BG7</f>
        <v>0</v>
      </c>
      <c r="F14" s="541">
        <f t="shared" si="0"/>
        <v>10</v>
      </c>
      <c r="G14" s="541">
        <f t="shared" si="1"/>
        <v>12</v>
      </c>
      <c r="H14" s="541">
        <f t="shared" si="2"/>
        <v>0</v>
      </c>
      <c r="I14" s="541">
        <f t="shared" si="3"/>
        <v>0</v>
      </c>
      <c r="J14" s="542"/>
      <c r="K14" s="542"/>
      <c r="L14" s="542"/>
      <c r="M14" s="543"/>
      <c r="N14" s="542">
        <f t="shared" si="4"/>
        <v>0</v>
      </c>
      <c r="O14" s="542">
        <f t="shared" si="5"/>
        <v>0</v>
      </c>
      <c r="P14" s="544">
        <f t="shared" si="6"/>
        <v>0</v>
      </c>
      <c r="Q14" s="545">
        <f t="shared" si="7"/>
        <v>0</v>
      </c>
      <c r="R14" s="546"/>
      <c r="S14" s="546"/>
      <c r="T14" s="527">
        <f>IF(P14=0,0,VLOOKUP(P14,FREQUENCIAS!1:1048576,(IF(($A14=FREQUENCIAS!$D$1),4,"ERRO")),FREQUENCIAS!1:1048576))</f>
        <v>0</v>
      </c>
      <c r="U14" s="527">
        <f>IF(Q14=0,0,VLOOKUP(Q14,FREQUENCIAS!1:1048576,(IF(($A14=FREQUENCIAS!$D$1),4,"ERRO")),FREQUENCIAS!1:1048576))</f>
        <v>0</v>
      </c>
      <c r="V14" s="547"/>
      <c r="W14" s="529" t="str">
        <f t="shared" si="8"/>
        <v>OK</v>
      </c>
      <c r="X14" s="548">
        <f>(IF((A14="   ERRO-FT"),"6",(IF((AND((P14=0),(Q14=0))),0,(IF((R14+S14+T14+U14+V14)&lt;=$Z$10,$Z$10,(R14+S14+T14+U14+V14)))))))</f>
        <v>0</v>
      </c>
      <c r="Y14" s="549" t="str">
        <f t="shared" si="16"/>
        <v>EXCLUI</v>
      </c>
      <c r="Z14" s="532">
        <f t="shared" si="17"/>
        <v>0</v>
      </c>
      <c r="AA14" s="533"/>
      <c r="AB14" s="550" t="str">
        <f t="shared" si="9"/>
        <v>EXCLUI</v>
      </c>
      <c r="AC14" s="485" t="e">
        <f t="shared" si="10"/>
        <v>#DIV/0!</v>
      </c>
      <c r="AE14" s="485" t="str">
        <f t="shared" si="11"/>
        <v>1 / 4F</v>
      </c>
      <c r="AF14" s="535">
        <f t="shared" si="12"/>
        <v>0.44328963999999993</v>
      </c>
      <c r="AH14" s="536">
        <f>IF(B14=0,0,VLOOKUP(B14,FREQUENCIAS!$1:$1048576,(IF(($A14=FREQUENCIAS!$D$1),4,"ERRO")),FREQUENCIAS!$1:$1048576))</f>
        <v>0.2611</v>
      </c>
      <c r="AI14" s="536"/>
      <c r="AJ14" s="536"/>
      <c r="AK14" s="537">
        <f t="shared" si="13"/>
        <v>0.2611</v>
      </c>
      <c r="AL14" s="536">
        <f>IF(C14=0,0,VLOOKUP(C14,FREQUENCIAS!$1:$1048576,(IF(($A14=FREQUENCIAS!$D$1),4,"ERRO")),FREQUENCIAS!$1:$1048576))</f>
        <v>7.3099999999999998E-2</v>
      </c>
      <c r="AM14" s="536"/>
      <c r="AN14" s="536"/>
      <c r="AO14" s="537">
        <f t="shared" si="14"/>
        <v>7.3099999999999998E-2</v>
      </c>
      <c r="AV14" s="551">
        <f>IF(B14=0,0,VLOOKUP(B14,FREQUENCIAS!$1:$1048576,(IF(($A14=FREQUENCIAS!$D$1),4,"ERRO")),FREQUENCIAS!$1:$1048576))</f>
        <v>0.2611</v>
      </c>
      <c r="AW14" s="551">
        <f>IF(C14=0,0,VLOOKUP(C14,FREQUENCIAS!$1:$1048576,(IF(($A14=FREQUENCIAS!$D$1),4,"ERRO")),FREQUENCIAS!$1:$1048576))</f>
        <v>7.3099999999999998E-2</v>
      </c>
      <c r="AX14" s="551">
        <f>IF(D14=0,0,VLOOKUP(D14,FREQUENCIAS!$1:$1048576,(IF(($A14=FREQUENCIAS!$D$1),4,"ERRO")),FREQUENCIAS!$1:$1048576))</f>
        <v>0</v>
      </c>
      <c r="AY14" s="551">
        <f>IF(E14=0,0,VLOOKUP(E14,FREQUENCIAS!$1:$1048576,(IF(($A14=FREQUENCIAS!$D$1),4,"ERRO")),FREQUENCIAS!$1:$1048576))</f>
        <v>0</v>
      </c>
      <c r="BD14" s="485">
        <f t="shared" si="18"/>
        <v>0</v>
      </c>
      <c r="BE14" s="485">
        <f t="shared" si="19"/>
        <v>1</v>
      </c>
      <c r="BF14" s="539">
        <f t="shared" si="15"/>
        <v>2.7E-2</v>
      </c>
    </row>
    <row r="15" spans="1:58" ht="15" customHeight="1" thickTop="1" thickBot="1">
      <c r="A15" s="517" t="str">
        <f>'IMPORTAÇÃO GENOTIPER'!A8</f>
        <v>D10S1248</v>
      </c>
      <c r="B15" s="644">
        <f>'IMPORTAÇÃO GENOTIPER'!AI8</f>
        <v>13</v>
      </c>
      <c r="C15" s="645">
        <f>'IMPORTAÇÃO GENOTIPER'!AQ8</f>
        <v>13</v>
      </c>
      <c r="D15" s="645">
        <f>'IMPORTAÇÃO GENOTIPER'!AY8</f>
        <v>0</v>
      </c>
      <c r="E15" s="646">
        <f>'IMPORTAÇÃO GENOTIPER'!BG8</f>
        <v>0</v>
      </c>
      <c r="F15" s="541">
        <f t="shared" si="0"/>
        <v>13</v>
      </c>
      <c r="G15" s="541">
        <f t="shared" si="1"/>
        <v>13</v>
      </c>
      <c r="H15" s="541">
        <f t="shared" si="2"/>
        <v>0</v>
      </c>
      <c r="I15" s="541">
        <f t="shared" si="3"/>
        <v>0</v>
      </c>
      <c r="J15" s="542"/>
      <c r="K15" s="542"/>
      <c r="L15" s="542"/>
      <c r="M15" s="542"/>
      <c r="N15" s="542">
        <f t="shared" si="4"/>
        <v>0</v>
      </c>
      <c r="O15" s="542">
        <f t="shared" si="5"/>
        <v>0</v>
      </c>
      <c r="P15" s="544">
        <f t="shared" si="6"/>
        <v>0</v>
      </c>
      <c r="Q15" s="545">
        <f t="shared" si="7"/>
        <v>0</v>
      </c>
      <c r="R15" s="546"/>
      <c r="S15" s="546"/>
      <c r="T15" s="553">
        <f>IF(P15=0,0,VLOOKUP(P15,FREQUENCIAS!1:1048576,(IF(($A15=FREQUENCIAS!$E$1),5,"ERRO")),FREQUENCIAS!1:1048576))</f>
        <v>0</v>
      </c>
      <c r="U15" s="553">
        <f>IF(Q15=0,0,VLOOKUP(Q15,FREQUENCIAS!1:1048576,(IF(($A15=FREQUENCIAS!$E$1),5,"ERRO")),FREQUENCIAS!1:1048576))</f>
        <v>0</v>
      </c>
      <c r="V15" s="547"/>
      <c r="W15" s="529" t="str">
        <f t="shared" si="8"/>
        <v>OK</v>
      </c>
      <c r="X15" s="548">
        <f>(IF((A15="   ERRO-FT"),"6",(IF((AND((P15=0),(Q15=0))),0,(IF((R15+S15+T15+U15+V15)&lt;=$Z$10,$Z$10,(R15+S15+T15+U15+V15)))))))</f>
        <v>0</v>
      </c>
      <c r="Y15" s="549" t="str">
        <f t="shared" si="16"/>
        <v>EXCLUI</v>
      </c>
      <c r="Z15" s="532">
        <f t="shared" si="17"/>
        <v>0</v>
      </c>
      <c r="AA15" s="533"/>
      <c r="AB15" s="550" t="str">
        <f t="shared" si="9"/>
        <v>EXCLUI</v>
      </c>
      <c r="AC15" s="485" t="e">
        <f t="shared" si="10"/>
        <v>#DIV/0!</v>
      </c>
      <c r="AE15" s="485" t="str">
        <f t="shared" si="11"/>
        <v>1 / 4F</v>
      </c>
      <c r="AF15" s="535">
        <f t="shared" si="12"/>
        <v>0.53275401</v>
      </c>
      <c r="AH15" s="554">
        <f>IF(B15=0,0,VLOOKUP(B15,FREQUENCIAS!$1:$1048576,(IF(($A15=FREQUENCIAS!$E$1),5,"ERRO")),FREQUENCIAS!$1:$1048576))</f>
        <v>0.27010000000000001</v>
      </c>
      <c r="AI15" s="554"/>
      <c r="AJ15" s="554"/>
      <c r="AK15" s="537">
        <f t="shared" si="13"/>
        <v>0.27010000000000001</v>
      </c>
      <c r="AL15" s="554">
        <f>IF(C15=0,0,VLOOKUP(C15,FREQUENCIAS!$1:$1048576,(IF(($A15=FREQUENCIAS!$E$1),5,"ERRO")),FREQUENCIAS!$1:$1048576))</f>
        <v>0.27010000000000001</v>
      </c>
      <c r="AM15" s="554"/>
      <c r="AN15" s="554"/>
      <c r="AO15" s="537">
        <f t="shared" si="14"/>
        <v>0.27010000000000001</v>
      </c>
      <c r="AV15" s="551">
        <f>IF(B15=0,0,VLOOKUP(B15,FREQUENCIAS!$1:$1048576,(IF(($A15=FREQUENCIAS!$E$1),5,"ERRO")),FREQUENCIAS!$1:$1048576))</f>
        <v>0.27010000000000001</v>
      </c>
      <c r="AW15" s="551">
        <f>IF(C15=0,0,VLOOKUP(C15,FREQUENCIAS!$1:$1048576,(IF(($A15=FREQUENCIAS!$E$1),5,"ERRO")),FREQUENCIAS!$1:$1048576))</f>
        <v>0.27010000000000001</v>
      </c>
      <c r="AX15" s="551">
        <f>IF(D15=0,0,VLOOKUP(D15,FREQUENCIAS!$1:$1048576,(IF(($A15=FREQUENCIAS!$E$1),5,"ERRO")),FREQUENCIAS!$1:$1048576))</f>
        <v>0</v>
      </c>
      <c r="AY15" s="551">
        <f>IF(E15=0,0,VLOOKUP(E15,FREQUENCIAS!$1:$1048576,(IF(($A15=FREQUENCIAS!$E$1),5,"ERRO")),FREQUENCIAS!$1:$1048576))</f>
        <v>0</v>
      </c>
      <c r="BD15" s="485">
        <f t="shared" si="18"/>
        <v>0</v>
      </c>
      <c r="BE15" s="485">
        <f t="shared" si="19"/>
        <v>1</v>
      </c>
      <c r="BF15" s="539">
        <f t="shared" si="15"/>
        <v>2.7E-2</v>
      </c>
    </row>
    <row r="16" spans="1:58" ht="15" customHeight="1" thickTop="1" thickBot="1">
      <c r="A16" s="517" t="str">
        <f>'IMPORTAÇÃO GENOTIPER'!A9</f>
        <v>D13S317</v>
      </c>
      <c r="B16" s="644">
        <f>'IMPORTAÇÃO GENOTIPER'!AI9</f>
        <v>12</v>
      </c>
      <c r="C16" s="645">
        <f>'IMPORTAÇÃO GENOTIPER'!AQ9</f>
        <v>12</v>
      </c>
      <c r="D16" s="645">
        <f>'IMPORTAÇÃO GENOTIPER'!AY9</f>
        <v>0</v>
      </c>
      <c r="E16" s="646">
        <f>'IMPORTAÇÃO GENOTIPER'!BG9</f>
        <v>0</v>
      </c>
      <c r="F16" s="541">
        <f t="shared" si="0"/>
        <v>12</v>
      </c>
      <c r="G16" s="541">
        <f t="shared" si="1"/>
        <v>12</v>
      </c>
      <c r="H16" s="541">
        <f t="shared" si="2"/>
        <v>0</v>
      </c>
      <c r="I16" s="541">
        <f t="shared" si="3"/>
        <v>0</v>
      </c>
      <c r="J16" s="542"/>
      <c r="K16" s="542"/>
      <c r="L16" s="542"/>
      <c r="M16" s="543"/>
      <c r="N16" s="542">
        <f t="shared" si="4"/>
        <v>0</v>
      </c>
      <c r="O16" s="542">
        <f t="shared" si="5"/>
        <v>0</v>
      </c>
      <c r="P16" s="544">
        <f t="shared" si="6"/>
        <v>0</v>
      </c>
      <c r="Q16" s="545">
        <f t="shared" si="7"/>
        <v>0</v>
      </c>
      <c r="R16" s="546"/>
      <c r="S16" s="546"/>
      <c r="T16" s="527">
        <f>IF(P16=0,0,VLOOKUP(P16,FREQUENCIAS!1:1048576,(IF(($A16=FREQUENCIAS!$F$1),6,"ERRO")),FREQUENCIAS!1:1048576))</f>
        <v>0</v>
      </c>
      <c r="U16" s="527">
        <f>IF(Q16=0,0,VLOOKUP(Q16,FREQUENCIAS!1:1048576,(IF(($A16=FREQUENCIAS!$F$1),6,"ERRO")),FREQUENCIAS!1:1048576))</f>
        <v>0</v>
      </c>
      <c r="V16" s="547"/>
      <c r="W16" s="529" t="str">
        <f t="shared" si="8"/>
        <v>OK</v>
      </c>
      <c r="X16" s="548">
        <f>(IF((A16="   ERRO-FT"),"12",(IF((AND((P16=0),(Q16=0))),0,(IF((R16+S16+T16+U16+V16)&lt;=$Z$10,$Z$10,(R16+S16+T16+U16+V16)))))))</f>
        <v>0</v>
      </c>
      <c r="Y16" s="549" t="str">
        <f t="shared" si="16"/>
        <v>EXCLUI</v>
      </c>
      <c r="Z16" s="532">
        <f t="shared" si="17"/>
        <v>0</v>
      </c>
      <c r="AA16" s="533"/>
      <c r="AB16" s="550" t="str">
        <f t="shared" si="9"/>
        <v>EXCLUI</v>
      </c>
      <c r="AC16" s="485" t="e">
        <f t="shared" si="10"/>
        <v>#DIV/0!</v>
      </c>
      <c r="AD16" s="485" t="s">
        <v>174</v>
      </c>
      <c r="AE16" s="485" t="str">
        <f t="shared" si="11"/>
        <v>1 / 4F</v>
      </c>
      <c r="AF16" s="535">
        <f t="shared" si="12"/>
        <v>0.49931182440000005</v>
      </c>
      <c r="AH16" s="536">
        <f>IF(B16=0,0,VLOOKUP(B16,FREQUENCIAS!$1:$1048576,(IF(($A16=FREQUENCIAS!$F$1),6,"ERRO")),FREQUENCIAS!$1:$1048576))</f>
        <v>0.29337999999999997</v>
      </c>
      <c r="AI16" s="536"/>
      <c r="AJ16" s="536"/>
      <c r="AK16" s="537">
        <f t="shared" si="13"/>
        <v>0.29337999999999997</v>
      </c>
      <c r="AL16" s="536">
        <f>IF(C16=0,0,VLOOKUP(C16,FREQUENCIAS!$1:$1048576,(IF(($A16=FREQUENCIAS!$F$1),6,"ERRO")),FREQUENCIAS!$1:$1048576))</f>
        <v>0.29337999999999997</v>
      </c>
      <c r="AM16" s="536"/>
      <c r="AN16" s="536"/>
      <c r="AO16" s="537">
        <f t="shared" si="14"/>
        <v>0.29337999999999997</v>
      </c>
      <c r="AV16" s="551">
        <f>IF(B16=0,0,VLOOKUP(B16,FREQUENCIAS!$1:$1048576,(IF(($A16=FREQUENCIAS!$F$1),6,"ERRO")),FREQUENCIAS!$1:$1048576))</f>
        <v>0.29337999999999997</v>
      </c>
      <c r="AW16" s="551">
        <f>IF(C16=0,0,VLOOKUP(C16,FREQUENCIAS!$1:$1048576,(IF(($A16=FREQUENCIAS!$F$1),6,"ERRO")),FREQUENCIAS!$1:$1048576))</f>
        <v>0.29337999999999997</v>
      </c>
      <c r="AX16" s="551">
        <f>IF(D16=0,0,VLOOKUP(D16,FREQUENCIAS!$1:$1048576,(IF(($A16=FREQUENCIAS!$F$1),6,"ERRO")),FREQUENCIAS!$1:$1048576))</f>
        <v>0</v>
      </c>
      <c r="AY16" s="551">
        <f>IF(E16=0,0,VLOOKUP(E16,FREQUENCIAS!$1:$1048576,(IF(($A16=FREQUENCIAS!$F$1),6,"ERRO")),FREQUENCIAS!$1:$1048576))</f>
        <v>0</v>
      </c>
      <c r="BD16" s="485">
        <f t="shared" si="18"/>
        <v>0</v>
      </c>
      <c r="BE16" s="485">
        <f t="shared" si="19"/>
        <v>1</v>
      </c>
      <c r="BF16" s="539">
        <f t="shared" si="15"/>
        <v>2.7E-2</v>
      </c>
    </row>
    <row r="17" spans="1:58" ht="15" customHeight="1" thickTop="1" thickBot="1">
      <c r="A17" s="517" t="str">
        <f>'IMPORTAÇÃO GENOTIPER'!A10</f>
        <v>Penta_E</v>
      </c>
      <c r="B17" s="644">
        <f>'IMPORTAÇÃO GENOTIPER'!AI10</f>
        <v>8</v>
      </c>
      <c r="C17" s="645">
        <f>'IMPORTAÇÃO GENOTIPER'!AQ10</f>
        <v>13</v>
      </c>
      <c r="D17" s="645">
        <f>'IMPORTAÇÃO GENOTIPER'!AY10</f>
        <v>0</v>
      </c>
      <c r="E17" s="646">
        <f>'IMPORTAÇÃO GENOTIPER'!BG10</f>
        <v>0</v>
      </c>
      <c r="F17" s="541">
        <f t="shared" si="0"/>
        <v>8</v>
      </c>
      <c r="G17" s="541">
        <f t="shared" si="1"/>
        <v>13</v>
      </c>
      <c r="H17" s="541">
        <f t="shared" si="2"/>
        <v>0</v>
      </c>
      <c r="I17" s="541">
        <f t="shared" si="3"/>
        <v>0</v>
      </c>
      <c r="J17" s="542"/>
      <c r="K17" s="542"/>
      <c r="L17" s="542"/>
      <c r="M17" s="543"/>
      <c r="N17" s="542">
        <f t="shared" si="4"/>
        <v>0</v>
      </c>
      <c r="O17" s="542">
        <f t="shared" si="5"/>
        <v>0</v>
      </c>
      <c r="P17" s="544">
        <f t="shared" si="6"/>
        <v>0</v>
      </c>
      <c r="Q17" s="545">
        <f t="shared" si="7"/>
        <v>0</v>
      </c>
      <c r="R17" s="546"/>
      <c r="S17" s="546"/>
      <c r="T17" s="527">
        <f>IF(P17=0,0,VLOOKUP(P17,FREQUENCIAS!1:1048576,(IF(($A17=FREQUENCIAS!$G$1),7,"ERRO")),FREQUENCIAS!1:1048576))</f>
        <v>0</v>
      </c>
      <c r="U17" s="527">
        <f>IF(Q17=0,0,VLOOKUP(Q17,FREQUENCIAS!1:1048576,(IF(($A17=FREQUENCIAS!$G$1),7,"ERRO")),FREQUENCIAS!1:1048576))</f>
        <v>0</v>
      </c>
      <c r="V17" s="547"/>
      <c r="W17" s="529" t="str">
        <f t="shared" si="8"/>
        <v>OK</v>
      </c>
      <c r="X17" s="548">
        <f>(IF((A17="   ERRO-FT"),"4",(IF((AND((P17=0),(Q17=0))),0,(IF((R17+S17+T17+U17+V17)&lt;=$Z$10,$Z$10,(R17+S17+T17+U17+V17)))))))</f>
        <v>0</v>
      </c>
      <c r="Y17" s="549" t="str">
        <f t="shared" si="16"/>
        <v>EXCLUI</v>
      </c>
      <c r="Z17" s="532">
        <f t="shared" si="17"/>
        <v>0</v>
      </c>
      <c r="AA17" s="533"/>
      <c r="AB17" s="550" t="str">
        <f t="shared" si="9"/>
        <v>EXCLUI</v>
      </c>
      <c r="AC17" s="485" t="e">
        <f t="shared" si="10"/>
        <v>#DIV/0!</v>
      </c>
      <c r="AE17" s="485" t="str">
        <f t="shared" si="11"/>
        <v>1 / 4F</v>
      </c>
      <c r="AF17" s="535">
        <f t="shared" si="12"/>
        <v>0.68731063776400014</v>
      </c>
      <c r="AH17" s="536">
        <f>IF(B17=0,0,VLOOKUP(B17,FREQUENCIAS!$1:$1048576,(IF(($A17=FREQUENCIAS!$G$1),7,"ERRO")),FREQUENCIAS!$1:$1048576))</f>
        <v>5.7986999999999997E-2</v>
      </c>
      <c r="AI17" s="536"/>
      <c r="AJ17" s="536"/>
      <c r="AK17" s="537">
        <f t="shared" si="13"/>
        <v>5.7986999999999997E-2</v>
      </c>
      <c r="AL17" s="536">
        <f>IF(C17=0,0,VLOOKUP(C17,FREQUENCIAS!$1:$1048576,(IF(($A17=FREQUENCIAS!$G$1),7,"ERRO")),FREQUENCIAS!$1:$1048576))</f>
        <v>0.112971</v>
      </c>
      <c r="AM17" s="536"/>
      <c r="AN17" s="536"/>
      <c r="AO17" s="537">
        <f t="shared" si="14"/>
        <v>0.112971</v>
      </c>
      <c r="AV17" s="551">
        <f>IF(B17=0,0,VLOOKUP(B17,FREQUENCIAS!$1:$1048576,(IF(($A17=FREQUENCIAS!$G$1),7,"ERRO")),FREQUENCIAS!$1:$1048576))</f>
        <v>5.7986999999999997E-2</v>
      </c>
      <c r="AW17" s="551">
        <f>IF(C17=0,0,VLOOKUP(C17,FREQUENCIAS!$1:$1048576,(IF(($A17=FREQUENCIAS!$G$1),7,"ERRO")),FREQUENCIAS!$1:$1048576))</f>
        <v>0.112971</v>
      </c>
      <c r="AX17" s="551">
        <f>IF(D17=0,0,VLOOKUP(D17,FREQUENCIAS!$1:$1048576,(IF(($A17=FREQUENCIAS!$G$1),7,"ERRO")),FREQUENCIAS!$1:$1048576))</f>
        <v>0</v>
      </c>
      <c r="AY17" s="551">
        <f>IF(E17=0,0,VLOOKUP(E17,FREQUENCIAS!$1:$1048576,(IF(($A17=FREQUENCIAS!$G$1),7,"ERRO")),FREQUENCIAS!$1:$1048576))</f>
        <v>0</v>
      </c>
      <c r="BD17" s="485">
        <f t="shared" si="18"/>
        <v>0</v>
      </c>
      <c r="BE17" s="485">
        <f t="shared" si="19"/>
        <v>1</v>
      </c>
      <c r="BF17" s="539">
        <f t="shared" si="15"/>
        <v>2.7E-2</v>
      </c>
    </row>
    <row r="18" spans="1:58" ht="15" customHeight="1" thickTop="1" thickBot="1">
      <c r="A18" s="517" t="str">
        <f>'IMPORTAÇÃO GENOTIPER'!A11</f>
        <v>D16S539</v>
      </c>
      <c r="B18" s="644">
        <f>'IMPORTAÇÃO GENOTIPER'!AI11</f>
        <v>9</v>
      </c>
      <c r="C18" s="645">
        <f>'IMPORTAÇÃO GENOTIPER'!AQ11</f>
        <v>11</v>
      </c>
      <c r="D18" s="645">
        <f>'IMPORTAÇÃO GENOTIPER'!AY11</f>
        <v>0</v>
      </c>
      <c r="E18" s="646">
        <f>'IMPORTAÇÃO GENOTIPER'!BG11</f>
        <v>0</v>
      </c>
      <c r="F18" s="541">
        <f t="shared" si="0"/>
        <v>9</v>
      </c>
      <c r="G18" s="541">
        <f t="shared" si="1"/>
        <v>11</v>
      </c>
      <c r="H18" s="541">
        <f t="shared" si="2"/>
        <v>0</v>
      </c>
      <c r="I18" s="541">
        <f t="shared" si="3"/>
        <v>0</v>
      </c>
      <c r="J18" s="542"/>
      <c r="K18" s="542"/>
      <c r="L18" s="542"/>
      <c r="M18" s="543"/>
      <c r="N18" s="542">
        <f t="shared" si="4"/>
        <v>0</v>
      </c>
      <c r="O18" s="542">
        <f t="shared" si="5"/>
        <v>0</v>
      </c>
      <c r="P18" s="544">
        <f t="shared" si="6"/>
        <v>0</v>
      </c>
      <c r="Q18" s="545">
        <f t="shared" si="7"/>
        <v>0</v>
      </c>
      <c r="R18" s="546"/>
      <c r="S18" s="546"/>
      <c r="T18" s="527">
        <f>IF(P18=0,0,VLOOKUP(P18,FREQUENCIAS!1:1048576,(IF(($A18=FREQUENCIAS!$H$1),8,"ERRO")),FREQUENCIAS!1:1048576))</f>
        <v>0</v>
      </c>
      <c r="U18" s="527">
        <f>IF(Q18=0,0,VLOOKUP(Q18,FREQUENCIAS!1:1048576,(IF(($A18=FREQUENCIAS!$H$1),8,"ERRO")),FREQUENCIAS!1:1048576))</f>
        <v>0</v>
      </c>
      <c r="V18" s="547"/>
      <c r="W18" s="529" t="str">
        <f t="shared" si="8"/>
        <v>OK</v>
      </c>
      <c r="X18" s="548">
        <f>(IF((A18="   ERRO-FT"),"8",(IF((AND((P18=0),(Q18=0))),0,(IF((R18+S18+T18+U18+V18)&lt;=$Z$10,$Z$10,(R18+S18+T18+U18+V18)))))))</f>
        <v>0</v>
      </c>
      <c r="Y18" s="549" t="str">
        <f t="shared" si="16"/>
        <v>EXCLUI</v>
      </c>
      <c r="Z18" s="532">
        <f t="shared" si="17"/>
        <v>0</v>
      </c>
      <c r="AA18" s="533"/>
      <c r="AB18" s="550" t="str">
        <f t="shared" si="9"/>
        <v>EXCLUI</v>
      </c>
      <c r="AC18" s="485" t="e">
        <f t="shared" si="10"/>
        <v>#DIV/0!</v>
      </c>
      <c r="AE18" s="485" t="str">
        <f t="shared" si="11"/>
        <v>1 / 4F</v>
      </c>
      <c r="AF18" s="535">
        <f t="shared" si="12"/>
        <v>0.303624142441</v>
      </c>
      <c r="AH18" s="536">
        <f>IF(B18=0,0,VLOOKUP(B18,FREQUENCIAS!$1:$1048576,(IF(($A18=FREQUENCIAS!$H$1),8,"ERRO")),FREQUENCIAS!$1:$1048576))</f>
        <v>0.160298</v>
      </c>
      <c r="AI18" s="536"/>
      <c r="AJ18" s="536"/>
      <c r="AK18" s="537">
        <f t="shared" si="13"/>
        <v>0.160298</v>
      </c>
      <c r="AL18" s="536">
        <f>IF(C18=0,0,VLOOKUP(C18,FREQUENCIAS!$1:$1048576,(IF(($A18=FREQUENCIAS!$H$1),8,"ERRO")),FREQUENCIAS!$1:$1048576))</f>
        <v>0.28868100000000002</v>
      </c>
      <c r="AM18" s="536"/>
      <c r="AN18" s="536"/>
      <c r="AO18" s="537">
        <f t="shared" si="14"/>
        <v>0.28868100000000002</v>
      </c>
      <c r="AV18" s="551">
        <f>IF(B18=0,0,VLOOKUP(B18,FREQUENCIAS!$1:$1048576,(IF(($A18=FREQUENCIAS!$H$1),8,"ERRO")),FREQUENCIAS!$1:$1048576))</f>
        <v>0.160298</v>
      </c>
      <c r="AW18" s="551">
        <f>IF(C18=0,0,VLOOKUP(C18,FREQUENCIAS!$1:$1048576,(IF(($A18=FREQUENCIAS!$H$1),8,"ERRO")),FREQUENCIAS!$1:$1048576))</f>
        <v>0.28868100000000002</v>
      </c>
      <c r="AX18" s="551">
        <f>IF(D18=0,0,VLOOKUP(D18,FREQUENCIAS!$1:$1048576,(IF(($A18=FREQUENCIAS!$H$1),8,"ERRO")),FREQUENCIAS!$1:$1048576))</f>
        <v>0</v>
      </c>
      <c r="AY18" s="551">
        <f>IF(E18=0,0,VLOOKUP(E18,FREQUENCIAS!$1:$1048576,(IF(($A18=FREQUENCIAS!$H$1),8,"ERRO")),FREQUENCIAS!$1:$1048576))</f>
        <v>0</v>
      </c>
      <c r="BD18" s="485">
        <f t="shared" si="18"/>
        <v>0</v>
      </c>
      <c r="BE18" s="485">
        <f t="shared" si="19"/>
        <v>1</v>
      </c>
      <c r="BF18" s="539">
        <f t="shared" si="15"/>
        <v>2.7E-2</v>
      </c>
    </row>
    <row r="19" spans="1:58" ht="15" customHeight="1" thickTop="1" thickBot="1">
      <c r="A19" s="517" t="str">
        <f>'IMPORTAÇÃO GENOTIPER'!A12</f>
        <v>D18S51</v>
      </c>
      <c r="B19" s="644">
        <f>'IMPORTAÇÃO GENOTIPER'!AI12</f>
        <v>14</v>
      </c>
      <c r="C19" s="645">
        <f>'IMPORTAÇÃO GENOTIPER'!AQ12</f>
        <v>18</v>
      </c>
      <c r="D19" s="645">
        <f>'IMPORTAÇÃO GENOTIPER'!AY12</f>
        <v>0</v>
      </c>
      <c r="E19" s="646">
        <f>'IMPORTAÇÃO GENOTIPER'!BG12</f>
        <v>0</v>
      </c>
      <c r="F19" s="541">
        <f t="shared" si="0"/>
        <v>14</v>
      </c>
      <c r="G19" s="541">
        <f t="shared" si="1"/>
        <v>18</v>
      </c>
      <c r="H19" s="541">
        <f t="shared" si="2"/>
        <v>0</v>
      </c>
      <c r="I19" s="541">
        <f t="shared" si="3"/>
        <v>0</v>
      </c>
      <c r="J19" s="542"/>
      <c r="K19" s="542"/>
      <c r="L19" s="542"/>
      <c r="M19" s="543"/>
      <c r="N19" s="542">
        <f t="shared" si="4"/>
        <v>0</v>
      </c>
      <c r="O19" s="542">
        <f t="shared" si="5"/>
        <v>0</v>
      </c>
      <c r="P19" s="544">
        <f t="shared" si="6"/>
        <v>0</v>
      </c>
      <c r="Q19" s="545">
        <f t="shared" si="7"/>
        <v>0</v>
      </c>
      <c r="R19" s="546"/>
      <c r="S19" s="546"/>
      <c r="T19" s="527">
        <f>IF(P19=0,0,VLOOKUP(P19,FREQUENCIAS!1:1048576,(IF(($A19=FREQUENCIAS!$I$1),9,"ERRO")),FREQUENCIAS!1:1048576))</f>
        <v>0</v>
      </c>
      <c r="U19" s="527">
        <f>IF(Q19=0,0,VLOOKUP(Q19,FREQUENCIAS!1:1048576,(IF(($A19=FREQUENCIAS!$I$1),9,"ERRO")),FREQUENCIAS!1:1048576))</f>
        <v>0</v>
      </c>
      <c r="V19" s="547"/>
      <c r="W19" s="529" t="str">
        <f t="shared" si="8"/>
        <v>OK</v>
      </c>
      <c r="X19" s="548">
        <f>(IF((A19="   ERRO-FT"),"5",(IF((AND((P19=0),(Q19=0))),0,(IF((R19+S19+T19+U19+V19)&lt;=$Z$10,$Z$10,(R19+S19+T19+U19+V19)))))))</f>
        <v>0</v>
      </c>
      <c r="Y19" s="549" t="str">
        <f t="shared" si="16"/>
        <v>EXCLUI</v>
      </c>
      <c r="Z19" s="532">
        <f t="shared" si="17"/>
        <v>0</v>
      </c>
      <c r="AA19" s="533"/>
      <c r="AB19" s="550" t="str">
        <f t="shared" si="9"/>
        <v>EXCLUI</v>
      </c>
      <c r="AC19" s="485" t="e">
        <f t="shared" si="10"/>
        <v>#DIV/0!</v>
      </c>
      <c r="AE19" s="485" t="str">
        <f t="shared" si="11"/>
        <v>1 / 4F</v>
      </c>
      <c r="AF19" s="535">
        <f t="shared" si="12"/>
        <v>0.60096294752399992</v>
      </c>
      <c r="AH19" s="536">
        <f>IF(B19=0,0,VLOOKUP(B19,FREQUENCIAS!$1:$1048576,(IF(($A19=FREQUENCIAS!$I$1),9,"ERRO")),FREQUENCIAS!$1:$1048576))</f>
        <v>0.14722199999999999</v>
      </c>
      <c r="AI19" s="536"/>
      <c r="AJ19" s="536"/>
      <c r="AK19" s="537">
        <f t="shared" si="13"/>
        <v>0.14722199999999999</v>
      </c>
      <c r="AL19" s="536">
        <f>IF(C19=0,0,VLOOKUP(C19,FREQUENCIAS!$1:$1048576,(IF(($A19=FREQUENCIAS!$I$1),9,"ERRO")),FREQUENCIAS!$1:$1048576))</f>
        <v>7.7560000000000004E-2</v>
      </c>
      <c r="AM19" s="536"/>
      <c r="AN19" s="536"/>
      <c r="AO19" s="537">
        <f t="shared" si="14"/>
        <v>7.7560000000000004E-2</v>
      </c>
      <c r="AV19" s="551">
        <f>IF(B19=0,0,VLOOKUP(B19,FREQUENCIAS!$1:$1048576,(IF(($A19=FREQUENCIAS!$I$1),9,"ERRO")),FREQUENCIAS!$1:$1048576))</f>
        <v>0.14722199999999999</v>
      </c>
      <c r="AW19" s="551">
        <f>IF(C19=0,0,VLOOKUP(C19,FREQUENCIAS!$1:$1048576,(IF(($A19=FREQUENCIAS!$I$1),9,"ERRO")),FREQUENCIAS!$1:$1048576))</f>
        <v>7.7560000000000004E-2</v>
      </c>
      <c r="AX19" s="551">
        <f>IF(D19=0,0,VLOOKUP(D19,FREQUENCIAS!$1:$1048576,(IF(($A19=FREQUENCIAS!$I$1),9,"ERRO")),FREQUENCIAS!$1:$1048576))</f>
        <v>0</v>
      </c>
      <c r="AY19" s="551">
        <f>IF(E19=0,0,VLOOKUP(E19,FREQUENCIAS!$1:$1048576,(IF(($A19=FREQUENCIAS!$I$1),9,"ERRO")),FREQUENCIAS!$1:$1048576))</f>
        <v>0</v>
      </c>
      <c r="BD19" s="485">
        <f t="shared" si="18"/>
        <v>0</v>
      </c>
      <c r="BE19" s="485">
        <f t="shared" si="19"/>
        <v>1</v>
      </c>
      <c r="BF19" s="539">
        <f t="shared" si="15"/>
        <v>2.7E-2</v>
      </c>
    </row>
    <row r="20" spans="1:58" ht="15" customHeight="1" thickTop="1" thickBot="1">
      <c r="A20" s="517" t="str">
        <f>'IMPORTAÇÃO GENOTIPER'!A13</f>
        <v>D2S1338</v>
      </c>
      <c r="B20" s="644">
        <f>'IMPORTAÇÃO GENOTIPER'!AI13</f>
        <v>16</v>
      </c>
      <c r="C20" s="645">
        <f>'IMPORTAÇÃO GENOTIPER'!AQ13</f>
        <v>24</v>
      </c>
      <c r="D20" s="645">
        <f>'IMPORTAÇÃO GENOTIPER'!AY13</f>
        <v>0</v>
      </c>
      <c r="E20" s="646">
        <f>'IMPORTAÇÃO GENOTIPER'!BG13</f>
        <v>0</v>
      </c>
      <c r="F20" s="541">
        <f>IF((B20&gt;C20),C20,B20)</f>
        <v>16</v>
      </c>
      <c r="G20" s="541">
        <f>IF((C20&gt;B20),C20,B20)</f>
        <v>24</v>
      </c>
      <c r="H20" s="541">
        <f t="shared" si="2"/>
        <v>0</v>
      </c>
      <c r="I20" s="541">
        <f t="shared" si="3"/>
        <v>0</v>
      </c>
      <c r="J20" s="542"/>
      <c r="K20" s="542"/>
      <c r="L20" s="542"/>
      <c r="M20" s="543"/>
      <c r="N20" s="542">
        <f t="shared" si="4"/>
        <v>0</v>
      </c>
      <c r="O20" s="542">
        <f t="shared" si="5"/>
        <v>0</v>
      </c>
      <c r="P20" s="544">
        <f t="shared" si="6"/>
        <v>0</v>
      </c>
      <c r="Q20" s="545">
        <f t="shared" si="7"/>
        <v>0</v>
      </c>
      <c r="R20" s="546"/>
      <c r="S20" s="546"/>
      <c r="T20" s="527">
        <f>IF(P20=0,0,VLOOKUP(P20,FREQUENCIAS!1:1048576,(IF(($A20=FREQUENCIAS!$J$1),10,"ERRO")),FREQUENCIAS!1:1048576))</f>
        <v>0</v>
      </c>
      <c r="U20" s="527">
        <f>IF(Q20=0,0,VLOOKUP(Q20,FREQUENCIAS!1:1048576,(IF(($A20=FREQUENCIAS!$J$1),10,"ERRO")),FREQUENCIAS!1:1048576))</f>
        <v>0</v>
      </c>
      <c r="V20" s="547"/>
      <c r="W20" s="529" t="str">
        <f t="shared" si="8"/>
        <v>OK</v>
      </c>
      <c r="X20" s="548">
        <f>(IF((A20="   ERRO-FT"),"15",(IF((AND((P20=0),(Q20=0))),0,(IF((R20+S20+T20+U20+V20)&lt;=$Z$10,$Z$10,(R20+S20+T20+U20+V20)))))))</f>
        <v>0</v>
      </c>
      <c r="Y20" s="549" t="str">
        <f t="shared" si="16"/>
        <v>EXCLUI</v>
      </c>
      <c r="Z20" s="532">
        <f t="shared" si="17"/>
        <v>0</v>
      </c>
      <c r="AA20" s="533"/>
      <c r="AB20" s="550" t="str">
        <f t="shared" si="9"/>
        <v>EXCLUI</v>
      </c>
      <c r="AC20" s="485" t="e">
        <f t="shared" si="10"/>
        <v>#DIV/0!</v>
      </c>
      <c r="AD20" s="485" t="s">
        <v>339</v>
      </c>
      <c r="AE20" s="485" t="str">
        <f t="shared" si="11"/>
        <v>1 / 4F</v>
      </c>
      <c r="AF20" s="535">
        <f t="shared" si="12"/>
        <v>0.77299264000000001</v>
      </c>
      <c r="AH20" s="536">
        <f>IF(B20=0,0,VLOOKUP(B20,FREQUENCIAS!$1:$1048576,(IF(($A20=FREQUENCIAS!$J$1),10,"ERRO")),FREQUENCIAS!$1:$1048576))</f>
        <v>4.4999999999999998E-2</v>
      </c>
      <c r="AI20" s="536"/>
      <c r="AJ20" s="536"/>
      <c r="AK20" s="537">
        <f t="shared" si="13"/>
        <v>4.4999999999999998E-2</v>
      </c>
      <c r="AL20" s="536">
        <f>IF(C20=0,0,VLOOKUP(C20,FREQUENCIAS!$1:$1048576,(IF(($A20=FREQUENCIAS!$J$1),10,"ERRO")),FREQUENCIAS!$1:$1048576))</f>
        <v>7.5800000000000006E-2</v>
      </c>
      <c r="AM20" s="536"/>
      <c r="AN20" s="536"/>
      <c r="AO20" s="537">
        <f t="shared" si="14"/>
        <v>7.5800000000000006E-2</v>
      </c>
      <c r="AV20" s="551">
        <f>IF(B20=0,0,VLOOKUP(B20,FREQUENCIAS!$1:$1048576,(IF(($A20=FREQUENCIAS!$J$1),10,"ERRO")),FREQUENCIAS!$1:$1048576))</f>
        <v>4.4999999999999998E-2</v>
      </c>
      <c r="AW20" s="551">
        <f>IF(C20=0,0,VLOOKUP(C20,FREQUENCIAS!$1:$1048576,(IF(($A20=FREQUENCIAS!$J$1),10,"ERRO")),FREQUENCIAS!$1:$1048576))</f>
        <v>7.5800000000000006E-2</v>
      </c>
      <c r="AX20" s="551">
        <f>IF(D20=0,0,VLOOKUP(D20,FREQUENCIAS!$1:$1048576,(IF(($A20=FREQUENCIAS!$J$1),10,"ERRO")),FREQUENCIAS!$1:$1048576))</f>
        <v>0</v>
      </c>
      <c r="AY20" s="551">
        <f>IF(E20=0,0,VLOOKUP(E20,FREQUENCIAS!$1:$1048576,(IF(($A20=FREQUENCIAS!$J$1),10,"ERRO")),FREQUENCIAS!$1:$1048576))</f>
        <v>0</v>
      </c>
      <c r="BD20" s="485">
        <f t="shared" si="18"/>
        <v>0</v>
      </c>
      <c r="BE20" s="485">
        <f t="shared" si="19"/>
        <v>1</v>
      </c>
      <c r="BF20" s="539">
        <f t="shared" si="15"/>
        <v>2.7E-2</v>
      </c>
    </row>
    <row r="21" spans="1:58" ht="15" customHeight="1" thickTop="1" thickBot="1">
      <c r="A21" s="517" t="str">
        <f>'IMPORTAÇÃO GENOTIPER'!A14</f>
        <v>CSF1PO</v>
      </c>
      <c r="B21" s="644">
        <f>'IMPORTAÇÃO GENOTIPER'!AI14</f>
        <v>10</v>
      </c>
      <c r="C21" s="645">
        <f>'IMPORTAÇÃO GENOTIPER'!AQ14</f>
        <v>13</v>
      </c>
      <c r="D21" s="645">
        <f>'IMPORTAÇÃO GENOTIPER'!AY14</f>
        <v>0</v>
      </c>
      <c r="E21" s="646">
        <f>'IMPORTAÇÃO GENOTIPER'!BG14</f>
        <v>0</v>
      </c>
      <c r="F21" s="541">
        <f t="shared" si="0"/>
        <v>10</v>
      </c>
      <c r="G21" s="541">
        <f t="shared" si="1"/>
        <v>13</v>
      </c>
      <c r="H21" s="541">
        <f t="shared" si="2"/>
        <v>0</v>
      </c>
      <c r="I21" s="541">
        <f t="shared" si="3"/>
        <v>0</v>
      </c>
      <c r="J21" s="542"/>
      <c r="K21" s="542"/>
      <c r="L21" s="542"/>
      <c r="M21" s="543"/>
      <c r="N21" s="542">
        <f t="shared" si="4"/>
        <v>0</v>
      </c>
      <c r="O21" s="542">
        <f t="shared" si="5"/>
        <v>0</v>
      </c>
      <c r="P21" s="544">
        <f t="shared" si="6"/>
        <v>0</v>
      </c>
      <c r="Q21" s="545">
        <f t="shared" si="7"/>
        <v>0</v>
      </c>
      <c r="R21" s="546"/>
      <c r="S21" s="546"/>
      <c r="T21" s="527">
        <f>IF(P21=0,0,VLOOKUP(P21,FREQUENCIAS!1:1048576,(IF(($A21=FREQUENCIAS!$K$1),11,"ERRO")),FREQUENCIAS!1:1048576))</f>
        <v>0</v>
      </c>
      <c r="U21" s="527">
        <f>IF(Q21=0,0,VLOOKUP(Q21,FREQUENCIAS!1:1048576,(IF(($A21=FREQUENCIAS!$K$1),11,"ERRO")),FREQUENCIAS!1:1048576))</f>
        <v>0</v>
      </c>
      <c r="V21" s="547"/>
      <c r="W21" s="529" t="str">
        <f t="shared" si="8"/>
        <v>OK</v>
      </c>
      <c r="X21" s="548">
        <f>(IF((A21="   ERRO-FT"),"9",(IF((AND((P21=0),(Q21=0))),0,(IF((R21+S21+T21+U21+V21)&lt;=$Z$10,$Z$10,(R21+S21+T21+U21+V21)))))))</f>
        <v>0</v>
      </c>
      <c r="Y21" s="549" t="str">
        <f t="shared" si="16"/>
        <v>EXCLUI</v>
      </c>
      <c r="Z21" s="532">
        <f t="shared" si="17"/>
        <v>0</v>
      </c>
      <c r="AA21" s="533"/>
      <c r="AB21" s="550" t="str">
        <f t="shared" si="9"/>
        <v>EXCLUI</v>
      </c>
      <c r="AC21" s="485" t="e">
        <f t="shared" si="10"/>
        <v>#DIV/0!</v>
      </c>
      <c r="AE21" s="485" t="str">
        <f t="shared" si="11"/>
        <v>1 / 4F</v>
      </c>
      <c r="AF21" s="535">
        <f t="shared" si="12"/>
        <v>0.45419242784399988</v>
      </c>
      <c r="AH21" s="536">
        <f>IF(B21=0,0,VLOOKUP(B21,FREQUENCIAS!$1:$1048576,(IF(($A21=FREQUENCIAS!$K$1),11,"ERRO")),FREQUENCIAS!$1:$1048576))</f>
        <v>0.262376</v>
      </c>
      <c r="AI21" s="536"/>
      <c r="AJ21" s="536"/>
      <c r="AK21" s="537">
        <f t="shared" si="13"/>
        <v>0.262376</v>
      </c>
      <c r="AL21" s="536">
        <f>IF(C21=0,0,VLOOKUP(C21,FREQUENCIAS!$1:$1048576,(IF(($A21=FREQUENCIAS!$K$1),11,"ERRO")),FREQUENCIAS!$1:$1048576))</f>
        <v>6.3686000000000006E-2</v>
      </c>
      <c r="AM21" s="536"/>
      <c r="AN21" s="536"/>
      <c r="AO21" s="537">
        <f t="shared" si="14"/>
        <v>6.3686000000000006E-2</v>
      </c>
      <c r="AV21" s="551">
        <f>IF(B21=0,0,VLOOKUP(B21,FREQUENCIAS!$1:$1048576,(IF(($A21=FREQUENCIAS!$K$1),11,"ERRO")),FREQUENCIAS!$1:$1048576))</f>
        <v>0.262376</v>
      </c>
      <c r="AW21" s="551">
        <f>IF(C21=0,0,VLOOKUP(C21,FREQUENCIAS!$1:$1048576,(IF(($A21=FREQUENCIAS!$K$1),11,"ERRO")),FREQUENCIAS!$1:$1048576))</f>
        <v>6.3686000000000006E-2</v>
      </c>
      <c r="AX21" s="551">
        <f>IF(D21=0,0,VLOOKUP(D21,FREQUENCIAS!$1:$1048576,(IF(($A21=FREQUENCIAS!$K$1),11,"ERRO")),FREQUENCIAS!$1:$1048576))</f>
        <v>0</v>
      </c>
      <c r="AY21" s="551">
        <f>IF(E21=0,0,VLOOKUP(E21,FREQUENCIAS!$1:$1048576,(IF(($A21=FREQUENCIAS!$K$1),11,"ERRO")),FREQUENCIAS!$1:$1048576))</f>
        <v>0</v>
      </c>
      <c r="BD21" s="485">
        <f t="shared" si="18"/>
        <v>0</v>
      </c>
      <c r="BE21" s="485">
        <f t="shared" si="19"/>
        <v>1</v>
      </c>
      <c r="BF21" s="539">
        <f t="shared" si="15"/>
        <v>2.7E-2</v>
      </c>
    </row>
    <row r="22" spans="1:58" ht="15" customHeight="1" thickTop="1" thickBot="1">
      <c r="A22" s="517" t="str">
        <f>'IMPORTAÇÃO GENOTIPER'!A15</f>
        <v>Penta_D</v>
      </c>
      <c r="B22" s="644">
        <f>'IMPORTAÇÃO GENOTIPER'!AI15</f>
        <v>12</v>
      </c>
      <c r="C22" s="645">
        <f>'IMPORTAÇÃO GENOTIPER'!AQ15</f>
        <v>12</v>
      </c>
      <c r="D22" s="645">
        <f>'IMPORTAÇÃO GENOTIPER'!AY15</f>
        <v>0</v>
      </c>
      <c r="E22" s="646">
        <f>'IMPORTAÇÃO GENOTIPER'!BG15</f>
        <v>0</v>
      </c>
      <c r="F22" s="541">
        <f t="shared" si="0"/>
        <v>12</v>
      </c>
      <c r="G22" s="541">
        <f t="shared" si="1"/>
        <v>12</v>
      </c>
      <c r="H22" s="541">
        <f t="shared" si="2"/>
        <v>0</v>
      </c>
      <c r="I22" s="541">
        <f t="shared" si="3"/>
        <v>0</v>
      </c>
      <c r="J22" s="542"/>
      <c r="K22" s="542"/>
      <c r="L22" s="542"/>
      <c r="M22" s="543"/>
      <c r="N22" s="542">
        <f t="shared" si="4"/>
        <v>0</v>
      </c>
      <c r="O22" s="542">
        <f t="shared" si="5"/>
        <v>0</v>
      </c>
      <c r="P22" s="544">
        <f t="shared" si="6"/>
        <v>0</v>
      </c>
      <c r="Q22" s="545">
        <f t="shared" si="7"/>
        <v>0</v>
      </c>
      <c r="R22" s="546"/>
      <c r="S22" s="546"/>
      <c r="T22" s="527">
        <f>IF(P22=0,0,VLOOKUP(P22,FREQUENCIAS!1:1048576,(IF(($A22=FREQUENCIAS!$L$1),12,"ERRO")),FREQUENCIAS!1:1048576))</f>
        <v>0</v>
      </c>
      <c r="U22" s="527">
        <f>IF(Q22=0,0,VLOOKUP(Q22,FREQUENCIAS!1:1048576,(IF(($A22=FREQUENCIAS!$L$1),12,"ERRO")),FREQUENCIAS!1:1048576))</f>
        <v>0</v>
      </c>
      <c r="V22" s="547"/>
      <c r="W22" s="529" t="str">
        <f t="shared" si="8"/>
        <v>OK</v>
      </c>
      <c r="X22" s="548">
        <f>(IF((A22="   ERRO-FT"),"11",(IF((AND((P22=0),(Q22=0))),0,(IF((R22+S22+T22+U22+V22)&lt;=$Z$10,$Z$10,(R22+S22+T22+U22+V22)))))))</f>
        <v>0</v>
      </c>
      <c r="Y22" s="549" t="str">
        <f t="shared" si="16"/>
        <v>EXCLUI</v>
      </c>
      <c r="Z22" s="532">
        <f t="shared" si="17"/>
        <v>0</v>
      </c>
      <c r="AA22" s="533"/>
      <c r="AB22" s="550" t="str">
        <f t="shared" si="9"/>
        <v>EXCLUI</v>
      </c>
      <c r="AC22" s="485" t="e">
        <f t="shared" si="10"/>
        <v>#DIV/0!</v>
      </c>
      <c r="AD22" s="485" t="s">
        <v>340</v>
      </c>
      <c r="AE22" s="485" t="str">
        <f t="shared" si="11"/>
        <v>1 / 4F</v>
      </c>
      <c r="AF22" s="535">
        <f t="shared" si="12"/>
        <v>0.69646702611599998</v>
      </c>
      <c r="AH22" s="536">
        <f>IF(B22=0,0,VLOOKUP(B22,FREQUENCIAS!$1:$1048576,(IF(($A22=FREQUENCIAS!$L$1),12,"ERRO")),FREQUENCIAS!$1:$1048576))</f>
        <v>0.16545399999999999</v>
      </c>
      <c r="AI22" s="536"/>
      <c r="AJ22" s="536"/>
      <c r="AK22" s="537">
        <f t="shared" si="13"/>
        <v>0.16545399999999999</v>
      </c>
      <c r="AL22" s="536">
        <f>IF(C22=0,0,VLOOKUP(C22,FREQUENCIAS!$1:$1048576,(IF(($A22=FREQUENCIAS!$L$1),12,"ERRO")),FREQUENCIAS!$1:$1048576))</f>
        <v>0.16545399999999999</v>
      </c>
      <c r="AM22" s="536"/>
      <c r="AN22" s="536"/>
      <c r="AO22" s="537">
        <f t="shared" si="14"/>
        <v>0.16545399999999999</v>
      </c>
      <c r="AV22" s="551">
        <f>IF(B22=0,0,VLOOKUP(B22,FREQUENCIAS!$1:$1048576,(IF(($A22=FREQUENCIAS!$L$1),12,"ERRO")),FREQUENCIAS!$1:$1048576))</f>
        <v>0.16545399999999999</v>
      </c>
      <c r="AW22" s="551">
        <f>IF(C22=0,0,VLOOKUP(C22,FREQUENCIAS!$1:$1048576,(IF(($A22=FREQUENCIAS!$L$1),12,"ERRO")),FREQUENCIAS!$1:$1048576))</f>
        <v>0.16545399999999999</v>
      </c>
      <c r="AX22" s="551">
        <f>IF(D22=0,0,VLOOKUP(D22,FREQUENCIAS!$1:$1048576,(IF(($A22=FREQUENCIAS!$L$1),12,"ERRO")),FREQUENCIAS!$1:$1048576))</f>
        <v>0</v>
      </c>
      <c r="AY22" s="551">
        <f>IF(E22=0,0,VLOOKUP(E22,FREQUENCIAS!$1:$1048576,(IF(($A22=FREQUENCIAS!$L$1),12,"ERRO")),FREQUENCIAS!$1:$1048576))</f>
        <v>0</v>
      </c>
      <c r="BD22" s="485">
        <f t="shared" si="18"/>
        <v>0</v>
      </c>
      <c r="BE22" s="485">
        <f t="shared" si="19"/>
        <v>1</v>
      </c>
      <c r="BF22" s="539">
        <f t="shared" si="15"/>
        <v>2.7E-2</v>
      </c>
    </row>
    <row r="23" spans="1:58" ht="15" customHeight="1" thickTop="1" thickBot="1">
      <c r="A23" s="517" t="str">
        <f>'IMPORTAÇÃO GENOTIPER'!A16</f>
        <v>TH01</v>
      </c>
      <c r="B23" s="644">
        <f>'IMPORTAÇÃO GENOTIPER'!AI16</f>
        <v>9</v>
      </c>
      <c r="C23" s="645">
        <f>'IMPORTAÇÃO GENOTIPER'!AQ16</f>
        <v>9</v>
      </c>
      <c r="D23" s="645">
        <f>'IMPORTAÇÃO GENOTIPER'!AY16</f>
        <v>0</v>
      </c>
      <c r="E23" s="646">
        <f>'IMPORTAÇÃO GENOTIPER'!BG16</f>
        <v>0</v>
      </c>
      <c r="F23" s="541">
        <f t="shared" si="0"/>
        <v>9</v>
      </c>
      <c r="G23" s="541">
        <f t="shared" si="1"/>
        <v>9</v>
      </c>
      <c r="H23" s="541">
        <f t="shared" si="2"/>
        <v>0</v>
      </c>
      <c r="I23" s="541">
        <f t="shared" si="3"/>
        <v>0</v>
      </c>
      <c r="J23" s="542"/>
      <c r="K23" s="542"/>
      <c r="L23" s="542"/>
      <c r="M23" s="543"/>
      <c r="N23" s="542">
        <f t="shared" si="4"/>
        <v>0</v>
      </c>
      <c r="O23" s="542">
        <f t="shared" si="5"/>
        <v>0</v>
      </c>
      <c r="P23" s="544">
        <f t="shared" si="6"/>
        <v>0</v>
      </c>
      <c r="Q23" s="545">
        <f t="shared" si="7"/>
        <v>0</v>
      </c>
      <c r="R23" s="546"/>
      <c r="S23" s="546"/>
      <c r="T23" s="527">
        <f>IF(P23=0,0,VLOOKUP(P23,FREQUENCIAS!1:1048576,(IF(($A23=FREQUENCIAS!$M$1),13,"ERRO")),FREQUENCIAS!1:1048576))</f>
        <v>0</v>
      </c>
      <c r="U23" s="527">
        <f>IF(Q23=0,0,VLOOKUP(Q23,FREQUENCIAS!1:1048576,(IF(($A23=FREQUENCIAS!$M$1),13,"ERRO")),FREQUENCIAS!1:1048576))</f>
        <v>0</v>
      </c>
      <c r="V23" s="547"/>
      <c r="W23" s="529" t="str">
        <f t="shared" si="8"/>
        <v>OK</v>
      </c>
      <c r="X23" s="548">
        <f>(IF((A23="   ERRO-FT"),"6",(IF((AND((P23=0),(Q23=0))),0,(IF((R23+S23+T23+U23+V23)&lt;=$Z$10,$Z$10,(R23+S23+T23+U23+V23)))))))</f>
        <v>0</v>
      </c>
      <c r="Y23" s="549" t="str">
        <f t="shared" si="16"/>
        <v>EXCLUI</v>
      </c>
      <c r="Z23" s="532">
        <f t="shared" si="17"/>
        <v>0</v>
      </c>
      <c r="AA23" s="533"/>
      <c r="AB23" s="550" t="str">
        <f t="shared" si="9"/>
        <v>EXCLUI</v>
      </c>
      <c r="AC23" s="485" t="e">
        <f t="shared" si="10"/>
        <v>#DIV/0!</v>
      </c>
      <c r="AE23" s="485" t="str">
        <f t="shared" si="11"/>
        <v>1 / 4F</v>
      </c>
      <c r="AF23" s="535">
        <f t="shared" si="12"/>
        <v>0.70130072896899998</v>
      </c>
      <c r="AH23" s="536">
        <f>IF(B23=0,0,VLOOKUP(B23,FREQUENCIAS!$1:$1048576,(IF(($A23=FREQUENCIAS!$M$1),13,"ERRO")),FREQUENCIAS!$1:$1048576))</f>
        <v>0.16256300000000001</v>
      </c>
      <c r="AI23" s="536"/>
      <c r="AJ23" s="536"/>
      <c r="AK23" s="537">
        <f t="shared" si="13"/>
        <v>0.16256300000000001</v>
      </c>
      <c r="AL23" s="536">
        <f>IF(C23=0,0,VLOOKUP(C23,FREQUENCIAS!$1:$1048576,(IF(($A23=FREQUENCIAS!$M$1),13,"ERRO")),FREQUENCIAS!$1:$1048576))</f>
        <v>0.16256300000000001</v>
      </c>
      <c r="AM23" s="536"/>
      <c r="AN23" s="536"/>
      <c r="AO23" s="537">
        <f t="shared" si="14"/>
        <v>0.16256300000000001</v>
      </c>
      <c r="AV23" s="551">
        <f>IF(B23=0,0,VLOOKUP(B23,FREQUENCIAS!$1:$1048576,(IF(($A23=FREQUENCIAS!$M$1),13,"ERRO")),FREQUENCIAS!$1:$1048576))</f>
        <v>0.16256300000000001</v>
      </c>
      <c r="AW23" s="551">
        <f>IF(C23=0,0,VLOOKUP(C23,FREQUENCIAS!$1:$1048576,(IF(($A23=FREQUENCIAS!$M$1),13,"ERRO")),FREQUENCIAS!$1:$1048576))</f>
        <v>0.16256300000000001</v>
      </c>
      <c r="AX23" s="551">
        <f>IF(D23=0,0,VLOOKUP(D23,FREQUENCIAS!$1:$1048576,(IF(($A23=FREQUENCIAS!$M$1),13,"ERRO")),FREQUENCIAS!$1:$1048576))</f>
        <v>0</v>
      </c>
      <c r="AY23" s="551">
        <f>IF(E23=0,0,VLOOKUP(E23,FREQUENCIAS!$1:$1048576,(IF(($A23=FREQUENCIAS!$M$1),13,"ERRO")),FREQUENCIAS!$1:$1048576))</f>
        <v>0</v>
      </c>
      <c r="BD23" s="485">
        <f t="shared" si="18"/>
        <v>0</v>
      </c>
      <c r="BE23" s="485">
        <f t="shared" si="19"/>
        <v>1</v>
      </c>
      <c r="BF23" s="539">
        <f t="shared" si="15"/>
        <v>2.7E-2</v>
      </c>
    </row>
    <row r="24" spans="1:58" ht="15" customHeight="1" thickTop="1" thickBot="1">
      <c r="A24" s="517" t="str">
        <f>'IMPORTAÇÃO GENOTIPER'!A17</f>
        <v>vWA</v>
      </c>
      <c r="B24" s="644">
        <f>'IMPORTAÇÃO GENOTIPER'!AI17</f>
        <v>15</v>
      </c>
      <c r="C24" s="645">
        <f>'IMPORTAÇÃO GENOTIPER'!AQ17</f>
        <v>15</v>
      </c>
      <c r="D24" s="645">
        <f>'IMPORTAÇÃO GENOTIPER'!AY17</f>
        <v>0</v>
      </c>
      <c r="E24" s="646">
        <f>'IMPORTAÇÃO GENOTIPER'!BG17</f>
        <v>0</v>
      </c>
      <c r="F24" s="541">
        <f t="shared" si="0"/>
        <v>15</v>
      </c>
      <c r="G24" s="541">
        <f t="shared" si="1"/>
        <v>15</v>
      </c>
      <c r="H24" s="541">
        <f t="shared" si="2"/>
        <v>0</v>
      </c>
      <c r="I24" s="541">
        <f t="shared" si="3"/>
        <v>0</v>
      </c>
      <c r="J24" s="542"/>
      <c r="K24" s="542"/>
      <c r="L24" s="542"/>
      <c r="M24" s="543"/>
      <c r="N24" s="542">
        <f t="shared" si="4"/>
        <v>0</v>
      </c>
      <c r="O24" s="542">
        <f t="shared" si="5"/>
        <v>0</v>
      </c>
      <c r="P24" s="544">
        <f t="shared" si="6"/>
        <v>0</v>
      </c>
      <c r="Q24" s="545">
        <f t="shared" si="7"/>
        <v>0</v>
      </c>
      <c r="R24" s="546"/>
      <c r="S24" s="546"/>
      <c r="T24" s="527">
        <f>IF(P24=0,0,VLOOKUP(P24,FREQUENCIAS!1:1048576,(IF(($A24=FREQUENCIAS!$N$1),14,"ERRO")),FREQUENCIAS!1:1048576))</f>
        <v>0</v>
      </c>
      <c r="U24" s="527">
        <f>IF(Q24=0,0,VLOOKUP(Q24,FREQUENCIAS!1:1048576,(IF(($A24=FREQUENCIAS!$N$1),14,"ERRO")),FREQUENCIAS!1:1048576))</f>
        <v>0</v>
      </c>
      <c r="V24" s="547"/>
      <c r="W24" s="529" t="str">
        <f t="shared" si="8"/>
        <v>OK</v>
      </c>
      <c r="X24" s="548">
        <f>(IF((A24="   ERRO-FT"),"7",(IF((AND((P24=0),(Q24=0))),0,(IF((R24+S24+T24+U24+V24)&lt;=$Z$10,$Z$10,(R24+S24+T24+U24+V24)))))))</f>
        <v>0</v>
      </c>
      <c r="Y24" s="549" t="str">
        <f t="shared" si="16"/>
        <v>EXCLUI</v>
      </c>
      <c r="Z24" s="532">
        <f t="shared" si="17"/>
        <v>0</v>
      </c>
      <c r="AA24" s="533"/>
      <c r="AB24" s="550" t="str">
        <f t="shared" si="9"/>
        <v>EXCLUI</v>
      </c>
      <c r="AC24" s="485" t="e">
        <f t="shared" si="10"/>
        <v>#DIV/0!</v>
      </c>
      <c r="AE24" s="485" t="str">
        <f t="shared" si="11"/>
        <v>1 / 4F</v>
      </c>
      <c r="AF24" s="535">
        <f t="shared" si="12"/>
        <v>0.74305434403600013</v>
      </c>
      <c r="AH24" s="536">
        <f>IF(B24=0,0,VLOOKUP(B24,FREQUENCIAS!$1:$1048576,(IF(($A24=FREQUENCIAS!$N$1),14,"ERRO")),FREQUENCIAS!$1:$1048576))</f>
        <v>0.13799400000000001</v>
      </c>
      <c r="AI24" s="536"/>
      <c r="AJ24" s="536"/>
      <c r="AK24" s="537">
        <f t="shared" si="13"/>
        <v>0.13799400000000001</v>
      </c>
      <c r="AL24" s="536">
        <f>IF(C24=0,0,VLOOKUP(C24,FREQUENCIAS!$1:$1048576,(IF(($A24=FREQUENCIAS!$N$1),14,"ERRO")),FREQUENCIAS!$1:$1048576))</f>
        <v>0.13799400000000001</v>
      </c>
      <c r="AM24" s="536"/>
      <c r="AN24" s="536"/>
      <c r="AO24" s="537">
        <f t="shared" si="14"/>
        <v>0.13799400000000001</v>
      </c>
      <c r="AV24" s="551">
        <f>IF(B24=0,0,VLOOKUP(B24,FREQUENCIAS!$1:$1048576,(IF(($A24=FREQUENCIAS!$N$1),14,"ERRO")),FREQUENCIAS!$1:$1048576))</f>
        <v>0.13799400000000001</v>
      </c>
      <c r="AW24" s="551">
        <f>IF(C24=0,0,VLOOKUP(C24,FREQUENCIAS!$1:$1048576,(IF(($A24=FREQUENCIAS!$N$1),14,"ERRO")),FREQUENCIAS!$1:$1048576))</f>
        <v>0.13799400000000001</v>
      </c>
      <c r="AX24" s="551">
        <f>IF(D24=0,0,VLOOKUP(D24,FREQUENCIAS!$1:$1048576,(IF(($A24=FREQUENCIAS!$N$1),14,"ERRO")),FREQUENCIAS!$1:$1048576))</f>
        <v>0</v>
      </c>
      <c r="AY24" s="551">
        <f>IF(E24=0,0,VLOOKUP(E24,FREQUENCIAS!$1:$1048576,(IF(($A24=FREQUENCIAS!$N$1),14,"ERRO")),FREQUENCIAS!$1:$1048576))</f>
        <v>0</v>
      </c>
      <c r="BD24" s="485">
        <f t="shared" si="18"/>
        <v>0</v>
      </c>
      <c r="BE24" s="485">
        <f t="shared" si="19"/>
        <v>1</v>
      </c>
      <c r="BF24" s="539">
        <f t="shared" si="15"/>
        <v>2.7E-2</v>
      </c>
    </row>
    <row r="25" spans="1:58" ht="15" customHeight="1" thickTop="1" thickBot="1">
      <c r="A25" s="517" t="str">
        <f>'IMPORTAÇÃO GENOTIPER'!A18</f>
        <v>D21S11</v>
      </c>
      <c r="B25" s="644">
        <f>'IMPORTAÇÃO GENOTIPER'!AI18</f>
        <v>29</v>
      </c>
      <c r="C25" s="645">
        <f>'IMPORTAÇÃO GENOTIPER'!AQ18</f>
        <v>30</v>
      </c>
      <c r="D25" s="645">
        <f>'IMPORTAÇÃO GENOTIPER'!AY18</f>
        <v>0</v>
      </c>
      <c r="E25" s="646">
        <f>'IMPORTAÇÃO GENOTIPER'!BG18</f>
        <v>0</v>
      </c>
      <c r="F25" s="541">
        <f t="shared" si="0"/>
        <v>29</v>
      </c>
      <c r="G25" s="541">
        <f t="shared" si="1"/>
        <v>30</v>
      </c>
      <c r="H25" s="541">
        <f t="shared" si="2"/>
        <v>0</v>
      </c>
      <c r="I25" s="541">
        <f t="shared" si="3"/>
        <v>0</v>
      </c>
      <c r="J25" s="542"/>
      <c r="K25" s="542"/>
      <c r="L25" s="542"/>
      <c r="M25" s="543"/>
      <c r="N25" s="542">
        <f t="shared" si="4"/>
        <v>0</v>
      </c>
      <c r="O25" s="542">
        <f t="shared" si="5"/>
        <v>0</v>
      </c>
      <c r="P25" s="544">
        <f t="shared" si="6"/>
        <v>0</v>
      </c>
      <c r="Q25" s="545">
        <f t="shared" si="7"/>
        <v>0</v>
      </c>
      <c r="R25" s="546"/>
      <c r="S25" s="546"/>
      <c r="T25" s="527">
        <f>IF(P25=0,0,VLOOKUP(P25,FREQUENCIAS!1:1048576,(IF(($A25=FREQUENCIAS!$O$1),15,"ERRO")),FREQUENCIAS!1:1048576))</f>
        <v>0</v>
      </c>
      <c r="U25" s="527">
        <f>IF(Q25=0,0,VLOOKUP(Q25,FREQUENCIAS!1:1048576,(IF(($A25=FREQUENCIAS!$O$1),15,"ERRO")),FREQUENCIAS!1:1048576))</f>
        <v>0</v>
      </c>
      <c r="V25" s="547"/>
      <c r="W25" s="529" t="str">
        <f t="shared" si="8"/>
        <v>OK</v>
      </c>
      <c r="X25" s="548">
        <f>(IF((A25="   ERRO-FT"),"7",(IF((AND((P25=0),(Q25=0))),0,(IF((R25+S25+T25+U25+V25)&lt;=$Z$10,$Z$10,(R25+S25+T25+U25+V25)))))))</f>
        <v>0</v>
      </c>
      <c r="Y25" s="549" t="str">
        <f t="shared" si="16"/>
        <v>EXCLUI</v>
      </c>
      <c r="Z25" s="532">
        <f t="shared" si="17"/>
        <v>0</v>
      </c>
      <c r="AA25" s="533"/>
      <c r="AB25" s="550" t="str">
        <f t="shared" si="9"/>
        <v>EXCLUI</v>
      </c>
      <c r="AC25" s="485" t="e">
        <f t="shared" si="10"/>
        <v>#DIV/0!</v>
      </c>
      <c r="AE25" s="485" t="str">
        <f t="shared" si="11"/>
        <v>1 / 4F</v>
      </c>
      <c r="AF25" s="535">
        <f t="shared" si="12"/>
        <v>0.31387221904900003</v>
      </c>
      <c r="AH25" s="536">
        <f>IF(B25=0,0,VLOOKUP(B25,FREQUENCIAS!$1:$1048576,(IF(($A25=FREQUENCIAS!$O$1),15,"ERRO")),FREQUENCIAS!$1:$1048576))</f>
        <v>0.20807800000000001</v>
      </c>
      <c r="AI25" s="536"/>
      <c r="AJ25" s="536"/>
      <c r="AK25" s="537">
        <f t="shared" si="13"/>
        <v>0.20807800000000001</v>
      </c>
      <c r="AL25" s="536">
        <f>IF(C25=0,0,VLOOKUP(C25,FREQUENCIAS!$1:$1048576,(IF(($A25=FREQUENCIAS!$O$1),15,"ERRO")),FREQUENCIAS!$1:$1048576))</f>
        <v>0.231679</v>
      </c>
      <c r="AM25" s="536"/>
      <c r="AN25" s="536"/>
      <c r="AO25" s="537">
        <f t="shared" si="14"/>
        <v>0.231679</v>
      </c>
      <c r="AV25" s="551">
        <f>IF(B25=0,0,VLOOKUP(B25,FREQUENCIAS!$1:$1048576,(IF(($A25=FREQUENCIAS!$O$1),15,"ERRO")),FREQUENCIAS!$1:$1048576))</f>
        <v>0.20807800000000001</v>
      </c>
      <c r="AW25" s="551">
        <f>IF(C25=0,0,VLOOKUP(C25,FREQUENCIAS!$1:$1048576,(IF(($A25=FREQUENCIAS!$O$1),15,"ERRO")),FREQUENCIAS!$1:$1048576))</f>
        <v>0.231679</v>
      </c>
      <c r="AX25" s="551">
        <f>IF(D25=0,0,VLOOKUP(D25,FREQUENCIAS!$1:$1048576,(IF(($A25=FREQUENCIAS!$O$1),15,"ERRO")),FREQUENCIAS!$1:$1048576))</f>
        <v>0</v>
      </c>
      <c r="AY25" s="551">
        <f>IF(E25=0,0,VLOOKUP(E25,FREQUENCIAS!$1:$1048576,(IF(($A25=FREQUENCIAS!$O$1),15,"ERRO")),FREQUENCIAS!$1:$1048576))</f>
        <v>0</v>
      </c>
      <c r="BD25" s="485">
        <f t="shared" si="18"/>
        <v>0</v>
      </c>
      <c r="BE25" s="485">
        <f t="shared" si="19"/>
        <v>1</v>
      </c>
      <c r="BF25" s="539">
        <f t="shared" si="15"/>
        <v>2.7E-2</v>
      </c>
    </row>
    <row r="26" spans="1:58" ht="15" customHeight="1" thickTop="1" thickBot="1">
      <c r="A26" s="517" t="str">
        <f>'IMPORTAÇÃO GENOTIPER'!A19</f>
        <v>D7S820</v>
      </c>
      <c r="B26" s="644">
        <f>'IMPORTAÇÃO GENOTIPER'!AI19</f>
        <v>9</v>
      </c>
      <c r="C26" s="645">
        <f>'IMPORTAÇÃO GENOTIPER'!AQ19</f>
        <v>10</v>
      </c>
      <c r="D26" s="645">
        <f>'IMPORTAÇÃO GENOTIPER'!AY19</f>
        <v>0</v>
      </c>
      <c r="E26" s="646">
        <f>'IMPORTAÇÃO GENOTIPER'!BG19</f>
        <v>0</v>
      </c>
      <c r="F26" s="541">
        <f t="shared" si="0"/>
        <v>9</v>
      </c>
      <c r="G26" s="541">
        <f t="shared" si="1"/>
        <v>10</v>
      </c>
      <c r="H26" s="541">
        <f t="shared" si="2"/>
        <v>0</v>
      </c>
      <c r="I26" s="541">
        <f t="shared" si="3"/>
        <v>0</v>
      </c>
      <c r="J26" s="542"/>
      <c r="K26" s="542"/>
      <c r="L26" s="542"/>
      <c r="M26" s="543"/>
      <c r="N26" s="542">
        <f t="shared" si="4"/>
        <v>0</v>
      </c>
      <c r="O26" s="542">
        <f t="shared" si="5"/>
        <v>0</v>
      </c>
      <c r="P26" s="544">
        <f t="shared" si="6"/>
        <v>0</v>
      </c>
      <c r="Q26" s="545">
        <f t="shared" si="7"/>
        <v>0</v>
      </c>
      <c r="R26" s="546"/>
      <c r="S26" s="546"/>
      <c r="T26" s="527">
        <f>IF(P26=0,0,VLOOKUP(P26,FREQUENCIAS!1:1048576,(IF(($A26=FREQUENCIAS!$P$1),16,"ERRO")),FREQUENCIAS!1:1048576))</f>
        <v>0</v>
      </c>
      <c r="U26" s="527">
        <f>IF(Q26=0,0,VLOOKUP(Q26,FREQUENCIAS!1:1048576,(IF(($A26=FREQUENCIAS!$P$1),16,"ERRO")),FREQUENCIAS!1:1048576))</f>
        <v>0</v>
      </c>
      <c r="V26" s="547"/>
      <c r="W26" s="529" t="str">
        <f t="shared" si="8"/>
        <v>OK</v>
      </c>
      <c r="X26" s="548">
        <f>(IF((A26="   ERRO-FT"),"16",(IF((AND((P26=0),(Q26=0))),0,(IF((R26+S26+T26+U26+V26)&lt;=$Z$10,$Z$10,(R26+S26+T26+U26+V26)))))))</f>
        <v>0</v>
      </c>
      <c r="Y26" s="549" t="str">
        <f t="shared" si="16"/>
        <v>EXCLUI</v>
      </c>
      <c r="Z26" s="532">
        <f t="shared" si="17"/>
        <v>0</v>
      </c>
      <c r="AA26" s="555"/>
      <c r="AB26" s="550" t="str">
        <f t="shared" si="9"/>
        <v>EXCLUI</v>
      </c>
      <c r="AC26" s="485" t="e">
        <f t="shared" si="10"/>
        <v>#DIV/0!</v>
      </c>
      <c r="AD26" s="485" t="s">
        <v>339</v>
      </c>
      <c r="AE26" s="485" t="str">
        <f t="shared" si="11"/>
        <v>1 / 4F</v>
      </c>
      <c r="AF26" s="535">
        <f t="shared" si="12"/>
        <v>0.36534287809599997</v>
      </c>
      <c r="AH26" s="536">
        <f>IF(B26=0,0,VLOOKUP(B26,FREQUENCIAS!$1:$1048576,(IF(($A26=FREQUENCIAS!$P$1),16,"ERRO")),FREQUENCIAS!$1:$1048576))</f>
        <v>0.12053</v>
      </c>
      <c r="AI26" s="536"/>
      <c r="AJ26" s="536"/>
      <c r="AK26" s="537">
        <f t="shared" si="13"/>
        <v>0.12053</v>
      </c>
      <c r="AL26" s="536">
        <f>IF(C26=0,0,VLOOKUP(C26,FREQUENCIAS!$1:$1048576,(IF(($A26=FREQUENCIAS!$P$1),16,"ERRO")),FREQUENCIAS!$1:$1048576))</f>
        <v>0.275034</v>
      </c>
      <c r="AM26" s="536"/>
      <c r="AN26" s="536"/>
      <c r="AO26" s="537">
        <f t="shared" si="14"/>
        <v>0.275034</v>
      </c>
      <c r="AV26" s="551">
        <f>IF(B26=0,0,VLOOKUP(B26,FREQUENCIAS!$1:$1048576,(IF(($A26=FREQUENCIAS!$P$1),16,"ERRO")),FREQUENCIAS!$1:$1048576))</f>
        <v>0.12053</v>
      </c>
      <c r="AW26" s="551">
        <f>IF(C26=0,0,VLOOKUP(C26,FREQUENCIAS!$1:$1048576,(IF(($A26=FREQUENCIAS!$P$1),16,"ERRO")),FREQUENCIAS!$1:$1048576))</f>
        <v>0.275034</v>
      </c>
      <c r="AX26" s="551">
        <f>IF(D26=0,0,VLOOKUP(D26,FREQUENCIAS!$1:$1048576,(IF(($A26=FREQUENCIAS!$P$1),16,"ERRO")),FREQUENCIAS!$1:$1048576))</f>
        <v>0</v>
      </c>
      <c r="AY26" s="551">
        <f>IF(E26=0,0,VLOOKUP(E26,FREQUENCIAS!$1:$1048576,(IF(($A26=FREQUENCIAS!$P$1),16,"ERRO")),FREQUENCIAS!$1:$1048576))</f>
        <v>0</v>
      </c>
      <c r="AZ26" s="552">
        <f>(IF((OR((B26=22.3),(B26=23.2),(B26=24.2),(B26=25.2),(B26=24.3),(B26=26.2),(B26=34.2),(B26="&gt;42,2"),(B26=42.2),(B26=43.2),(B26=44.2),(B26=45.2),(B26=46.2),(B26=47.2),(B26=48.2),(B26=50.2))),1,0))</f>
        <v>0</v>
      </c>
      <c r="BA26" s="552">
        <f>(IF((OR((C26=22.3),(C26=23.2),(C26=24.2),(C26=25.2),(C26=24.3),(C26=26.2),(C26=34.2),(C26="&gt;42,2"),(C26=42.2),(C26=43.2),(C26=44.2),(C26=45.2),(C26=46.2),(C26=47.2),(C26=48.2),(C26=50.2))),1,0))</f>
        <v>0</v>
      </c>
      <c r="BB26" s="552">
        <f>(IF((OR((D26=22.3),(D26=23.2),(D26=24.2),(D26=25.2),(D26=24.3),(D26=26.2),(D26=34.2),(D26="&gt;42,2"),(D26=42.2),(D26=43.2),(D26=44.2),(D26=45.2),(D26=46.2),(D26=47.2),(D26=48.2),(D26=50.2))),1,0))</f>
        <v>0</v>
      </c>
      <c r="BC26" s="552">
        <f>(IF((OR((E26=22.3),(E26=23.2),(E26=24.2),(E26=25.2),(E26=24.3),(E26=26.2),(E26=34.2),(E26="&gt;42,2"),(E26=42.2),(E26=43.2),(E26=44.2),(E26=45.2),(E26=46.2),(E26=47.2),(E26=48.2),(E26=50.2))),1,0))</f>
        <v>0</v>
      </c>
      <c r="BD26" s="485">
        <f t="shared" si="18"/>
        <v>0</v>
      </c>
      <c r="BE26" s="485">
        <f t="shared" si="19"/>
        <v>1</v>
      </c>
      <c r="BF26" s="539">
        <f t="shared" si="15"/>
        <v>2.7E-2</v>
      </c>
    </row>
    <row r="27" spans="1:58" ht="15" customHeight="1" thickTop="1" thickBot="1">
      <c r="A27" s="517" t="str">
        <f>'IMPORTAÇÃO GENOTIPER'!A20</f>
        <v>D5S818</v>
      </c>
      <c r="B27" s="644">
        <f>'IMPORTAÇÃO GENOTIPER'!AI20</f>
        <v>12</v>
      </c>
      <c r="C27" s="645">
        <f>'IMPORTAÇÃO GENOTIPER'!AQ20</f>
        <v>13</v>
      </c>
      <c r="D27" s="645">
        <f>'IMPORTAÇÃO GENOTIPER'!AY20</f>
        <v>0</v>
      </c>
      <c r="E27" s="646">
        <f>'IMPORTAÇÃO GENOTIPER'!BG20</f>
        <v>0</v>
      </c>
      <c r="F27" s="541">
        <f t="shared" si="0"/>
        <v>12</v>
      </c>
      <c r="G27" s="541">
        <f t="shared" si="1"/>
        <v>13</v>
      </c>
      <c r="H27" s="541">
        <f t="shared" si="2"/>
        <v>0</v>
      </c>
      <c r="I27" s="541">
        <f t="shared" si="3"/>
        <v>0</v>
      </c>
      <c r="J27" s="542"/>
      <c r="K27" s="542"/>
      <c r="L27" s="542"/>
      <c r="M27" s="543"/>
      <c r="N27" s="542">
        <f t="shared" si="4"/>
        <v>0</v>
      </c>
      <c r="O27" s="542">
        <f t="shared" si="5"/>
        <v>0</v>
      </c>
      <c r="P27" s="544">
        <f t="shared" si="6"/>
        <v>0</v>
      </c>
      <c r="Q27" s="545">
        <f t="shared" si="7"/>
        <v>0</v>
      </c>
      <c r="R27" s="546"/>
      <c r="S27" s="546"/>
      <c r="T27" s="527">
        <f>IF(P27=0,0,VLOOKUP(P27,FREQUENCIAS!1:1048576,(IF(($A27=FREQUENCIAS!$Q$1),17,"ERRO")),FREQUENCIAS!1:1048576))</f>
        <v>0</v>
      </c>
      <c r="U27" s="527">
        <f>IF(Q27=0,0,VLOOKUP(Q27,FREQUENCIAS!1:1048576,(IF(($A27=FREQUENCIAS!$Q$1),17,"ERRO")),FREQUENCIAS!1:1048576))</f>
        <v>0</v>
      </c>
      <c r="V27" s="547"/>
      <c r="W27" s="529" t="str">
        <f t="shared" si="8"/>
        <v>OK</v>
      </c>
      <c r="X27" s="548">
        <f t="shared" ref="X27:X45" si="20">(IF((A27="   ERRO-FT"),"16",(IF((AND((P27=0),(Q27=0))),0,(IF((R27+S27+T27+U27+V27)&lt;=$Z$10,$Z$10,(R27+S27+T27+U27+V27)))))))</f>
        <v>0</v>
      </c>
      <c r="Y27" s="549" t="str">
        <f t="shared" si="16"/>
        <v>EXCLUI</v>
      </c>
      <c r="Z27" s="532">
        <f t="shared" si="17"/>
        <v>0</v>
      </c>
      <c r="AA27" s="556"/>
      <c r="AB27" s="550" t="str">
        <f t="shared" si="9"/>
        <v>EXCLUI</v>
      </c>
      <c r="AC27" s="485" t="e">
        <f t="shared" si="10"/>
        <v>#DIV/0!</v>
      </c>
      <c r="AD27" s="485" t="s">
        <v>339</v>
      </c>
      <c r="AE27" s="485" t="str">
        <f t="shared" si="11"/>
        <v>1 / 4F</v>
      </c>
      <c r="AF27" s="535">
        <f t="shared" si="12"/>
        <v>0.229585680801</v>
      </c>
      <c r="AH27" s="536">
        <f>IF(B27=0,0,VLOOKUP(B27,FREQUENCIAS!$1:$1048576,(IF(($A27=FREQUENCIAS!$Q$1),17,"ERRO")),FREQUENCIAS!$1:$1048576))</f>
        <v>0.34637600000000002</v>
      </c>
      <c r="AI27" s="536"/>
      <c r="AJ27" s="536"/>
      <c r="AK27" s="537">
        <f t="shared" si="13"/>
        <v>0.34637600000000002</v>
      </c>
      <c r="AL27" s="536">
        <f>IF(C27=0,0,VLOOKUP(C27,FREQUENCIAS!$1:$1048576,(IF(($A27=FREQUENCIAS!$Q$1),17,"ERRO")),FREQUENCIAS!$1:$1048576))</f>
        <v>0.17447299999999999</v>
      </c>
      <c r="AM27" s="536"/>
      <c r="AN27" s="536"/>
      <c r="AO27" s="537">
        <f t="shared" si="14"/>
        <v>0.17447299999999999</v>
      </c>
      <c r="AV27" s="551">
        <f>IF(B27=0,0,VLOOKUP(B27,FREQUENCIAS!$1:$1048576,(IF(($A27=FREQUENCIAS!$Q$1),17,"ERRO")),FREQUENCIAS!$1:$1048576))</f>
        <v>0.34637600000000002</v>
      </c>
      <c r="AW27" s="551">
        <f>IF(C27=0,0,VLOOKUP(C27,FREQUENCIAS!$1:$1048576,(IF(($A27=FREQUENCIAS!$Q$1),17,"ERRO")),FREQUENCIAS!$1:$1048576))</f>
        <v>0.17447299999999999</v>
      </c>
      <c r="AX27" s="551">
        <f>IF(D27=0,0,VLOOKUP(D27,FREQUENCIAS!$1:$1048576,(IF(($A27=FREQUENCIAS!$Q$1),17,"ERRO")),FREQUENCIAS!$1:$1048576))</f>
        <v>0</v>
      </c>
      <c r="AY27" s="551">
        <f>IF(E27=0,0,VLOOKUP(E27,FREQUENCIAS!$1:$1048576,(IF(($A27=FREQUENCIAS!$Q$1),17,"ERRO")),FREQUENCIAS!$1:$1048576))</f>
        <v>0</v>
      </c>
      <c r="AZ27" s="552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2">
        <f t="shared" si="21"/>
        <v>0</v>
      </c>
      <c r="BB27" s="552">
        <f t="shared" si="21"/>
        <v>0</v>
      </c>
      <c r="BC27" s="552">
        <f t="shared" si="21"/>
        <v>0</v>
      </c>
      <c r="BD27" s="485">
        <f t="shared" si="18"/>
        <v>0</v>
      </c>
      <c r="BE27" s="485">
        <f t="shared" si="19"/>
        <v>1</v>
      </c>
      <c r="BF27" s="539">
        <f t="shared" si="15"/>
        <v>2.7E-2</v>
      </c>
    </row>
    <row r="28" spans="1:58" ht="15" customHeight="1" thickTop="1" thickBot="1">
      <c r="A28" s="517" t="str">
        <f>'IMPORTAÇÃO GENOTIPER'!A21</f>
        <v>TPOX</v>
      </c>
      <c r="B28" s="644">
        <f>'IMPORTAÇÃO GENOTIPER'!AI21</f>
        <v>8</v>
      </c>
      <c r="C28" s="645">
        <f>'IMPORTAÇÃO GENOTIPER'!AQ21</f>
        <v>11</v>
      </c>
      <c r="D28" s="645">
        <f>'IMPORTAÇÃO GENOTIPER'!AY21</f>
        <v>0</v>
      </c>
      <c r="E28" s="646">
        <f>'IMPORTAÇÃO GENOTIPER'!BG21</f>
        <v>0</v>
      </c>
      <c r="F28" s="541">
        <f t="shared" si="0"/>
        <v>8</v>
      </c>
      <c r="G28" s="541">
        <f t="shared" si="1"/>
        <v>11</v>
      </c>
      <c r="H28" s="541">
        <f t="shared" si="2"/>
        <v>0</v>
      </c>
      <c r="I28" s="541">
        <f t="shared" si="3"/>
        <v>0</v>
      </c>
      <c r="J28" s="542"/>
      <c r="K28" s="542"/>
      <c r="L28" s="542"/>
      <c r="M28" s="543"/>
      <c r="N28" s="542">
        <f t="shared" si="4"/>
        <v>0</v>
      </c>
      <c r="O28" s="542">
        <f t="shared" si="5"/>
        <v>0</v>
      </c>
      <c r="P28" s="544">
        <f t="shared" si="6"/>
        <v>0</v>
      </c>
      <c r="Q28" s="545">
        <f t="shared" si="7"/>
        <v>0</v>
      </c>
      <c r="R28" s="546"/>
      <c r="S28" s="546"/>
      <c r="T28" s="527">
        <f>IF(P28=0,0,VLOOKUP(P28,FREQUENCIAS!1:1048576,(IF(($A28=FREQUENCIAS!$R$1),18,"ERRO")),FREQUENCIAS!1:1048576))</f>
        <v>0</v>
      </c>
      <c r="U28" s="527">
        <f>IF(Q28=0,0,VLOOKUP(Q28,FREQUENCIAS!1:1048576,(IF(($A28=FREQUENCIAS!$R$1),18,"ERRO")),FREQUENCIAS!1:1048576))</f>
        <v>0</v>
      </c>
      <c r="V28" s="547"/>
      <c r="W28" s="529" t="str">
        <f t="shared" si="8"/>
        <v>OK</v>
      </c>
      <c r="X28" s="548">
        <f t="shared" si="20"/>
        <v>0</v>
      </c>
      <c r="Y28" s="549" t="str">
        <f t="shared" si="16"/>
        <v>EXCLUI</v>
      </c>
      <c r="Z28" s="532">
        <f t="shared" si="17"/>
        <v>0</v>
      </c>
      <c r="AA28" s="556"/>
      <c r="AB28" s="550" t="str">
        <f t="shared" si="9"/>
        <v>EXCLUI</v>
      </c>
      <c r="AC28" s="485" t="e">
        <f t="shared" si="10"/>
        <v>#DIV/0!</v>
      </c>
      <c r="AD28" s="485" t="s">
        <v>339</v>
      </c>
      <c r="AE28" s="485" t="str">
        <f t="shared" si="11"/>
        <v>1 / 4F</v>
      </c>
      <c r="AF28" s="535">
        <f t="shared" si="12"/>
        <v>7.2149183236000003E-2</v>
      </c>
      <c r="AH28" s="536">
        <f>IF(B28=0,0,VLOOKUP(B28,FREQUENCIAS!$1:$1048576,(IF(($A28=FREQUENCIAS!$R$1),18,"ERRO")),FREQUENCIAS!$1:$1048576))</f>
        <v>0.45586199999999999</v>
      </c>
      <c r="AI28" s="536"/>
      <c r="AJ28" s="536"/>
      <c r="AK28" s="537">
        <f t="shared" si="13"/>
        <v>0.45586199999999999</v>
      </c>
      <c r="AL28" s="536">
        <f>IF(C28=0,0,VLOOKUP(C28,FREQUENCIAS!$1:$1048576,(IF(($A28=FREQUENCIAS!$R$1),18,"ERRO")),FREQUENCIAS!$1:$1048576))</f>
        <v>0.275532</v>
      </c>
      <c r="AM28" s="536"/>
      <c r="AN28" s="536"/>
      <c r="AO28" s="537">
        <f t="shared" si="14"/>
        <v>0.275532</v>
      </c>
      <c r="AV28" s="551">
        <f>IF(B28=0,0,VLOOKUP(B28,FREQUENCIAS!$1:$1048576,(IF(($A28=FREQUENCIAS!$R$1),18,"ERRO")),FREQUENCIAS!$1:$1048576))</f>
        <v>0.45586199999999999</v>
      </c>
      <c r="AW28" s="551">
        <f>IF(C28=0,0,VLOOKUP(C28,FREQUENCIAS!$1:$1048576,(IF(($A28=FREQUENCIAS!$R$1),18,"ERRO")),FREQUENCIAS!$1:$1048576))</f>
        <v>0.275532</v>
      </c>
      <c r="AX28" s="551">
        <f>IF(D28=0,0,VLOOKUP(D28,FREQUENCIAS!$1:$1048576,(IF(($A28=FREQUENCIAS!$R$1),18,"ERRO")),FREQUENCIAS!$1:$1048576))</f>
        <v>0</v>
      </c>
      <c r="AY28" s="551">
        <f>IF(E28=0,0,VLOOKUP(E28,FREQUENCIAS!$1:$1048576,(IF(($A28=FREQUENCIAS!$R$1),18,"ERRO")),FREQUENCIAS!$1:$1048576))</f>
        <v>0</v>
      </c>
      <c r="AZ28" s="552">
        <f t="shared" si="21"/>
        <v>0</v>
      </c>
      <c r="BA28" s="552">
        <f t="shared" si="21"/>
        <v>0</v>
      </c>
      <c r="BB28" s="552">
        <f t="shared" si="21"/>
        <v>0</v>
      </c>
      <c r="BC28" s="552">
        <f t="shared" si="21"/>
        <v>0</v>
      </c>
      <c r="BD28" s="485">
        <f t="shared" si="18"/>
        <v>0</v>
      </c>
      <c r="BE28" s="485">
        <f t="shared" si="19"/>
        <v>1</v>
      </c>
      <c r="BF28" s="539">
        <f t="shared" si="15"/>
        <v>2.7E-2</v>
      </c>
    </row>
    <row r="29" spans="1:58" ht="15" customHeight="1" thickTop="1" thickBot="1">
      <c r="A29" s="517" t="str">
        <f>'IMPORTAÇÃO GENOTIPER'!A22</f>
        <v>D8S1179</v>
      </c>
      <c r="B29" s="644">
        <f>'IMPORTAÇÃO GENOTIPER'!AI22</f>
        <v>13</v>
      </c>
      <c r="C29" s="645">
        <f>'IMPORTAÇÃO GENOTIPER'!AQ22</f>
        <v>15</v>
      </c>
      <c r="D29" s="645">
        <f>'IMPORTAÇÃO GENOTIPER'!AY22</f>
        <v>0</v>
      </c>
      <c r="E29" s="646">
        <f>'IMPORTAÇÃO GENOTIPER'!BG22</f>
        <v>0</v>
      </c>
      <c r="F29" s="541">
        <f t="shared" si="0"/>
        <v>13</v>
      </c>
      <c r="G29" s="541">
        <f t="shared" si="1"/>
        <v>15</v>
      </c>
      <c r="H29" s="541">
        <f t="shared" si="2"/>
        <v>0</v>
      </c>
      <c r="I29" s="541">
        <f t="shared" si="3"/>
        <v>0</v>
      </c>
      <c r="J29" s="542"/>
      <c r="K29" s="542"/>
      <c r="L29" s="542"/>
      <c r="M29" s="543"/>
      <c r="N29" s="542">
        <f t="shared" si="4"/>
        <v>0</v>
      </c>
      <c r="O29" s="542">
        <f t="shared" si="5"/>
        <v>0</v>
      </c>
      <c r="P29" s="544">
        <f t="shared" si="6"/>
        <v>0</v>
      </c>
      <c r="Q29" s="545">
        <f t="shared" si="7"/>
        <v>0</v>
      </c>
      <c r="R29" s="546"/>
      <c r="S29" s="546"/>
      <c r="T29" s="527">
        <f>IF(P29=0,0,VLOOKUP(P29,FREQUENCIAS!1:1048576,(IF(($A29=FREQUENCIAS!$S$1),19,"ERRO")),FREQUENCIAS!1:1048576))</f>
        <v>0</v>
      </c>
      <c r="U29" s="527">
        <f>IF(Q29=0,0,VLOOKUP(Q29,FREQUENCIAS!1:1048576,(IF(($A29=FREQUENCIAS!$S$1),19,"ERRO")),FREQUENCIAS!1:1048576))</f>
        <v>0</v>
      </c>
      <c r="V29" s="547"/>
      <c r="W29" s="529" t="str">
        <f t="shared" si="8"/>
        <v>OK</v>
      </c>
      <c r="X29" s="548">
        <f t="shared" si="20"/>
        <v>0</v>
      </c>
      <c r="Y29" s="549" t="str">
        <f t="shared" si="16"/>
        <v>EXCLUI</v>
      </c>
      <c r="Z29" s="532">
        <f t="shared" si="17"/>
        <v>0</v>
      </c>
      <c r="AA29" s="556"/>
      <c r="AB29" s="550" t="str">
        <f t="shared" si="9"/>
        <v>EXCLUI</v>
      </c>
      <c r="AC29" s="485" t="e">
        <f t="shared" si="10"/>
        <v>#DIV/0!</v>
      </c>
      <c r="AD29" s="485" t="s">
        <v>339</v>
      </c>
      <c r="AE29" s="485" t="str">
        <f t="shared" si="11"/>
        <v>1 / 4F</v>
      </c>
      <c r="AF29" s="535">
        <f t="shared" si="12"/>
        <v>0.33989716204899995</v>
      </c>
      <c r="AH29" s="536">
        <f>IF(B29=0,0,VLOOKUP(B29,FREQUENCIAS!$1:$1048576,(IF(($A29=FREQUENCIAS!$S$1),19,"ERRO")),FREQUENCIAS!$1:$1048576))</f>
        <v>0.27866200000000002</v>
      </c>
      <c r="AI29" s="536"/>
      <c r="AJ29" s="536"/>
      <c r="AK29" s="537">
        <f t="shared" si="13"/>
        <v>0.27866200000000002</v>
      </c>
      <c r="AL29" s="536">
        <f>IF(C29=0,0,VLOOKUP(C29,FREQUENCIAS!$1:$1048576,(IF(($A29=FREQUENCIAS!$S$1),19,"ERRO")),FREQUENCIAS!$1:$1048576))</f>
        <v>0.13833100000000001</v>
      </c>
      <c r="AM29" s="536"/>
      <c r="AN29" s="536"/>
      <c r="AO29" s="537">
        <f t="shared" si="14"/>
        <v>0.13833100000000001</v>
      </c>
      <c r="AV29" s="551">
        <f>IF(B29=0,0,VLOOKUP(B29,FREQUENCIAS!$1:$1048576,(IF(($A29=FREQUENCIAS!$S$1),19,"ERRO")),FREQUENCIAS!$1:$1048576))</f>
        <v>0.27866200000000002</v>
      </c>
      <c r="AW29" s="551">
        <f>IF(C29=0,0,VLOOKUP(C29,FREQUENCIAS!$1:$1048576,(IF(($A29=FREQUENCIAS!$S$1),19,"ERRO")),FREQUENCIAS!$1:$1048576))</f>
        <v>0.13833100000000001</v>
      </c>
      <c r="AX29" s="551">
        <f>IF(D29=0,0,VLOOKUP(D29,FREQUENCIAS!$1:$1048576,(IF(($A29=FREQUENCIAS!$S$1),19,"ERRO")),FREQUENCIAS!$1:$1048576))</f>
        <v>0</v>
      </c>
      <c r="AY29" s="551">
        <f>IF(E29=0,0,VLOOKUP(E29,FREQUENCIAS!$1:$1048576,(IF(($A29=FREQUENCIAS!$S$1),19,"ERRO")),FREQUENCIAS!$1:$1048576))</f>
        <v>0</v>
      </c>
      <c r="AZ29" s="552">
        <f t="shared" si="21"/>
        <v>0</v>
      </c>
      <c r="BA29" s="552">
        <f t="shared" si="21"/>
        <v>0</v>
      </c>
      <c r="BB29" s="552">
        <f t="shared" si="21"/>
        <v>0</v>
      </c>
      <c r="BC29" s="552">
        <f t="shared" si="21"/>
        <v>0</v>
      </c>
      <c r="BD29" s="485">
        <f t="shared" si="18"/>
        <v>0</v>
      </c>
      <c r="BE29" s="485">
        <f t="shared" si="19"/>
        <v>1</v>
      </c>
      <c r="BF29" s="539">
        <f t="shared" si="15"/>
        <v>2.7E-2</v>
      </c>
    </row>
    <row r="30" spans="1:58" ht="15" customHeight="1" thickTop="1" thickBot="1">
      <c r="A30" s="517" t="str">
        <f>'IMPORTAÇÃO GENOTIPER'!A23</f>
        <v>D12S391</v>
      </c>
      <c r="B30" s="644">
        <f>'IMPORTAÇÃO GENOTIPER'!AI23</f>
        <v>19</v>
      </c>
      <c r="C30" s="645">
        <f>'IMPORTAÇÃO GENOTIPER'!AQ23</f>
        <v>19</v>
      </c>
      <c r="D30" s="645">
        <f>'IMPORTAÇÃO GENOTIPER'!AY23</f>
        <v>0</v>
      </c>
      <c r="E30" s="646">
        <f>'IMPORTAÇÃO GENOTIPER'!BG23</f>
        <v>0</v>
      </c>
      <c r="F30" s="541">
        <f t="shared" si="0"/>
        <v>19</v>
      </c>
      <c r="G30" s="541">
        <f t="shared" si="1"/>
        <v>19</v>
      </c>
      <c r="H30" s="541">
        <f t="shared" si="2"/>
        <v>0</v>
      </c>
      <c r="I30" s="541">
        <f t="shared" si="3"/>
        <v>0</v>
      </c>
      <c r="J30" s="542"/>
      <c r="K30" s="542"/>
      <c r="L30" s="542"/>
      <c r="M30" s="543"/>
      <c r="N30" s="542">
        <f t="shared" si="4"/>
        <v>0</v>
      </c>
      <c r="O30" s="542">
        <f t="shared" si="5"/>
        <v>0</v>
      </c>
      <c r="P30" s="544">
        <f t="shared" si="6"/>
        <v>0</v>
      </c>
      <c r="Q30" s="545">
        <f t="shared" si="7"/>
        <v>0</v>
      </c>
      <c r="R30" s="546"/>
      <c r="S30" s="546"/>
      <c r="T30" s="527">
        <f>IF(P30=0,0,VLOOKUP(P30,FREQUENCIAS!1:1048576,(IF(($A30=FREQUENCIAS!$T$1),20,"ERRO")),FREQUENCIAS!1:1048576))</f>
        <v>0</v>
      </c>
      <c r="U30" s="527">
        <f>IF(Q30=0,0,VLOOKUP(Q30,FREQUENCIAS!1:1048576,(IF(($A30=FREQUENCIAS!$T$1),20,"ERRO")),FREQUENCIAS!1:1048576))</f>
        <v>0</v>
      </c>
      <c r="V30" s="547"/>
      <c r="W30" s="529" t="str">
        <f t="shared" si="8"/>
        <v>OK</v>
      </c>
      <c r="X30" s="548">
        <f t="shared" si="20"/>
        <v>0</v>
      </c>
      <c r="Y30" s="549" t="str">
        <f t="shared" si="16"/>
        <v>EXCLUI</v>
      </c>
      <c r="Z30" s="532">
        <f t="shared" si="17"/>
        <v>0</v>
      </c>
      <c r="AA30" s="556"/>
      <c r="AB30" s="550" t="str">
        <f t="shared" si="9"/>
        <v>EXCLUI</v>
      </c>
      <c r="AC30" s="485" t="e">
        <f t="shared" si="10"/>
        <v>#DIV/0!</v>
      </c>
      <c r="AD30" s="485" t="s">
        <v>339</v>
      </c>
      <c r="AE30" s="485" t="str">
        <f t="shared" si="11"/>
        <v>1 / 4F</v>
      </c>
      <c r="AF30" s="535">
        <f t="shared" si="12"/>
        <v>0.68906601000000012</v>
      </c>
      <c r="AH30" s="536">
        <f>IF(B30=0,0,VLOOKUP(B30,FREQUENCIAS!$1:$1048576,(IF(($A30=FREQUENCIAS!$T$1),20,"ERRO")),FREQUENCIAS!$1:$1048576))</f>
        <v>0.1699</v>
      </c>
      <c r="AI30" s="536"/>
      <c r="AJ30" s="536"/>
      <c r="AK30" s="537">
        <f t="shared" si="13"/>
        <v>0.1699</v>
      </c>
      <c r="AL30" s="536">
        <f>IF(C30=0,0,VLOOKUP(C30,FREQUENCIAS!$1:$1048576,(IF(($A30=FREQUENCIAS!$T$1),20,"ERRO")),FREQUENCIAS!$1:$1048576))</f>
        <v>0.1699</v>
      </c>
      <c r="AM30" s="536"/>
      <c r="AN30" s="536"/>
      <c r="AO30" s="537">
        <f t="shared" si="14"/>
        <v>0.1699</v>
      </c>
      <c r="AV30" s="551">
        <f>IF(B30=0,0,VLOOKUP(B30,FREQUENCIAS!$1:$1048576,(IF(($A30=FREQUENCIAS!$T$1),20,"ERRO")),FREQUENCIAS!$1:$1048576))</f>
        <v>0.1699</v>
      </c>
      <c r="AW30" s="551">
        <f>IF(C30=0,0,VLOOKUP(C30,FREQUENCIAS!$1:$1048576,(IF(($A30=FREQUENCIAS!$T$1),20,"ERRO")),FREQUENCIAS!$1:$1048576))</f>
        <v>0.1699</v>
      </c>
      <c r="AX30" s="551">
        <f>IF(D30=0,0,VLOOKUP(D30,FREQUENCIAS!$1:$1048576,(IF(($A30=FREQUENCIAS!$T$1),20,"ERRO")),FREQUENCIAS!$1:$1048576))</f>
        <v>0</v>
      </c>
      <c r="AY30" s="551">
        <f>IF(E30=0,0,VLOOKUP(E30,FREQUENCIAS!$1:$1048576,(IF(($A30=FREQUENCIAS!$T$1),20,"ERRO")),FREQUENCIAS!$1:$1048576))</f>
        <v>0</v>
      </c>
      <c r="AZ30" s="552">
        <f t="shared" si="21"/>
        <v>0</v>
      </c>
      <c r="BA30" s="552">
        <f t="shared" si="21"/>
        <v>0</v>
      </c>
      <c r="BB30" s="552">
        <f t="shared" si="21"/>
        <v>0</v>
      </c>
      <c r="BC30" s="552">
        <f t="shared" si="21"/>
        <v>0</v>
      </c>
      <c r="BD30" s="485">
        <f t="shared" si="18"/>
        <v>0</v>
      </c>
      <c r="BE30" s="485">
        <f t="shared" si="19"/>
        <v>1</v>
      </c>
      <c r="BF30" s="539">
        <f t="shared" si="15"/>
        <v>2.7E-2</v>
      </c>
    </row>
    <row r="31" spans="1:58" ht="15" customHeight="1" thickTop="1" thickBot="1">
      <c r="A31" s="517" t="str">
        <f>'IMPORTAÇÃO GENOTIPER'!A24</f>
        <v>D19S433</v>
      </c>
      <c r="B31" s="644">
        <f>'IMPORTAÇÃO GENOTIPER'!AI24</f>
        <v>13</v>
      </c>
      <c r="C31" s="645">
        <f>'IMPORTAÇÃO GENOTIPER'!AQ24</f>
        <v>13.2</v>
      </c>
      <c r="D31" s="645">
        <f>'IMPORTAÇÃO GENOTIPER'!AY24</f>
        <v>0</v>
      </c>
      <c r="E31" s="646">
        <f>'IMPORTAÇÃO GENOTIPER'!BG24</f>
        <v>0</v>
      </c>
      <c r="F31" s="541">
        <f t="shared" si="0"/>
        <v>13</v>
      </c>
      <c r="G31" s="541">
        <f t="shared" si="1"/>
        <v>13.2</v>
      </c>
      <c r="H31" s="541">
        <f t="shared" si="2"/>
        <v>0</v>
      </c>
      <c r="I31" s="541">
        <f t="shared" si="3"/>
        <v>0</v>
      </c>
      <c r="J31" s="542"/>
      <c r="K31" s="542"/>
      <c r="L31" s="542"/>
      <c r="M31" s="543"/>
      <c r="N31" s="542">
        <f t="shared" si="4"/>
        <v>0</v>
      </c>
      <c r="O31" s="542">
        <f t="shared" si="5"/>
        <v>0</v>
      </c>
      <c r="P31" s="544">
        <f t="shared" si="6"/>
        <v>0</v>
      </c>
      <c r="Q31" s="545">
        <f t="shared" si="7"/>
        <v>0</v>
      </c>
      <c r="R31" s="546"/>
      <c r="S31" s="546"/>
      <c r="T31" s="527">
        <f>IF(P31=0,0,VLOOKUP(P31,FREQUENCIAS!1:1048576,(IF(($A31=FREQUENCIAS!$U$1),21,"ERRO")),FREQUENCIAS!1:1048576))</f>
        <v>0</v>
      </c>
      <c r="U31" s="527">
        <f>IF(Q31=0,0,VLOOKUP(Q31,FREQUENCIAS!1:1048576,(IF(($A31=FREQUENCIAS!$U$1),21,"ERRO")),FREQUENCIAS!1:1048576))</f>
        <v>0</v>
      </c>
      <c r="V31" s="547"/>
      <c r="W31" s="529" t="str">
        <f t="shared" si="8"/>
        <v>OK</v>
      </c>
      <c r="X31" s="548">
        <f t="shared" si="20"/>
        <v>0</v>
      </c>
      <c r="Y31" s="549" t="str">
        <f t="shared" si="16"/>
        <v>EXCLUI</v>
      </c>
      <c r="Z31" s="532">
        <f t="shared" si="17"/>
        <v>0</v>
      </c>
      <c r="AA31" s="556"/>
      <c r="AB31" s="550" t="str">
        <f t="shared" si="9"/>
        <v>EXCLUI</v>
      </c>
      <c r="AC31" s="485" t="e">
        <f t="shared" si="10"/>
        <v>#DIV/0!</v>
      </c>
      <c r="AD31" s="485" t="s">
        <v>339</v>
      </c>
      <c r="AE31" s="485" t="str">
        <f t="shared" si="11"/>
        <v>1 / 4F</v>
      </c>
      <c r="AF31" s="535">
        <f t="shared" si="12"/>
        <v>0.53363024999999986</v>
      </c>
      <c r="AH31" s="536">
        <f>IF(B31=0,0,VLOOKUP(B31,FREQUENCIAS!$1:$1048576,(IF(($A31=FREQUENCIAS!$U$1),21,"ERRO")),FREQUENCIAS!$1:$1048576))</f>
        <v>0.2369</v>
      </c>
      <c r="AI31" s="536"/>
      <c r="AJ31" s="536"/>
      <c r="AK31" s="537">
        <f t="shared" si="13"/>
        <v>0.2369</v>
      </c>
      <c r="AL31" s="536">
        <f>IF(C31=0,0,VLOOKUP(C31,FREQUENCIAS!$1:$1048576,(IF(($A31=FREQUENCIAS!$U$1),21,"ERRO")),FREQUENCIAS!$1:$1048576))</f>
        <v>3.2599999999999997E-2</v>
      </c>
      <c r="AM31" s="536"/>
      <c r="AN31" s="536"/>
      <c r="AO31" s="537">
        <f t="shared" si="14"/>
        <v>3.2599999999999997E-2</v>
      </c>
      <c r="AV31" s="551">
        <f>IF(B31=0,0,VLOOKUP(B31,FREQUENCIAS!$1:$1048576,(IF(($A31=FREQUENCIAS!$U$1),21,"ERRO")),FREQUENCIAS!$1:$1048576))</f>
        <v>0.2369</v>
      </c>
      <c r="AW31" s="551">
        <f>IF(C31=0,0,VLOOKUP(C31,FREQUENCIAS!$1:$1048576,(IF(($A31=FREQUENCIAS!$U$1),21,"ERRO")),FREQUENCIAS!$1:$1048576))</f>
        <v>3.2599999999999997E-2</v>
      </c>
      <c r="AX31" s="551">
        <f>IF(D31=0,0,VLOOKUP(D31,FREQUENCIAS!$1:$1048576,(IF(($A31=FREQUENCIAS!$U$1),21,"ERRO")),FREQUENCIAS!$1:$1048576))</f>
        <v>0</v>
      </c>
      <c r="AY31" s="551">
        <f>IF(E31=0,0,VLOOKUP(E31,FREQUENCIAS!$1:$1048576,(IF(($A31=FREQUENCIAS!$U$1),21,"ERRO")),FREQUENCIAS!$1:$1048576))</f>
        <v>0</v>
      </c>
      <c r="AZ31" s="552">
        <f t="shared" si="21"/>
        <v>0</v>
      </c>
      <c r="BA31" s="552">
        <f t="shared" si="21"/>
        <v>0</v>
      </c>
      <c r="BB31" s="552">
        <f t="shared" si="21"/>
        <v>0</v>
      </c>
      <c r="BC31" s="552">
        <f t="shared" si="21"/>
        <v>0</v>
      </c>
      <c r="BD31" s="485">
        <f t="shared" si="18"/>
        <v>0</v>
      </c>
      <c r="BE31" s="485">
        <f t="shared" si="19"/>
        <v>1</v>
      </c>
      <c r="BF31" s="539">
        <f t="shared" si="15"/>
        <v>2.7E-2</v>
      </c>
    </row>
    <row r="32" spans="1:58" ht="15" customHeight="1" thickTop="1" thickBot="1">
      <c r="A32" s="517" t="str">
        <f>'IMPORTAÇÃO GENOTIPER'!A25</f>
        <v>FGA</v>
      </c>
      <c r="B32" s="644">
        <f>'IMPORTAÇÃO GENOTIPER'!AI25</f>
        <v>21</v>
      </c>
      <c r="C32" s="645">
        <f>'IMPORTAÇÃO GENOTIPER'!AQ25</f>
        <v>23</v>
      </c>
      <c r="D32" s="645">
        <f>'IMPORTAÇÃO GENOTIPER'!AY25</f>
        <v>0</v>
      </c>
      <c r="E32" s="646">
        <f>'IMPORTAÇÃO GENOTIPER'!BG25</f>
        <v>0</v>
      </c>
      <c r="F32" s="541">
        <f t="shared" si="0"/>
        <v>21</v>
      </c>
      <c r="G32" s="541">
        <f t="shared" si="1"/>
        <v>23</v>
      </c>
      <c r="H32" s="541">
        <f t="shared" si="2"/>
        <v>0</v>
      </c>
      <c r="I32" s="541">
        <f t="shared" si="3"/>
        <v>0</v>
      </c>
      <c r="J32" s="542"/>
      <c r="K32" s="542"/>
      <c r="L32" s="542"/>
      <c r="M32" s="543"/>
      <c r="N32" s="542">
        <f t="shared" si="4"/>
        <v>0</v>
      </c>
      <c r="O32" s="542">
        <f t="shared" si="5"/>
        <v>0</v>
      </c>
      <c r="P32" s="544">
        <f t="shared" si="6"/>
        <v>0</v>
      </c>
      <c r="Q32" s="545">
        <f t="shared" si="7"/>
        <v>0</v>
      </c>
      <c r="R32" s="546"/>
      <c r="S32" s="546"/>
      <c r="T32" s="527">
        <f>IF(P32=0,0,VLOOKUP(P32,FREQUENCIAS!1:1048576,(IF(($A32=FREQUENCIAS!$V$1),22,"ERRO")),FREQUENCIAS!1:1048576))</f>
        <v>0</v>
      </c>
      <c r="U32" s="527">
        <f>IF(Q32=0,0,VLOOKUP(Q32,FREQUENCIAS!1:1048576,(IF(($A32=FREQUENCIAS!$V$1),22,"ERRO")),FREQUENCIAS!1:1048576))</f>
        <v>0</v>
      </c>
      <c r="V32" s="547"/>
      <c r="W32" s="529" t="str">
        <f t="shared" si="8"/>
        <v>OK</v>
      </c>
      <c r="X32" s="548">
        <f t="shared" si="20"/>
        <v>0</v>
      </c>
      <c r="Y32" s="549" t="str">
        <f t="shared" si="16"/>
        <v>EXCLUI</v>
      </c>
      <c r="Z32" s="532">
        <f t="shared" si="17"/>
        <v>0</v>
      </c>
      <c r="AA32" s="556"/>
      <c r="AB32" s="550" t="str">
        <f t="shared" si="9"/>
        <v>EXCLUI</v>
      </c>
      <c r="AC32" s="485" t="e">
        <f t="shared" si="10"/>
        <v>#DIV/0!</v>
      </c>
      <c r="AD32" s="485" t="s">
        <v>339</v>
      </c>
      <c r="AE32" s="485" t="str">
        <f t="shared" si="11"/>
        <v>1 / 4F</v>
      </c>
      <c r="AF32" s="535">
        <f t="shared" si="12"/>
        <v>0.48949193176900008</v>
      </c>
      <c r="AH32" s="536">
        <f>IF(B32=0,0,VLOOKUP(B32,FREQUENCIAS!$1:$1048576,(IF(($A32=FREQUENCIAS!$V$1),22,"ERRO")),FREQUENCIAS!$1:$1048576))</f>
        <v>0.15107999999999999</v>
      </c>
      <c r="AI32" s="536"/>
      <c r="AJ32" s="536"/>
      <c r="AK32" s="537">
        <f t="shared" si="13"/>
        <v>0.15107999999999999</v>
      </c>
      <c r="AL32" s="536">
        <f>IF(C32=0,0,VLOOKUP(C32,FREQUENCIAS!$1:$1048576,(IF(($A32=FREQUENCIAS!$V$1),22,"ERRO")),FREQUENCIAS!$1:$1048576))</f>
        <v>0.149283</v>
      </c>
      <c r="AM32" s="536"/>
      <c r="AN32" s="536"/>
      <c r="AO32" s="537">
        <f t="shared" si="14"/>
        <v>0.149283</v>
      </c>
      <c r="AV32" s="551">
        <f>IF(B32=0,0,VLOOKUP(B32,FREQUENCIAS!$1:$1048576,(IF(($A32=FREQUENCIAS!$V$1),22,"ERRO")),FREQUENCIAS!$1:$1048576))</f>
        <v>0.15107999999999999</v>
      </c>
      <c r="AW32" s="551">
        <f>IF(C32=0,0,VLOOKUP(C32,FREQUENCIAS!$1:$1048576,(IF(($A32=FREQUENCIAS!$V$1),22,"ERRO")),FREQUENCIAS!$1:$1048576))</f>
        <v>0.149283</v>
      </c>
      <c r="AX32" s="551">
        <f>IF(D32=0,0,VLOOKUP(D32,FREQUENCIAS!$1:$1048576,(IF(($A32=FREQUENCIAS!$V$1),22,"ERRO")),FREQUENCIAS!$1:$1048576))</f>
        <v>0</v>
      </c>
      <c r="AY32" s="551">
        <f>IF(E32=0,0,VLOOKUP(E32,FREQUENCIAS!$1:$1048576,(IF(($A32=FREQUENCIAS!$V$1),22,"ERRO")),FREQUENCIAS!$1:$1048576))</f>
        <v>0</v>
      </c>
      <c r="AZ32" s="552">
        <f t="shared" si="21"/>
        <v>0</v>
      </c>
      <c r="BA32" s="552">
        <f t="shared" si="21"/>
        <v>0</v>
      </c>
      <c r="BB32" s="552">
        <f t="shared" si="21"/>
        <v>0</v>
      </c>
      <c r="BC32" s="552">
        <f t="shared" si="21"/>
        <v>0</v>
      </c>
      <c r="BD32" s="485">
        <f t="shared" si="18"/>
        <v>0</v>
      </c>
      <c r="BE32" s="485">
        <f t="shared" si="19"/>
        <v>1</v>
      </c>
      <c r="BF32" s="539">
        <f t="shared" si="15"/>
        <v>2.7E-2</v>
      </c>
    </row>
    <row r="33" spans="1:60" ht="15" customHeight="1" thickTop="1" thickBot="1">
      <c r="A33" s="517" t="str">
        <f>'IMPORTAÇÃO GENOTIPER'!A26</f>
        <v>D22S1045</v>
      </c>
      <c r="B33" s="644">
        <f>'IMPORTAÇÃO GENOTIPER'!AI26</f>
        <v>10</v>
      </c>
      <c r="C33" s="645">
        <f>'IMPORTAÇÃO GENOTIPER'!AQ26</f>
        <v>16</v>
      </c>
      <c r="D33" s="645">
        <f>'IMPORTAÇÃO GENOTIPER'!AY26</f>
        <v>0</v>
      </c>
      <c r="E33" s="646">
        <f>'IMPORTAÇÃO GENOTIPER'!BG26</f>
        <v>0</v>
      </c>
      <c r="F33" s="541">
        <f t="shared" si="0"/>
        <v>10</v>
      </c>
      <c r="G33" s="541">
        <f t="shared" si="1"/>
        <v>16</v>
      </c>
      <c r="H33" s="541">
        <f t="shared" si="2"/>
        <v>0</v>
      </c>
      <c r="I33" s="541">
        <f t="shared" si="3"/>
        <v>0</v>
      </c>
      <c r="J33" s="542"/>
      <c r="K33" s="542"/>
      <c r="L33" s="542"/>
      <c r="M33" s="543"/>
      <c r="N33" s="542">
        <f t="shared" si="4"/>
        <v>0</v>
      </c>
      <c r="O33" s="542">
        <f t="shared" si="5"/>
        <v>0</v>
      </c>
      <c r="P33" s="544">
        <f t="shared" si="6"/>
        <v>0</v>
      </c>
      <c r="Q33" s="545">
        <f t="shared" si="7"/>
        <v>0</v>
      </c>
      <c r="R33" s="546"/>
      <c r="S33" s="546"/>
      <c r="T33" s="527">
        <f>IF(P33=0,0,VLOOKUP(P33,FREQUENCIAS!1:1048576,(IF(($A33=FREQUENCIAS!$W$1),23,"ERRO")),FREQUENCIAS!1:1048576))</f>
        <v>0</v>
      </c>
      <c r="U33" s="527">
        <f>IF(Q33=0,0,VLOOKUP(Q33,FREQUENCIAS!1:1048576,(IF(($A33=FREQUENCIAS!$W$1),23,"ERRO")),FREQUENCIAS!1:1048576))</f>
        <v>0</v>
      </c>
      <c r="V33" s="547"/>
      <c r="W33" s="529" t="str">
        <f t="shared" si="8"/>
        <v>OK</v>
      </c>
      <c r="X33" s="548">
        <f t="shared" si="20"/>
        <v>0</v>
      </c>
      <c r="Y33" s="549" t="str">
        <f t="shared" si="16"/>
        <v>EXCLUI</v>
      </c>
      <c r="Z33" s="532">
        <f t="shared" si="17"/>
        <v>0</v>
      </c>
      <c r="AA33" s="556"/>
      <c r="AB33" s="550" t="str">
        <f t="shared" si="9"/>
        <v>EXCLUI</v>
      </c>
      <c r="AC33" s="485" t="e">
        <f t="shared" si="10"/>
        <v>#DIV/0!</v>
      </c>
      <c r="AD33" s="485" t="s">
        <v>339</v>
      </c>
      <c r="AE33" s="485" t="str">
        <f t="shared" si="11"/>
        <v>1 / 4F</v>
      </c>
      <c r="AF33" s="535">
        <f t="shared" si="12"/>
        <v>0.42758521000000005</v>
      </c>
      <c r="AH33" s="536">
        <f>IF(B33=0,0,VLOOKUP(B33,FREQUENCIAS!$1:$1048576,(IF(($A33=FREQUENCIAS!$W$1),23,"ERRO")),FREQUENCIAS!$1:$1048576))</f>
        <v>1.7399999999999999E-2</v>
      </c>
      <c r="AI33" s="536"/>
      <c r="AJ33" s="536"/>
      <c r="AK33" s="537">
        <f t="shared" si="13"/>
        <v>1.7399999999999999E-2</v>
      </c>
      <c r="AL33" s="536">
        <f>IF(C33=0,0,VLOOKUP(C33,FREQUENCIAS!$1:$1048576,(IF(($A33=FREQUENCIAS!$W$1),23,"ERRO")),FREQUENCIAS!$1:$1048576))</f>
        <v>0.32869999999999999</v>
      </c>
      <c r="AM33" s="536"/>
      <c r="AN33" s="536"/>
      <c r="AO33" s="537">
        <f t="shared" si="14"/>
        <v>0.32869999999999999</v>
      </c>
      <c r="AV33" s="551">
        <f>IF(B33=0,0,VLOOKUP(B33,FREQUENCIAS!$1:$1048576,(IF(($A33=FREQUENCIAS!$W$1),23,"ERRO")),FREQUENCIAS!$1:$1048576))</f>
        <v>1.7399999999999999E-2</v>
      </c>
      <c r="AW33" s="551">
        <f>IF(C33=0,0,VLOOKUP(C33,FREQUENCIAS!$1:$1048576,(IF(($A33=FREQUENCIAS!$W$1),23,"ERRO")),FREQUENCIAS!$1:$1048576))</f>
        <v>0.32869999999999999</v>
      </c>
      <c r="AX33" s="551">
        <f>IF(D33=0,0,VLOOKUP(D33,FREQUENCIAS!$1:$1048576,(IF(($A33=FREQUENCIAS!$W$1),23,"ERRO")),FREQUENCIAS!$1:$1048576))</f>
        <v>0</v>
      </c>
      <c r="AY33" s="551">
        <f>IF(E33=0,0,VLOOKUP(E33,FREQUENCIAS!$1:$1048576,(IF(($A33=FREQUENCIAS!$W$1),23,"ERRO")),FREQUENCIAS!$1:$1048576))</f>
        <v>0</v>
      </c>
      <c r="AZ33" s="552">
        <f t="shared" si="21"/>
        <v>0</v>
      </c>
      <c r="BA33" s="552">
        <f t="shared" si="21"/>
        <v>0</v>
      </c>
      <c r="BB33" s="552">
        <f t="shared" si="21"/>
        <v>0</v>
      </c>
      <c r="BC33" s="552">
        <f t="shared" si="21"/>
        <v>0</v>
      </c>
      <c r="BD33" s="485">
        <f t="shared" si="18"/>
        <v>0</v>
      </c>
      <c r="BE33" s="485">
        <f t="shared" si="19"/>
        <v>1</v>
      </c>
      <c r="BF33" s="539">
        <f t="shared" si="15"/>
        <v>2.7E-2</v>
      </c>
    </row>
    <row r="34" spans="1:60" ht="15" hidden="1" customHeight="1" thickTop="1" thickBot="1">
      <c r="A34" s="540" t="str">
        <f>'[1]IMPORTAÇÃO GENOTIPER'!A27</f>
        <v>SE33</v>
      </c>
      <c r="B34" s="518">
        <f>'[1]IMPORTAÇÃO GENOTIPER'!AE27</f>
        <v>0</v>
      </c>
      <c r="C34" s="519">
        <f>'[1]IMPORTAÇÃO GENOTIPER'!AM27</f>
        <v>0</v>
      </c>
      <c r="D34" s="519">
        <f>'[1]IMPORTAÇÃO GENOTIPER'!AU27</f>
        <v>0</v>
      </c>
      <c r="E34" s="520">
        <f>'[1]IMPORTAÇÃO GENOTIPER'!BC27</f>
        <v>0</v>
      </c>
      <c r="F34" s="557">
        <f t="shared" si="0"/>
        <v>0</v>
      </c>
      <c r="G34" s="557">
        <f t="shared" si="1"/>
        <v>0</v>
      </c>
      <c r="H34" s="557">
        <f t="shared" si="2"/>
        <v>0</v>
      </c>
      <c r="I34" s="557">
        <f t="shared" si="3"/>
        <v>0</v>
      </c>
      <c r="J34" s="558"/>
      <c r="K34" s="558"/>
      <c r="L34" s="558"/>
      <c r="M34" s="558"/>
      <c r="N34" s="558">
        <f t="shared" si="4"/>
        <v>0</v>
      </c>
      <c r="O34" s="558">
        <f t="shared" si="5"/>
        <v>0</v>
      </c>
      <c r="P34" s="559">
        <f t="shared" si="6"/>
        <v>0</v>
      </c>
      <c r="Q34" s="560">
        <f t="shared" si="7"/>
        <v>0</v>
      </c>
      <c r="R34" s="561"/>
      <c r="S34" s="561"/>
      <c r="T34" s="562">
        <f>IF(P34=0,0,VLOOKUP(P34,FREQUENCIAS!1:1048576,(IF(($A34=FREQUENCIAS!$X$1),24,"ERRO")),FREQUENCIAS!1:1048576))</f>
        <v>0</v>
      </c>
      <c r="U34" s="562">
        <f>IF(Q34=0,0,VLOOKUP(Q34,FREQUENCIAS!1:1048576,(IF(($A34=FREQUENCIAS!$X$1),24,"ERRO")),FREQUENCIAS!1:1048576))</f>
        <v>0</v>
      </c>
      <c r="V34" s="563"/>
      <c r="W34" s="529" t="str">
        <f t="shared" si="8"/>
        <v>OK</v>
      </c>
      <c r="X34" s="548">
        <f t="shared" si="20"/>
        <v>0</v>
      </c>
      <c r="Y34" s="549">
        <f t="shared" si="16"/>
        <v>1</v>
      </c>
      <c r="Z34" s="532">
        <f t="shared" si="17"/>
        <v>0.5</v>
      </c>
      <c r="AA34" s="556"/>
      <c r="AB34" s="550" t="str">
        <f t="shared" si="9"/>
        <v>EXCLUI</v>
      </c>
      <c r="AC34" s="485" t="e">
        <f t="shared" si="10"/>
        <v>#DIV/0!</v>
      </c>
      <c r="AD34" s="485" t="s">
        <v>339</v>
      </c>
      <c r="AE34" s="485" t="str">
        <f t="shared" si="11"/>
        <v>1 / F</v>
      </c>
      <c r="AF34" s="535">
        <f t="shared" si="12"/>
        <v>1</v>
      </c>
      <c r="AH34" s="536">
        <f>IF(B34=0,0,VLOOKUP(B34,FREQUENCIAS!$1:$1048576,(IF(($A34=FREQUENCIAS!$W$1),23,"ERRO")),FREQUENCIAS!$1:$1048576))</f>
        <v>0</v>
      </c>
      <c r="AI34" s="536"/>
      <c r="AJ34" s="536"/>
      <c r="AK34" s="537">
        <f t="shared" si="13"/>
        <v>0</v>
      </c>
      <c r="AL34" s="536">
        <f>IF(C34=0,0,VLOOKUP(C34,FREQUENCIAS!$1:$1048576,(IF(($A34=FREQUENCIAS!$W$1),23,"ERRO")),FREQUENCIAS!$1:$1048576))</f>
        <v>0</v>
      </c>
      <c r="AM34" s="536"/>
      <c r="AN34" s="536"/>
      <c r="AO34" s="537">
        <f t="shared" si="14"/>
        <v>0</v>
      </c>
      <c r="AV34" s="551">
        <f>IF(B34=0,0,VLOOKUP(B34,FREQUENCIAS!$1:$1048576,(IF(($A34=FREQUENCIAS!$W$1),23,"ERRO")),FREQUENCIAS!$1:$1048576))</f>
        <v>0</v>
      </c>
      <c r="AW34" s="551">
        <f>IF(C34=0,0,VLOOKUP(C34,FREQUENCIAS!$1:$1048576,(IF(($A34=FREQUENCIAS!$W$1),23,"ERRO")),FREQUENCIAS!$1:$1048576))</f>
        <v>0</v>
      </c>
      <c r="AX34" s="551">
        <f>IF(D34=0,0,VLOOKUP(D34,FREQUENCIAS!$1:$1048576,(IF(($A34=FREQUENCIAS!$W$1),23,"ERRO")),FREQUENCIAS!$1:$1048576))</f>
        <v>0</v>
      </c>
      <c r="AY34" s="551">
        <f>IF(E34=0,0,VLOOKUP(E34,FREQUENCIAS!$1:$1048576,(IF(($A34=FREQUENCIAS!$W$1),23,"ERRO")),FREQUENCIAS!$1:$1048576))</f>
        <v>0</v>
      </c>
      <c r="AZ34" s="552">
        <f t="shared" si="21"/>
        <v>0</v>
      </c>
      <c r="BA34" s="552">
        <f t="shared" si="21"/>
        <v>0</v>
      </c>
      <c r="BB34" s="552">
        <f t="shared" si="21"/>
        <v>0</v>
      </c>
      <c r="BC34" s="552">
        <f t="shared" si="21"/>
        <v>0</v>
      </c>
      <c r="BD34" s="485">
        <f t="shared" si="18"/>
        <v>1</v>
      </c>
      <c r="BE34" s="485">
        <f t="shared" si="19"/>
        <v>0</v>
      </c>
      <c r="BF34" s="539">
        <f t="shared" si="15"/>
        <v>1</v>
      </c>
    </row>
    <row r="35" spans="1:60" ht="15" hidden="1" customHeight="1" thickTop="1" thickBot="1">
      <c r="A35" s="564">
        <f>'[1]IMPORTAÇÃO GENOTIPER'!A28</f>
        <v>1</v>
      </c>
      <c r="B35" s="518">
        <f>'[1]IMPORTAÇÃO GENOTIPER'!AE28</f>
        <v>0</v>
      </c>
      <c r="C35" s="519">
        <f>'[1]IMPORTAÇÃO GENOTIPER'!AM28</f>
        <v>0</v>
      </c>
      <c r="D35" s="519">
        <f>'[1]IMPORTAÇÃO GENOTIPER'!AU28</f>
        <v>0</v>
      </c>
      <c r="E35" s="520">
        <f>'[1]IMPORTAÇÃO GENOTIPER'!BC28</f>
        <v>0</v>
      </c>
      <c r="F35" s="521">
        <f t="shared" si="0"/>
        <v>0</v>
      </c>
      <c r="G35" s="521">
        <f t="shared" si="1"/>
        <v>0</v>
      </c>
      <c r="H35" s="521">
        <f t="shared" si="2"/>
        <v>0</v>
      </c>
      <c r="I35" s="521">
        <f t="shared" si="3"/>
        <v>0</v>
      </c>
      <c r="J35" s="522"/>
      <c r="K35" s="522"/>
      <c r="L35" s="522"/>
      <c r="M35" s="523"/>
      <c r="N35" s="522">
        <f t="shared" si="4"/>
        <v>0</v>
      </c>
      <c r="O35" s="522">
        <f t="shared" si="5"/>
        <v>0</v>
      </c>
      <c r="P35" s="524">
        <f t="shared" si="6"/>
        <v>0</v>
      </c>
      <c r="Q35" s="525">
        <f t="shared" si="7"/>
        <v>0</v>
      </c>
      <c r="R35" s="526"/>
      <c r="S35" s="526"/>
      <c r="T35" s="565">
        <f>IF(P35=0,0,VLOOKUP(P35,FREQUENCIAS!1:1048576,(IF(($A35=FREQUENCIAS!$Y$1),24,"ERRO")),FREQUENCIAS!1:1048576))</f>
        <v>0</v>
      </c>
      <c r="U35" s="565">
        <f>IF(Q35=0,0,VLOOKUP(Q35,FREQUENCIAS!1:1048576,(IF(($A35=FREQUENCIAS!$Y$1),24,"ERRO")),FREQUENCIAS!1:1048576))</f>
        <v>0</v>
      </c>
      <c r="V35" s="528"/>
      <c r="W35" s="566" t="str">
        <f t="shared" si="8"/>
        <v>OK</v>
      </c>
      <c r="X35" s="567">
        <f t="shared" si="20"/>
        <v>0</v>
      </c>
      <c r="Y35" s="549">
        <f t="shared" si="16"/>
        <v>1</v>
      </c>
      <c r="Z35" s="532">
        <f t="shared" si="17"/>
        <v>0.5</v>
      </c>
      <c r="AA35" s="555"/>
      <c r="AB35" s="568" t="str">
        <f t="shared" si="9"/>
        <v>EXCLUI</v>
      </c>
      <c r="AC35" s="485" t="e">
        <f t="shared" si="10"/>
        <v>#DIV/0!</v>
      </c>
      <c r="AD35" s="485" t="s">
        <v>339</v>
      </c>
      <c r="AE35" s="485" t="str">
        <f t="shared" si="11"/>
        <v>1 / F</v>
      </c>
      <c r="AF35" s="535">
        <f t="shared" si="12"/>
        <v>1</v>
      </c>
      <c r="AH35" s="536">
        <f>IF(B35=0,0,VLOOKUP(B35,FREQUENCIAS!$1:$1048576,(IF(($A35=FREQUENCIAS!$W$1),23,"ERRO")),FREQUENCIAS!$1:$1048576))</f>
        <v>0</v>
      </c>
      <c r="AI35" s="536"/>
      <c r="AJ35" s="536"/>
      <c r="AK35" s="537">
        <f t="shared" si="13"/>
        <v>0</v>
      </c>
      <c r="AL35" s="536">
        <f>IF(C35=0,0,VLOOKUP(C35,FREQUENCIAS!$1:$1048576,(IF(($A35=FREQUENCIAS!$W$1),23,"ERRO")),FREQUENCIAS!$1:$1048576))</f>
        <v>0</v>
      </c>
      <c r="AM35" s="536"/>
      <c r="AN35" s="536"/>
      <c r="AO35" s="537">
        <f t="shared" si="14"/>
        <v>0</v>
      </c>
      <c r="AV35" s="551">
        <f>IF(B35=0,0,VLOOKUP(B35,FREQUENCIAS!$1:$1048576,(IF(($A35=FREQUENCIAS!$W$1),23,"ERRO")),FREQUENCIAS!$1:$1048576))</f>
        <v>0</v>
      </c>
      <c r="AW35" s="551">
        <f>IF(C35=0,0,VLOOKUP(C35,FREQUENCIAS!$1:$1048576,(IF(($A35=FREQUENCIAS!$W$1),23,"ERRO")),FREQUENCIAS!$1:$1048576))</f>
        <v>0</v>
      </c>
      <c r="AX35" s="551">
        <f>IF(D35=0,0,VLOOKUP(D35,FREQUENCIAS!$1:$1048576,(IF(($A35=FREQUENCIAS!$W$1),23,"ERRO")),FREQUENCIAS!$1:$1048576))</f>
        <v>0</v>
      </c>
      <c r="AY35" s="551">
        <f>IF(E35=0,0,VLOOKUP(E35,FREQUENCIAS!$1:$1048576,(IF(($A35=FREQUENCIAS!$W$1),23,"ERRO")),FREQUENCIAS!$1:$1048576))</f>
        <v>0</v>
      </c>
      <c r="AZ35" s="552">
        <f t="shared" si="21"/>
        <v>0</v>
      </c>
      <c r="BA35" s="552">
        <f t="shared" si="21"/>
        <v>0</v>
      </c>
      <c r="BB35" s="552">
        <f t="shared" si="21"/>
        <v>0</v>
      </c>
      <c r="BC35" s="552">
        <f t="shared" si="21"/>
        <v>0</v>
      </c>
      <c r="BD35" s="485">
        <f t="shared" si="18"/>
        <v>1</v>
      </c>
      <c r="BE35" s="485">
        <f t="shared" si="19"/>
        <v>0</v>
      </c>
      <c r="BF35" s="539">
        <f t="shared" si="15"/>
        <v>1</v>
      </c>
    </row>
    <row r="36" spans="1:60" ht="15" hidden="1" customHeight="1" thickTop="1" thickBot="1">
      <c r="A36" s="540">
        <f>'[1]IMPORTAÇÃO GENOTIPER'!A29</f>
        <v>2</v>
      </c>
      <c r="B36" s="518">
        <f>'[1]IMPORTAÇÃO GENOTIPER'!AE29</f>
        <v>0</v>
      </c>
      <c r="C36" s="519">
        <f>'[1]IMPORTAÇÃO GENOTIPER'!AM29</f>
        <v>0</v>
      </c>
      <c r="D36" s="519">
        <f>'[1]IMPORTAÇÃO GENOTIPER'!AU29</f>
        <v>0</v>
      </c>
      <c r="E36" s="520">
        <f>'[1]IMPORTAÇÃO GENOTIPER'!BC29</f>
        <v>0</v>
      </c>
      <c r="F36" s="541">
        <f t="shared" si="0"/>
        <v>0</v>
      </c>
      <c r="G36" s="541">
        <f t="shared" si="1"/>
        <v>0</v>
      </c>
      <c r="H36" s="541">
        <f t="shared" si="2"/>
        <v>0</v>
      </c>
      <c r="I36" s="541">
        <f t="shared" si="3"/>
        <v>0</v>
      </c>
      <c r="J36" s="542"/>
      <c r="K36" s="542"/>
      <c r="L36" s="542"/>
      <c r="M36" s="543"/>
      <c r="N36" s="542">
        <f t="shared" si="4"/>
        <v>0</v>
      </c>
      <c r="O36" s="542">
        <f t="shared" si="5"/>
        <v>0</v>
      </c>
      <c r="P36" s="544">
        <f t="shared" si="6"/>
        <v>0</v>
      </c>
      <c r="Q36" s="545">
        <f t="shared" si="7"/>
        <v>0</v>
      </c>
      <c r="R36" s="546"/>
      <c r="S36" s="546"/>
      <c r="T36" s="527">
        <f>IF(P36=0,0,VLOOKUP(P36,FREQUENCIAS!1:1048576,(IF(($A36=FREQUENCIAS!$Z$1),25,"ERRO")),FREQUENCIAS!1:1048576))</f>
        <v>0</v>
      </c>
      <c r="U36" s="527">
        <f>IF(Q36=0,0,VLOOKUP(Q36,FREQUENCIAS!1:1048576,(IF(($A36=FREQUENCIAS!$Z$1),25,"ERRO")),FREQUENCIAS!1:1048576))</f>
        <v>0</v>
      </c>
      <c r="V36" s="547"/>
      <c r="W36" s="529" t="str">
        <f t="shared" si="8"/>
        <v>OK</v>
      </c>
      <c r="X36" s="548">
        <f t="shared" si="20"/>
        <v>0</v>
      </c>
      <c r="Y36" s="549">
        <f t="shared" si="16"/>
        <v>1</v>
      </c>
      <c r="Z36" s="532">
        <f t="shared" si="17"/>
        <v>0.5</v>
      </c>
      <c r="AA36" s="556"/>
      <c r="AB36" s="550" t="str">
        <f t="shared" si="9"/>
        <v>EXCLUI</v>
      </c>
      <c r="AC36" s="485" t="e">
        <f t="shared" si="10"/>
        <v>#DIV/0!</v>
      </c>
      <c r="AD36" s="485" t="s">
        <v>339</v>
      </c>
      <c r="AE36" s="485" t="str">
        <f t="shared" si="11"/>
        <v>1 / F</v>
      </c>
      <c r="AF36" s="535">
        <f t="shared" si="12"/>
        <v>1</v>
      </c>
      <c r="AH36" s="536">
        <f>IF(B36=0,0,VLOOKUP(B36,FREQUENCIAS!$1:$1048576,(IF(($A36=FREQUENCIAS!$W$1),23,"ERRO")),FREQUENCIAS!$1:$1048576))</f>
        <v>0</v>
      </c>
      <c r="AI36" s="536"/>
      <c r="AJ36" s="536"/>
      <c r="AK36" s="537">
        <f t="shared" si="13"/>
        <v>0</v>
      </c>
      <c r="AL36" s="536">
        <f>IF(C36=0,0,VLOOKUP(C36,FREQUENCIAS!$1:$1048576,(IF(($A36=FREQUENCIAS!$W$1),23,"ERRO")),FREQUENCIAS!$1:$1048576))</f>
        <v>0</v>
      </c>
      <c r="AM36" s="536"/>
      <c r="AN36" s="536"/>
      <c r="AO36" s="537">
        <f t="shared" si="14"/>
        <v>0</v>
      </c>
      <c r="AV36" s="551">
        <f>IF(B36=0,0,VLOOKUP(B36,FREQUENCIAS!$1:$1048576,(IF(($A36=FREQUENCIAS!$W$1),23,"ERRO")),FREQUENCIAS!$1:$1048576))</f>
        <v>0</v>
      </c>
      <c r="AW36" s="551">
        <f>IF(C36=0,0,VLOOKUP(C36,FREQUENCIAS!$1:$1048576,(IF(($A36=FREQUENCIAS!$W$1),23,"ERRO")),FREQUENCIAS!$1:$1048576))</f>
        <v>0</v>
      </c>
      <c r="AX36" s="551">
        <f>IF(D36=0,0,VLOOKUP(D36,FREQUENCIAS!$1:$1048576,(IF(($A36=FREQUENCIAS!$W$1),23,"ERRO")),FREQUENCIAS!$1:$1048576))</f>
        <v>0</v>
      </c>
      <c r="AY36" s="551">
        <f>IF(E36=0,0,VLOOKUP(E36,FREQUENCIAS!$1:$1048576,(IF(($A36=FREQUENCIAS!$W$1),23,"ERRO")),FREQUENCIAS!$1:$1048576))</f>
        <v>0</v>
      </c>
      <c r="AZ36" s="552">
        <f t="shared" si="21"/>
        <v>0</v>
      </c>
      <c r="BA36" s="552">
        <f t="shared" si="21"/>
        <v>0</v>
      </c>
      <c r="BB36" s="552">
        <f t="shared" si="21"/>
        <v>0</v>
      </c>
      <c r="BC36" s="552">
        <f t="shared" si="21"/>
        <v>0</v>
      </c>
      <c r="BD36" s="485">
        <f t="shared" si="18"/>
        <v>1</v>
      </c>
      <c r="BE36" s="485">
        <f t="shared" si="19"/>
        <v>0</v>
      </c>
      <c r="BF36" s="539">
        <f t="shared" si="15"/>
        <v>1</v>
      </c>
    </row>
    <row r="37" spans="1:60" ht="15" hidden="1" customHeight="1" thickTop="1" thickBot="1">
      <c r="A37" s="540">
        <f>'[1]IMPORTAÇÃO GENOTIPER'!A30</f>
        <v>3</v>
      </c>
      <c r="B37" s="518">
        <f>'[1]IMPORTAÇÃO GENOTIPER'!AE30</f>
        <v>0</v>
      </c>
      <c r="C37" s="519">
        <f>'[1]IMPORTAÇÃO GENOTIPER'!AM30</f>
        <v>0</v>
      </c>
      <c r="D37" s="519">
        <f>'[1]IMPORTAÇÃO GENOTIPER'!AU30</f>
        <v>0</v>
      </c>
      <c r="E37" s="520">
        <f>'[1]IMPORTAÇÃO GENOTIPER'!BC30</f>
        <v>0</v>
      </c>
      <c r="F37" s="541">
        <f t="shared" si="0"/>
        <v>0</v>
      </c>
      <c r="G37" s="541">
        <f t="shared" si="1"/>
        <v>0</v>
      </c>
      <c r="H37" s="541">
        <f t="shared" si="2"/>
        <v>0</v>
      </c>
      <c r="I37" s="541">
        <f t="shared" si="3"/>
        <v>0</v>
      </c>
      <c r="J37" s="542"/>
      <c r="K37" s="542"/>
      <c r="L37" s="542"/>
      <c r="M37" s="543"/>
      <c r="N37" s="542">
        <f t="shared" si="4"/>
        <v>0</v>
      </c>
      <c r="O37" s="542">
        <f t="shared" si="5"/>
        <v>0</v>
      </c>
      <c r="P37" s="544">
        <f t="shared" si="6"/>
        <v>0</v>
      </c>
      <c r="Q37" s="545">
        <f t="shared" si="7"/>
        <v>0</v>
      </c>
      <c r="R37" s="546"/>
      <c r="S37" s="546"/>
      <c r="T37" s="527">
        <f>IF(P37=0,0,VLOOKUP(P37,FREQUENCIAS!1:1048576,(IF(($A37=FREQUENCIAS!$AA$1),27,"ERRO")),FREQUENCIAS!1:1048576))</f>
        <v>0</v>
      </c>
      <c r="U37" s="527">
        <f>IF(Q37=0,0,VLOOKUP(Q37,FREQUENCIAS!1:1048576,(IF(($A37=FREQUENCIAS!$AA$1),27,"ERRO")),FREQUENCIAS!1:1048576))</f>
        <v>0</v>
      </c>
      <c r="V37" s="547"/>
      <c r="W37" s="529" t="str">
        <f t="shared" si="8"/>
        <v>OK</v>
      </c>
      <c r="X37" s="548">
        <f t="shared" si="20"/>
        <v>0</v>
      </c>
      <c r="Y37" s="549">
        <f t="shared" si="16"/>
        <v>1</v>
      </c>
      <c r="Z37" s="532">
        <f t="shared" si="17"/>
        <v>0.5</v>
      </c>
      <c r="AA37" s="556"/>
      <c r="AB37" s="550" t="str">
        <f t="shared" si="9"/>
        <v>EXCLUI</v>
      </c>
      <c r="AC37" s="485" t="e">
        <f t="shared" si="10"/>
        <v>#DIV/0!</v>
      </c>
      <c r="AD37" s="485" t="s">
        <v>339</v>
      </c>
      <c r="AE37" s="485" t="str">
        <f t="shared" si="11"/>
        <v>1 / F</v>
      </c>
      <c r="AF37" s="535">
        <f t="shared" si="12"/>
        <v>1</v>
      </c>
      <c r="AH37" s="536">
        <f>IF(B37=0,0,VLOOKUP(B37,FREQUENCIAS!$1:$1048576,(IF(($A37=FREQUENCIAS!$W$1),23,"ERRO")),FREQUENCIAS!$1:$1048576))</f>
        <v>0</v>
      </c>
      <c r="AI37" s="536"/>
      <c r="AJ37" s="536"/>
      <c r="AK37" s="537">
        <f t="shared" si="13"/>
        <v>0</v>
      </c>
      <c r="AL37" s="536">
        <f>IF(C37=0,0,VLOOKUP(C37,FREQUENCIAS!$1:$1048576,(IF(($A37=FREQUENCIAS!$W$1),23,"ERRO")),FREQUENCIAS!$1:$1048576))</f>
        <v>0</v>
      </c>
      <c r="AM37" s="536"/>
      <c r="AN37" s="536"/>
      <c r="AO37" s="537">
        <f t="shared" si="14"/>
        <v>0</v>
      </c>
      <c r="AV37" s="551">
        <f>IF(B37=0,0,VLOOKUP(B37,FREQUENCIAS!$1:$1048576,(IF(($A37=FREQUENCIAS!$W$1),23,"ERRO")),FREQUENCIAS!$1:$1048576))</f>
        <v>0</v>
      </c>
      <c r="AW37" s="551">
        <f>IF(C37=0,0,VLOOKUP(C37,FREQUENCIAS!$1:$1048576,(IF(($A37=FREQUENCIAS!$W$1),23,"ERRO")),FREQUENCIAS!$1:$1048576))</f>
        <v>0</v>
      </c>
      <c r="AX37" s="551">
        <f>IF(D37=0,0,VLOOKUP(D37,FREQUENCIAS!$1:$1048576,(IF(($A37=FREQUENCIAS!$W$1),23,"ERRO")),FREQUENCIAS!$1:$1048576))</f>
        <v>0</v>
      </c>
      <c r="AY37" s="551">
        <f>IF(E37=0,0,VLOOKUP(E37,FREQUENCIAS!$1:$1048576,(IF(($A37=FREQUENCIAS!$W$1),23,"ERRO")),FREQUENCIAS!$1:$1048576))</f>
        <v>0</v>
      </c>
      <c r="AZ37" s="552">
        <f t="shared" si="21"/>
        <v>0</v>
      </c>
      <c r="BA37" s="552">
        <f t="shared" si="21"/>
        <v>0</v>
      </c>
      <c r="BB37" s="552">
        <f t="shared" si="21"/>
        <v>0</v>
      </c>
      <c r="BC37" s="552">
        <f t="shared" si="21"/>
        <v>0</v>
      </c>
      <c r="BD37" s="485">
        <f t="shared" si="18"/>
        <v>1</v>
      </c>
      <c r="BE37" s="485">
        <f t="shared" si="19"/>
        <v>0</v>
      </c>
      <c r="BF37" s="539">
        <f t="shared" si="15"/>
        <v>1</v>
      </c>
    </row>
    <row r="38" spans="1:60" ht="15" hidden="1" customHeight="1" thickTop="1" thickBot="1">
      <c r="A38" s="540">
        <f>'[1]IMPORTAÇÃO GENOTIPER'!A31</f>
        <v>4</v>
      </c>
      <c r="B38" s="518">
        <f>'[1]IMPORTAÇÃO GENOTIPER'!AE31</f>
        <v>0</v>
      </c>
      <c r="C38" s="519">
        <f>'[1]IMPORTAÇÃO GENOTIPER'!AM31</f>
        <v>0</v>
      </c>
      <c r="D38" s="519">
        <f>'[1]IMPORTAÇÃO GENOTIPER'!AU31</f>
        <v>0</v>
      </c>
      <c r="E38" s="520">
        <f>'[1]IMPORTAÇÃO GENOTIPER'!BC31</f>
        <v>0</v>
      </c>
      <c r="F38" s="541">
        <f t="shared" si="0"/>
        <v>0</v>
      </c>
      <c r="G38" s="541">
        <f t="shared" si="1"/>
        <v>0</v>
      </c>
      <c r="H38" s="541">
        <f t="shared" si="2"/>
        <v>0</v>
      </c>
      <c r="I38" s="541">
        <f t="shared" si="3"/>
        <v>0</v>
      </c>
      <c r="J38" s="542"/>
      <c r="K38" s="542"/>
      <c r="L38" s="542"/>
      <c r="M38" s="543"/>
      <c r="N38" s="542">
        <f t="shared" si="4"/>
        <v>0</v>
      </c>
      <c r="O38" s="542">
        <f t="shared" si="5"/>
        <v>0</v>
      </c>
      <c r="P38" s="544">
        <f t="shared" si="6"/>
        <v>0</v>
      </c>
      <c r="Q38" s="545">
        <f t="shared" si="7"/>
        <v>0</v>
      </c>
      <c r="R38" s="546"/>
      <c r="S38" s="546"/>
      <c r="T38" s="527">
        <f>IF(P38=0,0,VLOOKUP(P38,FREQUENCIAS!1:1048576,(IF(($A38=FREQUENCIAS!$AB$1),28,"ERRO")),FREQUENCIAS!1:1048576))</f>
        <v>0</v>
      </c>
      <c r="U38" s="527">
        <f>IF(Q38=0,0,VLOOKUP(Q38,FREQUENCIAS!1:1048576,(IF(($A38=FREQUENCIAS!$AB$1),28,"ERRO")),FREQUENCIAS!1:1048576))</f>
        <v>0</v>
      </c>
      <c r="V38" s="547"/>
      <c r="W38" s="529" t="str">
        <f t="shared" si="8"/>
        <v>OK</v>
      </c>
      <c r="X38" s="548">
        <f t="shared" si="20"/>
        <v>0</v>
      </c>
      <c r="Y38" s="549">
        <f t="shared" si="16"/>
        <v>1</v>
      </c>
      <c r="Z38" s="532">
        <f t="shared" si="17"/>
        <v>0.5</v>
      </c>
      <c r="AA38" s="556"/>
      <c r="AB38" s="550" t="str">
        <f t="shared" si="9"/>
        <v>EXCLUI</v>
      </c>
      <c r="AC38" s="485" t="e">
        <f t="shared" si="10"/>
        <v>#DIV/0!</v>
      </c>
      <c r="AD38" s="485" t="s">
        <v>339</v>
      </c>
      <c r="AE38" s="485" t="str">
        <f t="shared" si="11"/>
        <v>1 / F</v>
      </c>
      <c r="AF38" s="535">
        <f t="shared" si="12"/>
        <v>1</v>
      </c>
      <c r="AH38" s="536">
        <f>IF(B38=0,0,VLOOKUP(B38,FREQUENCIAS!$1:$1048576,(IF(($A38=FREQUENCIAS!$W$1),23,"ERRO")),FREQUENCIAS!$1:$1048576))</f>
        <v>0</v>
      </c>
      <c r="AI38" s="536"/>
      <c r="AJ38" s="536"/>
      <c r="AK38" s="537">
        <f t="shared" si="13"/>
        <v>0</v>
      </c>
      <c r="AL38" s="536">
        <f>IF(C38=0,0,VLOOKUP(C38,FREQUENCIAS!$1:$1048576,(IF(($A38=FREQUENCIAS!$W$1),23,"ERRO")),FREQUENCIAS!$1:$1048576))</f>
        <v>0</v>
      </c>
      <c r="AM38" s="536"/>
      <c r="AN38" s="536"/>
      <c r="AO38" s="537">
        <f t="shared" si="14"/>
        <v>0</v>
      </c>
      <c r="AV38" s="551">
        <f>IF(B38=0,0,VLOOKUP(B38,FREQUENCIAS!$1:$1048576,(IF(($A38=FREQUENCIAS!$W$1),23,"ERRO")),FREQUENCIAS!$1:$1048576))</f>
        <v>0</v>
      </c>
      <c r="AW38" s="551">
        <f>IF(C38=0,0,VLOOKUP(C38,FREQUENCIAS!$1:$1048576,(IF(($A38=FREQUENCIAS!$W$1),23,"ERRO")),FREQUENCIAS!$1:$1048576))</f>
        <v>0</v>
      </c>
      <c r="AX38" s="551">
        <f>IF(D38=0,0,VLOOKUP(D38,FREQUENCIAS!$1:$1048576,(IF(($A38=FREQUENCIAS!$W$1),23,"ERRO")),FREQUENCIAS!$1:$1048576))</f>
        <v>0</v>
      </c>
      <c r="AY38" s="551">
        <f>IF(E38=0,0,VLOOKUP(E38,FREQUENCIAS!$1:$1048576,(IF(($A38=FREQUENCIAS!$W$1),23,"ERRO")),FREQUENCIAS!$1:$1048576))</f>
        <v>0</v>
      </c>
      <c r="AZ38" s="552">
        <f t="shared" si="21"/>
        <v>0</v>
      </c>
      <c r="BA38" s="552">
        <f t="shared" si="21"/>
        <v>0</v>
      </c>
      <c r="BB38" s="552">
        <f t="shared" si="21"/>
        <v>0</v>
      </c>
      <c r="BC38" s="552">
        <f t="shared" si="21"/>
        <v>0</v>
      </c>
      <c r="BD38" s="485">
        <f t="shared" si="18"/>
        <v>1</v>
      </c>
      <c r="BE38" s="485">
        <f t="shared" si="19"/>
        <v>0</v>
      </c>
      <c r="BF38" s="539">
        <f t="shared" si="15"/>
        <v>1</v>
      </c>
    </row>
    <row r="39" spans="1:60" ht="15" hidden="1" customHeight="1" thickTop="1" thickBot="1">
      <c r="A39" s="540">
        <f>'[1]IMPORTAÇÃO GENOTIPER'!A32</f>
        <v>5</v>
      </c>
      <c r="B39" s="518">
        <f>'[1]IMPORTAÇÃO GENOTIPER'!AE32</f>
        <v>0</v>
      </c>
      <c r="C39" s="519">
        <f>'[1]IMPORTAÇÃO GENOTIPER'!AM32</f>
        <v>0</v>
      </c>
      <c r="D39" s="519">
        <f>'[1]IMPORTAÇÃO GENOTIPER'!AU32</f>
        <v>0</v>
      </c>
      <c r="E39" s="520">
        <f>'[1]IMPORTAÇÃO GENOTIPER'!BC32</f>
        <v>0</v>
      </c>
      <c r="F39" s="541">
        <f t="shared" si="0"/>
        <v>0</v>
      </c>
      <c r="G39" s="541">
        <f t="shared" si="1"/>
        <v>0</v>
      </c>
      <c r="H39" s="541">
        <f t="shared" si="2"/>
        <v>0</v>
      </c>
      <c r="I39" s="541">
        <f t="shared" si="3"/>
        <v>0</v>
      </c>
      <c r="J39" s="542"/>
      <c r="K39" s="542"/>
      <c r="L39" s="542"/>
      <c r="M39" s="543"/>
      <c r="N39" s="542">
        <f t="shared" si="4"/>
        <v>0</v>
      </c>
      <c r="O39" s="542">
        <f t="shared" si="5"/>
        <v>0</v>
      </c>
      <c r="P39" s="544">
        <f t="shared" si="6"/>
        <v>0</v>
      </c>
      <c r="Q39" s="545">
        <f t="shared" si="7"/>
        <v>0</v>
      </c>
      <c r="R39" s="546"/>
      <c r="S39" s="546"/>
      <c r="T39" s="527">
        <f>IF(P39=0,0,VLOOKUP(P39,FREQUENCIAS!1:1048576,(IF(($A39=FREQUENCIAS!$AC$1),29,"ERRO")),FREQUENCIAS!1:1048576))</f>
        <v>0</v>
      </c>
      <c r="U39" s="527">
        <f>IF(Q39=0,0,VLOOKUP(Q39,FREQUENCIAS!1:1048576,(IF(($A39=FREQUENCIAS!$AC$1),29,"ERRO")),FREQUENCIAS!1:1048576))</f>
        <v>0</v>
      </c>
      <c r="V39" s="547"/>
      <c r="W39" s="529" t="str">
        <f t="shared" si="8"/>
        <v>OK</v>
      </c>
      <c r="X39" s="548">
        <f t="shared" si="20"/>
        <v>0</v>
      </c>
      <c r="Y39" s="549">
        <f t="shared" si="16"/>
        <v>1</v>
      </c>
      <c r="Z39" s="532">
        <f t="shared" si="17"/>
        <v>0.5</v>
      </c>
      <c r="AA39" s="556"/>
      <c r="AB39" s="550" t="str">
        <f t="shared" si="9"/>
        <v>EXCLUI</v>
      </c>
      <c r="AC39" s="485" t="e">
        <f t="shared" si="10"/>
        <v>#DIV/0!</v>
      </c>
      <c r="AD39" s="485" t="s">
        <v>339</v>
      </c>
      <c r="AE39" s="485" t="str">
        <f t="shared" si="11"/>
        <v>1 / F</v>
      </c>
      <c r="AF39" s="535">
        <f t="shared" si="12"/>
        <v>1</v>
      </c>
      <c r="AH39" s="536">
        <f>IF(B39=0,0,VLOOKUP(B39,FREQUENCIAS!$1:$1048576,(IF(($A39=FREQUENCIAS!$W$1),23,"ERRO")),FREQUENCIAS!$1:$1048576))</f>
        <v>0</v>
      </c>
      <c r="AI39" s="536"/>
      <c r="AJ39" s="536"/>
      <c r="AK39" s="537">
        <f t="shared" si="13"/>
        <v>0</v>
      </c>
      <c r="AL39" s="536">
        <f>IF(C39=0,0,VLOOKUP(C39,FREQUENCIAS!$1:$1048576,(IF(($A39=FREQUENCIAS!$W$1),23,"ERRO")),FREQUENCIAS!$1:$1048576))</f>
        <v>0</v>
      </c>
      <c r="AM39" s="536"/>
      <c r="AN39" s="536"/>
      <c r="AO39" s="537">
        <f t="shared" si="14"/>
        <v>0</v>
      </c>
      <c r="AV39" s="551">
        <f>IF(B39=0,0,VLOOKUP(B39,FREQUENCIAS!$1:$1048576,(IF(($A39=FREQUENCIAS!$W$1),23,"ERRO")),FREQUENCIAS!$1:$1048576))</f>
        <v>0</v>
      </c>
      <c r="AW39" s="551">
        <f>IF(C39=0,0,VLOOKUP(C39,FREQUENCIAS!$1:$1048576,(IF(($A39=FREQUENCIAS!$W$1),23,"ERRO")),FREQUENCIAS!$1:$1048576))</f>
        <v>0</v>
      </c>
      <c r="AX39" s="551">
        <f>IF(D39=0,0,VLOOKUP(D39,FREQUENCIAS!$1:$1048576,(IF(($A39=FREQUENCIAS!$W$1),23,"ERRO")),FREQUENCIAS!$1:$1048576))</f>
        <v>0</v>
      </c>
      <c r="AY39" s="551">
        <f>IF(E39=0,0,VLOOKUP(E39,FREQUENCIAS!$1:$1048576,(IF(($A39=FREQUENCIAS!$W$1),23,"ERRO")),FREQUENCIAS!$1:$1048576))</f>
        <v>0</v>
      </c>
      <c r="AZ39" s="552">
        <f t="shared" si="21"/>
        <v>0</v>
      </c>
      <c r="BA39" s="552">
        <f t="shared" si="21"/>
        <v>0</v>
      </c>
      <c r="BB39" s="552">
        <f t="shared" si="21"/>
        <v>0</v>
      </c>
      <c r="BC39" s="552">
        <f t="shared" si="21"/>
        <v>0</v>
      </c>
      <c r="BD39" s="485">
        <f t="shared" si="18"/>
        <v>1</v>
      </c>
      <c r="BE39" s="485">
        <f t="shared" si="19"/>
        <v>0</v>
      </c>
      <c r="BF39" s="539">
        <f t="shared" si="15"/>
        <v>1</v>
      </c>
    </row>
    <row r="40" spans="1:60" ht="15" hidden="1" customHeight="1" thickTop="1" thickBot="1">
      <c r="A40" s="540">
        <f>'[1]IMPORTAÇÃO GENOTIPER'!A33</f>
        <v>6</v>
      </c>
      <c r="B40" s="518">
        <f>'[1]IMPORTAÇÃO GENOTIPER'!AE33</f>
        <v>0</v>
      </c>
      <c r="C40" s="519">
        <f>'[1]IMPORTAÇÃO GENOTIPER'!AM33</f>
        <v>0</v>
      </c>
      <c r="D40" s="519">
        <f>'[1]IMPORTAÇÃO GENOTIPER'!AU33</f>
        <v>0</v>
      </c>
      <c r="E40" s="520">
        <f>'[1]IMPORTAÇÃO GENOTIPER'!BC33</f>
        <v>0</v>
      </c>
      <c r="F40" s="541">
        <f t="shared" si="0"/>
        <v>0</v>
      </c>
      <c r="G40" s="541">
        <f t="shared" si="1"/>
        <v>0</v>
      </c>
      <c r="H40" s="541">
        <f t="shared" si="2"/>
        <v>0</v>
      </c>
      <c r="I40" s="541">
        <f t="shared" si="3"/>
        <v>0</v>
      </c>
      <c r="J40" s="542"/>
      <c r="K40" s="542"/>
      <c r="L40" s="542"/>
      <c r="M40" s="543"/>
      <c r="N40" s="542">
        <f t="shared" si="4"/>
        <v>0</v>
      </c>
      <c r="O40" s="542">
        <f t="shared" si="5"/>
        <v>0</v>
      </c>
      <c r="P40" s="544">
        <f t="shared" si="6"/>
        <v>0</v>
      </c>
      <c r="Q40" s="545">
        <f t="shared" si="7"/>
        <v>0</v>
      </c>
      <c r="R40" s="546"/>
      <c r="S40" s="546"/>
      <c r="T40" s="527">
        <f>IF(P40=0,0,VLOOKUP(P40,FREQUENCIAS!1:1048576,(IF(($A40=FREQUENCIAS!$AD$1),30,"ERRO")),FREQUENCIAS!1:1048576))</f>
        <v>0</v>
      </c>
      <c r="U40" s="527">
        <f>IF(Q40=0,0,VLOOKUP(Q40,FREQUENCIAS!1:1048576,(IF(($A40=FREQUENCIAS!$AD$1),30,"ERRO")),FREQUENCIAS!1:1048576))</f>
        <v>0</v>
      </c>
      <c r="V40" s="547"/>
      <c r="W40" s="529" t="str">
        <f t="shared" si="8"/>
        <v>OK</v>
      </c>
      <c r="X40" s="548">
        <f t="shared" si="20"/>
        <v>0</v>
      </c>
      <c r="Y40" s="549">
        <f t="shared" si="16"/>
        <v>1</v>
      </c>
      <c r="Z40" s="532">
        <f t="shared" si="17"/>
        <v>0.5</v>
      </c>
      <c r="AA40" s="556"/>
      <c r="AB40" s="550" t="str">
        <f t="shared" si="9"/>
        <v>EXCLUI</v>
      </c>
      <c r="AC40" s="485" t="e">
        <f t="shared" si="10"/>
        <v>#DIV/0!</v>
      </c>
      <c r="AD40" s="485" t="s">
        <v>339</v>
      </c>
      <c r="AE40" s="485" t="str">
        <f t="shared" si="11"/>
        <v>1 / F</v>
      </c>
      <c r="AF40" s="535">
        <f t="shared" si="12"/>
        <v>1</v>
      </c>
      <c r="AH40" s="536">
        <f>IF(B40=0,0,VLOOKUP(B40,FREQUENCIAS!$1:$1048576,(IF(($A40=FREQUENCIAS!$W$1),23,"ERRO")),FREQUENCIAS!$1:$1048576))</f>
        <v>0</v>
      </c>
      <c r="AI40" s="536"/>
      <c r="AJ40" s="536"/>
      <c r="AK40" s="537">
        <f t="shared" si="13"/>
        <v>0</v>
      </c>
      <c r="AL40" s="536">
        <f>IF(C40=0,0,VLOOKUP(C40,FREQUENCIAS!$1:$1048576,(IF(($A40=FREQUENCIAS!$W$1),23,"ERRO")),FREQUENCIAS!$1:$1048576))</f>
        <v>0</v>
      </c>
      <c r="AM40" s="536"/>
      <c r="AN40" s="536"/>
      <c r="AO40" s="537">
        <f t="shared" si="14"/>
        <v>0</v>
      </c>
      <c r="AV40" s="551">
        <f>IF(B40=0,0,VLOOKUP(B40,FREQUENCIAS!$1:$1048576,(IF(($A40=FREQUENCIAS!$W$1),23,"ERRO")),FREQUENCIAS!$1:$1048576))</f>
        <v>0</v>
      </c>
      <c r="AW40" s="551">
        <f>IF(C40=0,0,VLOOKUP(C40,FREQUENCIAS!$1:$1048576,(IF(($A40=FREQUENCIAS!$W$1),23,"ERRO")),FREQUENCIAS!$1:$1048576))</f>
        <v>0</v>
      </c>
      <c r="AX40" s="551">
        <f>IF(D40=0,0,VLOOKUP(D40,FREQUENCIAS!$1:$1048576,(IF(($A40=FREQUENCIAS!$W$1),23,"ERRO")),FREQUENCIAS!$1:$1048576))</f>
        <v>0</v>
      </c>
      <c r="AY40" s="551">
        <f>IF(E40=0,0,VLOOKUP(E40,FREQUENCIAS!$1:$1048576,(IF(($A40=FREQUENCIAS!$W$1),23,"ERRO")),FREQUENCIAS!$1:$1048576))</f>
        <v>0</v>
      </c>
      <c r="AZ40" s="552">
        <f t="shared" si="21"/>
        <v>0</v>
      </c>
      <c r="BA40" s="552">
        <f t="shared" si="21"/>
        <v>0</v>
      </c>
      <c r="BB40" s="552">
        <f t="shared" si="21"/>
        <v>0</v>
      </c>
      <c r="BC40" s="552">
        <f t="shared" si="21"/>
        <v>0</v>
      </c>
      <c r="BD40" s="485">
        <f t="shared" si="18"/>
        <v>1</v>
      </c>
      <c r="BE40" s="485">
        <f t="shared" si="19"/>
        <v>0</v>
      </c>
      <c r="BF40" s="539">
        <f t="shared" si="15"/>
        <v>1</v>
      </c>
    </row>
    <row r="41" spans="1:60" ht="15" hidden="1" customHeight="1" thickTop="1" thickBot="1">
      <c r="A41" s="540">
        <f>'[1]IMPORTAÇÃO GENOTIPER'!A34</f>
        <v>7</v>
      </c>
      <c r="B41" s="518">
        <f>'[1]IMPORTAÇÃO GENOTIPER'!AE34</f>
        <v>0</v>
      </c>
      <c r="C41" s="519">
        <f>'[1]IMPORTAÇÃO GENOTIPER'!AM34</f>
        <v>0</v>
      </c>
      <c r="D41" s="519">
        <f>'[1]IMPORTAÇÃO GENOTIPER'!AU34</f>
        <v>0</v>
      </c>
      <c r="E41" s="520">
        <f>'[1]IMPORTAÇÃO GENOTIPER'!BC34</f>
        <v>0</v>
      </c>
      <c r="F41" s="541">
        <f t="shared" si="0"/>
        <v>0</v>
      </c>
      <c r="G41" s="541">
        <f t="shared" si="1"/>
        <v>0</v>
      </c>
      <c r="H41" s="541">
        <f t="shared" si="2"/>
        <v>0</v>
      </c>
      <c r="I41" s="541">
        <f t="shared" si="3"/>
        <v>0</v>
      </c>
      <c r="J41" s="542"/>
      <c r="K41" s="542"/>
      <c r="L41" s="542"/>
      <c r="M41" s="543"/>
      <c r="N41" s="542">
        <f t="shared" si="4"/>
        <v>0</v>
      </c>
      <c r="O41" s="542">
        <f t="shared" si="5"/>
        <v>0</v>
      </c>
      <c r="P41" s="544">
        <f t="shared" si="6"/>
        <v>0</v>
      </c>
      <c r="Q41" s="545">
        <f t="shared" si="7"/>
        <v>0</v>
      </c>
      <c r="R41" s="546"/>
      <c r="S41" s="546"/>
      <c r="T41" s="527">
        <f>IF(P41=0,0,VLOOKUP(P41,FREQUENCIAS!1:1048576,(IF(($A41=FREQUENCIAS!$AE$1),31,"ERRO")),FREQUENCIAS!1:1048576))</f>
        <v>0</v>
      </c>
      <c r="U41" s="527">
        <f>IF(Q41=0,0,VLOOKUP(Q41,FREQUENCIAS!1:1048576,(IF(($A41=FREQUENCIAS!$AE$1),31,"ERRO")),FREQUENCIAS!1:1048576))</f>
        <v>0</v>
      </c>
      <c r="V41" s="547"/>
      <c r="W41" s="529" t="str">
        <f t="shared" si="8"/>
        <v>OK</v>
      </c>
      <c r="X41" s="548">
        <f t="shared" si="20"/>
        <v>0</v>
      </c>
      <c r="Y41" s="549">
        <f t="shared" si="16"/>
        <v>1</v>
      </c>
      <c r="Z41" s="532">
        <f t="shared" si="17"/>
        <v>0.5</v>
      </c>
      <c r="AA41" s="556"/>
      <c r="AB41" s="550" t="str">
        <f t="shared" si="9"/>
        <v>EXCLUI</v>
      </c>
      <c r="AC41" s="485" t="e">
        <f t="shared" si="10"/>
        <v>#DIV/0!</v>
      </c>
      <c r="AD41" s="485" t="s">
        <v>339</v>
      </c>
      <c r="AE41" s="485" t="str">
        <f t="shared" si="11"/>
        <v>1 / F</v>
      </c>
      <c r="AF41" s="535">
        <f t="shared" si="12"/>
        <v>1</v>
      </c>
      <c r="AH41" s="536">
        <f>IF(B41=0,0,VLOOKUP(B41,FREQUENCIAS!$1:$1048576,(IF(($A41=FREQUENCIAS!$W$1),23,"ERRO")),FREQUENCIAS!$1:$1048576))</f>
        <v>0</v>
      </c>
      <c r="AI41" s="536"/>
      <c r="AJ41" s="536"/>
      <c r="AK41" s="537">
        <f t="shared" si="13"/>
        <v>0</v>
      </c>
      <c r="AL41" s="536">
        <f>IF(C41=0,0,VLOOKUP(C41,FREQUENCIAS!$1:$1048576,(IF(($A41=FREQUENCIAS!$W$1),23,"ERRO")),FREQUENCIAS!$1:$1048576))</f>
        <v>0</v>
      </c>
      <c r="AM41" s="536"/>
      <c r="AN41" s="536"/>
      <c r="AO41" s="537">
        <f t="shared" si="14"/>
        <v>0</v>
      </c>
      <c r="AV41" s="551">
        <f>IF(B41=0,0,VLOOKUP(B41,FREQUENCIAS!$1:$1048576,(IF(($A41=FREQUENCIAS!$W$1),23,"ERRO")),FREQUENCIAS!$1:$1048576))</f>
        <v>0</v>
      </c>
      <c r="AW41" s="551">
        <f>IF(C41=0,0,VLOOKUP(C41,FREQUENCIAS!$1:$1048576,(IF(($A41=FREQUENCIAS!$W$1),23,"ERRO")),FREQUENCIAS!$1:$1048576))</f>
        <v>0</v>
      </c>
      <c r="AX41" s="551">
        <f>IF(D41=0,0,VLOOKUP(D41,FREQUENCIAS!$1:$1048576,(IF(($A41=FREQUENCIAS!$W$1),23,"ERRO")),FREQUENCIAS!$1:$1048576))</f>
        <v>0</v>
      </c>
      <c r="AY41" s="551">
        <f>IF(E41=0,0,VLOOKUP(E41,FREQUENCIAS!$1:$1048576,(IF(($A41=FREQUENCIAS!$W$1),23,"ERRO")),FREQUENCIAS!$1:$1048576))</f>
        <v>0</v>
      </c>
      <c r="AZ41" s="552">
        <f t="shared" si="21"/>
        <v>0</v>
      </c>
      <c r="BA41" s="552">
        <f t="shared" si="21"/>
        <v>0</v>
      </c>
      <c r="BB41" s="552">
        <f t="shared" si="21"/>
        <v>0</v>
      </c>
      <c r="BC41" s="552">
        <f t="shared" si="21"/>
        <v>0</v>
      </c>
      <c r="BD41" s="485">
        <f t="shared" si="18"/>
        <v>1</v>
      </c>
      <c r="BE41" s="485">
        <f t="shared" si="19"/>
        <v>0</v>
      </c>
      <c r="BF41" s="539">
        <f t="shared" si="15"/>
        <v>1</v>
      </c>
    </row>
    <row r="42" spans="1:60" ht="15" hidden="1" customHeight="1" thickTop="1" thickBot="1">
      <c r="A42" s="540">
        <f>'[1]IMPORTAÇÃO GENOTIPER'!A35</f>
        <v>8</v>
      </c>
      <c r="B42" s="518">
        <f>'[1]IMPORTAÇÃO GENOTIPER'!AE35</f>
        <v>0</v>
      </c>
      <c r="C42" s="519">
        <f>'[1]IMPORTAÇÃO GENOTIPER'!AM35</f>
        <v>0</v>
      </c>
      <c r="D42" s="519">
        <f>'[1]IMPORTAÇÃO GENOTIPER'!AU35</f>
        <v>0</v>
      </c>
      <c r="E42" s="520">
        <f>'[1]IMPORTAÇÃO GENOTIPER'!BC35</f>
        <v>0</v>
      </c>
      <c r="F42" s="557">
        <f t="shared" si="0"/>
        <v>0</v>
      </c>
      <c r="G42" s="557">
        <f t="shared" si="1"/>
        <v>0</v>
      </c>
      <c r="H42" s="557">
        <f t="shared" si="2"/>
        <v>0</v>
      </c>
      <c r="I42" s="557">
        <f t="shared" si="3"/>
        <v>0</v>
      </c>
      <c r="J42" s="558"/>
      <c r="K42" s="558"/>
      <c r="L42" s="558"/>
      <c r="M42" s="558"/>
      <c r="N42" s="558">
        <f t="shared" si="4"/>
        <v>0</v>
      </c>
      <c r="O42" s="558">
        <f t="shared" si="5"/>
        <v>0</v>
      </c>
      <c r="P42" s="559">
        <f t="shared" si="6"/>
        <v>0</v>
      </c>
      <c r="Q42" s="560">
        <f t="shared" si="7"/>
        <v>0</v>
      </c>
      <c r="R42" s="561"/>
      <c r="S42" s="561"/>
      <c r="T42" s="562">
        <f>IF(P42=0,0,VLOOKUP(P42,FREQUENCIAS!1:1048576,(IF(($A42=FREQUENCIAS!$AF$1),32,"ERRO")),FREQUENCIAS!1:1048576))</f>
        <v>0</v>
      </c>
      <c r="U42" s="562">
        <f>IF(Q42=0,0,VLOOKUP(Q42,FREQUENCIAS!1:1048576,(IF(($A42=FREQUENCIAS!$AF$1),32,"ERRO")),FREQUENCIAS!1:1048576))</f>
        <v>0</v>
      </c>
      <c r="V42" s="563"/>
      <c r="W42" s="529" t="str">
        <f t="shared" si="8"/>
        <v>OK</v>
      </c>
      <c r="X42" s="548">
        <f t="shared" si="20"/>
        <v>0</v>
      </c>
      <c r="Y42" s="549">
        <f t="shared" si="16"/>
        <v>1</v>
      </c>
      <c r="Z42" s="532">
        <f t="shared" si="17"/>
        <v>0.5</v>
      </c>
      <c r="AA42" s="556"/>
      <c r="AB42" s="550" t="str">
        <f t="shared" si="9"/>
        <v>EXCLUI</v>
      </c>
      <c r="AC42" s="485" t="e">
        <f t="shared" si="10"/>
        <v>#DIV/0!</v>
      </c>
      <c r="AD42" s="485" t="s">
        <v>339</v>
      </c>
      <c r="AE42" s="485" t="str">
        <f t="shared" si="11"/>
        <v>1 / F</v>
      </c>
      <c r="AF42" s="535">
        <f t="shared" si="12"/>
        <v>1</v>
      </c>
      <c r="AH42" s="536">
        <f>IF(B42=0,0,VLOOKUP(B42,FREQUENCIAS!$1:$1048576,(IF(($A42=FREQUENCIAS!$W$1),23,"ERRO")),FREQUENCIAS!$1:$1048576))</f>
        <v>0</v>
      </c>
      <c r="AI42" s="536"/>
      <c r="AJ42" s="536"/>
      <c r="AK42" s="537">
        <f t="shared" si="13"/>
        <v>0</v>
      </c>
      <c r="AL42" s="536">
        <f>IF(C42=0,0,VLOOKUP(C42,FREQUENCIAS!$1:$1048576,(IF(($A42=FREQUENCIAS!$W$1),23,"ERRO")),FREQUENCIAS!$1:$1048576))</f>
        <v>0</v>
      </c>
      <c r="AM42" s="536"/>
      <c r="AN42" s="536"/>
      <c r="AO42" s="537">
        <f t="shared" si="14"/>
        <v>0</v>
      </c>
      <c r="AV42" s="551">
        <f>IF(B42=0,0,VLOOKUP(B42,FREQUENCIAS!$1:$1048576,(IF(($A42=FREQUENCIAS!$W$1),23,"ERRO")),FREQUENCIAS!$1:$1048576))</f>
        <v>0</v>
      </c>
      <c r="AW42" s="551">
        <f>IF(C42=0,0,VLOOKUP(C42,FREQUENCIAS!$1:$1048576,(IF(($A42=FREQUENCIAS!$W$1),23,"ERRO")),FREQUENCIAS!$1:$1048576))</f>
        <v>0</v>
      </c>
      <c r="AX42" s="551">
        <f>IF(D42=0,0,VLOOKUP(D42,FREQUENCIAS!$1:$1048576,(IF(($A42=FREQUENCIAS!$W$1),23,"ERRO")),FREQUENCIAS!$1:$1048576))</f>
        <v>0</v>
      </c>
      <c r="AY42" s="551">
        <f>IF(E42=0,0,VLOOKUP(E42,FREQUENCIAS!$1:$1048576,(IF(($A42=FREQUENCIAS!$W$1),23,"ERRO")),FREQUENCIAS!$1:$1048576))</f>
        <v>0</v>
      </c>
      <c r="AZ42" s="552">
        <f t="shared" si="21"/>
        <v>0</v>
      </c>
      <c r="BA42" s="552">
        <f t="shared" si="21"/>
        <v>0</v>
      </c>
      <c r="BB42" s="552">
        <f t="shared" si="21"/>
        <v>0</v>
      </c>
      <c r="BC42" s="552">
        <f t="shared" si="21"/>
        <v>0</v>
      </c>
      <c r="BD42" s="485">
        <f t="shared" si="18"/>
        <v>1</v>
      </c>
      <c r="BE42" s="485">
        <f t="shared" si="19"/>
        <v>0</v>
      </c>
      <c r="BF42" s="539">
        <f t="shared" si="15"/>
        <v>1</v>
      </c>
    </row>
    <row r="43" spans="1:60" ht="15" hidden="1" customHeight="1" thickTop="1" thickBot="1">
      <c r="A43" s="540">
        <f>'[1]IMPORTAÇÃO GENOTIPER'!A36</f>
        <v>9</v>
      </c>
      <c r="B43" s="518">
        <f>'[1]IMPORTAÇÃO GENOTIPER'!AE36</f>
        <v>0</v>
      </c>
      <c r="C43" s="519">
        <f>'[1]IMPORTAÇÃO GENOTIPER'!AM36</f>
        <v>0</v>
      </c>
      <c r="D43" s="519">
        <f>'[1]IMPORTAÇÃO GENOTIPER'!AU36</f>
        <v>0</v>
      </c>
      <c r="E43" s="520">
        <f>'[1]IMPORTAÇÃO GENOTIPER'!BC36</f>
        <v>0</v>
      </c>
      <c r="F43" s="569">
        <f t="shared" si="0"/>
        <v>0</v>
      </c>
      <c r="G43" s="569">
        <f t="shared" si="1"/>
        <v>0</v>
      </c>
      <c r="H43" s="569">
        <f t="shared" si="2"/>
        <v>0</v>
      </c>
      <c r="I43" s="569">
        <f t="shared" si="3"/>
        <v>0</v>
      </c>
      <c r="J43" s="570"/>
      <c r="K43" s="570"/>
      <c r="L43" s="570"/>
      <c r="M43" s="570"/>
      <c r="N43" s="570">
        <f t="shared" si="4"/>
        <v>0</v>
      </c>
      <c r="O43" s="570">
        <f t="shared" si="5"/>
        <v>0</v>
      </c>
      <c r="P43" s="571">
        <f t="shared" si="6"/>
        <v>0</v>
      </c>
      <c r="Q43" s="572">
        <f t="shared" si="7"/>
        <v>0</v>
      </c>
      <c r="R43" s="573"/>
      <c r="S43" s="573"/>
      <c r="T43" s="574">
        <f>IF(P43=0,0,VLOOKUP(P43,FREQUENCIAS!1:1048576,(IF(($A43=FREQUENCIAS!$AG$1),33,"ERRO")),FREQUENCIAS!1:1048576))</f>
        <v>0</v>
      </c>
      <c r="U43" s="574">
        <f>IF(Q43=0,0,VLOOKUP(Q43,FREQUENCIAS!1:1048576,(IF(($A43=FREQUENCIAS!$AG$1),33,"ERRO")),FREQUENCIAS!1:1048576))</f>
        <v>0</v>
      </c>
      <c r="V43" s="575"/>
      <c r="W43" s="529" t="str">
        <f t="shared" si="8"/>
        <v>OK</v>
      </c>
      <c r="X43" s="548">
        <f t="shared" si="20"/>
        <v>0</v>
      </c>
      <c r="Y43" s="549">
        <f t="shared" si="16"/>
        <v>1</v>
      </c>
      <c r="Z43" s="532">
        <f t="shared" si="17"/>
        <v>0.5</v>
      </c>
      <c r="AA43" s="556"/>
      <c r="AB43" s="550" t="str">
        <f t="shared" si="9"/>
        <v>EXCLUI</v>
      </c>
      <c r="AC43" s="485" t="e">
        <f t="shared" si="10"/>
        <v>#DIV/0!</v>
      </c>
      <c r="AD43" s="485" t="s">
        <v>339</v>
      </c>
      <c r="AE43" s="485" t="str">
        <f t="shared" si="11"/>
        <v>1 / F</v>
      </c>
      <c r="AF43" s="535">
        <f t="shared" si="12"/>
        <v>1</v>
      </c>
      <c r="AH43" s="536">
        <f>IF(B43=0,0,VLOOKUP(B43,FREQUENCIAS!$1:$1048576,(IF(($A43=FREQUENCIAS!$W$1),23,"ERRO")),FREQUENCIAS!$1:$1048576))</f>
        <v>0</v>
      </c>
      <c r="AI43" s="536"/>
      <c r="AJ43" s="536"/>
      <c r="AK43" s="537">
        <f t="shared" si="13"/>
        <v>0</v>
      </c>
      <c r="AL43" s="536">
        <f>IF(C43=0,0,VLOOKUP(C43,FREQUENCIAS!$1:$1048576,(IF(($A43=FREQUENCIAS!$W$1),23,"ERRO")),FREQUENCIAS!$1:$1048576))</f>
        <v>0</v>
      </c>
      <c r="AM43" s="536"/>
      <c r="AN43" s="536"/>
      <c r="AO43" s="537">
        <f t="shared" si="14"/>
        <v>0</v>
      </c>
      <c r="AV43" s="551">
        <f>IF(B43=0,0,VLOOKUP(B43,FREQUENCIAS!$1:$1048576,(IF(($A43=FREQUENCIAS!$W$1),23,"ERRO")),FREQUENCIAS!$1:$1048576))</f>
        <v>0</v>
      </c>
      <c r="AW43" s="551">
        <f>IF(C43=0,0,VLOOKUP(C43,FREQUENCIAS!$1:$1048576,(IF(($A43=FREQUENCIAS!$W$1),23,"ERRO")),FREQUENCIAS!$1:$1048576))</f>
        <v>0</v>
      </c>
      <c r="AX43" s="551">
        <f>IF(D43=0,0,VLOOKUP(D43,FREQUENCIAS!$1:$1048576,(IF(($A43=FREQUENCIAS!$W$1),23,"ERRO")),FREQUENCIAS!$1:$1048576))</f>
        <v>0</v>
      </c>
      <c r="AY43" s="551">
        <f>IF(E43=0,0,VLOOKUP(E43,FREQUENCIAS!$1:$1048576,(IF(($A43=FREQUENCIAS!$W$1),23,"ERRO")),FREQUENCIAS!$1:$1048576))</f>
        <v>0</v>
      </c>
      <c r="AZ43" s="552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2">
        <f t="shared" si="22"/>
        <v>0</v>
      </c>
      <c r="BB43" s="552">
        <f t="shared" si="22"/>
        <v>0</v>
      </c>
      <c r="BC43" s="552">
        <f t="shared" si="22"/>
        <v>0</v>
      </c>
      <c r="BD43" s="485">
        <f t="shared" si="18"/>
        <v>1</v>
      </c>
      <c r="BE43" s="485">
        <f t="shared" si="19"/>
        <v>0</v>
      </c>
      <c r="BF43" s="539">
        <f t="shared" si="15"/>
        <v>1</v>
      </c>
    </row>
    <row r="44" spans="1:60" ht="15" hidden="1" customHeight="1" thickTop="1" thickBot="1">
      <c r="A44" s="540">
        <f>'[1]IMPORTAÇÃO GENOTIPER'!A37</f>
        <v>10</v>
      </c>
      <c r="B44" s="518">
        <f>'[1]IMPORTAÇÃO GENOTIPER'!AE37</f>
        <v>0</v>
      </c>
      <c r="C44" s="519">
        <f>'[1]IMPORTAÇÃO GENOTIPER'!AM37</f>
        <v>0</v>
      </c>
      <c r="D44" s="519">
        <f>'[1]IMPORTAÇÃO GENOTIPER'!AU37</f>
        <v>0</v>
      </c>
      <c r="E44" s="520">
        <f>'[1]IMPORTAÇÃO GENOTIPER'!BC37</f>
        <v>0</v>
      </c>
      <c r="F44" s="569">
        <f t="shared" si="0"/>
        <v>0</v>
      </c>
      <c r="G44" s="569">
        <f t="shared" si="1"/>
        <v>0</v>
      </c>
      <c r="H44" s="569">
        <f t="shared" si="2"/>
        <v>0</v>
      </c>
      <c r="I44" s="569">
        <f t="shared" si="3"/>
        <v>0</v>
      </c>
      <c r="J44" s="570"/>
      <c r="K44" s="570"/>
      <c r="L44" s="570"/>
      <c r="M44" s="570"/>
      <c r="N44" s="570">
        <f t="shared" si="4"/>
        <v>0</v>
      </c>
      <c r="O44" s="570">
        <f t="shared" si="5"/>
        <v>0</v>
      </c>
      <c r="P44" s="571">
        <f t="shared" si="6"/>
        <v>0</v>
      </c>
      <c r="Q44" s="572">
        <f t="shared" si="7"/>
        <v>0</v>
      </c>
      <c r="R44" s="573"/>
      <c r="S44" s="573"/>
      <c r="T44" s="574">
        <f>IF(P44=0,0,VLOOKUP(P44,FREQUENCIAS!1:1048576,(IF(($A44=FREQUENCIAS!$AH$1),34,"ERRO")),FREQUENCIAS!1:1048576))</f>
        <v>0</v>
      </c>
      <c r="U44" s="574">
        <f>IF(Q44=0,0,VLOOKUP(Q44,FREQUENCIAS!1:1048576,(IF(($A44=FREQUENCIAS!$AH$1),34,"ERRO")),FREQUENCIAS!1:1048576))</f>
        <v>0</v>
      </c>
      <c r="V44" s="575"/>
      <c r="W44" s="529" t="str">
        <f t="shared" si="8"/>
        <v>OK</v>
      </c>
      <c r="X44" s="548">
        <f t="shared" si="20"/>
        <v>0</v>
      </c>
      <c r="Y44" s="549">
        <f t="shared" si="16"/>
        <v>1</v>
      </c>
      <c r="Z44" s="532">
        <f t="shared" si="17"/>
        <v>0.5</v>
      </c>
      <c r="AA44" s="556"/>
      <c r="AB44" s="550" t="str">
        <f t="shared" si="9"/>
        <v>EXCLUI</v>
      </c>
      <c r="AC44" s="485" t="e">
        <f t="shared" si="10"/>
        <v>#DIV/0!</v>
      </c>
      <c r="AD44" s="485" t="s">
        <v>339</v>
      </c>
      <c r="AE44" s="485" t="str">
        <f t="shared" si="11"/>
        <v>1 / F</v>
      </c>
      <c r="AF44" s="535">
        <f t="shared" si="12"/>
        <v>1</v>
      </c>
      <c r="AH44" s="536">
        <f>IF(B44=0,0,VLOOKUP(B44,FREQUENCIAS!$1:$1048576,(IF(($A44=FREQUENCIAS!$W$1),23,"ERRO")),FREQUENCIAS!$1:$1048576))</f>
        <v>0</v>
      </c>
      <c r="AI44" s="536"/>
      <c r="AJ44" s="536"/>
      <c r="AK44" s="537">
        <f t="shared" si="13"/>
        <v>0</v>
      </c>
      <c r="AL44" s="536">
        <f>IF(C44=0,0,VLOOKUP(C44,FREQUENCIAS!$1:$1048576,(IF(($A44=FREQUENCIAS!$W$1),23,"ERRO")),FREQUENCIAS!$1:$1048576))</f>
        <v>0</v>
      </c>
      <c r="AM44" s="536"/>
      <c r="AN44" s="536"/>
      <c r="AO44" s="537">
        <f t="shared" si="14"/>
        <v>0</v>
      </c>
      <c r="AV44" s="551">
        <f>IF(B44=0,0,VLOOKUP(B44,FREQUENCIAS!$1:$1048576,(IF(($A44=FREQUENCIAS!$W$1),23,"ERRO")),FREQUENCIAS!$1:$1048576))</f>
        <v>0</v>
      </c>
      <c r="AW44" s="551">
        <f>IF(C44=0,0,VLOOKUP(C44,FREQUENCIAS!$1:$1048576,(IF(($A44=FREQUENCIAS!$W$1),23,"ERRO")),FREQUENCIAS!$1:$1048576))</f>
        <v>0</v>
      </c>
      <c r="AX44" s="551">
        <f>IF(D44=0,0,VLOOKUP(D44,FREQUENCIAS!$1:$1048576,(IF(($A44=FREQUENCIAS!$W$1),23,"ERRO")),FREQUENCIAS!$1:$1048576))</f>
        <v>0</v>
      </c>
      <c r="AY44" s="551">
        <f>IF(E44=0,0,VLOOKUP(E44,FREQUENCIAS!$1:$1048576,(IF(($A44=FREQUENCIAS!$W$1),23,"ERRO")),FREQUENCIAS!$1:$1048576))</f>
        <v>0</v>
      </c>
      <c r="AZ44" s="552">
        <f t="shared" si="22"/>
        <v>0</v>
      </c>
      <c r="BA44" s="552">
        <f t="shared" si="22"/>
        <v>0</v>
      </c>
      <c r="BB44" s="552">
        <f t="shared" si="22"/>
        <v>0</v>
      </c>
      <c r="BC44" s="552">
        <f t="shared" si="22"/>
        <v>0</v>
      </c>
      <c r="BD44" s="485">
        <f t="shared" si="18"/>
        <v>1</v>
      </c>
      <c r="BE44" s="485">
        <f t="shared" si="19"/>
        <v>0</v>
      </c>
      <c r="BF44" s="539">
        <f t="shared" si="15"/>
        <v>1</v>
      </c>
    </row>
    <row r="45" spans="1:60" ht="15" hidden="1" customHeight="1" thickTop="1" thickBot="1">
      <c r="A45" s="576">
        <f>'[1]IMPORTAÇÃO GENOTIPER'!A38</f>
        <v>11</v>
      </c>
      <c r="B45" s="518">
        <f>'[1]IMPORTAÇÃO GENOTIPER'!AE38</f>
        <v>0</v>
      </c>
      <c r="C45" s="519">
        <f>'[1]IMPORTAÇÃO GENOTIPER'!AM38</f>
        <v>0</v>
      </c>
      <c r="D45" s="519">
        <f>'[1]IMPORTAÇÃO GENOTIPER'!AU38</f>
        <v>0</v>
      </c>
      <c r="E45" s="520">
        <f>'[1]IMPORTAÇÃO GENOTIPER'!BC38</f>
        <v>0</v>
      </c>
      <c r="F45" s="577">
        <f t="shared" si="0"/>
        <v>0</v>
      </c>
      <c r="G45" s="577">
        <f t="shared" si="1"/>
        <v>0</v>
      </c>
      <c r="H45" s="577">
        <f t="shared" si="2"/>
        <v>0</v>
      </c>
      <c r="I45" s="577">
        <f t="shared" si="3"/>
        <v>0</v>
      </c>
      <c r="J45" s="578"/>
      <c r="K45" s="578"/>
      <c r="L45" s="578"/>
      <c r="M45" s="579"/>
      <c r="N45" s="578">
        <f t="shared" si="4"/>
        <v>0</v>
      </c>
      <c r="O45" s="578">
        <f t="shared" si="5"/>
        <v>0</v>
      </c>
      <c r="P45" s="580">
        <f t="shared" si="6"/>
        <v>0</v>
      </c>
      <c r="Q45" s="581">
        <f t="shared" si="7"/>
        <v>0</v>
      </c>
      <c r="R45" s="582"/>
      <c r="S45" s="582"/>
      <c r="T45" s="583">
        <f>IF(P45=0,0,VLOOKUP(P45,FREQUENCIAS!1:1048576,(IF(($A45=FREQUENCIAS!$AI$1),35,"ERRO")),FREQUENCIAS!1:1048576))</f>
        <v>0</v>
      </c>
      <c r="U45" s="583">
        <f>IF(Q45=0,0,VLOOKUP(Q45,FREQUENCIAS!1:1048576,(IF(($A45=FREQUENCIAS!$AI$1),35,"ERRO")),FREQUENCIAS!1:1048576))</f>
        <v>0</v>
      </c>
      <c r="V45" s="584"/>
      <c r="W45" s="585" t="str">
        <f t="shared" si="8"/>
        <v>OK</v>
      </c>
      <c r="X45" s="586">
        <f t="shared" si="20"/>
        <v>0</v>
      </c>
      <c r="Y45" s="587">
        <f t="shared" si="16"/>
        <v>1</v>
      </c>
      <c r="Z45" s="532">
        <f t="shared" si="17"/>
        <v>0.5</v>
      </c>
      <c r="AA45" s="588"/>
      <c r="AB45" s="589" t="str">
        <f t="shared" si="9"/>
        <v>EXCLUI</v>
      </c>
      <c r="AC45" s="485" t="e">
        <f t="shared" si="10"/>
        <v>#DIV/0!</v>
      </c>
      <c r="AD45" s="485" t="s">
        <v>339</v>
      </c>
      <c r="AE45" s="485" t="str">
        <f t="shared" si="11"/>
        <v>1 / F</v>
      </c>
      <c r="AF45" s="535">
        <f t="shared" si="12"/>
        <v>1</v>
      </c>
      <c r="AH45" s="536">
        <f>IF(B45=0,0,VLOOKUP(B45,FREQUENCIAS!$1:$1048576,(IF(($A45=FREQUENCIAS!$W$1),23,"ERRO")),FREQUENCIAS!$1:$1048576))</f>
        <v>0</v>
      </c>
      <c r="AI45" s="536"/>
      <c r="AJ45" s="536"/>
      <c r="AK45" s="537">
        <f t="shared" si="13"/>
        <v>0</v>
      </c>
      <c r="AL45" s="536">
        <f>IF(C45=0,0,VLOOKUP(C45,FREQUENCIAS!$1:$1048576,(IF(($A45=FREQUENCIAS!$W$1),23,"ERRO")),FREQUENCIAS!$1:$1048576))</f>
        <v>0</v>
      </c>
      <c r="AM45" s="536"/>
      <c r="AN45" s="536"/>
      <c r="AO45" s="537">
        <f t="shared" si="14"/>
        <v>0</v>
      </c>
      <c r="AV45" s="551">
        <f>IF(B45=0,0,VLOOKUP(B45,FREQUENCIAS!$1:$1048576,(IF(($A45=FREQUENCIAS!$W$1),23,"ERRO")),FREQUENCIAS!$1:$1048576))</f>
        <v>0</v>
      </c>
      <c r="AW45" s="551">
        <f>IF(C45=0,0,VLOOKUP(C45,FREQUENCIAS!$1:$1048576,(IF(($A45=FREQUENCIAS!$W$1),23,"ERRO")),FREQUENCIAS!$1:$1048576))</f>
        <v>0</v>
      </c>
      <c r="AX45" s="551">
        <f>IF(D45=0,0,VLOOKUP(D45,FREQUENCIAS!$1:$1048576,(IF(($A45=FREQUENCIAS!$W$1),23,"ERRO")),FREQUENCIAS!$1:$1048576))</f>
        <v>0</v>
      </c>
      <c r="AY45" s="551">
        <f>IF(E45=0,0,VLOOKUP(E45,FREQUENCIAS!$1:$1048576,(IF(($A45=FREQUENCIAS!$W$1),23,"ERRO")),FREQUENCIAS!$1:$1048576))</f>
        <v>0</v>
      </c>
      <c r="AZ45" s="552">
        <f t="shared" si="22"/>
        <v>0</v>
      </c>
      <c r="BA45" s="552">
        <f t="shared" si="22"/>
        <v>0</v>
      </c>
      <c r="BB45" s="552">
        <f t="shared" si="22"/>
        <v>0</v>
      </c>
      <c r="BC45" s="552">
        <f t="shared" si="22"/>
        <v>0</v>
      </c>
      <c r="BD45" s="485">
        <f t="shared" si="18"/>
        <v>1</v>
      </c>
      <c r="BE45" s="485">
        <f t="shared" si="19"/>
        <v>0</v>
      </c>
      <c r="BF45" s="539">
        <f t="shared" si="15"/>
        <v>1</v>
      </c>
    </row>
    <row r="46" spans="1:60" ht="12" customHeight="1" thickTop="1">
      <c r="A46" s="590"/>
      <c r="B46" s="591"/>
      <c r="C46" s="592"/>
      <c r="D46" s="592"/>
      <c r="E46" s="593"/>
      <c r="F46" s="594"/>
      <c r="G46" s="594"/>
      <c r="H46" s="594"/>
      <c r="I46" s="594"/>
      <c r="J46" s="594"/>
      <c r="K46" s="594"/>
      <c r="L46" s="594"/>
      <c r="M46" s="594"/>
      <c r="N46" s="594"/>
      <c r="O46" s="594"/>
      <c r="P46" s="594"/>
      <c r="Q46" s="594"/>
      <c r="R46" s="594"/>
      <c r="S46" s="594"/>
      <c r="T46" s="594"/>
      <c r="U46" s="594"/>
      <c r="V46" s="594"/>
      <c r="W46" s="595"/>
      <c r="X46" s="596" t="s">
        <v>346</v>
      </c>
      <c r="Y46" s="851" t="str">
        <f>(IF((AND(($BE$46=1),($Z$52="SIM"))),($BF$11),(IF((PRODUCT(Z12:Z45)&lt;&gt;0),PRODUCT(Y12:Y45),"NIHIL"))))</f>
        <v>NIHIL</v>
      </c>
      <c r="Z46" s="851"/>
      <c r="AA46" s="597"/>
      <c r="AB46" s="598"/>
      <c r="AF46" s="852">
        <f>(IF(($Y$46&lt;&gt;0),((1-AF12)*(1-AF13)*(1-AF14)*(1-AF15)*(1-AF16)*(1-AF17)*(1-AF18)*(1-AF19)*(1-AF20)*(1-AF21)*(1-AF22)*(1-AF23)*(1-AF24)*(1-AF25)*(1-AF26)*(1-AF27)*(1-AF28)*(1-AF29)*(1-AF30)*(1-AF31)*(1-AF32)*(1-AF33)),$AE$26))</f>
        <v>4.2315340782887401E-8</v>
      </c>
      <c r="AG46" s="852"/>
      <c r="BD46" s="485">
        <f>SUM(BD12:BD33)</f>
        <v>0</v>
      </c>
      <c r="BE46" s="485">
        <f>SUM(BE12:BE45)</f>
        <v>22</v>
      </c>
      <c r="BF46" s="599">
        <v>2.7E-2</v>
      </c>
      <c r="BG46" s="600" t="s">
        <v>341</v>
      </c>
      <c r="BH46" s="600"/>
    </row>
    <row r="47" spans="1:60" ht="12" customHeight="1">
      <c r="A47" s="601"/>
      <c r="B47" s="506"/>
      <c r="C47" s="506"/>
      <c r="D47" s="506"/>
      <c r="E47" s="506"/>
      <c r="F47" s="506"/>
      <c r="G47" s="506"/>
      <c r="H47" s="506"/>
      <c r="I47" s="506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6"/>
      <c r="V47" s="506"/>
      <c r="W47" s="506"/>
      <c r="X47" s="602" t="s">
        <v>345</v>
      </c>
      <c r="Y47" s="853" t="str">
        <f>(IF(AND((Y46&lt;&gt;"NIHIL"),(Y46&lt;&gt;0)),(ROUNDDOWN((Y46/(Y46+1)),11)),"EXCLUSÃO"))</f>
        <v>EXCLUSÃO</v>
      </c>
      <c r="Z47" s="853"/>
      <c r="AB47" s="603"/>
      <c r="BF47" s="604" t="s">
        <v>342</v>
      </c>
    </row>
    <row r="48" spans="1:60" ht="12" customHeight="1">
      <c r="A48" s="509"/>
      <c r="B48" s="506"/>
      <c r="C48" s="506"/>
      <c r="D48" s="506"/>
      <c r="E48" s="506"/>
      <c r="F48" s="506"/>
      <c r="G48" s="506"/>
      <c r="H48" s="506"/>
      <c r="I48" s="506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6"/>
      <c r="V48" s="506"/>
      <c r="W48" s="506"/>
      <c r="X48" s="602" t="s">
        <v>344</v>
      </c>
      <c r="Y48" s="853" t="str">
        <f>(IF(AND((Y46&lt;&gt;"NIHIL"),(Y46&lt;&gt;0)),(ROUNDDOWN((1-$AF46),11)),"EXCLUSÃO"))</f>
        <v>EXCLUSÃO</v>
      </c>
      <c r="Z48" s="853"/>
      <c r="AB48" s="605"/>
      <c r="BF48" s="485" t="s">
        <v>139</v>
      </c>
    </row>
    <row r="49" spans="1:58" ht="12" customHeight="1" thickBot="1">
      <c r="A49" s="606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  <c r="O49" s="607"/>
      <c r="P49" s="607"/>
      <c r="Q49" s="607"/>
      <c r="R49" s="607"/>
      <c r="S49" s="607"/>
      <c r="T49" s="607"/>
      <c r="U49" s="607"/>
      <c r="V49" s="607"/>
      <c r="W49" s="607"/>
      <c r="X49" s="608" t="str">
        <f>(IF(AND(($BE$46=1),($Z$52="SIM")),"RESULTADO CONSIDERANDO 1 MUTAÇÃO:     ","RESULTADO:"))</f>
        <v>RESULTADO:</v>
      </c>
      <c r="Y49" s="609" t="str">
        <f>(IF(AND(($BE$46=1),($Z$52="SIM")),"PATERNIDADE POSSÍVEL",(IF(AND((Y46&lt;&gt;"NIHIL"),(Y46&lt;&gt;0)),"VÍNCULO BIOLOGICAMENTE PROVADO","EXCLUSÃO"))))</f>
        <v>EXCLUSÃO</v>
      </c>
      <c r="Z49" s="609"/>
      <c r="AA49" s="610"/>
      <c r="AB49" s="611"/>
      <c r="BF49" s="485" t="s">
        <v>140</v>
      </c>
    </row>
    <row r="50" spans="1:58" ht="14.25" hidden="1" thickTop="1" thickBot="1">
      <c r="A50" s="606"/>
      <c r="B50" s="506"/>
      <c r="C50" s="506"/>
      <c r="D50" s="506"/>
      <c r="E50" s="506"/>
      <c r="F50" s="506"/>
      <c r="G50" s="506"/>
      <c r="H50" s="506"/>
      <c r="I50" s="506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6"/>
      <c r="V50" s="506"/>
      <c r="W50" s="506"/>
      <c r="X50" s="506"/>
      <c r="Y50" s="506"/>
      <c r="Z50" s="506"/>
      <c r="AB50" s="499"/>
    </row>
    <row r="51" spans="1:58" ht="14.25" hidden="1" thickTop="1" thickBot="1">
      <c r="A51" s="509"/>
      <c r="B51" s="506"/>
      <c r="C51" s="506"/>
      <c r="D51" s="506"/>
      <c r="E51" s="506"/>
      <c r="F51" s="506"/>
      <c r="G51" s="506"/>
      <c r="H51" s="506"/>
      <c r="I51" s="506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6"/>
      <c r="V51" s="506"/>
      <c r="W51" s="506"/>
      <c r="X51" s="506"/>
      <c r="Y51" s="506"/>
      <c r="Z51" s="506"/>
      <c r="AB51" s="499"/>
    </row>
    <row r="52" spans="1:58" s="618" customFormat="1" ht="15.75" customHeight="1" thickTop="1">
      <c r="A52" s="509"/>
      <c r="B52" s="612"/>
      <c r="C52" s="612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613"/>
      <c r="Y52" s="614" t="s">
        <v>343</v>
      </c>
      <c r="Z52" s="615" t="s">
        <v>139</v>
      </c>
      <c r="AA52" s="616"/>
      <c r="AB52" s="617"/>
    </row>
    <row r="53" spans="1:58" s="618" customFormat="1" ht="15" hidden="1" customHeight="1">
      <c r="A53" s="619"/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  <c r="O53" s="620"/>
      <c r="P53" s="620"/>
      <c r="Q53" s="620"/>
      <c r="R53" s="620"/>
      <c r="S53" s="620"/>
      <c r="T53" s="620"/>
      <c r="U53" s="620"/>
      <c r="V53" s="620"/>
      <c r="W53" s="620"/>
      <c r="X53" s="620"/>
      <c r="Y53" s="620"/>
      <c r="Z53" s="620"/>
      <c r="AA53" s="620"/>
      <c r="AB53" s="621"/>
    </row>
    <row r="54" spans="1:58" s="618" customFormat="1" ht="9.75" customHeight="1">
      <c r="A54" s="622" t="str">
        <f>(IF(AND(($BE$46=1),($Z$52="SIM")),"Aconselhável a genotipagem dos materiais da Genitora do(a) Investigante",""))</f>
        <v/>
      </c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  <c r="O54" s="620"/>
      <c r="P54" s="620"/>
      <c r="Q54" s="620"/>
      <c r="R54" s="620"/>
      <c r="S54" s="620"/>
      <c r="T54" s="620"/>
      <c r="U54" s="620"/>
      <c r="V54" s="620"/>
      <c r="W54" s="620"/>
      <c r="X54" s="620"/>
      <c r="Y54" s="620"/>
      <c r="Z54" s="620"/>
      <c r="AA54" s="620"/>
      <c r="AB54" s="621"/>
    </row>
    <row r="55" spans="1:58" ht="9" customHeight="1">
      <c r="A55" s="623" t="str">
        <f>(IF(AND(($BE$46=1),($Z$52="SIM")),"Taxa de mutação empregada nos cálculos: 0,027",""))</f>
        <v/>
      </c>
      <c r="B55" s="506"/>
      <c r="C55" s="506"/>
      <c r="D55" s="506"/>
      <c r="E55" s="506"/>
      <c r="F55" s="506"/>
      <c r="G55" s="506"/>
      <c r="H55" s="506"/>
      <c r="I55" s="506"/>
      <c r="J55" s="506"/>
      <c r="K55" s="506"/>
      <c r="L55" s="506"/>
      <c r="M55" s="506"/>
      <c r="N55" s="506"/>
      <c r="O55" s="506"/>
      <c r="P55" s="506"/>
      <c r="Q55" s="506"/>
      <c r="R55" s="506"/>
      <c r="S55" s="506"/>
      <c r="T55" s="506"/>
      <c r="U55" s="506"/>
      <c r="V55" s="506"/>
      <c r="W55" s="506"/>
      <c r="X55" s="506"/>
      <c r="Y55" s="506"/>
      <c r="Z55" s="506"/>
      <c r="AB55" s="499"/>
    </row>
    <row r="56" spans="1:58" ht="38.25" customHeight="1">
      <c r="A56" s="509"/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  <c r="P56" s="506"/>
      <c r="Q56" s="506"/>
      <c r="R56" s="506"/>
      <c r="S56" s="506"/>
      <c r="T56" s="506"/>
      <c r="U56" s="506"/>
      <c r="V56" s="506"/>
      <c r="W56" s="506"/>
      <c r="X56" s="506"/>
      <c r="Y56" s="506"/>
      <c r="Z56" s="506"/>
      <c r="AB56" s="499"/>
    </row>
    <row r="57" spans="1:58" ht="11.1" customHeight="1">
      <c r="A57" s="835" t="s">
        <v>249</v>
      </c>
      <c r="B57" s="836"/>
      <c r="C57" s="836"/>
      <c r="D57" s="836"/>
      <c r="E57" s="836"/>
      <c r="F57" s="836"/>
      <c r="G57" s="836"/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36"/>
      <c r="W57" s="836"/>
      <c r="X57" s="836"/>
      <c r="Y57" s="836"/>
      <c r="Z57" s="836"/>
      <c r="AA57" s="836"/>
      <c r="AB57" s="837"/>
      <c r="AC57" s="624"/>
      <c r="AD57" s="624"/>
      <c r="AE57" s="625"/>
      <c r="AF57" s="626"/>
      <c r="AG57" s="838" t="s">
        <v>205</v>
      </c>
      <c r="AH57" s="838"/>
      <c r="AI57" s="838"/>
      <c r="AJ57" s="838"/>
      <c r="AK57" s="838"/>
      <c r="AL57" s="838"/>
      <c r="AM57" s="838"/>
      <c r="AN57" s="839"/>
      <c r="AO57" s="627"/>
      <c r="AP57" s="627"/>
      <c r="AQ57" s="627"/>
      <c r="AR57" s="627"/>
      <c r="AS57" s="627"/>
      <c r="AT57" s="627"/>
      <c r="AU57" s="627"/>
      <c r="AV57" s="627"/>
      <c r="AW57" s="627"/>
      <c r="AX57" s="627"/>
      <c r="AY57" s="627"/>
      <c r="AZ57" s="627"/>
      <c r="BA57" s="627"/>
      <c r="BB57" s="627"/>
      <c r="BC57" s="627"/>
      <c r="BD57" s="628"/>
    </row>
    <row r="58" spans="1:58" ht="11.1" customHeight="1">
      <c r="A58" s="840" t="s">
        <v>242</v>
      </c>
      <c r="B58" s="841"/>
      <c r="C58" s="841"/>
      <c r="D58" s="841"/>
      <c r="E58" s="841"/>
      <c r="F58" s="841"/>
      <c r="G58" s="841"/>
      <c r="H58" s="841"/>
      <c r="I58" s="841"/>
      <c r="J58" s="841"/>
      <c r="K58" s="841"/>
      <c r="L58" s="841"/>
      <c r="M58" s="841"/>
      <c r="N58" s="841"/>
      <c r="O58" s="841"/>
      <c r="P58" s="841"/>
      <c r="Q58" s="841"/>
      <c r="R58" s="841"/>
      <c r="S58" s="841"/>
      <c r="T58" s="841"/>
      <c r="U58" s="841"/>
      <c r="V58" s="841"/>
      <c r="W58" s="841"/>
      <c r="X58" s="841"/>
      <c r="Y58" s="841"/>
      <c r="Z58" s="841"/>
      <c r="AA58" s="841"/>
      <c r="AB58" s="842"/>
      <c r="AC58" s="626"/>
      <c r="AD58" s="626"/>
      <c r="AE58" s="629"/>
      <c r="AF58" s="626"/>
      <c r="AG58" s="843" t="s">
        <v>206</v>
      </c>
      <c r="AH58" s="843"/>
      <c r="AI58" s="843"/>
      <c r="AJ58" s="843"/>
      <c r="AK58" s="843"/>
      <c r="AL58" s="843"/>
      <c r="AM58" s="843"/>
      <c r="AN58" s="844"/>
      <c r="AO58" s="627"/>
      <c r="AP58" s="627"/>
      <c r="AQ58" s="627"/>
      <c r="AR58" s="627"/>
      <c r="AS58" s="627"/>
      <c r="AT58" s="627"/>
      <c r="AU58" s="627"/>
      <c r="AV58" s="627"/>
      <c r="AW58" s="627"/>
      <c r="AX58" s="627"/>
      <c r="AY58" s="627"/>
      <c r="AZ58" s="627"/>
      <c r="BA58" s="627"/>
      <c r="BB58" s="627"/>
      <c r="BC58" s="627"/>
      <c r="BD58" s="628"/>
    </row>
    <row r="59" spans="1:58" ht="11.1" customHeight="1" thickBot="1">
      <c r="A59" s="845" t="s">
        <v>243</v>
      </c>
      <c r="B59" s="846"/>
      <c r="C59" s="846"/>
      <c r="D59" s="846"/>
      <c r="E59" s="846"/>
      <c r="F59" s="846"/>
      <c r="G59" s="846"/>
      <c r="H59" s="846"/>
      <c r="I59" s="846"/>
      <c r="J59" s="846"/>
      <c r="K59" s="846"/>
      <c r="L59" s="846"/>
      <c r="M59" s="846"/>
      <c r="N59" s="846"/>
      <c r="O59" s="846"/>
      <c r="P59" s="846"/>
      <c r="Q59" s="846"/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7"/>
      <c r="AC59" s="626"/>
      <c r="AD59" s="626"/>
      <c r="AE59" s="629"/>
      <c r="AF59" s="626"/>
      <c r="AG59" s="843" t="s">
        <v>207</v>
      </c>
      <c r="AH59" s="843"/>
      <c r="AI59" s="843"/>
      <c r="AJ59" s="843"/>
      <c r="AK59" s="843"/>
      <c r="AL59" s="843"/>
      <c r="AM59" s="843"/>
      <c r="AN59" s="844"/>
      <c r="AO59" s="627"/>
      <c r="AP59" s="627"/>
      <c r="AQ59" s="627"/>
      <c r="AR59" s="627"/>
      <c r="AS59" s="627"/>
      <c r="AT59" s="627"/>
      <c r="AU59" s="627"/>
      <c r="AV59" s="627"/>
      <c r="AW59" s="627"/>
      <c r="AX59" s="627"/>
      <c r="AY59" s="627"/>
      <c r="AZ59" s="627"/>
      <c r="BA59" s="627"/>
      <c r="BB59" s="627"/>
      <c r="BC59" s="627"/>
      <c r="BD59" s="628"/>
    </row>
    <row r="60" spans="1:58" ht="9.75" hidden="1" customHeight="1" thickBot="1">
      <c r="A60" s="832"/>
      <c r="B60" s="833"/>
      <c r="C60" s="833"/>
      <c r="D60" s="833"/>
      <c r="E60" s="833"/>
      <c r="F60" s="833"/>
      <c r="G60" s="833"/>
      <c r="H60" s="833"/>
      <c r="I60" s="833"/>
      <c r="J60" s="833"/>
      <c r="K60" s="833"/>
      <c r="L60" s="833"/>
      <c r="M60" s="833"/>
      <c r="N60" s="833"/>
      <c r="O60" s="833"/>
      <c r="P60" s="833"/>
      <c r="Q60" s="833"/>
      <c r="R60" s="833"/>
      <c r="S60" s="833"/>
      <c r="T60" s="833"/>
      <c r="U60" s="833"/>
      <c r="V60" s="833"/>
      <c r="W60" s="833"/>
      <c r="X60" s="833"/>
      <c r="Y60" s="833"/>
      <c r="Z60" s="833"/>
      <c r="AA60" s="833"/>
      <c r="AB60" s="834"/>
      <c r="AC60" s="630"/>
      <c r="AD60" s="630"/>
      <c r="AE60" s="630"/>
      <c r="AF60" s="630"/>
      <c r="AG60" s="630"/>
      <c r="AH60" s="630"/>
      <c r="AI60" s="630"/>
      <c r="AJ60" s="630"/>
      <c r="AK60" s="630"/>
      <c r="AL60" s="630"/>
      <c r="AM60" s="630"/>
      <c r="AN60" s="631"/>
      <c r="AO60" s="627"/>
      <c r="AP60" s="627"/>
      <c r="AQ60" s="627"/>
      <c r="AR60" s="627"/>
      <c r="AS60" s="627"/>
      <c r="AT60" s="627"/>
      <c r="AU60" s="627"/>
      <c r="AV60" s="627"/>
      <c r="AW60" s="627"/>
      <c r="AX60" s="627"/>
      <c r="AY60" s="627"/>
      <c r="AZ60" s="627"/>
      <c r="BA60" s="627"/>
      <c r="BB60" s="627"/>
      <c r="BC60" s="627"/>
      <c r="BD60" s="628"/>
    </row>
    <row r="61" spans="1:58" ht="25.5" customHeight="1" thickTop="1">
      <c r="B61" s="632" t="s">
        <v>197</v>
      </c>
      <c r="C61" s="632" t="s">
        <v>198</v>
      </c>
      <c r="D61" s="632" t="s">
        <v>199</v>
      </c>
      <c r="E61" s="632" t="s">
        <v>200</v>
      </c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 t="s">
        <v>201</v>
      </c>
      <c r="Y61" s="632"/>
      <c r="AB61" s="633" t="s">
        <v>195</v>
      </c>
    </row>
    <row r="62" spans="1:58" ht="11.25" customHeight="1">
      <c r="A62" s="632" t="s">
        <v>195</v>
      </c>
      <c r="AB62" s="634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94" t="s">
        <v>203</v>
      </c>
      <c r="B1" s="893"/>
      <c r="C1" s="893"/>
      <c r="D1" s="893"/>
      <c r="E1" s="893"/>
      <c r="F1" s="893"/>
      <c r="G1" s="893"/>
      <c r="H1" s="893"/>
      <c r="I1" s="893"/>
      <c r="J1" s="893"/>
      <c r="K1" s="893"/>
      <c r="L1" s="893"/>
      <c r="M1" s="893"/>
      <c r="N1" s="893"/>
      <c r="O1" s="893"/>
      <c r="P1" s="893"/>
      <c r="Q1" s="893"/>
      <c r="R1" s="893"/>
      <c r="S1" s="893"/>
      <c r="T1" s="893"/>
      <c r="U1" s="893"/>
      <c r="V1" s="893"/>
      <c r="W1" s="893"/>
      <c r="X1" s="893"/>
      <c r="Y1" s="893"/>
      <c r="Z1" s="893"/>
      <c r="AA1" s="893"/>
      <c r="AB1" s="893"/>
      <c r="AC1" s="893"/>
      <c r="AD1" s="893"/>
      <c r="AE1" s="893"/>
      <c r="AF1" s="893"/>
      <c r="AG1" s="893"/>
      <c r="AH1" s="893"/>
      <c r="AI1" s="893"/>
      <c r="AJ1" s="893"/>
      <c r="AK1" s="893"/>
      <c r="AL1" s="893"/>
      <c r="AM1" s="893"/>
      <c r="AN1" s="893"/>
      <c r="AO1" s="893"/>
      <c r="AP1" s="893"/>
      <c r="AQ1" s="893"/>
      <c r="AR1" s="893"/>
      <c r="AS1" s="893"/>
      <c r="AT1" s="894"/>
      <c r="AU1" s="20"/>
      <c r="AV1" s="21"/>
    </row>
    <row r="2" spans="1:96" ht="21.75" customHeight="1" thickTop="1">
      <c r="A2" s="224" t="s">
        <v>81</v>
      </c>
      <c r="B2" s="797"/>
      <c r="C2" s="797"/>
      <c r="D2" s="797"/>
      <c r="E2" s="797"/>
      <c r="F2" s="797"/>
      <c r="G2" s="797"/>
      <c r="H2" s="6"/>
      <c r="I2" s="41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6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7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8"/>
      <c r="AH4" s="418"/>
      <c r="AI4" s="418"/>
      <c r="AJ4" s="418"/>
      <c r="AK4" s="6"/>
      <c r="AL4" s="6"/>
      <c r="AM4" s="6"/>
      <c r="AN4" s="6"/>
      <c r="AO4" s="419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0"/>
      <c r="E5" s="305"/>
      <c r="F5" s="305"/>
      <c r="G5" s="305"/>
      <c r="H5" s="6"/>
      <c r="I5" s="421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1"/>
      <c r="AH5" s="6"/>
      <c r="AI5" s="6"/>
      <c r="AJ5" s="6"/>
      <c r="AK5" s="6"/>
      <c r="AL5" s="6"/>
      <c r="AM5" s="6"/>
      <c r="AN5" s="9"/>
      <c r="AO5" s="422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8" t="s">
        <v>88</v>
      </c>
      <c r="BG5" s="799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0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7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8" t="s">
        <v>88</v>
      </c>
      <c r="BG6" s="799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3"/>
      <c r="D7" s="423"/>
      <c r="E7" s="423"/>
      <c r="F7" s="424"/>
      <c r="G7" s="423"/>
      <c r="H7" s="423"/>
      <c r="I7" s="423"/>
      <c r="J7" s="425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 t="s">
        <v>305</v>
      </c>
      <c r="AI7" s="423" t="s">
        <v>306</v>
      </c>
      <c r="AJ7" s="423"/>
      <c r="AK7" s="423"/>
      <c r="AL7" s="423"/>
      <c r="AM7" s="423"/>
      <c r="AN7" s="11" t="s">
        <v>91</v>
      </c>
      <c r="AO7" s="426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8" t="s">
        <v>87</v>
      </c>
      <c r="BG7" s="799"/>
      <c r="BH7" s="892"/>
      <c r="BO7" s="798" t="s">
        <v>108</v>
      </c>
      <c r="BP7" s="799"/>
      <c r="BQ7" s="892"/>
      <c r="BR7" s="884" t="s">
        <v>109</v>
      </c>
      <c r="BS7" s="885"/>
      <c r="BT7" s="886"/>
      <c r="BU7" s="887" t="s">
        <v>111</v>
      </c>
      <c r="BV7" s="888"/>
      <c r="BW7" s="889"/>
    </row>
    <row r="8" spans="1:96" ht="14.25" customHeight="1" thickTop="1" thickBot="1">
      <c r="A8" s="427" t="s">
        <v>50</v>
      </c>
      <c r="B8" s="890" t="s">
        <v>130</v>
      </c>
      <c r="C8" s="891"/>
      <c r="D8" s="890" t="s">
        <v>307</v>
      </c>
      <c r="E8" s="891"/>
      <c r="F8" s="890" t="s">
        <v>308</v>
      </c>
      <c r="G8" s="891"/>
      <c r="H8" s="890" t="s">
        <v>309</v>
      </c>
      <c r="I8" s="891"/>
      <c r="J8" s="874" t="s">
        <v>97</v>
      </c>
      <c r="K8" s="875"/>
      <c r="L8" s="874" t="s">
        <v>98</v>
      </c>
      <c r="M8" s="875"/>
      <c r="N8" s="874" t="s">
        <v>310</v>
      </c>
      <c r="O8" s="875"/>
      <c r="P8" s="874" t="s">
        <v>311</v>
      </c>
      <c r="Q8" s="875"/>
      <c r="R8" s="874" t="s">
        <v>165</v>
      </c>
      <c r="S8" s="875"/>
      <c r="T8" s="874" t="s">
        <v>166</v>
      </c>
      <c r="U8" s="875"/>
      <c r="V8" s="874" t="s">
        <v>312</v>
      </c>
      <c r="W8" s="875"/>
      <c r="X8" s="874" t="s">
        <v>313</v>
      </c>
      <c r="Y8" s="875"/>
      <c r="Z8" s="428" t="s">
        <v>135</v>
      </c>
      <c r="AA8" s="428" t="s">
        <v>136</v>
      </c>
      <c r="AB8" s="428" t="s">
        <v>137</v>
      </c>
      <c r="AC8" s="429" t="s">
        <v>134</v>
      </c>
      <c r="AD8" s="876" t="s">
        <v>138</v>
      </c>
      <c r="AE8" s="877"/>
      <c r="AF8" s="876" t="s">
        <v>141</v>
      </c>
      <c r="AG8" s="877"/>
      <c r="AH8" s="428" t="s">
        <v>145</v>
      </c>
      <c r="AI8" s="428" t="s">
        <v>147</v>
      </c>
      <c r="AJ8" s="428" t="s">
        <v>146</v>
      </c>
      <c r="AK8" s="428" t="s">
        <v>148</v>
      </c>
      <c r="AL8" s="428" t="s">
        <v>160</v>
      </c>
      <c r="AM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1" t="s">
        <v>143</v>
      </c>
      <c r="AP8" s="328" t="s">
        <v>139</v>
      </c>
      <c r="AQ8" s="328"/>
      <c r="AR8" s="328"/>
      <c r="AS8" s="431" t="s">
        <v>176</v>
      </c>
      <c r="AT8" s="431" t="s">
        <v>129</v>
      </c>
      <c r="AW8" s="867" t="s">
        <v>314</v>
      </c>
      <c r="AX8" s="868"/>
      <c r="AY8" s="868"/>
      <c r="AZ8" s="868"/>
      <c r="BA8" s="868"/>
      <c r="BB8" s="868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16</v>
      </c>
      <c r="D9" s="292">
        <f>'IMPORTAÇÃO GENOTIPER'!AI5</f>
        <v>16</v>
      </c>
      <c r="E9" s="292">
        <f>'IMPORTAÇÃO GENOTIPER'!AQ5</f>
        <v>16</v>
      </c>
      <c r="F9" s="432">
        <f>'IMPORTAÇÃO GENOTIPER'!BO5</f>
        <v>16</v>
      </c>
      <c r="G9" s="432">
        <f>'IMPORTAÇÃO GENOTIPER'!BW5</f>
        <v>17</v>
      </c>
      <c r="H9" s="432">
        <f>'IMPORTAÇÃO GENOTIPER'!CE5</f>
        <v>15</v>
      </c>
      <c r="I9" s="432">
        <f>'IMPORTAÇÃO GENOTIPER'!CM5</f>
        <v>15</v>
      </c>
      <c r="J9" s="433">
        <f>(IF(CODE(D9)=(60),($BL9-1),(IF(CODE(D9)=(62),($BM9+1),B9))))</f>
        <v>15</v>
      </c>
      <c r="K9" s="433">
        <f>(IF(CODE(E9)=(60),($BL9-1),(IF(CODE(E9)=(62),($BM9+1),C9))))</f>
        <v>16</v>
      </c>
      <c r="L9" s="433">
        <f>(IF(CODE(F9)=(60),($BL9-1),(IF(CODE(F9)=(62),($BM9+1),D9))))</f>
        <v>16</v>
      </c>
      <c r="M9" s="433">
        <f>(IF(CODE(G9)=(60),($BH9-1),(IF(CODE(G9)=(62),($BI9+1),E9))))</f>
        <v>16</v>
      </c>
      <c r="N9" s="433">
        <f>(IF(CODE(H9)=(60),($BL9-1),(IF(CODE(H9)=(62),($BM9+1),F9))))</f>
        <v>16</v>
      </c>
      <c r="O9" s="433">
        <f>(IF(CODE(I9)=(60),($BL9-1),(IF(CODE(I9)=(62),($BM9+1),G9))))</f>
        <v>17</v>
      </c>
      <c r="P9" s="433">
        <f>(IF(CODE(J9)=(60),($BL9-1),(IF(CODE(J9)=(62),($BM9+1),H9))))</f>
        <v>15</v>
      </c>
      <c r="Q9" s="433">
        <f>(IF(CODE(K9)=(60),($BL9-1),(IF(CODE(K9)=(62),($BM9+1),I9))))</f>
        <v>15</v>
      </c>
      <c r="R9" s="434">
        <f t="shared" ref="R9:T24" si="0">IF((J9&gt;K9),K9,J9)</f>
        <v>15</v>
      </c>
      <c r="S9" s="434">
        <f t="shared" ref="S9:S42" si="1">IF((K9&gt;J9),K9,J9)</f>
        <v>16</v>
      </c>
      <c r="T9" s="434">
        <f t="shared" si="0"/>
        <v>16</v>
      </c>
      <c r="U9" s="434">
        <f t="shared" ref="U9:U42" si="2">IF((M9&gt;L9),M9,L9)</f>
        <v>16</v>
      </c>
      <c r="V9" s="434">
        <f t="shared" ref="V9:V42" si="3">IF((N9&gt;O9),O9,N9)</f>
        <v>16</v>
      </c>
      <c r="W9" s="434">
        <f t="shared" ref="W9:W42" si="4">IF((O9&gt;N9),O9,N9)</f>
        <v>17</v>
      </c>
      <c r="X9" s="434">
        <f>IF((P9&gt;Q9),Q9,P9)</f>
        <v>15</v>
      </c>
      <c r="Y9" s="434">
        <f>IF((Q9&gt;P9),Q9,P9)</f>
        <v>15</v>
      </c>
      <c r="Z9" s="435">
        <f t="shared" ref="Z9:Z42" si="5">IF((T9=R9),T9,(IF((T9=S9),T9,0)))</f>
        <v>16</v>
      </c>
      <c r="AA9" s="435">
        <f t="shared" ref="AA9:AA42" si="6">IF((U9=R9),U9,(IF((U9=S9),U9,0)))</f>
        <v>16</v>
      </c>
      <c r="AB9" s="436">
        <f>(IF((OR((T9="&gt;18"),(U9="&gt;18"))),2,(IF(((Z9+AA9)=(T9+U9)),0,1))))</f>
        <v>0</v>
      </c>
      <c r="AC9" s="437">
        <f>IF(OR(($Z9=$AA9),($AA9=0)),$Z9,(IF(AND(($Z9=0),($AA9&lt;&gt;0)),$AA9,"NÃO DEF")))</f>
        <v>16</v>
      </c>
      <c r="AD9" s="438">
        <f>(IF((AC9&lt;&gt;"NÃO DEF"),(T9+U9-AC9),T9))</f>
        <v>16</v>
      </c>
      <c r="AE9" s="438">
        <f>(IF((AC9&lt;&gt;"NÃO DEF"),0,U9))</f>
        <v>0</v>
      </c>
      <c r="AF9" s="439">
        <f>(IF(OR((AD9=V9),(AD9=W9),(AD9=X9),(AD9=Y9)),AD9,0))</f>
        <v>16</v>
      </c>
      <c r="AG9" s="440">
        <f>(IF((AE9&lt;&gt;0),(IF(OR((AE9=V9),(AE9=W9),(AE9=X9),(AE9=Y9)),AE9,(IF(AND((AC9="NÃO DEF"),(OR((AE9=V9),(AE9=W9),(AE9=X9),(AE9=Y9),(AF9=V9),(AF9=W9),(AF9=X9),(AF9=Y9)))),0,0)))),0))</f>
        <v>0</v>
      </c>
      <c r="AH9" s="441">
        <f>IF(AF9=0,0,VLOOKUP(AF9,FREQUENCIAS!$1:$1048576,(IF(($A9=FREQUENCIAS!$B$1),2,"ERRO")),FREQUENCIAS!$1:$1048576))</f>
        <v>0.27030799999999999</v>
      </c>
      <c r="AI9" s="441">
        <f>IF(AG9=0,0,VLOOKUP(AG9,FREQUENCIAS!$1:$1048576,(IF(($A9=FREQUENCIAS!$B$1),2,"ERRO")),FREQUENCIAS!$1:$1048576))</f>
        <v>0</v>
      </c>
      <c r="AJ9" s="442"/>
      <c r="AK9" s="442"/>
      <c r="AL9" s="442"/>
      <c r="AM9" s="120">
        <f>IF(B9=0,1,(IF((A9="ERRO-FT"),"11",(IF((AND(($AF9=0),($AG9=0),(AX$43="S"))),0,(IF(SUM(AH9:AL9)&lt;=$AO$7,$AO$7,SUM(AH9:AL9))))))))</f>
        <v>0.27030799999999999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0.92487088802403183</v>
      </c>
      <c r="AO9" s="122">
        <f t="shared" ref="AO9:AO42" si="8">(IF((A9="ERRO-FT"),"ERRO",(IF((AN9=0),0,(AN9/(AN9+1))))))</f>
        <v>0.48048463602327851</v>
      </c>
      <c r="AP9" s="328"/>
      <c r="AQ9" s="443">
        <f t="shared" ref="AQ9:AQ41" si="9">(IF((AND((BD9=1),($BD$43=1),($AS$43="MUT"))),0,((1-AM9)^2)))</f>
        <v>0.53245041486400002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1 / 4F</v>
      </c>
      <c r="AT9" s="432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0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0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0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0</v>
      </c>
      <c r="BD9" s="444">
        <f>IF(($AM9=0),1,0)</f>
        <v>0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0.92487088802403183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CORRETO</v>
      </c>
      <c r="BO9" s="445" t="str">
        <f t="shared" ref="BO9:BO42" si="12">IF(($AC9=($BL9-1)),"&lt;",IF(($AC9=($BM9+1)),"&gt;",""))</f>
        <v/>
      </c>
      <c r="BP9" s="445">
        <f t="shared" ref="BP9:BP42" si="13">IF(($AC9=($BL9-1)),$BL9,IF(($AC9=($BM9-1)),$BM9,$AC9))</f>
        <v>16</v>
      </c>
      <c r="BQ9" s="445">
        <f t="shared" ref="BQ9:BQ42" si="14">(IF((OR(($AC9=($BL9-1)),($AC9=($BM9+1)))),(CONCATENATE((BO9),(BP9))),$AC9))</f>
        <v>16</v>
      </c>
      <c r="BR9" s="446" t="str">
        <f t="shared" ref="BR9:BR42" si="15">IF(($AF9=($BL9-1)),"&lt;",IF(($AF9=($BM9+1)),"&gt;",""))</f>
        <v/>
      </c>
      <c r="BS9" s="446">
        <f t="shared" ref="BS9:BS42" si="16">IF(($AF9=($BL9-1)),$BL9,IF(($AF9=($BM9+1)),$BM9,$AF9))</f>
        <v>16</v>
      </c>
      <c r="BT9" s="446">
        <f t="shared" ref="BT9:BT42" si="17">(IF((OR(($AF9=($BL9-1)),($AF9=($BM9+1)))),(CONCATENATE((BR9),(BS9))),$AF9))</f>
        <v>16</v>
      </c>
      <c r="BU9" s="438" t="str">
        <f>IF(($AG9=($BL9-1)),"&lt;",IF(($AG9=($BM9+1)),"&gt;",""))</f>
        <v/>
      </c>
      <c r="BV9" s="438">
        <f t="shared" ref="BV9:BV42" si="18">IF((AG9=($BL9-1)),BM9,IF((AG9=($BM9+1)),$BM9,AG9))</f>
        <v>0</v>
      </c>
      <c r="BW9" s="438">
        <f t="shared" ref="BW9:BW42" si="19">(IF((OR(($AG9=($BL9-1)),($AG9=($BM9+1)))),(CONCATENATE((BU9),(BV9))),$AG9))</f>
        <v>0</v>
      </c>
      <c r="BZ9" s="447">
        <v>9</v>
      </c>
      <c r="CA9" s="448" t="s">
        <v>103</v>
      </c>
      <c r="CJ9" s="1">
        <f t="shared" ref="CJ9:CJ42" si="20">IF((F9=AF9),1,0)</f>
        <v>1</v>
      </c>
      <c r="CK9" s="1">
        <f t="shared" ref="CK9:CK42" si="21">IF((G9=AF9),1,0)</f>
        <v>0</v>
      </c>
      <c r="CL9" s="1">
        <f t="shared" ref="CL9:CL42" si="22">IF((H9=AF9),1,0)</f>
        <v>0</v>
      </c>
      <c r="CM9" s="1">
        <f t="shared" ref="CM9:CM42" si="23">IF((I9=AF9),1,0)</f>
        <v>0</v>
      </c>
      <c r="CN9" s="1">
        <f t="shared" ref="CN9:CN42" si="24">IF((F9=AG9),1,0)</f>
        <v>0</v>
      </c>
      <c r="CO9" s="1">
        <f t="shared" ref="CO9:CO42" si="25">IF((G9=AG9),1,0)</f>
        <v>0</v>
      </c>
      <c r="CP9" s="1">
        <f t="shared" ref="CP9:CP42" si="26">IF((H9=AG9),1,0)</f>
        <v>0</v>
      </c>
      <c r="CQ9" s="1">
        <f t="shared" ref="CQ9:CQ42" si="27">IF((I9=AG9),1,0)</f>
        <v>0</v>
      </c>
      <c r="CR9" s="1">
        <f t="shared" ref="CR9:CR22" si="28">SUM(CJ9:CQ9)</f>
        <v>1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15</v>
      </c>
      <c r="C10" s="292">
        <f>'IMPORTAÇÃO GENOTIPER'!AA6</f>
        <v>17</v>
      </c>
      <c r="D10" s="292">
        <f>'IMPORTAÇÃO GENOTIPER'!AI6</f>
        <v>16</v>
      </c>
      <c r="E10" s="292">
        <f>'IMPORTAÇÃO GENOTIPER'!AQ6</f>
        <v>17</v>
      </c>
      <c r="F10" s="432">
        <f>'IMPORTAÇÃO GENOTIPER'!BO6</f>
        <v>15</v>
      </c>
      <c r="G10" s="432">
        <f>'IMPORTAÇÃO GENOTIPER'!BW6</f>
        <v>17</v>
      </c>
      <c r="H10" s="432">
        <f>'IMPORTAÇÃO GENOTIPER'!CE6</f>
        <v>16</v>
      </c>
      <c r="I10" s="432">
        <f>'IMPORTAÇÃO GENOTIPER'!CM6</f>
        <v>17.3</v>
      </c>
      <c r="J10" s="433">
        <f t="shared" ref="J10:L25" si="29">(IF(CODE(D10)=(60),($BL10-1),(IF(CODE(D10)=(62),($BM10+1),B10))))</f>
        <v>15</v>
      </c>
      <c r="K10" s="433">
        <f t="shared" si="29"/>
        <v>17</v>
      </c>
      <c r="L10" s="433">
        <f t="shared" si="29"/>
        <v>16</v>
      </c>
      <c r="M10" s="433">
        <f t="shared" ref="M10:M42" si="30">(IF(CODE(G10)=(60),($BH10-1),(IF(CODE(G10)=(62),($BI10+1),E10))))</f>
        <v>17</v>
      </c>
      <c r="N10" s="433">
        <f t="shared" ref="N10:Q25" si="31">(IF(CODE(H10)=(60),($BL10-1),(IF(CODE(H10)=(62),($BM10+1),F10))))</f>
        <v>15</v>
      </c>
      <c r="O10" s="433">
        <f t="shared" si="31"/>
        <v>17</v>
      </c>
      <c r="P10" s="433">
        <f t="shared" si="31"/>
        <v>16</v>
      </c>
      <c r="Q10" s="433">
        <f t="shared" si="31"/>
        <v>17.3</v>
      </c>
      <c r="R10" s="434">
        <f t="shared" si="0"/>
        <v>15</v>
      </c>
      <c r="S10" s="434">
        <f t="shared" si="1"/>
        <v>17</v>
      </c>
      <c r="T10" s="434">
        <f t="shared" si="0"/>
        <v>16</v>
      </c>
      <c r="U10" s="434">
        <f t="shared" si="2"/>
        <v>17</v>
      </c>
      <c r="V10" s="434">
        <f t="shared" si="3"/>
        <v>15</v>
      </c>
      <c r="W10" s="434">
        <f t="shared" si="4"/>
        <v>17</v>
      </c>
      <c r="X10" s="434">
        <f t="shared" ref="X10:X42" si="32">IF((P10&gt;Q10),Q10,P10)</f>
        <v>16</v>
      </c>
      <c r="Y10" s="434">
        <f t="shared" ref="Y10:Y42" si="33">IF((Q10&gt;P10),Q10,P10)</f>
        <v>17.3</v>
      </c>
      <c r="Z10" s="435">
        <f t="shared" si="5"/>
        <v>0</v>
      </c>
      <c r="AA10" s="435">
        <f t="shared" si="6"/>
        <v>17</v>
      </c>
      <c r="AB10" s="436">
        <f>(IF((OR((T10="&gt;36"),(U10="&gt;36"))),2,(IF(((Z10+AA10)=(T10+U10)),0,1))))</f>
        <v>1</v>
      </c>
      <c r="AC10" s="437">
        <f t="shared" ref="AC10:AC42" si="34">IF(OR((Z10=AA10),(AA10=0)),Z10,(IF(AND((Z10=0),(AA10&lt;&gt;0)),AA10,$AP$7)))</f>
        <v>17</v>
      </c>
      <c r="AD10" s="438">
        <f t="shared" ref="AD10:AD42" si="35">(IF((AC10&lt;&gt;"NÃO DEF"),(T10+U10-AC10),T10))</f>
        <v>16</v>
      </c>
      <c r="AE10" s="438">
        <f t="shared" ref="AE10:AE42" si="36">(IF((AC10&lt;&gt;"NÃO DEF"),0,U10))</f>
        <v>0</v>
      </c>
      <c r="AF10" s="439">
        <f t="shared" ref="AF10:AF42" si="37">(IF(OR((AD10=V10),(AD10=W10),(AD10=X10),(AD10=Y10)),AD10,0))</f>
        <v>16</v>
      </c>
      <c r="AG10" s="440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1">
        <f>IF(AF10=0,0,VLOOKUP(AF10,FREQUENCIAS!$1:$1048576,(IF(($A10=FREQUENCIAS!$C$1),3,"ERRO")),FREQUENCIAS!$1:$1048576))</f>
        <v>0.1328</v>
      </c>
      <c r="AI10" s="441">
        <f>IF(AG10=0,0,VLOOKUP(AG10,FREQUENCIAS!$1:$1048576,(IF(($A10=FREQUENCIAS!$C$1),3,"ERRO")),FREQUENCIAS!$1:$1048576))</f>
        <v>0</v>
      </c>
      <c r="AJ10" s="442"/>
      <c r="AK10" s="442"/>
      <c r="AL10" s="442"/>
      <c r="AM10" s="120">
        <f t="shared" ref="AM10:AM42" si="39">IF(B10=0,1,(IF((A10="ERRO-FT"),"11",(IF((AND(($AF10=0),($AG10=0),(AX$43="S"))),0,(IF(SUM(AH10:AL10)&lt;=$AO$7,$AO$7,SUM(AH10:AL10))))))))</f>
        <v>0.1328</v>
      </c>
      <c r="AN10" s="121">
        <f t="shared" si="7"/>
        <v>1.8825301204819276</v>
      </c>
      <c r="AO10" s="122">
        <f t="shared" si="8"/>
        <v>0.6530825496342737</v>
      </c>
      <c r="AP10" s="328"/>
      <c r="AQ10" s="443">
        <f t="shared" si="9"/>
        <v>0.7520358399999999</v>
      </c>
      <c r="AR10" s="328"/>
      <c r="AS10" s="125" t="str">
        <f t="shared" si="10"/>
        <v>1 / 4F</v>
      </c>
      <c r="AT10" s="432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0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0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0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0</v>
      </c>
      <c r="BC10" s="1" t="s">
        <v>318</v>
      </c>
      <c r="BD10" s="444">
        <f t="shared" ref="BD10:BD42" si="41">IF(($AM10=0),1,0)</f>
        <v>0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1.8825301204819276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5" t="str">
        <f t="shared" si="12"/>
        <v/>
      </c>
      <c r="BP10" s="445">
        <f t="shared" si="13"/>
        <v>17</v>
      </c>
      <c r="BQ10" s="445">
        <f t="shared" si="14"/>
        <v>17</v>
      </c>
      <c r="BR10" s="446" t="str">
        <f t="shared" si="15"/>
        <v/>
      </c>
      <c r="BS10" s="449">
        <f t="shared" si="16"/>
        <v>16</v>
      </c>
      <c r="BT10" s="446">
        <f t="shared" si="17"/>
        <v>16</v>
      </c>
      <c r="BU10" s="438" t="str">
        <f t="shared" ref="BU10:BU42" si="44">IF(($AG10=($BL10-1)),"&lt;",IF(($AG10=($BM10+1)),"&gt;",""))</f>
        <v/>
      </c>
      <c r="BV10" s="438">
        <f t="shared" si="18"/>
        <v>0</v>
      </c>
      <c r="BW10" s="438">
        <f t="shared" si="19"/>
        <v>0</v>
      </c>
      <c r="BZ10" s="447">
        <v>24</v>
      </c>
      <c r="CA10" s="448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0</v>
      </c>
      <c r="CK10" s="1">
        <f t="shared" si="21"/>
        <v>0</v>
      </c>
      <c r="CL10" s="1">
        <f t="shared" si="22"/>
        <v>1</v>
      </c>
      <c r="CM10" s="1">
        <f t="shared" si="23"/>
        <v>0</v>
      </c>
      <c r="CN10" s="1">
        <f t="shared" si="24"/>
        <v>0</v>
      </c>
      <c r="CO10" s="1">
        <f t="shared" si="25"/>
        <v>0</v>
      </c>
      <c r="CP10" s="1">
        <f t="shared" si="26"/>
        <v>0</v>
      </c>
      <c r="CQ10" s="1">
        <f t="shared" si="27"/>
        <v>0</v>
      </c>
      <c r="CR10" s="1">
        <f t="shared" si="28"/>
        <v>1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10</v>
      </c>
      <c r="D11" s="292">
        <f>'IMPORTAÇÃO GENOTIPER'!AI7</f>
        <v>10</v>
      </c>
      <c r="E11" s="292">
        <f>'IMPORTAÇÃO GENOTIPER'!AQ7</f>
        <v>12</v>
      </c>
      <c r="F11" s="432">
        <f>'IMPORTAÇÃO GENOTIPER'!BO7</f>
        <v>10</v>
      </c>
      <c r="G11" s="432">
        <f>'IMPORTAÇÃO GENOTIPER'!BW7</f>
        <v>14</v>
      </c>
      <c r="H11" s="432">
        <f>'IMPORTAÇÃO GENOTIPER'!CE7</f>
        <v>10</v>
      </c>
      <c r="I11" s="432">
        <f>'IMPORTAÇÃO GENOTIPER'!CM7</f>
        <v>12</v>
      </c>
      <c r="J11" s="433">
        <f t="shared" si="29"/>
        <v>10</v>
      </c>
      <c r="K11" s="433">
        <f t="shared" si="29"/>
        <v>10</v>
      </c>
      <c r="L11" s="433">
        <f t="shared" si="29"/>
        <v>10</v>
      </c>
      <c r="M11" s="433">
        <f t="shared" si="30"/>
        <v>12</v>
      </c>
      <c r="N11" s="433">
        <f t="shared" si="31"/>
        <v>10</v>
      </c>
      <c r="O11" s="433">
        <f t="shared" si="31"/>
        <v>14</v>
      </c>
      <c r="P11" s="433">
        <f t="shared" si="31"/>
        <v>10</v>
      </c>
      <c r="Q11" s="433">
        <f t="shared" si="31"/>
        <v>12</v>
      </c>
      <c r="R11" s="434">
        <f t="shared" si="0"/>
        <v>10</v>
      </c>
      <c r="S11" s="434">
        <f t="shared" si="1"/>
        <v>10</v>
      </c>
      <c r="T11" s="434">
        <f t="shared" si="0"/>
        <v>10</v>
      </c>
      <c r="U11" s="434">
        <f t="shared" si="2"/>
        <v>12</v>
      </c>
      <c r="V11" s="434">
        <f t="shared" si="3"/>
        <v>10</v>
      </c>
      <c r="W11" s="434">
        <f t="shared" si="4"/>
        <v>14</v>
      </c>
      <c r="X11" s="434">
        <f t="shared" si="32"/>
        <v>10</v>
      </c>
      <c r="Y11" s="434">
        <f t="shared" si="33"/>
        <v>12</v>
      </c>
      <c r="Z11" s="435">
        <f t="shared" si="5"/>
        <v>10</v>
      </c>
      <c r="AA11" s="435">
        <f t="shared" si="6"/>
        <v>0</v>
      </c>
      <c r="AB11" s="436">
        <f>(IF((OR((T11="&gt;22"),(U11="&gt;22"))),2,(IF(((Z11+AA11)=(T11+U11)),0,1))))</f>
        <v>1</v>
      </c>
      <c r="AC11" s="437">
        <f t="shared" si="34"/>
        <v>10</v>
      </c>
      <c r="AD11" s="438">
        <f t="shared" si="35"/>
        <v>12</v>
      </c>
      <c r="AE11" s="438">
        <f t="shared" si="36"/>
        <v>0</v>
      </c>
      <c r="AF11" s="439">
        <f t="shared" si="37"/>
        <v>12</v>
      </c>
      <c r="AG11" s="440">
        <f t="shared" si="38"/>
        <v>0</v>
      </c>
      <c r="AH11" s="441">
        <f>IF(AF11=0,0,VLOOKUP(AF11,FREQUENCIAS!$1:$1048576,(IF(($A11=FREQUENCIAS!$D$1),4,"ERRO")),FREQUENCIAS!$1:$1048576))</f>
        <v>7.3099999999999998E-2</v>
      </c>
      <c r="AI11" s="441">
        <f>IF(AG11=0,0,VLOOKUP(AG11,FREQUENCIAS!$1:$1048576,(IF(($A11=FREQUENCIAS!$D$1),4,"ERRO")),FREQUENCIAS!$1:$1048576))</f>
        <v>0</v>
      </c>
      <c r="AJ11" s="442"/>
      <c r="AK11" s="442"/>
      <c r="AL11" s="442"/>
      <c r="AM11" s="120">
        <f t="shared" si="39"/>
        <v>7.3099999999999998E-2</v>
      </c>
      <c r="AN11" s="121">
        <f t="shared" si="7"/>
        <v>3.4199726402188784</v>
      </c>
      <c r="AO11" s="122">
        <f t="shared" si="8"/>
        <v>0.77375425564840605</v>
      </c>
      <c r="AP11" s="328"/>
      <c r="AQ11" s="443">
        <f t="shared" si="9"/>
        <v>0.85914361000000006</v>
      </c>
      <c r="AR11" s="328"/>
      <c r="AS11" s="125" t="str">
        <f t="shared" si="10"/>
        <v>1 / 4F</v>
      </c>
      <c r="AT11" s="432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0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0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0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0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0</v>
      </c>
      <c r="BD11" s="444">
        <f t="shared" si="41"/>
        <v>0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0">
        <f>IF($A11=FREQUENCIAS!$D$1,FREQUENCIAS!$D$3,"ERRO NA MUT")</f>
        <v>2.7000000000000001E-3</v>
      </c>
      <c r="BI11" s="40">
        <f t="shared" si="11"/>
        <v>3.4199726402188784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O11" s="445" t="str">
        <f t="shared" si="12"/>
        <v/>
      </c>
      <c r="BP11" s="445">
        <f t="shared" si="13"/>
        <v>10</v>
      </c>
      <c r="BQ11" s="445">
        <f t="shared" si="14"/>
        <v>10</v>
      </c>
      <c r="BR11" s="446" t="str">
        <f t="shared" si="15"/>
        <v/>
      </c>
      <c r="BS11" s="446">
        <f t="shared" si="16"/>
        <v>12</v>
      </c>
      <c r="BT11" s="446">
        <f t="shared" si="17"/>
        <v>12</v>
      </c>
      <c r="BU11" s="438" t="str">
        <f t="shared" si="44"/>
        <v/>
      </c>
      <c r="BV11" s="438">
        <f t="shared" si="18"/>
        <v>0</v>
      </c>
      <c r="BW11" s="438">
        <f t="shared" si="19"/>
        <v>0</v>
      </c>
      <c r="BZ11" s="447">
        <v>10</v>
      </c>
      <c r="CA11" s="448">
        <v>10</v>
      </c>
      <c r="CJ11" s="1">
        <f t="shared" si="20"/>
        <v>0</v>
      </c>
      <c r="CK11" s="1">
        <f t="shared" si="21"/>
        <v>0</v>
      </c>
      <c r="CL11" s="1">
        <f t="shared" si="22"/>
        <v>0</v>
      </c>
      <c r="CM11" s="1">
        <f t="shared" si="23"/>
        <v>1</v>
      </c>
      <c r="CN11" s="1">
        <f t="shared" si="24"/>
        <v>0</v>
      </c>
      <c r="CO11" s="1">
        <f t="shared" si="25"/>
        <v>0</v>
      </c>
      <c r="CP11" s="1">
        <f t="shared" si="26"/>
        <v>0</v>
      </c>
      <c r="CQ11" s="1">
        <f t="shared" si="27"/>
        <v>0</v>
      </c>
      <c r="CR11" s="1">
        <f t="shared" si="28"/>
        <v>1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13</v>
      </c>
      <c r="C12" s="296">
        <f>'IMPORTAÇÃO GENOTIPER'!AA8</f>
        <v>16</v>
      </c>
      <c r="D12" s="296">
        <f>'IMPORTAÇÃO GENOTIPER'!AI8</f>
        <v>13</v>
      </c>
      <c r="E12" s="296">
        <f>'IMPORTAÇÃO GENOTIPER'!AQ8</f>
        <v>13</v>
      </c>
      <c r="F12" s="432">
        <f>'IMPORTAÇÃO GENOTIPER'!BO8</f>
        <v>13</v>
      </c>
      <c r="G12" s="432">
        <f>'IMPORTAÇÃO GENOTIPER'!BW8</f>
        <v>14</v>
      </c>
      <c r="H12" s="432">
        <f>'IMPORTAÇÃO GENOTIPER'!CE8</f>
        <v>15</v>
      </c>
      <c r="I12" s="432">
        <f>'IMPORTAÇÃO GENOTIPER'!CM8</f>
        <v>16</v>
      </c>
      <c r="J12" s="433">
        <f t="shared" si="29"/>
        <v>13</v>
      </c>
      <c r="K12" s="433">
        <f t="shared" si="29"/>
        <v>16</v>
      </c>
      <c r="L12" s="433">
        <f t="shared" si="29"/>
        <v>13</v>
      </c>
      <c r="M12" s="433">
        <f t="shared" si="30"/>
        <v>13</v>
      </c>
      <c r="N12" s="433">
        <f t="shared" si="31"/>
        <v>13</v>
      </c>
      <c r="O12" s="433">
        <f t="shared" si="31"/>
        <v>14</v>
      </c>
      <c r="P12" s="433">
        <f t="shared" si="31"/>
        <v>15</v>
      </c>
      <c r="Q12" s="433">
        <f t="shared" si="31"/>
        <v>16</v>
      </c>
      <c r="R12" s="434">
        <f t="shared" si="0"/>
        <v>13</v>
      </c>
      <c r="S12" s="434">
        <f t="shared" si="1"/>
        <v>16</v>
      </c>
      <c r="T12" s="434">
        <f t="shared" si="0"/>
        <v>13</v>
      </c>
      <c r="U12" s="434">
        <f t="shared" si="2"/>
        <v>13</v>
      </c>
      <c r="V12" s="434">
        <f t="shared" si="3"/>
        <v>13</v>
      </c>
      <c r="W12" s="434">
        <f t="shared" si="4"/>
        <v>14</v>
      </c>
      <c r="X12" s="434">
        <f t="shared" si="32"/>
        <v>15</v>
      </c>
      <c r="Y12" s="434">
        <f t="shared" si="33"/>
        <v>16</v>
      </c>
      <c r="Z12" s="435">
        <f t="shared" si="5"/>
        <v>13</v>
      </c>
      <c r="AA12" s="435">
        <f t="shared" si="6"/>
        <v>13</v>
      </c>
      <c r="AB12" s="436">
        <f>(IF((OR((T12="&gt;21"),(U12="&gt;21"))),2,(IF(((Z12+AA12)=(T12+U12)),0,1))))</f>
        <v>0</v>
      </c>
      <c r="AC12" s="435">
        <f t="shared" si="34"/>
        <v>13</v>
      </c>
      <c r="AD12" s="438">
        <f t="shared" si="35"/>
        <v>13</v>
      </c>
      <c r="AE12" s="438">
        <f t="shared" si="36"/>
        <v>0</v>
      </c>
      <c r="AF12" s="439">
        <f t="shared" si="37"/>
        <v>13</v>
      </c>
      <c r="AG12" s="440">
        <f t="shared" si="38"/>
        <v>0</v>
      </c>
      <c r="AH12" s="451">
        <f>IF(AF12=0,0,VLOOKUP(AF12,FREQUENCIAS!$1:$1048576,(IF(($A12=FREQUENCIAS!$E$1),5,"ERRO")),FREQUENCIAS!$1:$1048576))</f>
        <v>0.27010000000000001</v>
      </c>
      <c r="AI12" s="451">
        <f>IF(AG12=0,0,VLOOKUP(AG12,FREQUENCIAS!$1:$1048576,(IF(($A12=FREQUENCIAS!$E$1),5,"ERRO")),FREQUENCIAS!$1:$1048576))</f>
        <v>0</v>
      </c>
      <c r="AJ12" s="442"/>
      <c r="AK12" s="442"/>
      <c r="AL12" s="442"/>
      <c r="AM12" s="120">
        <f t="shared" si="39"/>
        <v>0.27010000000000001</v>
      </c>
      <c r="AN12" s="121">
        <f t="shared" si="7"/>
        <v>0.92558311736393928</v>
      </c>
      <c r="AO12" s="122">
        <f t="shared" si="8"/>
        <v>0.4806767929244376</v>
      </c>
      <c r="AP12" s="328" t="s">
        <v>140</v>
      </c>
      <c r="AQ12" s="443">
        <f t="shared" si="9"/>
        <v>0.53275401</v>
      </c>
      <c r="AR12" s="328"/>
      <c r="AS12" s="125" t="str">
        <f t="shared" si="10"/>
        <v>1 / 4F</v>
      </c>
      <c r="AT12" s="432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0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0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0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0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0</v>
      </c>
      <c r="BD12" s="444">
        <f t="shared" si="41"/>
        <v>0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0">
        <f>IF($A12=FREQUENCIAS!$E$1,FREQUENCIAS!$E$3,"ERRO NA MUT")</f>
        <v>2.7000000000000001E-3</v>
      </c>
      <c r="BI12" s="40">
        <f t="shared" si="11"/>
        <v>0.92558311736393928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5" t="str">
        <f t="shared" si="12"/>
        <v/>
      </c>
      <c r="BP12" s="445">
        <f t="shared" si="13"/>
        <v>13</v>
      </c>
      <c r="BQ12" s="445">
        <f t="shared" si="14"/>
        <v>13</v>
      </c>
      <c r="BR12" s="446" t="str">
        <f t="shared" si="15"/>
        <v/>
      </c>
      <c r="BS12" s="446">
        <f t="shared" si="16"/>
        <v>13</v>
      </c>
      <c r="BT12" s="446">
        <f t="shared" si="17"/>
        <v>13</v>
      </c>
      <c r="BU12" s="438" t="str">
        <f t="shared" si="44"/>
        <v/>
      </c>
      <c r="BV12" s="438">
        <f t="shared" si="18"/>
        <v>0</v>
      </c>
      <c r="BW12" s="438">
        <f t="shared" si="19"/>
        <v>0</v>
      </c>
      <c r="BZ12" s="447">
        <v>9</v>
      </c>
      <c r="CA12" s="448">
        <v>12</v>
      </c>
      <c r="CJ12" s="1">
        <f t="shared" si="20"/>
        <v>1</v>
      </c>
      <c r="CK12" s="1">
        <f t="shared" si="21"/>
        <v>0</v>
      </c>
      <c r="CL12" s="1">
        <f t="shared" si="22"/>
        <v>0</v>
      </c>
      <c r="CM12" s="1">
        <f t="shared" si="23"/>
        <v>0</v>
      </c>
      <c r="CN12" s="1">
        <f t="shared" si="24"/>
        <v>0</v>
      </c>
      <c r="CO12" s="1">
        <f t="shared" si="25"/>
        <v>0</v>
      </c>
      <c r="CP12" s="1">
        <f t="shared" si="26"/>
        <v>0</v>
      </c>
      <c r="CQ12" s="1">
        <f t="shared" si="27"/>
        <v>0</v>
      </c>
      <c r="CR12" s="1">
        <f t="shared" si="28"/>
        <v>1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11</v>
      </c>
      <c r="C13" s="292">
        <f>'IMPORTAÇÃO GENOTIPER'!AA9</f>
        <v>12</v>
      </c>
      <c r="D13" s="292">
        <f>'IMPORTAÇÃO GENOTIPER'!AI9</f>
        <v>12</v>
      </c>
      <c r="E13" s="292">
        <f>'IMPORTAÇÃO GENOTIPER'!AQ9</f>
        <v>12</v>
      </c>
      <c r="F13" s="432">
        <f>'IMPORTAÇÃO GENOTIPER'!BO9</f>
        <v>12</v>
      </c>
      <c r="G13" s="432">
        <f>'IMPORTAÇÃO GENOTIPER'!BW9</f>
        <v>12</v>
      </c>
      <c r="H13" s="432">
        <f>'IMPORTAÇÃO GENOTIPER'!CE9</f>
        <v>9</v>
      </c>
      <c r="I13" s="432">
        <f>'IMPORTAÇÃO GENOTIPER'!CM9</f>
        <v>12</v>
      </c>
      <c r="J13" s="433">
        <f t="shared" si="29"/>
        <v>11</v>
      </c>
      <c r="K13" s="433">
        <f t="shared" si="29"/>
        <v>12</v>
      </c>
      <c r="L13" s="433">
        <f t="shared" si="29"/>
        <v>12</v>
      </c>
      <c r="M13" s="433">
        <f t="shared" si="30"/>
        <v>12</v>
      </c>
      <c r="N13" s="433">
        <f t="shared" si="31"/>
        <v>12</v>
      </c>
      <c r="O13" s="433">
        <f t="shared" si="31"/>
        <v>12</v>
      </c>
      <c r="P13" s="433">
        <f t="shared" si="31"/>
        <v>9</v>
      </c>
      <c r="Q13" s="433">
        <f t="shared" si="31"/>
        <v>12</v>
      </c>
      <c r="R13" s="434">
        <f t="shared" si="0"/>
        <v>11</v>
      </c>
      <c r="S13" s="434">
        <f t="shared" si="1"/>
        <v>12</v>
      </c>
      <c r="T13" s="434">
        <f t="shared" si="0"/>
        <v>12</v>
      </c>
      <c r="U13" s="434">
        <f t="shared" si="2"/>
        <v>12</v>
      </c>
      <c r="V13" s="434">
        <f t="shared" si="3"/>
        <v>12</v>
      </c>
      <c r="W13" s="434">
        <f t="shared" si="4"/>
        <v>12</v>
      </c>
      <c r="X13" s="434">
        <f t="shared" si="32"/>
        <v>9</v>
      </c>
      <c r="Y13" s="434">
        <f t="shared" si="33"/>
        <v>12</v>
      </c>
      <c r="Z13" s="435">
        <f t="shared" si="5"/>
        <v>12</v>
      </c>
      <c r="AA13" s="435">
        <f t="shared" si="6"/>
        <v>12</v>
      </c>
      <c r="AB13" s="436">
        <f>(IF((OR((T13="&gt;21"),(U13="&gt;21"))),2,(IF(((Z13+AA13)=(T13+U13)),0,1))))</f>
        <v>0</v>
      </c>
      <c r="AC13" s="437">
        <f t="shared" si="34"/>
        <v>12</v>
      </c>
      <c r="AD13" s="438">
        <f t="shared" si="35"/>
        <v>12</v>
      </c>
      <c r="AE13" s="438">
        <f t="shared" si="36"/>
        <v>0</v>
      </c>
      <c r="AF13" s="439">
        <f t="shared" si="37"/>
        <v>12</v>
      </c>
      <c r="AG13" s="440">
        <f t="shared" si="38"/>
        <v>0</v>
      </c>
      <c r="AH13" s="441">
        <f>IF(AF13=0,0,VLOOKUP(AF13,FREQUENCIAS!$1:$1048576,(IF(($A13=FREQUENCIAS!$F$1),6,"ERRO")),FREQUENCIAS!$1:$1048576))</f>
        <v>0.29337999999999997</v>
      </c>
      <c r="AI13" s="441">
        <f>IF(AG13=0,0,VLOOKUP(AG13,FREQUENCIAS!$1:$1048576,(IF(($A13=FREQUENCIAS!$F$1),6,"ERRO")),FREQUENCIAS!$1:$1048576))</f>
        <v>0</v>
      </c>
      <c r="AJ13" s="442"/>
      <c r="AK13" s="442"/>
      <c r="AL13" s="442"/>
      <c r="AM13" s="120">
        <f t="shared" si="39"/>
        <v>0.29337999999999997</v>
      </c>
      <c r="AN13" s="121">
        <f t="shared" si="7"/>
        <v>2.5564114799918198</v>
      </c>
      <c r="AO13" s="122">
        <f t="shared" si="8"/>
        <v>0.71881768866568274</v>
      </c>
      <c r="AP13" s="328" t="s">
        <v>163</v>
      </c>
      <c r="AQ13" s="443">
        <f t="shared" si="9"/>
        <v>0.49931182440000005</v>
      </c>
      <c r="AR13" s="328"/>
      <c r="AS13" s="125" t="str">
        <f t="shared" si="10"/>
        <v>3 / 4F</v>
      </c>
      <c r="AT13" s="432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4">
        <f t="shared" si="41"/>
        <v>0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0">
        <f>IF($A13=FREQUENCIAS!$F$1,FREQUENCIAS!$F$3,"ERRO NA MUT")</f>
        <v>1.4E-3</v>
      </c>
      <c r="BI13" s="40">
        <f t="shared" si="11"/>
        <v>2.5564114799918198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5" t="str">
        <f t="shared" si="12"/>
        <v/>
      </c>
      <c r="BP13" s="445">
        <f t="shared" si="13"/>
        <v>12</v>
      </c>
      <c r="BQ13" s="445">
        <f t="shared" si="14"/>
        <v>12</v>
      </c>
      <c r="BR13" s="446" t="str">
        <f t="shared" si="15"/>
        <v/>
      </c>
      <c r="BS13" s="446">
        <f t="shared" si="16"/>
        <v>12</v>
      </c>
      <c r="BT13" s="446">
        <f t="shared" si="17"/>
        <v>12</v>
      </c>
      <c r="BU13" s="438" t="str">
        <f t="shared" si="44"/>
        <v/>
      </c>
      <c r="BV13" s="438">
        <f t="shared" si="18"/>
        <v>0</v>
      </c>
      <c r="BW13" s="438">
        <f t="shared" si="19"/>
        <v>0</v>
      </c>
      <c r="BZ13" s="447">
        <v>12</v>
      </c>
      <c r="CA13" s="448">
        <v>15</v>
      </c>
      <c r="CJ13" s="1">
        <f t="shared" si="20"/>
        <v>1</v>
      </c>
      <c r="CK13" s="1">
        <f t="shared" si="21"/>
        <v>1</v>
      </c>
      <c r="CL13" s="1">
        <f t="shared" si="22"/>
        <v>0</v>
      </c>
      <c r="CM13" s="1">
        <f t="shared" si="23"/>
        <v>1</v>
      </c>
      <c r="CN13" s="1">
        <f t="shared" si="24"/>
        <v>0</v>
      </c>
      <c r="CO13" s="1">
        <f t="shared" si="25"/>
        <v>0</v>
      </c>
      <c r="CP13" s="1">
        <f t="shared" si="26"/>
        <v>0</v>
      </c>
      <c r="CQ13" s="1">
        <f t="shared" si="27"/>
        <v>0</v>
      </c>
      <c r="CR13" s="1">
        <f t="shared" si="28"/>
        <v>3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12</v>
      </c>
      <c r="C14" s="292">
        <f>'IMPORTAÇÃO GENOTIPER'!AA10</f>
        <v>13</v>
      </c>
      <c r="D14" s="292">
        <f>'IMPORTAÇÃO GENOTIPER'!AI10</f>
        <v>8</v>
      </c>
      <c r="E14" s="292">
        <f>'IMPORTAÇÃO GENOTIPER'!AQ10</f>
        <v>13</v>
      </c>
      <c r="F14" s="432">
        <f>'IMPORTAÇÃO GENOTIPER'!BO10</f>
        <v>8</v>
      </c>
      <c r="G14" s="432">
        <f>'IMPORTAÇÃO GENOTIPER'!BW10</f>
        <v>20</v>
      </c>
      <c r="H14" s="432">
        <f>'IMPORTAÇÃO GENOTIPER'!CE10</f>
        <v>14</v>
      </c>
      <c r="I14" s="432">
        <f>'IMPORTAÇÃO GENOTIPER'!CM10</f>
        <v>15</v>
      </c>
      <c r="J14" s="433">
        <f t="shared" si="29"/>
        <v>12</v>
      </c>
      <c r="K14" s="433">
        <f t="shared" si="29"/>
        <v>13</v>
      </c>
      <c r="L14" s="433">
        <f t="shared" si="29"/>
        <v>8</v>
      </c>
      <c r="M14" s="433">
        <f t="shared" si="30"/>
        <v>13</v>
      </c>
      <c r="N14" s="433">
        <f t="shared" si="31"/>
        <v>8</v>
      </c>
      <c r="O14" s="433">
        <f t="shared" si="31"/>
        <v>20</v>
      </c>
      <c r="P14" s="433">
        <f t="shared" si="31"/>
        <v>14</v>
      </c>
      <c r="Q14" s="433">
        <f t="shared" si="31"/>
        <v>15</v>
      </c>
      <c r="R14" s="434">
        <f t="shared" si="0"/>
        <v>12</v>
      </c>
      <c r="S14" s="434">
        <f t="shared" si="1"/>
        <v>13</v>
      </c>
      <c r="T14" s="434">
        <f t="shared" si="0"/>
        <v>8</v>
      </c>
      <c r="U14" s="434">
        <f t="shared" si="2"/>
        <v>13</v>
      </c>
      <c r="V14" s="434">
        <f t="shared" si="3"/>
        <v>8</v>
      </c>
      <c r="W14" s="434">
        <f t="shared" si="4"/>
        <v>20</v>
      </c>
      <c r="X14" s="434">
        <f t="shared" si="32"/>
        <v>14</v>
      </c>
      <c r="Y14" s="434">
        <f t="shared" si="33"/>
        <v>15</v>
      </c>
      <c r="Z14" s="435">
        <f t="shared" si="5"/>
        <v>0</v>
      </c>
      <c r="AA14" s="435">
        <f t="shared" si="6"/>
        <v>13</v>
      </c>
      <c r="AB14" s="436">
        <f>(IF((OR((T14="&gt;20"),(U14="&gt;20"))),2,(IF(((Z14+AA14)=(T14+U14)),0,1))))</f>
        <v>1</v>
      </c>
      <c r="AC14" s="437">
        <f t="shared" si="34"/>
        <v>13</v>
      </c>
      <c r="AD14" s="438">
        <f t="shared" si="35"/>
        <v>8</v>
      </c>
      <c r="AE14" s="438">
        <f t="shared" si="36"/>
        <v>0</v>
      </c>
      <c r="AF14" s="439">
        <f t="shared" si="37"/>
        <v>8</v>
      </c>
      <c r="AG14" s="440">
        <f t="shared" si="38"/>
        <v>0</v>
      </c>
      <c r="AH14" s="441">
        <f>IF(AF14=0,0,VLOOKUP(AF14,FREQUENCIAS!$1:$1048576,(IF(($A14=FREQUENCIAS!$G$1),7,"ERRO")),FREQUENCIAS!$1:$1048576))</f>
        <v>5.7986999999999997E-2</v>
      </c>
      <c r="AI14" s="441">
        <f>IF(AG14=0,0,VLOOKUP(AG14,FREQUENCIAS!$1:$1048576,(IF(($A14=FREQUENCIAS!$G$1),7,"ERRO")),FREQUENCIAS!$1:$1048576))</f>
        <v>0</v>
      </c>
      <c r="AJ14" s="442"/>
      <c r="AK14" s="442"/>
      <c r="AL14" s="442"/>
      <c r="AM14" s="120">
        <f t="shared" si="39"/>
        <v>5.7986999999999997E-2</v>
      </c>
      <c r="AN14" s="121">
        <f t="shared" si="7"/>
        <v>4.3113111559487471</v>
      </c>
      <c r="AO14" s="122">
        <f t="shared" si="8"/>
        <v>0.8117225727059908</v>
      </c>
      <c r="AP14" s="328"/>
      <c r="AQ14" s="443">
        <f t="shared" si="9"/>
        <v>0.88738849216899995</v>
      </c>
      <c r="AR14" s="328"/>
      <c r="AS14" s="125" t="str">
        <f t="shared" si="10"/>
        <v>1 / 4F</v>
      </c>
      <c r="AT14" s="432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1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1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0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1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0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0</v>
      </c>
      <c r="BD14" s="444">
        <f>IF(($AM14=0),1,0)</f>
        <v>0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0">
        <f>IF($A14=FREQUENCIAS!$G$1,FREQUENCIAS!$G$3,"ERRO NA MUT")</f>
        <v>1.6000000000000001E-3</v>
      </c>
      <c r="BI14" s="40">
        <f t="shared" si="11"/>
        <v>4.3113111559487471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5" t="str">
        <f t="shared" si="12"/>
        <v/>
      </c>
      <c r="BP14" s="445">
        <f t="shared" si="13"/>
        <v>13</v>
      </c>
      <c r="BQ14" s="445">
        <f t="shared" si="14"/>
        <v>13</v>
      </c>
      <c r="BR14" s="446" t="str">
        <f t="shared" si="15"/>
        <v/>
      </c>
      <c r="BS14" s="446">
        <f t="shared" si="16"/>
        <v>8</v>
      </c>
      <c r="BT14" s="446">
        <f t="shared" si="17"/>
        <v>8</v>
      </c>
      <c r="BU14" s="438" t="str">
        <f t="shared" si="44"/>
        <v/>
      </c>
      <c r="BV14" s="438">
        <f t="shared" si="18"/>
        <v>0</v>
      </c>
      <c r="BW14" s="438">
        <f t="shared" si="19"/>
        <v>0</v>
      </c>
      <c r="BZ14" s="447">
        <v>5</v>
      </c>
      <c r="CA14" s="448">
        <v>11</v>
      </c>
      <c r="CJ14" s="1">
        <f t="shared" si="20"/>
        <v>1</v>
      </c>
      <c r="CK14" s="1">
        <f t="shared" si="21"/>
        <v>0</v>
      </c>
      <c r="CL14" s="1">
        <f t="shared" si="22"/>
        <v>0</v>
      </c>
      <c r="CM14" s="1">
        <f t="shared" si="23"/>
        <v>0</v>
      </c>
      <c r="CN14" s="1">
        <f t="shared" si="24"/>
        <v>0</v>
      </c>
      <c r="CO14" s="1">
        <f t="shared" si="25"/>
        <v>0</v>
      </c>
      <c r="CP14" s="1">
        <f t="shared" si="26"/>
        <v>0</v>
      </c>
      <c r="CQ14" s="1">
        <f t="shared" si="27"/>
        <v>0</v>
      </c>
      <c r="CR14" s="1">
        <f t="shared" si="28"/>
        <v>1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11</v>
      </c>
      <c r="D15" s="292">
        <f>'IMPORTAÇÃO GENOTIPER'!AI11</f>
        <v>9</v>
      </c>
      <c r="E15" s="292">
        <f>'IMPORTAÇÃO GENOTIPER'!AQ11</f>
        <v>11</v>
      </c>
      <c r="F15" s="432">
        <f>'IMPORTAÇÃO GENOTIPER'!BO11</f>
        <v>9</v>
      </c>
      <c r="G15" s="432">
        <f>'IMPORTAÇÃO GENOTIPER'!BW11</f>
        <v>12</v>
      </c>
      <c r="H15" s="432">
        <f>'IMPORTAÇÃO GENOTIPER'!CE11</f>
        <v>9</v>
      </c>
      <c r="I15" s="432">
        <f>'IMPORTAÇÃO GENOTIPER'!CM11</f>
        <v>9</v>
      </c>
      <c r="J15" s="433">
        <f t="shared" si="29"/>
        <v>9</v>
      </c>
      <c r="K15" s="433">
        <f t="shared" si="29"/>
        <v>11</v>
      </c>
      <c r="L15" s="433">
        <f t="shared" si="29"/>
        <v>9</v>
      </c>
      <c r="M15" s="433">
        <f t="shared" si="30"/>
        <v>11</v>
      </c>
      <c r="N15" s="433">
        <f t="shared" si="31"/>
        <v>9</v>
      </c>
      <c r="O15" s="433">
        <f t="shared" si="31"/>
        <v>12</v>
      </c>
      <c r="P15" s="433">
        <f t="shared" si="31"/>
        <v>9</v>
      </c>
      <c r="Q15" s="433">
        <f t="shared" si="31"/>
        <v>9</v>
      </c>
      <c r="R15" s="434">
        <f t="shared" si="0"/>
        <v>9</v>
      </c>
      <c r="S15" s="434">
        <f t="shared" si="1"/>
        <v>11</v>
      </c>
      <c r="T15" s="434">
        <f t="shared" si="0"/>
        <v>9</v>
      </c>
      <c r="U15" s="434">
        <f t="shared" si="2"/>
        <v>11</v>
      </c>
      <c r="V15" s="434">
        <f t="shared" si="3"/>
        <v>9</v>
      </c>
      <c r="W15" s="434">
        <f t="shared" si="4"/>
        <v>12</v>
      </c>
      <c r="X15" s="434">
        <f t="shared" si="32"/>
        <v>9</v>
      </c>
      <c r="Y15" s="434">
        <f t="shared" si="33"/>
        <v>9</v>
      </c>
      <c r="Z15" s="435">
        <f t="shared" si="5"/>
        <v>9</v>
      </c>
      <c r="AA15" s="435">
        <f t="shared" si="6"/>
        <v>11</v>
      </c>
      <c r="AB15" s="436">
        <f>(IF((OR((T15="&gt;23"),(U15="&gt;23"))),2,(IF(((Z15+AA15)=(T15+U15)),0,1))))</f>
        <v>0</v>
      </c>
      <c r="AC15" s="437" t="str">
        <f t="shared" si="34"/>
        <v>NÃO DEF</v>
      </c>
      <c r="AD15" s="438">
        <f t="shared" si="35"/>
        <v>9</v>
      </c>
      <c r="AE15" s="438">
        <f t="shared" si="36"/>
        <v>11</v>
      </c>
      <c r="AF15" s="439">
        <f t="shared" si="37"/>
        <v>9</v>
      </c>
      <c r="AG15" s="440">
        <f t="shared" si="38"/>
        <v>0</v>
      </c>
      <c r="AH15" s="441">
        <f>IF(AF15=0,0,VLOOKUP(AF15,FREQUENCIAS!$1:$1048576,(IF(($A15=FREQUENCIAS!$H$1),8,"ERRO")),FREQUENCIAS!$1:$1048576))</f>
        <v>0.160298</v>
      </c>
      <c r="AI15" s="441">
        <f>IF(AG15=0,0,VLOOKUP(AG15,FREQUENCIAS!$1:$1048576,(IF(($A15=FREQUENCIAS!$H$1),8,"ERRO")),FREQUENCIAS!$1:$1048576))</f>
        <v>0</v>
      </c>
      <c r="AJ15" s="442"/>
      <c r="AK15" s="442"/>
      <c r="AL15" s="442"/>
      <c r="AM15" s="120">
        <f t="shared" si="39"/>
        <v>0.160298</v>
      </c>
      <c r="AN15" s="121">
        <f t="shared" si="7"/>
        <v>4.6787857615191708</v>
      </c>
      <c r="AO15" s="122">
        <f t="shared" si="8"/>
        <v>0.82390601758984416</v>
      </c>
      <c r="AP15" s="328"/>
      <c r="AQ15" s="443">
        <f t="shared" si="9"/>
        <v>0.70509944880399988</v>
      </c>
      <c r="AR15" s="328"/>
      <c r="AS15" s="125" t="str">
        <f t="shared" si="10"/>
        <v>3 / 4F</v>
      </c>
      <c r="AT15" s="432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4">
        <f t="shared" si="41"/>
        <v>0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0">
        <f>IF($A15=FREQUENCIAS!$H$1,FREQUENCIAS!$H$3,"ERRO NA MUT")</f>
        <v>1.1000000000000001E-3</v>
      </c>
      <c r="BI15" s="40">
        <f t="shared" si="11"/>
        <v>4.6787857615191708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O15" s="445" t="str">
        <f t="shared" si="12"/>
        <v/>
      </c>
      <c r="BP15" s="445" t="str">
        <f t="shared" si="13"/>
        <v>NÃO DEF</v>
      </c>
      <c r="BQ15" s="445" t="str">
        <f t="shared" si="14"/>
        <v>NÃO DEF</v>
      </c>
      <c r="BR15" s="446" t="str">
        <f t="shared" si="15"/>
        <v/>
      </c>
      <c r="BS15" s="446">
        <f t="shared" si="16"/>
        <v>9</v>
      </c>
      <c r="BT15" s="446">
        <f t="shared" si="17"/>
        <v>9</v>
      </c>
      <c r="BU15" s="438" t="str">
        <f t="shared" si="44"/>
        <v/>
      </c>
      <c r="BV15" s="438">
        <f t="shared" si="18"/>
        <v>0</v>
      </c>
      <c r="BW15" s="438">
        <f t="shared" si="19"/>
        <v>0</v>
      </c>
      <c r="BZ15" s="447">
        <v>8</v>
      </c>
      <c r="CA15" s="448">
        <v>11</v>
      </c>
      <c r="CJ15" s="1">
        <f t="shared" si="20"/>
        <v>1</v>
      </c>
      <c r="CK15" s="1">
        <f t="shared" si="21"/>
        <v>0</v>
      </c>
      <c r="CL15" s="1">
        <f t="shared" si="22"/>
        <v>1</v>
      </c>
      <c r="CM15" s="1">
        <f t="shared" si="23"/>
        <v>1</v>
      </c>
      <c r="CN15" s="1">
        <f t="shared" si="24"/>
        <v>0</v>
      </c>
      <c r="CO15" s="1">
        <f t="shared" si="25"/>
        <v>0</v>
      </c>
      <c r="CP15" s="1">
        <f t="shared" si="26"/>
        <v>0</v>
      </c>
      <c r="CQ15" s="1">
        <f t="shared" si="27"/>
        <v>0</v>
      </c>
      <c r="CR15" s="1">
        <f t="shared" si="28"/>
        <v>3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15</v>
      </c>
      <c r="D16" s="292">
        <f>'IMPORTAÇÃO GENOTIPER'!AI12</f>
        <v>14</v>
      </c>
      <c r="E16" s="292">
        <f>'IMPORTAÇÃO GENOTIPER'!AQ12</f>
        <v>18</v>
      </c>
      <c r="F16" s="432">
        <f>'IMPORTAÇÃO GENOTIPER'!BO12</f>
        <v>15</v>
      </c>
      <c r="G16" s="432">
        <f>'IMPORTAÇÃO GENOTIPER'!BW12</f>
        <v>18</v>
      </c>
      <c r="H16" s="432">
        <f>'IMPORTAÇÃO GENOTIPER'!CE12</f>
        <v>13</v>
      </c>
      <c r="I16" s="432">
        <f>'IMPORTAÇÃO GENOTIPER'!CM12</f>
        <v>14</v>
      </c>
      <c r="J16" s="433">
        <f t="shared" si="29"/>
        <v>14</v>
      </c>
      <c r="K16" s="433">
        <f t="shared" si="29"/>
        <v>15</v>
      </c>
      <c r="L16" s="433">
        <f t="shared" si="29"/>
        <v>14</v>
      </c>
      <c r="M16" s="433">
        <f t="shared" si="30"/>
        <v>18</v>
      </c>
      <c r="N16" s="433">
        <f t="shared" si="31"/>
        <v>15</v>
      </c>
      <c r="O16" s="433">
        <f t="shared" si="31"/>
        <v>18</v>
      </c>
      <c r="P16" s="433">
        <f t="shared" si="31"/>
        <v>13</v>
      </c>
      <c r="Q16" s="433">
        <f t="shared" si="31"/>
        <v>14</v>
      </c>
      <c r="R16" s="434">
        <f t="shared" si="0"/>
        <v>14</v>
      </c>
      <c r="S16" s="434">
        <f t="shared" si="1"/>
        <v>15</v>
      </c>
      <c r="T16" s="434">
        <f t="shared" si="0"/>
        <v>14</v>
      </c>
      <c r="U16" s="434">
        <f t="shared" si="2"/>
        <v>18</v>
      </c>
      <c r="V16" s="434">
        <f t="shared" si="3"/>
        <v>15</v>
      </c>
      <c r="W16" s="434">
        <f t="shared" si="4"/>
        <v>18</v>
      </c>
      <c r="X16" s="434">
        <f t="shared" si="32"/>
        <v>13</v>
      </c>
      <c r="Y16" s="434">
        <f t="shared" si="33"/>
        <v>14</v>
      </c>
      <c r="Z16" s="435">
        <f t="shared" si="5"/>
        <v>14</v>
      </c>
      <c r="AA16" s="435">
        <f t="shared" si="6"/>
        <v>0</v>
      </c>
      <c r="AB16" s="436">
        <f>(IF((OR((T16="&gt;22"),(U16="&gt;22"))),2,(IF(((Z16+AA16)=(T16+U16)),0,1))))</f>
        <v>1</v>
      </c>
      <c r="AC16" s="437">
        <f t="shared" si="34"/>
        <v>14</v>
      </c>
      <c r="AD16" s="438">
        <f t="shared" si="35"/>
        <v>18</v>
      </c>
      <c r="AE16" s="438">
        <f t="shared" si="36"/>
        <v>0</v>
      </c>
      <c r="AF16" s="439">
        <f t="shared" si="37"/>
        <v>18</v>
      </c>
      <c r="AG16" s="440">
        <f t="shared" si="38"/>
        <v>0</v>
      </c>
      <c r="AH16" s="441">
        <f>IF(AF16=0,0,VLOOKUP(AF16,FREQUENCIAS!$1:$1048576,(IF(($A16=FREQUENCIAS!$I$1),9,"ERRO")),FREQUENCIAS!$1:$1048576))</f>
        <v>7.7560000000000004E-2</v>
      </c>
      <c r="AI16" s="441">
        <f>IF(AG16=0,0,VLOOKUP(AG16,FREQUENCIAS!$1:$1048576,(IF(($A16=FREQUENCIAS!$I$1),9,"ERRO")),FREQUENCIAS!$1:$1048576))</f>
        <v>0</v>
      </c>
      <c r="AJ16" s="442"/>
      <c r="AK16" s="442"/>
      <c r="AL16" s="442"/>
      <c r="AM16" s="120">
        <f t="shared" si="39"/>
        <v>7.7560000000000004E-2</v>
      </c>
      <c r="AN16" s="121">
        <f t="shared" si="7"/>
        <v>3.2233109850438368</v>
      </c>
      <c r="AO16" s="122">
        <f t="shared" si="8"/>
        <v>0.76321895225302239</v>
      </c>
      <c r="AP16" s="328"/>
      <c r="AQ16" s="443">
        <f t="shared" si="9"/>
        <v>0.85089555360000002</v>
      </c>
      <c r="AR16" s="328"/>
      <c r="AS16" s="125" t="str">
        <f t="shared" si="10"/>
        <v>1 / 4F</v>
      </c>
      <c r="AT16" s="432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0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0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0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0</v>
      </c>
      <c r="BD16" s="444">
        <f t="shared" si="41"/>
        <v>0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0">
        <f>IF($A16=FREQUENCIAS!$I$1,FREQUENCIAS!$I$3,"ERRO NA MUT")</f>
        <v>2.2000000000000001E-3</v>
      </c>
      <c r="BI16" s="40">
        <f t="shared" si="11"/>
        <v>3.2233109850438368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5" t="str">
        <f t="shared" si="12"/>
        <v/>
      </c>
      <c r="BP16" s="445">
        <f t="shared" si="13"/>
        <v>15</v>
      </c>
      <c r="BQ16" s="445">
        <f t="shared" si="14"/>
        <v>14</v>
      </c>
      <c r="BR16" s="446" t="str">
        <f t="shared" si="15"/>
        <v/>
      </c>
      <c r="BS16" s="446">
        <f t="shared" si="16"/>
        <v>18</v>
      </c>
      <c r="BT16" s="446">
        <f t="shared" si="17"/>
        <v>18</v>
      </c>
      <c r="BU16" s="438" t="str">
        <f t="shared" si="44"/>
        <v/>
      </c>
      <c r="BV16" s="438">
        <f t="shared" si="18"/>
        <v>0</v>
      </c>
      <c r="BW16" s="438">
        <f t="shared" si="19"/>
        <v>0</v>
      </c>
      <c r="BZ16" s="447">
        <v>9</v>
      </c>
      <c r="CA16" s="448">
        <v>10</v>
      </c>
      <c r="CJ16" s="1">
        <f t="shared" si="20"/>
        <v>0</v>
      </c>
      <c r="CK16" s="1">
        <f t="shared" si="21"/>
        <v>1</v>
      </c>
      <c r="CL16" s="1">
        <f t="shared" si="22"/>
        <v>0</v>
      </c>
      <c r="CM16" s="1">
        <f t="shared" si="23"/>
        <v>0</v>
      </c>
      <c r="CN16" s="1">
        <f t="shared" si="24"/>
        <v>0</v>
      </c>
      <c r="CO16" s="1">
        <f t="shared" si="25"/>
        <v>0</v>
      </c>
      <c r="CP16" s="1">
        <f t="shared" si="26"/>
        <v>0</v>
      </c>
      <c r="CQ16" s="1">
        <f t="shared" si="27"/>
        <v>0</v>
      </c>
      <c r="CR16" s="1">
        <f t="shared" si="28"/>
        <v>1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21</v>
      </c>
      <c r="C17" s="292">
        <f>'IMPORTAÇÃO GENOTIPER'!AA13</f>
        <v>24</v>
      </c>
      <c r="D17" s="292">
        <f>'IMPORTAÇÃO GENOTIPER'!AI13</f>
        <v>16</v>
      </c>
      <c r="E17" s="292">
        <f>'IMPORTAÇÃO GENOTIPER'!AQ13</f>
        <v>24</v>
      </c>
      <c r="F17" s="432">
        <f>'IMPORTAÇÃO GENOTIPER'!BO13</f>
        <v>16</v>
      </c>
      <c r="G17" s="432">
        <f>'IMPORTAÇÃO GENOTIPER'!BW13</f>
        <v>19</v>
      </c>
      <c r="H17" s="432">
        <f>'IMPORTAÇÃO GENOTIPER'!CE13</f>
        <v>17</v>
      </c>
      <c r="I17" s="432">
        <f>'IMPORTAÇÃO GENOTIPER'!CM13</f>
        <v>19</v>
      </c>
      <c r="J17" s="433">
        <f t="shared" si="29"/>
        <v>21</v>
      </c>
      <c r="K17" s="433">
        <f t="shared" si="29"/>
        <v>24</v>
      </c>
      <c r="L17" s="433">
        <f t="shared" si="29"/>
        <v>16</v>
      </c>
      <c r="M17" s="433">
        <f t="shared" si="30"/>
        <v>24</v>
      </c>
      <c r="N17" s="433">
        <f t="shared" si="31"/>
        <v>16</v>
      </c>
      <c r="O17" s="433">
        <f t="shared" si="31"/>
        <v>19</v>
      </c>
      <c r="P17" s="433">
        <f t="shared" si="31"/>
        <v>17</v>
      </c>
      <c r="Q17" s="433">
        <f t="shared" si="31"/>
        <v>19</v>
      </c>
      <c r="R17" s="434">
        <f t="shared" si="0"/>
        <v>21</v>
      </c>
      <c r="S17" s="434">
        <f t="shared" si="1"/>
        <v>24</v>
      </c>
      <c r="T17" s="434">
        <f t="shared" si="0"/>
        <v>16</v>
      </c>
      <c r="U17" s="434">
        <f t="shared" si="2"/>
        <v>24</v>
      </c>
      <c r="V17" s="434">
        <f t="shared" si="3"/>
        <v>16</v>
      </c>
      <c r="W17" s="434">
        <f t="shared" si="4"/>
        <v>19</v>
      </c>
      <c r="X17" s="434">
        <f t="shared" si="32"/>
        <v>17</v>
      </c>
      <c r="Y17" s="434">
        <f t="shared" si="33"/>
        <v>19</v>
      </c>
      <c r="Z17" s="435">
        <f t="shared" si="5"/>
        <v>0</v>
      </c>
      <c r="AA17" s="435">
        <f t="shared" si="6"/>
        <v>24</v>
      </c>
      <c r="AB17" s="436">
        <f>(IF((OR((T17="&gt;28"),(U17="&gt;28"))),2,(IF(((Z17+AA17)=(T17+U17)),0,1))))</f>
        <v>1</v>
      </c>
      <c r="AC17" s="437">
        <f t="shared" si="34"/>
        <v>24</v>
      </c>
      <c r="AD17" s="438">
        <f t="shared" si="35"/>
        <v>16</v>
      </c>
      <c r="AE17" s="438">
        <f t="shared" si="36"/>
        <v>0</v>
      </c>
      <c r="AF17" s="439">
        <f t="shared" si="37"/>
        <v>16</v>
      </c>
      <c r="AG17" s="440">
        <f t="shared" si="38"/>
        <v>0</v>
      </c>
      <c r="AH17" s="441">
        <f>IF(AF17=0,0,VLOOKUP(AF17,FREQUENCIAS!$1:$1048576,(IF(($A17=FREQUENCIAS!$J$1),10,"ERRO")),FREQUENCIAS!$1:$1048576))</f>
        <v>4.4999999999999998E-2</v>
      </c>
      <c r="AI17" s="441">
        <f>IF(AG17=0,0,VLOOKUP(AG17,FREQUENCIAS!$1:$1048576,(IF(($A17=FREQUENCIAS!$J$1),10,"ERRO")),FREQUENCIAS!$1:$1048576))</f>
        <v>0</v>
      </c>
      <c r="AJ17" s="442"/>
      <c r="AK17" s="442"/>
      <c r="AL17" s="442"/>
      <c r="AM17" s="120">
        <f t="shared" si="39"/>
        <v>0.05</v>
      </c>
      <c r="AN17" s="121">
        <f t="shared" si="7"/>
        <v>5</v>
      </c>
      <c r="AO17" s="122">
        <f t="shared" si="8"/>
        <v>0.83333333333333337</v>
      </c>
      <c r="AP17" s="328" t="s">
        <v>173</v>
      </c>
      <c r="AQ17" s="443">
        <f t="shared" si="9"/>
        <v>0.90249999999999997</v>
      </c>
      <c r="AR17" s="328"/>
      <c r="AS17" s="125" t="str">
        <f t="shared" si="10"/>
        <v>1 / 4F</v>
      </c>
      <c r="AT17" s="432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0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0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0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0</v>
      </c>
      <c r="BD17" s="444">
        <f t="shared" si="41"/>
        <v>0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0">
        <f>IF($A17=FREQUENCIAS!$J$1,FREQUENCIAS!$J$3,"ERRO NA MUT")</f>
        <v>1.1999999999999999E-3</v>
      </c>
      <c r="BI17" s="40">
        <f t="shared" si="11"/>
        <v>5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O17" s="445" t="str">
        <f t="shared" si="12"/>
        <v/>
      </c>
      <c r="BP17" s="445">
        <f t="shared" si="13"/>
        <v>24</v>
      </c>
      <c r="BQ17" s="445">
        <f t="shared" si="14"/>
        <v>24</v>
      </c>
      <c r="BR17" s="446" t="str">
        <f t="shared" si="15"/>
        <v/>
      </c>
      <c r="BS17" s="446">
        <f t="shared" si="16"/>
        <v>16</v>
      </c>
      <c r="BT17" s="446">
        <f t="shared" si="17"/>
        <v>16</v>
      </c>
      <c r="BU17" s="438" t="str">
        <f t="shared" si="44"/>
        <v/>
      </c>
      <c r="BV17" s="438">
        <f t="shared" si="18"/>
        <v>0</v>
      </c>
      <c r="BW17" s="438">
        <f t="shared" si="19"/>
        <v>0</v>
      </c>
      <c r="BZ17" s="447">
        <v>23</v>
      </c>
      <c r="CA17" s="448">
        <v>24</v>
      </c>
      <c r="CJ17" s="1">
        <f t="shared" si="20"/>
        <v>1</v>
      </c>
      <c r="CK17" s="1">
        <f t="shared" si="21"/>
        <v>0</v>
      </c>
      <c r="CL17" s="1">
        <f t="shared" si="22"/>
        <v>0</v>
      </c>
      <c r="CM17" s="1">
        <f t="shared" si="23"/>
        <v>0</v>
      </c>
      <c r="CN17" s="1">
        <f t="shared" si="24"/>
        <v>0</v>
      </c>
      <c r="CO17" s="1">
        <f t="shared" si="25"/>
        <v>0</v>
      </c>
      <c r="CP17" s="1">
        <f t="shared" si="26"/>
        <v>0</v>
      </c>
      <c r="CQ17" s="1">
        <f t="shared" si="27"/>
        <v>0</v>
      </c>
      <c r="CR17" s="1">
        <f t="shared" si="28"/>
        <v>1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12</v>
      </c>
      <c r="C18" s="292">
        <f>'IMPORTAÇÃO GENOTIPER'!AA14</f>
        <v>13</v>
      </c>
      <c r="D18" s="292">
        <f>'IMPORTAÇÃO GENOTIPER'!AI14</f>
        <v>10</v>
      </c>
      <c r="E18" s="292">
        <f>'IMPORTAÇÃO GENOTIPER'!AQ14</f>
        <v>13</v>
      </c>
      <c r="F18" s="432">
        <f>'IMPORTAÇÃO GENOTIPER'!BO14</f>
        <v>10</v>
      </c>
      <c r="G18" s="432">
        <f>'IMPORTAÇÃO GENOTIPER'!BW14</f>
        <v>12</v>
      </c>
      <c r="H18" s="432">
        <f>'IMPORTAÇÃO GENOTIPER'!CE14</f>
        <v>10</v>
      </c>
      <c r="I18" s="432">
        <f>'IMPORTAÇÃO GENOTIPER'!CM14</f>
        <v>12</v>
      </c>
      <c r="J18" s="433">
        <f t="shared" si="29"/>
        <v>12</v>
      </c>
      <c r="K18" s="433">
        <f t="shared" si="29"/>
        <v>13</v>
      </c>
      <c r="L18" s="433">
        <f t="shared" si="29"/>
        <v>10</v>
      </c>
      <c r="M18" s="433">
        <f t="shared" si="30"/>
        <v>13</v>
      </c>
      <c r="N18" s="433">
        <f t="shared" si="31"/>
        <v>10</v>
      </c>
      <c r="O18" s="433">
        <f t="shared" si="31"/>
        <v>12</v>
      </c>
      <c r="P18" s="433">
        <f t="shared" si="31"/>
        <v>10</v>
      </c>
      <c r="Q18" s="433">
        <f t="shared" si="31"/>
        <v>12</v>
      </c>
      <c r="R18" s="434">
        <f t="shared" si="0"/>
        <v>12</v>
      </c>
      <c r="S18" s="434">
        <f t="shared" si="1"/>
        <v>13</v>
      </c>
      <c r="T18" s="434">
        <f t="shared" si="0"/>
        <v>10</v>
      </c>
      <c r="U18" s="434">
        <f t="shared" si="2"/>
        <v>13</v>
      </c>
      <c r="V18" s="434">
        <f t="shared" si="3"/>
        <v>10</v>
      </c>
      <c r="W18" s="434">
        <f t="shared" si="4"/>
        <v>12</v>
      </c>
      <c r="X18" s="434">
        <f t="shared" si="32"/>
        <v>10</v>
      </c>
      <c r="Y18" s="434">
        <f t="shared" si="33"/>
        <v>12</v>
      </c>
      <c r="Z18" s="435">
        <f t="shared" si="5"/>
        <v>0</v>
      </c>
      <c r="AA18" s="435">
        <f t="shared" si="6"/>
        <v>13</v>
      </c>
      <c r="AB18" s="436">
        <f>(IF((OR((T18="&gt;17,2"),(U18="&gt;17,2"))),2,(IF(((Z18+AA18)=(T18+U18)),0,1))))</f>
        <v>1</v>
      </c>
      <c r="AC18" s="437">
        <f t="shared" si="34"/>
        <v>13</v>
      </c>
      <c r="AD18" s="438">
        <f t="shared" si="35"/>
        <v>10</v>
      </c>
      <c r="AE18" s="438">
        <f t="shared" si="36"/>
        <v>0</v>
      </c>
      <c r="AF18" s="439">
        <f t="shared" si="37"/>
        <v>10</v>
      </c>
      <c r="AG18" s="440">
        <f t="shared" si="38"/>
        <v>0</v>
      </c>
      <c r="AH18" s="441">
        <f>IF(AF18=0,0,VLOOKUP(AF18,FREQUENCIAS!$1:$1048576,(IF(($A18=FREQUENCIAS!$K$1),11,"ERRO")),FREQUENCIAS!$1:$1048576))</f>
        <v>0.262376</v>
      </c>
      <c r="AI18" s="441">
        <f>IF(AG18=0,0,VLOOKUP(AG18,FREQUENCIAS!$1:$1048576,(IF(($A18=FREQUENCIAS!$K$1),11,"ERRO")),FREQUENCIAS!$1:$1048576))</f>
        <v>0</v>
      </c>
      <c r="AJ18" s="442"/>
      <c r="AK18" s="442"/>
      <c r="AL18" s="442"/>
      <c r="AM18" s="120">
        <f t="shared" si="39"/>
        <v>0.262376</v>
      </c>
      <c r="AN18" s="121">
        <f t="shared" si="7"/>
        <v>1.90566210324115</v>
      </c>
      <c r="AO18" s="122">
        <f t="shared" si="8"/>
        <v>0.65584436026317716</v>
      </c>
      <c r="AP18" s="328"/>
      <c r="AQ18" s="443">
        <f t="shared" si="9"/>
        <v>0.54408916537600005</v>
      </c>
      <c r="AR18" s="328"/>
      <c r="AS18" s="125" t="str">
        <f t="shared" si="10"/>
        <v>1 / 2F</v>
      </c>
      <c r="AT18" s="432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0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0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0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0</v>
      </c>
      <c r="BD18" s="444">
        <f t="shared" si="41"/>
        <v>0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0">
        <f>IF($A18=FREQUENCIAS!$K$1,FREQUENCIAS!$K$3,"ERRO NA MUT")</f>
        <v>1.6000000000000001E-3</v>
      </c>
      <c r="BI18" s="40">
        <f t="shared" si="11"/>
        <v>1.90566210324115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O18" s="445" t="str">
        <f t="shared" si="12"/>
        <v/>
      </c>
      <c r="BP18" s="445">
        <f t="shared" si="13"/>
        <v>13</v>
      </c>
      <c r="BQ18" s="445">
        <f t="shared" si="14"/>
        <v>13</v>
      </c>
      <c r="BR18" s="446" t="str">
        <f t="shared" si="15"/>
        <v/>
      </c>
      <c r="BS18" s="446">
        <f t="shared" si="16"/>
        <v>10</v>
      </c>
      <c r="BT18" s="446">
        <f t="shared" si="17"/>
        <v>10</v>
      </c>
      <c r="BU18" s="438" t="str">
        <f t="shared" si="44"/>
        <v/>
      </c>
      <c r="BV18" s="438">
        <f t="shared" si="18"/>
        <v>0</v>
      </c>
      <c r="BW18" s="438">
        <f t="shared" si="19"/>
        <v>0</v>
      </c>
      <c r="BZ18" s="447">
        <v>15</v>
      </c>
      <c r="CA18" s="448">
        <v>15</v>
      </c>
      <c r="CJ18" s="1">
        <f t="shared" si="20"/>
        <v>1</v>
      </c>
      <c r="CK18" s="1">
        <f t="shared" si="21"/>
        <v>0</v>
      </c>
      <c r="CL18" s="1">
        <f t="shared" si="22"/>
        <v>1</v>
      </c>
      <c r="CM18" s="1">
        <f t="shared" si="23"/>
        <v>0</v>
      </c>
      <c r="CN18" s="1">
        <f t="shared" si="24"/>
        <v>0</v>
      </c>
      <c r="CO18" s="1">
        <f t="shared" si="25"/>
        <v>0</v>
      </c>
      <c r="CP18" s="1">
        <f t="shared" si="26"/>
        <v>0</v>
      </c>
      <c r="CQ18" s="1">
        <f t="shared" si="27"/>
        <v>0</v>
      </c>
      <c r="CR18" s="1">
        <f t="shared" si="28"/>
        <v>2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12</v>
      </c>
      <c r="D19" s="292">
        <f>'IMPORTAÇÃO GENOTIPER'!AI15</f>
        <v>12</v>
      </c>
      <c r="E19" s="292">
        <f>'IMPORTAÇÃO GENOTIPER'!AQ15</f>
        <v>12</v>
      </c>
      <c r="F19" s="432">
        <f>'IMPORTAÇÃO GENOTIPER'!BO15</f>
        <v>11</v>
      </c>
      <c r="G19" s="432">
        <f>'IMPORTAÇÃO GENOTIPER'!BW15</f>
        <v>14</v>
      </c>
      <c r="H19" s="432">
        <f>'IMPORTAÇÃO GENOTIPER'!CE15</f>
        <v>8</v>
      </c>
      <c r="I19" s="432">
        <f>'IMPORTAÇÃO GENOTIPER'!CM15</f>
        <v>12</v>
      </c>
      <c r="J19" s="433">
        <f t="shared" si="29"/>
        <v>9</v>
      </c>
      <c r="K19" s="433">
        <f t="shared" si="29"/>
        <v>12</v>
      </c>
      <c r="L19" s="433">
        <f t="shared" si="29"/>
        <v>12</v>
      </c>
      <c r="M19" s="433">
        <f t="shared" si="30"/>
        <v>12</v>
      </c>
      <c r="N19" s="433">
        <f t="shared" si="31"/>
        <v>11</v>
      </c>
      <c r="O19" s="433">
        <f t="shared" si="31"/>
        <v>14</v>
      </c>
      <c r="P19" s="433">
        <f t="shared" si="31"/>
        <v>8</v>
      </c>
      <c r="Q19" s="433">
        <f t="shared" si="31"/>
        <v>12</v>
      </c>
      <c r="R19" s="434">
        <f t="shared" si="0"/>
        <v>9</v>
      </c>
      <c r="S19" s="434">
        <f t="shared" si="1"/>
        <v>12</v>
      </c>
      <c r="T19" s="434">
        <f t="shared" si="0"/>
        <v>12</v>
      </c>
      <c r="U19" s="434">
        <f t="shared" si="2"/>
        <v>12</v>
      </c>
      <c r="V19" s="434">
        <f t="shared" si="3"/>
        <v>11</v>
      </c>
      <c r="W19" s="434">
        <f t="shared" si="4"/>
        <v>14</v>
      </c>
      <c r="X19" s="434">
        <f t="shared" si="32"/>
        <v>8</v>
      </c>
      <c r="Y19" s="434">
        <f t="shared" si="33"/>
        <v>12</v>
      </c>
      <c r="Z19" s="435">
        <f t="shared" si="5"/>
        <v>12</v>
      </c>
      <c r="AA19" s="435">
        <f t="shared" si="6"/>
        <v>12</v>
      </c>
      <c r="AB19" s="436">
        <f>(IF((OR((T19="&gt;21"),(U19="&gt;21"))),2,(IF(((Z19+AA19)=(T19+U19)),0,1))))</f>
        <v>0</v>
      </c>
      <c r="AC19" s="437">
        <f t="shared" si="34"/>
        <v>12</v>
      </c>
      <c r="AD19" s="438">
        <f t="shared" si="35"/>
        <v>12</v>
      </c>
      <c r="AE19" s="438">
        <f t="shared" si="36"/>
        <v>0</v>
      </c>
      <c r="AF19" s="439">
        <f t="shared" si="37"/>
        <v>12</v>
      </c>
      <c r="AG19" s="440">
        <f t="shared" si="38"/>
        <v>0</v>
      </c>
      <c r="AH19" s="441">
        <f>IF(AF19=0,0,VLOOKUP(AF19,FREQUENCIAS!$1:$1048576,(IF(($A19=FREQUENCIAS!$L$1),12,"ERRO")),FREQUENCIAS!$1:$1048576))</f>
        <v>0.16545399999999999</v>
      </c>
      <c r="AI19" s="441">
        <f>IF(AG19=0,0,VLOOKUP(AG19,FREQUENCIAS!$1:$1048576,(IF(($A19=FREQUENCIAS!$L$1),12,"ERRO")),FREQUENCIAS!$1:$1048576))</f>
        <v>0</v>
      </c>
      <c r="AJ19" s="442"/>
      <c r="AK19" s="442"/>
      <c r="AL19" s="442"/>
      <c r="AM19" s="120">
        <f t="shared" si="39"/>
        <v>0.16545399999999999</v>
      </c>
      <c r="AN19" s="121">
        <f t="shared" si="7"/>
        <v>1.5109939922878868</v>
      </c>
      <c r="AO19" s="122">
        <f t="shared" si="8"/>
        <v>0.60175133709147111</v>
      </c>
      <c r="AP19" s="328" t="s">
        <v>164</v>
      </c>
      <c r="AQ19" s="443">
        <f t="shared" si="9"/>
        <v>0.69646702611599998</v>
      </c>
      <c r="AR19" s="328"/>
      <c r="AS19" s="125" t="str">
        <f t="shared" si="10"/>
        <v>1 / 4F</v>
      </c>
      <c r="AT19" s="432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0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0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0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0</v>
      </c>
      <c r="BD19" s="444">
        <f t="shared" si="41"/>
        <v>0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0">
        <f>IF($A19=FREQUENCIAS!$L$1,FREQUENCIAS!$L$3,"ERRO NA MUT")</f>
        <v>1.4E-3</v>
      </c>
      <c r="BI19" s="40">
        <f t="shared" si="11"/>
        <v>1.5109939922878868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5" t="str">
        <f t="shared" si="12"/>
        <v/>
      </c>
      <c r="BP19" s="445">
        <f t="shared" si="13"/>
        <v>12</v>
      </c>
      <c r="BQ19" s="445">
        <f t="shared" si="14"/>
        <v>12</v>
      </c>
      <c r="BR19" s="446" t="str">
        <f t="shared" si="15"/>
        <v/>
      </c>
      <c r="BS19" s="446">
        <f t="shared" si="16"/>
        <v>12</v>
      </c>
      <c r="BT19" s="446">
        <f t="shared" si="17"/>
        <v>12</v>
      </c>
      <c r="BU19" s="438" t="str">
        <f t="shared" si="44"/>
        <v/>
      </c>
      <c r="BV19" s="438">
        <f t="shared" si="18"/>
        <v>0</v>
      </c>
      <c r="BW19" s="438">
        <f t="shared" si="19"/>
        <v>0</v>
      </c>
      <c r="BZ19" s="447">
        <v>15</v>
      </c>
      <c r="CA19" s="448">
        <v>17</v>
      </c>
      <c r="CJ19" s="1">
        <f t="shared" si="20"/>
        <v>0</v>
      </c>
      <c r="CK19" s="1">
        <f t="shared" si="21"/>
        <v>0</v>
      </c>
      <c r="CL19" s="1">
        <f t="shared" si="22"/>
        <v>0</v>
      </c>
      <c r="CM19" s="1">
        <f t="shared" si="23"/>
        <v>1</v>
      </c>
      <c r="CN19" s="1">
        <f t="shared" si="24"/>
        <v>0</v>
      </c>
      <c r="CO19" s="1">
        <f t="shared" si="25"/>
        <v>0</v>
      </c>
      <c r="CP19" s="1">
        <f t="shared" si="26"/>
        <v>0</v>
      </c>
      <c r="CQ19" s="1">
        <f t="shared" si="27"/>
        <v>0</v>
      </c>
      <c r="CR19" s="1">
        <f t="shared" si="28"/>
        <v>1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9</v>
      </c>
      <c r="C20" s="292">
        <f>'IMPORTAÇÃO GENOTIPER'!AA16</f>
        <v>9</v>
      </c>
      <c r="D20" s="292">
        <f>'IMPORTAÇÃO GENOTIPER'!AI16</f>
        <v>9</v>
      </c>
      <c r="E20" s="292">
        <f>'IMPORTAÇÃO GENOTIPER'!AQ16</f>
        <v>9</v>
      </c>
      <c r="F20" s="432">
        <f>'IMPORTAÇÃO GENOTIPER'!BO16</f>
        <v>7</v>
      </c>
      <c r="G20" s="432">
        <f>'IMPORTAÇÃO GENOTIPER'!BW16</f>
        <v>8</v>
      </c>
      <c r="H20" s="432">
        <f>'IMPORTAÇÃO GENOTIPER'!CE16</f>
        <v>9</v>
      </c>
      <c r="I20" s="432">
        <f>'IMPORTAÇÃO GENOTIPER'!CM16</f>
        <v>9.3000000000000007</v>
      </c>
      <c r="J20" s="433">
        <f t="shared" si="29"/>
        <v>9</v>
      </c>
      <c r="K20" s="433">
        <f t="shared" si="29"/>
        <v>9</v>
      </c>
      <c r="L20" s="433">
        <f t="shared" si="29"/>
        <v>9</v>
      </c>
      <c r="M20" s="433">
        <f t="shared" si="30"/>
        <v>9</v>
      </c>
      <c r="N20" s="433">
        <f t="shared" si="31"/>
        <v>7</v>
      </c>
      <c r="O20" s="433">
        <f t="shared" si="31"/>
        <v>8</v>
      </c>
      <c r="P20" s="433">
        <f t="shared" si="31"/>
        <v>9</v>
      </c>
      <c r="Q20" s="433">
        <f t="shared" si="31"/>
        <v>9.3000000000000007</v>
      </c>
      <c r="R20" s="434">
        <f t="shared" si="0"/>
        <v>9</v>
      </c>
      <c r="S20" s="434">
        <f t="shared" si="1"/>
        <v>9</v>
      </c>
      <c r="T20" s="434">
        <f t="shared" si="0"/>
        <v>9</v>
      </c>
      <c r="U20" s="434">
        <f t="shared" si="2"/>
        <v>9</v>
      </c>
      <c r="V20" s="434">
        <f t="shared" si="3"/>
        <v>7</v>
      </c>
      <c r="W20" s="434">
        <f t="shared" si="4"/>
        <v>8</v>
      </c>
      <c r="X20" s="434">
        <f t="shared" si="32"/>
        <v>9</v>
      </c>
      <c r="Y20" s="434">
        <f t="shared" si="33"/>
        <v>9.3000000000000007</v>
      </c>
      <c r="Z20" s="435">
        <f t="shared" si="5"/>
        <v>9</v>
      </c>
      <c r="AA20" s="435">
        <f t="shared" si="6"/>
        <v>9</v>
      </c>
      <c r="AB20" s="436">
        <f>(IF((OR((T20="&gt;20"),(U20="&gt;20"))),2,(IF(((Z20+AA20)=(T20+U20)),0,1))))</f>
        <v>0</v>
      </c>
      <c r="AC20" s="437">
        <f t="shared" si="34"/>
        <v>9</v>
      </c>
      <c r="AD20" s="438">
        <f t="shared" si="35"/>
        <v>9</v>
      </c>
      <c r="AE20" s="438">
        <f t="shared" si="36"/>
        <v>0</v>
      </c>
      <c r="AF20" s="439">
        <f t="shared" si="37"/>
        <v>9</v>
      </c>
      <c r="AG20" s="440">
        <f t="shared" si="38"/>
        <v>0</v>
      </c>
      <c r="AH20" s="441">
        <f>IF(AF20=0,0,VLOOKUP(AF20,FREQUENCIAS!$1:$1048576,(IF(($A20=FREQUENCIAS!$M$1),13,"ERRO")),FREQUENCIAS!$1:$1048576))</f>
        <v>0.16256300000000001</v>
      </c>
      <c r="AI20" s="441">
        <f>IF(AG20=0,0,VLOOKUP(AG20,FREQUENCIAS!$1:$1048576,(IF(($A20=FREQUENCIAS!$M$1),13,"ERRO")),FREQUENCIAS!$1:$1048576))</f>
        <v>0</v>
      </c>
      <c r="AJ20" s="442"/>
      <c r="AK20" s="442"/>
      <c r="AL20" s="442"/>
      <c r="AM20" s="120">
        <f t="shared" si="39"/>
        <v>0.16256300000000001</v>
      </c>
      <c r="AN20" s="121">
        <f t="shared" si="7"/>
        <v>1.5378653199067438</v>
      </c>
      <c r="AO20" s="122">
        <f t="shared" si="8"/>
        <v>0.60596805821171551</v>
      </c>
      <c r="AP20" s="328"/>
      <c r="AQ20" s="443">
        <f t="shared" si="9"/>
        <v>0.70130072896899998</v>
      </c>
      <c r="AR20" s="328"/>
      <c r="AS20" s="125" t="str">
        <f t="shared" si="10"/>
        <v>1 / 4F</v>
      </c>
      <c r="AT20" s="432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0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0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0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0</v>
      </c>
      <c r="BD20" s="444">
        <f>IF(($AM20=0),1,0)</f>
        <v>0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0">
        <f>IF($A20=FREQUENCIAS!$M$1,FREQUENCIAS!$M$3,"ERRO NA MUT")</f>
        <v>1E-4</v>
      </c>
      <c r="BI20" s="40">
        <f t="shared" si="11"/>
        <v>1.5378653199067438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O20" s="445" t="str">
        <f t="shared" si="12"/>
        <v/>
      </c>
      <c r="BP20" s="445">
        <f t="shared" si="13"/>
        <v>9</v>
      </c>
      <c r="BQ20" s="445">
        <f t="shared" si="14"/>
        <v>9</v>
      </c>
      <c r="BR20" s="446" t="str">
        <f t="shared" si="15"/>
        <v/>
      </c>
      <c r="BS20" s="446">
        <f t="shared" si="16"/>
        <v>9</v>
      </c>
      <c r="BT20" s="446">
        <f t="shared" si="17"/>
        <v>9</v>
      </c>
      <c r="BU20" s="438" t="str">
        <f t="shared" si="44"/>
        <v/>
      </c>
      <c r="BV20" s="438">
        <f t="shared" si="18"/>
        <v>0</v>
      </c>
      <c r="BW20" s="438">
        <f t="shared" si="19"/>
        <v>0</v>
      </c>
      <c r="BZ20" s="447">
        <v>11</v>
      </c>
      <c r="CA20" s="448">
        <v>11</v>
      </c>
      <c r="CJ20" s="1">
        <f t="shared" si="20"/>
        <v>0</v>
      </c>
      <c r="CK20" s="1">
        <f t="shared" si="21"/>
        <v>0</v>
      </c>
      <c r="CL20" s="1">
        <f t="shared" si="22"/>
        <v>1</v>
      </c>
      <c r="CM20" s="1">
        <f t="shared" si="23"/>
        <v>0</v>
      </c>
      <c r="CN20" s="1">
        <f t="shared" si="24"/>
        <v>0</v>
      </c>
      <c r="CO20" s="1">
        <f t="shared" si="25"/>
        <v>0</v>
      </c>
      <c r="CP20" s="1">
        <f t="shared" si="26"/>
        <v>0</v>
      </c>
      <c r="CQ20" s="1">
        <f t="shared" si="27"/>
        <v>0</v>
      </c>
      <c r="CR20" s="1">
        <f t="shared" si="28"/>
        <v>1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15</v>
      </c>
      <c r="C21" s="292">
        <f>'IMPORTAÇÃO GENOTIPER'!AA17</f>
        <v>16</v>
      </c>
      <c r="D21" s="292">
        <f>'IMPORTAÇÃO GENOTIPER'!AI17</f>
        <v>15</v>
      </c>
      <c r="E21" s="292">
        <f>'IMPORTAÇÃO GENOTIPER'!AQ17</f>
        <v>15</v>
      </c>
      <c r="F21" s="432">
        <f>'IMPORTAÇÃO GENOTIPER'!BO17</f>
        <v>19</v>
      </c>
      <c r="G21" s="432">
        <f>'IMPORTAÇÃO GENOTIPER'!BW17</f>
        <v>19</v>
      </c>
      <c r="H21" s="432">
        <f>'IMPORTAÇÃO GENOTIPER'!CE17</f>
        <v>15</v>
      </c>
      <c r="I21" s="432">
        <f>'IMPORTAÇÃO GENOTIPER'!CM17</f>
        <v>18</v>
      </c>
      <c r="J21" s="433">
        <f t="shared" si="29"/>
        <v>15</v>
      </c>
      <c r="K21" s="433">
        <f t="shared" si="29"/>
        <v>16</v>
      </c>
      <c r="L21" s="433">
        <f t="shared" si="29"/>
        <v>15</v>
      </c>
      <c r="M21" s="433">
        <f t="shared" si="30"/>
        <v>15</v>
      </c>
      <c r="N21" s="433">
        <f t="shared" si="31"/>
        <v>19</v>
      </c>
      <c r="O21" s="433">
        <f t="shared" si="31"/>
        <v>19</v>
      </c>
      <c r="P21" s="433">
        <f t="shared" si="31"/>
        <v>15</v>
      </c>
      <c r="Q21" s="433">
        <f t="shared" si="31"/>
        <v>18</v>
      </c>
      <c r="R21" s="434">
        <f t="shared" si="0"/>
        <v>15</v>
      </c>
      <c r="S21" s="434">
        <f t="shared" si="1"/>
        <v>16</v>
      </c>
      <c r="T21" s="434">
        <f t="shared" si="0"/>
        <v>15</v>
      </c>
      <c r="U21" s="434">
        <f t="shared" si="2"/>
        <v>15</v>
      </c>
      <c r="V21" s="434">
        <f t="shared" si="3"/>
        <v>19</v>
      </c>
      <c r="W21" s="434">
        <f t="shared" si="4"/>
        <v>19</v>
      </c>
      <c r="X21" s="434">
        <f t="shared" si="32"/>
        <v>15</v>
      </c>
      <c r="Y21" s="434">
        <f t="shared" si="33"/>
        <v>18</v>
      </c>
      <c r="Z21" s="435">
        <f t="shared" si="5"/>
        <v>15</v>
      </c>
      <c r="AA21" s="435">
        <f t="shared" si="6"/>
        <v>15</v>
      </c>
      <c r="AB21" s="436">
        <f>(IF((OR((T21="&gt;24"),(U21="&gt;24"))),2,(IF(((Z21+AA21)=(T21+U21)),0,1))))</f>
        <v>0</v>
      </c>
      <c r="AC21" s="437">
        <f t="shared" si="34"/>
        <v>15</v>
      </c>
      <c r="AD21" s="438">
        <f t="shared" si="35"/>
        <v>15</v>
      </c>
      <c r="AE21" s="438">
        <f t="shared" si="36"/>
        <v>0</v>
      </c>
      <c r="AF21" s="439">
        <f t="shared" si="37"/>
        <v>15</v>
      </c>
      <c r="AG21" s="440">
        <f t="shared" si="38"/>
        <v>0</v>
      </c>
      <c r="AH21" s="441">
        <f>IF(AF21=0,0,VLOOKUP(AF21,FREQUENCIAS!$1:$1048576,(IF(($A21=FREQUENCIAS!$N$1),14,"ERRO")),FREQUENCIAS!$1:$1048576))</f>
        <v>0.13799400000000001</v>
      </c>
      <c r="AI21" s="441">
        <f>IF(AG21=0,0,VLOOKUP(AG21,FREQUENCIAS!$1:$1048576,(IF(($A21=FREQUENCIAS!$N$1),14,"ERRO")),FREQUENCIAS!$1:$1048576))</f>
        <v>0</v>
      </c>
      <c r="AJ21" s="442"/>
      <c r="AK21" s="442"/>
      <c r="AL21" s="442"/>
      <c r="AM21" s="120">
        <f t="shared" si="39"/>
        <v>0.13799400000000001</v>
      </c>
      <c r="AN21" s="121">
        <f t="shared" si="7"/>
        <v>1.8116729712886066</v>
      </c>
      <c r="AO21" s="122">
        <f t="shared" si="8"/>
        <v>0.6443398609256844</v>
      </c>
      <c r="AP21" s="328"/>
      <c r="AQ21" s="443">
        <f t="shared" si="9"/>
        <v>0.74305434403600013</v>
      </c>
      <c r="AR21" s="328"/>
      <c r="AS21" s="125" t="str">
        <f t="shared" si="10"/>
        <v>1 / 4F</v>
      </c>
      <c r="AT21" s="432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0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0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0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0</v>
      </c>
      <c r="BD21" s="444">
        <f t="shared" si="41"/>
        <v>0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0">
        <f>IF($A21=FREQUENCIAS!$N$1,FREQUENCIAS!$N$3,"ERRO NA MUT")</f>
        <v>1.6999999999999999E-3</v>
      </c>
      <c r="BI21" s="40">
        <f t="shared" si="11"/>
        <v>1.8116729712886066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O21" s="445" t="str">
        <f t="shared" si="12"/>
        <v/>
      </c>
      <c r="BP21" s="445">
        <f t="shared" si="13"/>
        <v>15</v>
      </c>
      <c r="BQ21" s="445">
        <f t="shared" si="14"/>
        <v>15</v>
      </c>
      <c r="BR21" s="446" t="str">
        <f t="shared" si="15"/>
        <v/>
      </c>
      <c r="BS21" s="446">
        <f t="shared" si="16"/>
        <v>15</v>
      </c>
      <c r="BT21" s="446">
        <f t="shared" si="17"/>
        <v>15</v>
      </c>
      <c r="BU21" s="438" t="str">
        <f t="shared" si="44"/>
        <v/>
      </c>
      <c r="BV21" s="438">
        <f t="shared" si="18"/>
        <v>0</v>
      </c>
      <c r="BW21" s="438">
        <f t="shared" si="19"/>
        <v>0</v>
      </c>
      <c r="BZ21" s="447">
        <v>12</v>
      </c>
      <c r="CA21" s="448">
        <v>16</v>
      </c>
      <c r="CJ21" s="1">
        <f t="shared" si="20"/>
        <v>0</v>
      </c>
      <c r="CK21" s="1">
        <f t="shared" si="21"/>
        <v>0</v>
      </c>
      <c r="CL21" s="1">
        <f t="shared" si="22"/>
        <v>1</v>
      </c>
      <c r="CM21" s="1">
        <f t="shared" si="23"/>
        <v>0</v>
      </c>
      <c r="CN21" s="1">
        <f t="shared" si="24"/>
        <v>0</v>
      </c>
      <c r="CO21" s="1">
        <f t="shared" si="25"/>
        <v>0</v>
      </c>
      <c r="CP21" s="1">
        <f t="shared" si="26"/>
        <v>0</v>
      </c>
      <c r="CQ21" s="1">
        <f t="shared" si="27"/>
        <v>0</v>
      </c>
      <c r="CR21" s="1">
        <f t="shared" si="28"/>
        <v>1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30</v>
      </c>
      <c r="C22" s="292">
        <f>'IMPORTAÇÃO GENOTIPER'!AA18</f>
        <v>35</v>
      </c>
      <c r="D22" s="292">
        <f>'IMPORTAÇÃO GENOTIPER'!AI18</f>
        <v>29</v>
      </c>
      <c r="E22" s="292">
        <f>'IMPORTAÇÃO GENOTIPER'!AQ18</f>
        <v>30</v>
      </c>
      <c r="F22" s="432">
        <f>'IMPORTAÇÃO GENOTIPER'!BO18</f>
        <v>28</v>
      </c>
      <c r="G22" s="432">
        <f>'IMPORTAÇÃO GENOTIPER'!BW18</f>
        <v>29</v>
      </c>
      <c r="H22" s="432">
        <f>'IMPORTAÇÃO GENOTIPER'!CE18</f>
        <v>30</v>
      </c>
      <c r="I22" s="432">
        <f>'IMPORTAÇÃO GENOTIPER'!CM18</f>
        <v>32.200000000000003</v>
      </c>
      <c r="J22" s="433">
        <f t="shared" si="29"/>
        <v>30</v>
      </c>
      <c r="K22" s="433">
        <f t="shared" si="29"/>
        <v>35</v>
      </c>
      <c r="L22" s="433">
        <f t="shared" si="29"/>
        <v>29</v>
      </c>
      <c r="M22" s="433">
        <f t="shared" si="30"/>
        <v>30</v>
      </c>
      <c r="N22" s="433">
        <f t="shared" si="31"/>
        <v>28</v>
      </c>
      <c r="O22" s="433">
        <f t="shared" si="31"/>
        <v>29</v>
      </c>
      <c r="P22" s="433">
        <f t="shared" si="31"/>
        <v>30</v>
      </c>
      <c r="Q22" s="433">
        <f t="shared" si="31"/>
        <v>32.200000000000003</v>
      </c>
      <c r="R22" s="434">
        <f t="shared" si="0"/>
        <v>30</v>
      </c>
      <c r="S22" s="434">
        <f t="shared" si="1"/>
        <v>35</v>
      </c>
      <c r="T22" s="434">
        <f t="shared" si="0"/>
        <v>29</v>
      </c>
      <c r="U22" s="434">
        <f t="shared" si="2"/>
        <v>30</v>
      </c>
      <c r="V22" s="434">
        <f t="shared" si="3"/>
        <v>28</v>
      </c>
      <c r="W22" s="434">
        <f t="shared" si="4"/>
        <v>29</v>
      </c>
      <c r="X22" s="434">
        <f t="shared" si="32"/>
        <v>30</v>
      </c>
      <c r="Y22" s="434">
        <f t="shared" si="33"/>
        <v>32.200000000000003</v>
      </c>
      <c r="Z22" s="435">
        <f t="shared" si="5"/>
        <v>0</v>
      </c>
      <c r="AA22" s="435">
        <f t="shared" si="6"/>
        <v>30</v>
      </c>
      <c r="AB22" s="436">
        <f>(IF((OR((T22="&gt;22"),(U22="&gt;22"))),2,(IF(((Z22+AA22)=(T22+U22)),0,1))))</f>
        <v>1</v>
      </c>
      <c r="AC22" s="437">
        <f t="shared" si="34"/>
        <v>30</v>
      </c>
      <c r="AD22" s="438">
        <f t="shared" si="35"/>
        <v>29</v>
      </c>
      <c r="AE22" s="438">
        <f t="shared" si="36"/>
        <v>0</v>
      </c>
      <c r="AF22" s="439">
        <f t="shared" si="37"/>
        <v>29</v>
      </c>
      <c r="AG22" s="440">
        <f t="shared" si="38"/>
        <v>0</v>
      </c>
      <c r="AH22" s="441">
        <f>IFERROR(IF(AF22=0,0,VLOOKUP(AF22,FREQUENCIAS!$1:$1048576,(IF(($A22=FREQUENCIAS!$O$1),15,"ERRO")),FREQUENCIAS!$1:$1048576)),0)</f>
        <v>0.20807800000000001</v>
      </c>
      <c r="AI22" s="441">
        <f>IF(AG22=0,0,VLOOKUP(AG22,FREQUENCIAS!$1:$1048576,(IF(($A22=FREQUENCIAS!$O$1),15,"ERRO")),FREQUENCIAS!$1:$1048576))</f>
        <v>0</v>
      </c>
      <c r="AJ22" s="442"/>
      <c r="AK22" s="442"/>
      <c r="AL22" s="442"/>
      <c r="AM22" s="120">
        <f t="shared" si="39"/>
        <v>0.20807800000000001</v>
      </c>
      <c r="AN22" s="121">
        <f t="shared" si="7"/>
        <v>1.2014725247263045</v>
      </c>
      <c r="AO22" s="122">
        <f t="shared" si="8"/>
        <v>0.54575858259946997</v>
      </c>
      <c r="AP22" s="328"/>
      <c r="AQ22" s="443">
        <f t="shared" si="9"/>
        <v>0.62714045408399999</v>
      </c>
      <c r="AR22" s="328"/>
      <c r="AS22" s="125" t="str">
        <f t="shared" si="10"/>
        <v>1 / 4F</v>
      </c>
      <c r="AT22" s="432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0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0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0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0</v>
      </c>
      <c r="BD22" s="444">
        <f t="shared" si="41"/>
        <v>0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0">
        <f>IF($A22=FREQUENCIAS!$O$1,FREQUENCIAS!$O$3,"ERRO NA MUT")</f>
        <v>1.9E-3</v>
      </c>
      <c r="BI22" s="40">
        <f t="shared" si="11"/>
        <v>1.2014725247263045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5" t="str">
        <f t="shared" si="12"/>
        <v/>
      </c>
      <c r="BP22" s="445">
        <f t="shared" si="13"/>
        <v>30</v>
      </c>
      <c r="BQ22" s="445">
        <f t="shared" si="14"/>
        <v>30</v>
      </c>
      <c r="BR22" s="446" t="str">
        <f t="shared" si="15"/>
        <v/>
      </c>
      <c r="BS22" s="446">
        <f t="shared" si="16"/>
        <v>29</v>
      </c>
      <c r="BT22" s="446">
        <f t="shared" si="17"/>
        <v>29</v>
      </c>
      <c r="BU22" s="438" t="str">
        <f t="shared" si="44"/>
        <v/>
      </c>
      <c r="BV22" s="438">
        <f t="shared" si="18"/>
        <v>0</v>
      </c>
      <c r="BW22" s="438">
        <f t="shared" si="19"/>
        <v>0</v>
      </c>
      <c r="BZ22" s="447">
        <v>13</v>
      </c>
      <c r="CA22" s="448">
        <v>13</v>
      </c>
      <c r="CJ22" s="1">
        <f t="shared" si="20"/>
        <v>0</v>
      </c>
      <c r="CK22" s="1">
        <f t="shared" si="21"/>
        <v>1</v>
      </c>
      <c r="CL22" s="1">
        <f t="shared" si="22"/>
        <v>0</v>
      </c>
      <c r="CM22" s="1">
        <f t="shared" si="23"/>
        <v>0</v>
      </c>
      <c r="CN22" s="1">
        <f t="shared" si="24"/>
        <v>0</v>
      </c>
      <c r="CO22" s="1">
        <f t="shared" si="25"/>
        <v>0</v>
      </c>
      <c r="CP22" s="1">
        <f t="shared" si="26"/>
        <v>0</v>
      </c>
      <c r="CQ22" s="1">
        <f t="shared" si="27"/>
        <v>0</v>
      </c>
      <c r="CR22" s="1">
        <f t="shared" si="28"/>
        <v>1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10</v>
      </c>
      <c r="C23" s="292">
        <f>'IMPORTAÇÃO GENOTIPER'!AA19</f>
        <v>10</v>
      </c>
      <c r="D23" s="292">
        <f>'IMPORTAÇÃO GENOTIPER'!AI19</f>
        <v>9</v>
      </c>
      <c r="E23" s="292">
        <f>'IMPORTAÇÃO GENOTIPER'!AQ19</f>
        <v>10</v>
      </c>
      <c r="F23" s="432">
        <f>'IMPORTAÇÃO GENOTIPER'!BO19</f>
        <v>9</v>
      </c>
      <c r="G23" s="432">
        <f>'IMPORTAÇÃO GENOTIPER'!BW19</f>
        <v>11</v>
      </c>
      <c r="H23" s="432">
        <f>'IMPORTAÇÃO GENOTIPER'!CE19</f>
        <v>11</v>
      </c>
      <c r="I23" s="432">
        <f>'IMPORTAÇÃO GENOTIPER'!CM19</f>
        <v>12</v>
      </c>
      <c r="J23" s="433">
        <f t="shared" si="29"/>
        <v>10</v>
      </c>
      <c r="K23" s="433">
        <f t="shared" si="29"/>
        <v>10</v>
      </c>
      <c r="L23" s="433">
        <f t="shared" si="29"/>
        <v>9</v>
      </c>
      <c r="M23" s="433">
        <f t="shared" si="30"/>
        <v>10</v>
      </c>
      <c r="N23" s="433">
        <f t="shared" si="31"/>
        <v>9</v>
      </c>
      <c r="O23" s="433">
        <f t="shared" si="31"/>
        <v>11</v>
      </c>
      <c r="P23" s="433">
        <f t="shared" si="31"/>
        <v>11</v>
      </c>
      <c r="Q23" s="433">
        <f t="shared" si="31"/>
        <v>12</v>
      </c>
      <c r="R23" s="434">
        <f t="shared" si="0"/>
        <v>10</v>
      </c>
      <c r="S23" s="434">
        <f t="shared" si="1"/>
        <v>10</v>
      </c>
      <c r="T23" s="434">
        <f t="shared" si="0"/>
        <v>9</v>
      </c>
      <c r="U23" s="434">
        <f t="shared" si="2"/>
        <v>10</v>
      </c>
      <c r="V23" s="434">
        <f t="shared" si="3"/>
        <v>9</v>
      </c>
      <c r="W23" s="434">
        <f t="shared" si="4"/>
        <v>11</v>
      </c>
      <c r="X23" s="434">
        <f t="shared" si="32"/>
        <v>11</v>
      </c>
      <c r="Y23" s="434">
        <f t="shared" si="33"/>
        <v>12</v>
      </c>
      <c r="Z23" s="435">
        <f t="shared" si="5"/>
        <v>0</v>
      </c>
      <c r="AA23" s="435">
        <f t="shared" si="6"/>
        <v>10</v>
      </c>
      <c r="AB23" s="436">
        <f>(IF((OR((T23="&gt;32"),(U23="&gt;32"))),2,(IF(((Z23+AA23)=(T23+U23)),0,1))))</f>
        <v>1</v>
      </c>
      <c r="AC23" s="437">
        <f t="shared" si="34"/>
        <v>10</v>
      </c>
      <c r="AD23" s="438">
        <f t="shared" si="35"/>
        <v>9</v>
      </c>
      <c r="AE23" s="438">
        <f t="shared" si="36"/>
        <v>0</v>
      </c>
      <c r="AF23" s="439">
        <f t="shared" si="37"/>
        <v>9</v>
      </c>
      <c r="AG23" s="440">
        <f t="shared" si="38"/>
        <v>0</v>
      </c>
      <c r="AH23" s="441">
        <f>IF(AF23=0,0,VLOOKUP(AF23,FREQUENCIAS!$1:$1048576,(IF(($A23=FREQUENCIAS!$P$1),16,"ERRO")),FREQUENCIAS!$1:$1048576))</f>
        <v>0.12053</v>
      </c>
      <c r="AI23" s="441">
        <f>IF(AG23=0,0,VLOOKUP(AG23,FREQUENCIAS!$1:$1048576,(IF(($A23=FREQUENCIAS!$P$1),16,"ERRO")),FREQUENCIAS!$1:$1048576))</f>
        <v>0</v>
      </c>
      <c r="AJ23" s="442"/>
      <c r="AK23" s="442"/>
      <c r="AL23" s="442"/>
      <c r="AM23" s="120">
        <f t="shared" si="39"/>
        <v>0.12053</v>
      </c>
      <c r="AN23" s="121">
        <f t="shared" si="7"/>
        <v>2.0741724052103212</v>
      </c>
      <c r="AO23" s="122">
        <f t="shared" si="8"/>
        <v>0.67470920033465576</v>
      </c>
      <c r="AP23" s="328" t="s">
        <v>173</v>
      </c>
      <c r="AQ23" s="443">
        <f t="shared" si="9"/>
        <v>0.77346748089999995</v>
      </c>
      <c r="AR23" s="328"/>
      <c r="AS23" s="125" t="str">
        <f t="shared" si="10"/>
        <v>1 / 4F</v>
      </c>
      <c r="AT23" s="432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0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0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0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0</v>
      </c>
      <c r="BC23" s="1" t="s">
        <v>318</v>
      </c>
      <c r="BD23" s="444">
        <f t="shared" si="41"/>
        <v>0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0">
        <f>IF($A23=FREQUENCIAS!$P$1,FREQUENCIAS!$P$3,"ERRO NA MUT")</f>
        <v>1E-3</v>
      </c>
      <c r="BI23" s="40">
        <f t="shared" si="11"/>
        <v>2.0741724052103212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2" t="str">
        <f t="shared" si="12"/>
        <v/>
      </c>
      <c r="BP23" s="452">
        <f t="shared" si="13"/>
        <v>10</v>
      </c>
      <c r="BQ23" s="452">
        <f t="shared" si="14"/>
        <v>10</v>
      </c>
      <c r="BR23" s="453" t="str">
        <f t="shared" si="15"/>
        <v/>
      </c>
      <c r="BS23" s="453">
        <f t="shared" si="16"/>
        <v>9</v>
      </c>
      <c r="BT23" s="453">
        <f t="shared" si="17"/>
        <v>9</v>
      </c>
      <c r="BU23" s="454" t="str">
        <f t="shared" si="44"/>
        <v/>
      </c>
      <c r="BV23" s="454">
        <f t="shared" si="18"/>
        <v>0</v>
      </c>
      <c r="BW23" s="454">
        <f t="shared" si="19"/>
        <v>0</v>
      </c>
      <c r="BZ23" s="447">
        <v>17</v>
      </c>
      <c r="CA23" s="448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0</v>
      </c>
      <c r="CL23" s="1">
        <f t="shared" si="22"/>
        <v>0</v>
      </c>
      <c r="CM23" s="1">
        <f t="shared" si="23"/>
        <v>0</v>
      </c>
      <c r="CN23" s="1">
        <f t="shared" si="24"/>
        <v>0</v>
      </c>
      <c r="CO23" s="1">
        <f t="shared" si="25"/>
        <v>0</v>
      </c>
      <c r="CP23" s="1">
        <f t="shared" si="26"/>
        <v>0</v>
      </c>
      <c r="CQ23" s="1">
        <f t="shared" si="27"/>
        <v>0</v>
      </c>
      <c r="CR23" s="1">
        <f>SUM(CJ23:CQ23)</f>
        <v>1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13</v>
      </c>
      <c r="C24" s="292">
        <f>'IMPORTAÇÃO GENOTIPER'!AA20</f>
        <v>13</v>
      </c>
      <c r="D24" s="292">
        <f>'IMPORTAÇÃO GENOTIPER'!AI20</f>
        <v>12</v>
      </c>
      <c r="E24" s="292">
        <f>'IMPORTAÇÃO GENOTIPER'!AQ20</f>
        <v>13</v>
      </c>
      <c r="F24" s="432">
        <f>'IMPORTAÇÃO GENOTIPER'!BO20</f>
        <v>11</v>
      </c>
      <c r="G24" s="432">
        <f>'IMPORTAÇÃO GENOTIPER'!BW20</f>
        <v>12</v>
      </c>
      <c r="H24" s="432">
        <f>'IMPORTAÇÃO GENOTIPER'!CE20</f>
        <v>12</v>
      </c>
      <c r="I24" s="432">
        <f>'IMPORTAÇÃO GENOTIPER'!CM20</f>
        <v>13</v>
      </c>
      <c r="J24" s="433">
        <f t="shared" si="29"/>
        <v>13</v>
      </c>
      <c r="K24" s="433">
        <f t="shared" si="29"/>
        <v>13</v>
      </c>
      <c r="L24" s="433">
        <f t="shared" si="29"/>
        <v>12</v>
      </c>
      <c r="M24" s="433">
        <f t="shared" si="30"/>
        <v>13</v>
      </c>
      <c r="N24" s="433">
        <f t="shared" si="31"/>
        <v>11</v>
      </c>
      <c r="O24" s="433">
        <f t="shared" si="31"/>
        <v>12</v>
      </c>
      <c r="P24" s="433">
        <f t="shared" si="31"/>
        <v>12</v>
      </c>
      <c r="Q24" s="433">
        <f t="shared" si="31"/>
        <v>13</v>
      </c>
      <c r="R24" s="434">
        <f t="shared" si="0"/>
        <v>13</v>
      </c>
      <c r="S24" s="434">
        <f t="shared" si="1"/>
        <v>13</v>
      </c>
      <c r="T24" s="434">
        <f t="shared" si="0"/>
        <v>12</v>
      </c>
      <c r="U24" s="434">
        <f t="shared" si="2"/>
        <v>13</v>
      </c>
      <c r="V24" s="434">
        <f t="shared" si="3"/>
        <v>11</v>
      </c>
      <c r="W24" s="434">
        <f t="shared" si="4"/>
        <v>12</v>
      </c>
      <c r="X24" s="434">
        <f t="shared" si="32"/>
        <v>12</v>
      </c>
      <c r="Y24" s="434">
        <f t="shared" si="33"/>
        <v>13</v>
      </c>
      <c r="Z24" s="435">
        <f t="shared" si="5"/>
        <v>0</v>
      </c>
      <c r="AA24" s="435">
        <f t="shared" si="6"/>
        <v>13</v>
      </c>
      <c r="AB24" s="436">
        <f t="shared" ref="AB24:AB42" si="47">(IF((OR((T24="&gt;32"),(U24="&gt;32"))),2,(IF(((Z24+AA24)=(T24+U24)),0,1))))</f>
        <v>1</v>
      </c>
      <c r="AC24" s="437">
        <f t="shared" si="34"/>
        <v>13</v>
      </c>
      <c r="AD24" s="438">
        <f t="shared" si="35"/>
        <v>12</v>
      </c>
      <c r="AE24" s="438">
        <f t="shared" si="36"/>
        <v>0</v>
      </c>
      <c r="AF24" s="439">
        <f t="shared" si="37"/>
        <v>12</v>
      </c>
      <c r="AG24" s="440">
        <f t="shared" si="38"/>
        <v>0</v>
      </c>
      <c r="AH24" s="441">
        <f>IF(AF24=0,0,VLOOKUP(AF24,FREQUENCIAS!$1:$1048576,(IF(($A24=FREQUENCIAS!$Q$1),17,"ERRO")),FREQUENCIAS!$1:$1048576))</f>
        <v>0.34637600000000002</v>
      </c>
      <c r="AI24" s="441">
        <f>IF(AG24=0,0,VLOOKUP(AG24,FREQUENCIAS!$1:$1048576,(IF(($A24=FREQUENCIAS!$Q$1),17,"ERRO")),FREQUENCIAS!$1:$1048576))</f>
        <v>0</v>
      </c>
      <c r="AJ24" s="442"/>
      <c r="AK24" s="442"/>
      <c r="AL24" s="442"/>
      <c r="AM24" s="120">
        <f t="shared" si="39"/>
        <v>0.34637600000000002</v>
      </c>
      <c r="AN24" s="121">
        <f t="shared" si="7"/>
        <v>1.4435180266531167</v>
      </c>
      <c r="AO24" s="122">
        <f t="shared" si="8"/>
        <v>0.5907539911339641</v>
      </c>
      <c r="AP24" s="328" t="s">
        <v>173</v>
      </c>
      <c r="AQ24" s="443">
        <f t="shared" si="9"/>
        <v>0.42722433337599997</v>
      </c>
      <c r="AR24" s="328"/>
      <c r="AS24" s="125" t="str">
        <f t="shared" si="10"/>
        <v>1 / 2F</v>
      </c>
      <c r="AT24" s="432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0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0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0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0</v>
      </c>
      <c r="BC24" s="1" t="s">
        <v>318</v>
      </c>
      <c r="BD24" s="444">
        <f t="shared" si="41"/>
        <v>0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0">
        <f>IF($A24=FREQUENCIAS!$Q$1,FREQUENCIAS!$Q$3,"ERRO NA MUT")</f>
        <v>1.1000000000000001E-3</v>
      </c>
      <c r="BI24" s="40">
        <f t="shared" si="11"/>
        <v>1.4435180266531167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2" t="str">
        <f t="shared" si="12"/>
        <v/>
      </c>
      <c r="BP24" s="452">
        <f t="shared" si="13"/>
        <v>13</v>
      </c>
      <c r="BQ24" s="452">
        <f t="shared" si="14"/>
        <v>13</v>
      </c>
      <c r="BR24" s="453" t="str">
        <f t="shared" si="15"/>
        <v/>
      </c>
      <c r="BS24" s="453">
        <f t="shared" si="16"/>
        <v>12</v>
      </c>
      <c r="BT24" s="453">
        <f t="shared" si="17"/>
        <v>12</v>
      </c>
      <c r="BU24" s="454" t="str">
        <f t="shared" si="44"/>
        <v/>
      </c>
      <c r="BV24" s="454">
        <f t="shared" si="18"/>
        <v>0</v>
      </c>
      <c r="BW24" s="454">
        <f t="shared" si="19"/>
        <v>0</v>
      </c>
      <c r="BZ24" s="447">
        <v>17</v>
      </c>
      <c r="CA24" s="448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0</v>
      </c>
      <c r="CK24" s="1">
        <f t="shared" si="21"/>
        <v>1</v>
      </c>
      <c r="CL24" s="1">
        <f t="shared" si="22"/>
        <v>1</v>
      </c>
      <c r="CM24" s="1">
        <f t="shared" si="23"/>
        <v>0</v>
      </c>
      <c r="CN24" s="1">
        <f t="shared" si="24"/>
        <v>0</v>
      </c>
      <c r="CO24" s="1">
        <f t="shared" si="25"/>
        <v>0</v>
      </c>
      <c r="CP24" s="1">
        <f t="shared" si="26"/>
        <v>0</v>
      </c>
      <c r="CQ24" s="1">
        <f t="shared" si="27"/>
        <v>0</v>
      </c>
      <c r="CR24" s="1">
        <f t="shared" ref="CR24:CR42" si="49">SUM(CJ24:CQ24)</f>
        <v>2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8</v>
      </c>
      <c r="C25" s="292">
        <f>'IMPORTAÇÃO GENOTIPER'!AA21</f>
        <v>8</v>
      </c>
      <c r="D25" s="292">
        <f>'IMPORTAÇÃO GENOTIPER'!AI21</f>
        <v>8</v>
      </c>
      <c r="E25" s="292">
        <f>'IMPORTAÇÃO GENOTIPER'!AQ21</f>
        <v>11</v>
      </c>
      <c r="F25" s="432">
        <f>'IMPORTAÇÃO GENOTIPER'!BO21</f>
        <v>8</v>
      </c>
      <c r="G25" s="432">
        <f>'IMPORTAÇÃO GENOTIPER'!BW21</f>
        <v>12</v>
      </c>
      <c r="H25" s="432">
        <f>'IMPORTAÇÃO GENOTIPER'!CE21</f>
        <v>8</v>
      </c>
      <c r="I25" s="432">
        <f>'IMPORTAÇÃO GENOTIPER'!CM21</f>
        <v>11</v>
      </c>
      <c r="J25" s="433">
        <f t="shared" si="29"/>
        <v>8</v>
      </c>
      <c r="K25" s="433">
        <f t="shared" si="29"/>
        <v>8</v>
      </c>
      <c r="L25" s="433">
        <f t="shared" si="29"/>
        <v>8</v>
      </c>
      <c r="M25" s="433">
        <f t="shared" si="30"/>
        <v>11</v>
      </c>
      <c r="N25" s="433">
        <f t="shared" si="31"/>
        <v>8</v>
      </c>
      <c r="O25" s="433">
        <f t="shared" si="31"/>
        <v>12</v>
      </c>
      <c r="P25" s="433">
        <f t="shared" si="31"/>
        <v>8</v>
      </c>
      <c r="Q25" s="433">
        <f t="shared" si="31"/>
        <v>11</v>
      </c>
      <c r="R25" s="434">
        <f t="shared" ref="R25:R42" si="50">IF((J25&gt;K25),K25,J25)</f>
        <v>8</v>
      </c>
      <c r="S25" s="434">
        <f t="shared" si="1"/>
        <v>8</v>
      </c>
      <c r="T25" s="434">
        <f t="shared" ref="T25:T42" si="51">IF((L25&gt;M25),M25,L25)</f>
        <v>8</v>
      </c>
      <c r="U25" s="434">
        <f t="shared" si="2"/>
        <v>11</v>
      </c>
      <c r="V25" s="434">
        <f t="shared" si="3"/>
        <v>8</v>
      </c>
      <c r="W25" s="434">
        <f t="shared" si="4"/>
        <v>12</v>
      </c>
      <c r="X25" s="434">
        <f t="shared" si="32"/>
        <v>8</v>
      </c>
      <c r="Y25" s="434">
        <f t="shared" si="33"/>
        <v>11</v>
      </c>
      <c r="Z25" s="435">
        <f t="shared" si="5"/>
        <v>8</v>
      </c>
      <c r="AA25" s="435">
        <f t="shared" si="6"/>
        <v>0</v>
      </c>
      <c r="AB25" s="436">
        <f t="shared" si="47"/>
        <v>1</v>
      </c>
      <c r="AC25" s="437">
        <f t="shared" si="34"/>
        <v>8</v>
      </c>
      <c r="AD25" s="438">
        <f t="shared" si="35"/>
        <v>11</v>
      </c>
      <c r="AE25" s="438">
        <f t="shared" si="36"/>
        <v>0</v>
      </c>
      <c r="AF25" s="439">
        <f t="shared" si="37"/>
        <v>11</v>
      </c>
      <c r="AG25" s="440">
        <f t="shared" si="38"/>
        <v>0</v>
      </c>
      <c r="AH25" s="441">
        <f>IF(AF25=0,0,VLOOKUP(AF25,FREQUENCIAS!$1:$1048576,(IF(($A25=FREQUENCIAS!$R$1),18,"ERRO")),FREQUENCIAS!$1:$1048576))</f>
        <v>0.275532</v>
      </c>
      <c r="AI25" s="441">
        <f>IF(AG25=0,0,VLOOKUP(AG25,FREQUENCIAS!$1:$1048576,(IF(($A25=FREQUENCIAS!$R$1),18,"ERRO")),FREQUENCIAS!$1:$1048576))</f>
        <v>0</v>
      </c>
      <c r="AJ25" s="442"/>
      <c r="AK25" s="442"/>
      <c r="AL25" s="442"/>
      <c r="AM25" s="120">
        <f t="shared" si="39"/>
        <v>0.275532</v>
      </c>
      <c r="AN25" s="121">
        <f t="shared" si="7"/>
        <v>0.90733562707779858</v>
      </c>
      <c r="AO25" s="122">
        <f t="shared" si="8"/>
        <v>0.47570842498648985</v>
      </c>
      <c r="AP25" s="328" t="s">
        <v>173</v>
      </c>
      <c r="AQ25" s="443">
        <f t="shared" si="9"/>
        <v>0.52485388302400005</v>
      </c>
      <c r="AR25" s="328"/>
      <c r="AS25" s="125" t="str">
        <f t="shared" si="10"/>
        <v>1 / 4F</v>
      </c>
      <c r="AT25" s="432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0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0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0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0</v>
      </c>
      <c r="BC25" s="1" t="s">
        <v>318</v>
      </c>
      <c r="BD25" s="444">
        <f t="shared" si="41"/>
        <v>0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0">
        <f>IF($A25=FREQUENCIAS!$R$1,FREQUENCIAS!$R$3,"ERRO NA MUT")</f>
        <v>1E-4</v>
      </c>
      <c r="BI25" s="40">
        <f t="shared" si="11"/>
        <v>0.90733562707779858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2" t="str">
        <f t="shared" si="12"/>
        <v/>
      </c>
      <c r="BP25" s="452">
        <f t="shared" si="13"/>
        <v>8</v>
      </c>
      <c r="BQ25" s="452">
        <f t="shared" si="14"/>
        <v>8</v>
      </c>
      <c r="BR25" s="453" t="str">
        <f t="shared" si="15"/>
        <v/>
      </c>
      <c r="BS25" s="453">
        <f t="shared" si="16"/>
        <v>11</v>
      </c>
      <c r="BT25" s="453">
        <f t="shared" si="17"/>
        <v>11</v>
      </c>
      <c r="BU25" s="454" t="str">
        <f t="shared" si="44"/>
        <v/>
      </c>
      <c r="BV25" s="454">
        <f t="shared" si="18"/>
        <v>0</v>
      </c>
      <c r="BW25" s="454">
        <f t="shared" si="19"/>
        <v>0</v>
      </c>
      <c r="BZ25" s="447">
        <v>17</v>
      </c>
      <c r="CA25" s="448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0</v>
      </c>
      <c r="CK25" s="1">
        <f t="shared" si="21"/>
        <v>0</v>
      </c>
      <c r="CL25" s="1">
        <f t="shared" si="22"/>
        <v>0</v>
      </c>
      <c r="CM25" s="1">
        <f t="shared" si="23"/>
        <v>1</v>
      </c>
      <c r="CN25" s="1">
        <f t="shared" si="24"/>
        <v>0</v>
      </c>
      <c r="CO25" s="1">
        <f t="shared" si="25"/>
        <v>0</v>
      </c>
      <c r="CP25" s="1">
        <f t="shared" si="26"/>
        <v>0</v>
      </c>
      <c r="CQ25" s="1">
        <f t="shared" si="27"/>
        <v>0</v>
      </c>
      <c r="CR25" s="1">
        <f t="shared" si="49"/>
        <v>1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12</v>
      </c>
      <c r="C26" s="292">
        <f>'IMPORTAÇÃO GENOTIPER'!AA22</f>
        <v>13</v>
      </c>
      <c r="D26" s="292">
        <f>'IMPORTAÇÃO GENOTIPER'!AI22</f>
        <v>13</v>
      </c>
      <c r="E26" s="292">
        <f>'IMPORTAÇÃO GENOTIPER'!AQ22</f>
        <v>15</v>
      </c>
      <c r="F26" s="432">
        <f>'IMPORTAÇÃO GENOTIPER'!BO22</f>
        <v>13</v>
      </c>
      <c r="G26" s="432">
        <f>'IMPORTAÇÃO GENOTIPER'!BW22</f>
        <v>15</v>
      </c>
      <c r="H26" s="432">
        <f>'IMPORTAÇÃO GENOTIPER'!CE22</f>
        <v>13</v>
      </c>
      <c r="I26" s="432">
        <f>'IMPORTAÇÃO GENOTIPER'!CM22</f>
        <v>14</v>
      </c>
      <c r="J26" s="433">
        <f t="shared" ref="J26:L41" si="52">(IF(CODE(D26)=(60),($BL26-1),(IF(CODE(D26)=(62),($BM26+1),B26))))</f>
        <v>12</v>
      </c>
      <c r="K26" s="433">
        <f t="shared" si="52"/>
        <v>13</v>
      </c>
      <c r="L26" s="433">
        <f t="shared" si="52"/>
        <v>13</v>
      </c>
      <c r="M26" s="433">
        <f t="shared" si="30"/>
        <v>15</v>
      </c>
      <c r="N26" s="433">
        <f t="shared" ref="N26:Q41" si="53">(IF(CODE(H26)=(60),($BL26-1),(IF(CODE(H26)=(62),($BM26+1),F26))))</f>
        <v>13</v>
      </c>
      <c r="O26" s="433">
        <f t="shared" si="53"/>
        <v>15</v>
      </c>
      <c r="P26" s="433">
        <f t="shared" si="53"/>
        <v>13</v>
      </c>
      <c r="Q26" s="433">
        <f t="shared" si="53"/>
        <v>14</v>
      </c>
      <c r="R26" s="434">
        <f t="shared" si="50"/>
        <v>12</v>
      </c>
      <c r="S26" s="434">
        <f t="shared" si="1"/>
        <v>13</v>
      </c>
      <c r="T26" s="434">
        <f t="shared" si="51"/>
        <v>13</v>
      </c>
      <c r="U26" s="434">
        <f t="shared" si="2"/>
        <v>15</v>
      </c>
      <c r="V26" s="434">
        <f t="shared" si="3"/>
        <v>13</v>
      </c>
      <c r="W26" s="434">
        <f t="shared" si="4"/>
        <v>15</v>
      </c>
      <c r="X26" s="434">
        <f t="shared" si="32"/>
        <v>13</v>
      </c>
      <c r="Y26" s="434">
        <f t="shared" si="33"/>
        <v>14</v>
      </c>
      <c r="Z26" s="435">
        <f t="shared" si="5"/>
        <v>13</v>
      </c>
      <c r="AA26" s="435">
        <f t="shared" si="6"/>
        <v>0</v>
      </c>
      <c r="AB26" s="436">
        <f t="shared" si="47"/>
        <v>1</v>
      </c>
      <c r="AC26" s="437">
        <f t="shared" si="34"/>
        <v>13</v>
      </c>
      <c r="AD26" s="438">
        <f t="shared" si="35"/>
        <v>15</v>
      </c>
      <c r="AE26" s="438">
        <f t="shared" si="36"/>
        <v>0</v>
      </c>
      <c r="AF26" s="439">
        <f t="shared" si="37"/>
        <v>15</v>
      </c>
      <c r="AG26" s="440">
        <f t="shared" si="38"/>
        <v>0</v>
      </c>
      <c r="AH26" s="441">
        <f>IF(AF26=0,0,VLOOKUP(AF26,FREQUENCIAS!$1:$1048576,(IF(($A26=FREQUENCIAS!$S$1),19,"ERRO")),FREQUENCIAS!$1:$1048576))</f>
        <v>0.13833100000000001</v>
      </c>
      <c r="AI26" s="441">
        <f>IF(AG26=0,0,VLOOKUP(AG26,FREQUENCIAS!$1:$1048576,(IF(($A26=FREQUENCIAS!$S$1),19,"ERRO")),FREQUENCIAS!$1:$1048576))</f>
        <v>0</v>
      </c>
      <c r="AJ26" s="442"/>
      <c r="AK26" s="442"/>
      <c r="AL26" s="442"/>
      <c r="AM26" s="120">
        <f t="shared" si="39"/>
        <v>0.13833100000000001</v>
      </c>
      <c r="AN26" s="121">
        <f t="shared" si="7"/>
        <v>1.807259399556137</v>
      </c>
      <c r="AO26" s="122">
        <f t="shared" si="8"/>
        <v>0.64378069224450285</v>
      </c>
      <c r="AP26" s="328" t="s">
        <v>173</v>
      </c>
      <c r="AQ26" s="443">
        <f t="shared" si="9"/>
        <v>0.74247346556100002</v>
      </c>
      <c r="AR26" s="328"/>
      <c r="AS26" s="125" t="str">
        <f t="shared" si="10"/>
        <v>1 / 4F</v>
      </c>
      <c r="AT26" s="432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0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0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0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0</v>
      </c>
      <c r="BC26" s="1" t="s">
        <v>318</v>
      </c>
      <c r="BD26" s="444">
        <f t="shared" si="41"/>
        <v>0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0">
        <f>IF($A26=FREQUENCIAS!$S$1,FREQUENCIAS!$S$3,"ERRO NA MUT")</f>
        <v>1.4E-3</v>
      </c>
      <c r="BI26" s="40">
        <f t="shared" si="11"/>
        <v>1.807259399556137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2" t="str">
        <f t="shared" si="12"/>
        <v/>
      </c>
      <c r="BP26" s="452">
        <f t="shared" si="13"/>
        <v>13</v>
      </c>
      <c r="BQ26" s="452">
        <f t="shared" si="14"/>
        <v>13</v>
      </c>
      <c r="BR26" s="453" t="str">
        <f t="shared" si="15"/>
        <v/>
      </c>
      <c r="BS26" s="453">
        <f t="shared" si="16"/>
        <v>15</v>
      </c>
      <c r="BT26" s="453">
        <f t="shared" si="17"/>
        <v>15</v>
      </c>
      <c r="BU26" s="454" t="str">
        <f t="shared" si="44"/>
        <v/>
      </c>
      <c r="BV26" s="454">
        <f t="shared" si="18"/>
        <v>0</v>
      </c>
      <c r="BW26" s="454">
        <f t="shared" si="19"/>
        <v>0</v>
      </c>
      <c r="BZ26" s="447">
        <v>17</v>
      </c>
      <c r="CA26" s="448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0</v>
      </c>
      <c r="CK26" s="1">
        <f t="shared" si="21"/>
        <v>1</v>
      </c>
      <c r="CL26" s="1">
        <f t="shared" si="22"/>
        <v>0</v>
      </c>
      <c r="CM26" s="1">
        <f t="shared" si="23"/>
        <v>0</v>
      </c>
      <c r="CN26" s="1">
        <f t="shared" si="24"/>
        <v>0</v>
      </c>
      <c r="CO26" s="1">
        <f t="shared" si="25"/>
        <v>0</v>
      </c>
      <c r="CP26" s="1">
        <f t="shared" si="26"/>
        <v>0</v>
      </c>
      <c r="CQ26" s="1">
        <f t="shared" si="27"/>
        <v>0</v>
      </c>
      <c r="CR26" s="1">
        <f t="shared" si="49"/>
        <v>1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19</v>
      </c>
      <c r="C27" s="292">
        <f>'IMPORTAÇÃO GENOTIPER'!AA23</f>
        <v>20</v>
      </c>
      <c r="D27" s="292">
        <f>'IMPORTAÇÃO GENOTIPER'!AI23</f>
        <v>19</v>
      </c>
      <c r="E27" s="292">
        <f>'IMPORTAÇÃO GENOTIPER'!AQ23</f>
        <v>19</v>
      </c>
      <c r="F27" s="432">
        <f>'IMPORTAÇÃO GENOTIPER'!BO23</f>
        <v>18</v>
      </c>
      <c r="G27" s="432">
        <f>'IMPORTAÇÃO GENOTIPER'!BW23</f>
        <v>18</v>
      </c>
      <c r="H27" s="432">
        <f>'IMPORTAÇÃO GENOTIPER'!CE23</f>
        <v>19</v>
      </c>
      <c r="I27" s="432">
        <f>'IMPORTAÇÃO GENOTIPER'!CM23</f>
        <v>19</v>
      </c>
      <c r="J27" s="433">
        <f t="shared" si="52"/>
        <v>19</v>
      </c>
      <c r="K27" s="433">
        <f t="shared" si="52"/>
        <v>20</v>
      </c>
      <c r="L27" s="433">
        <f t="shared" si="52"/>
        <v>19</v>
      </c>
      <c r="M27" s="433">
        <f t="shared" si="30"/>
        <v>19</v>
      </c>
      <c r="N27" s="433">
        <f t="shared" si="53"/>
        <v>18</v>
      </c>
      <c r="O27" s="433">
        <f t="shared" si="53"/>
        <v>18</v>
      </c>
      <c r="P27" s="433">
        <f t="shared" si="53"/>
        <v>19</v>
      </c>
      <c r="Q27" s="433">
        <f t="shared" si="53"/>
        <v>19</v>
      </c>
      <c r="R27" s="434">
        <f t="shared" si="50"/>
        <v>19</v>
      </c>
      <c r="S27" s="434">
        <f t="shared" si="1"/>
        <v>20</v>
      </c>
      <c r="T27" s="434">
        <f t="shared" si="51"/>
        <v>19</v>
      </c>
      <c r="U27" s="434">
        <f t="shared" si="2"/>
        <v>19</v>
      </c>
      <c r="V27" s="434">
        <f t="shared" si="3"/>
        <v>18</v>
      </c>
      <c r="W27" s="434">
        <f t="shared" si="4"/>
        <v>18</v>
      </c>
      <c r="X27" s="434">
        <f t="shared" si="32"/>
        <v>19</v>
      </c>
      <c r="Y27" s="434">
        <f t="shared" si="33"/>
        <v>19</v>
      </c>
      <c r="Z27" s="435">
        <f t="shared" si="5"/>
        <v>19</v>
      </c>
      <c r="AA27" s="435">
        <f t="shared" si="6"/>
        <v>19</v>
      </c>
      <c r="AB27" s="436">
        <f t="shared" si="47"/>
        <v>0</v>
      </c>
      <c r="AC27" s="437">
        <f t="shared" si="34"/>
        <v>19</v>
      </c>
      <c r="AD27" s="438">
        <f t="shared" si="35"/>
        <v>19</v>
      </c>
      <c r="AE27" s="438">
        <f t="shared" si="36"/>
        <v>0</v>
      </c>
      <c r="AF27" s="439">
        <f t="shared" si="37"/>
        <v>19</v>
      </c>
      <c r="AG27" s="440">
        <f t="shared" si="38"/>
        <v>0</v>
      </c>
      <c r="AH27" s="441">
        <f>IF(AF27=0,0,VLOOKUP(AF27,FREQUENCIAS!$1:$1048576,(IF(($A27=FREQUENCIAS!$T$1),20,"ERRO")),FREQUENCIAS!$1:$1048576))</f>
        <v>0.1699</v>
      </c>
      <c r="AI27" s="441">
        <f>IF(AG27=0,0,VLOOKUP(AG27,FREQUENCIAS!$1:$1048576,(IF(($A27=FREQUENCIAS!$T$1),20,"ERRO")),FREQUENCIAS!$1:$1048576))</f>
        <v>0</v>
      </c>
      <c r="AJ27" s="442"/>
      <c r="AK27" s="442"/>
      <c r="AL27" s="442"/>
      <c r="AM27" s="120">
        <f t="shared" si="39"/>
        <v>0.1699</v>
      </c>
      <c r="AN27" s="121">
        <f t="shared" si="7"/>
        <v>2.9429075927015891</v>
      </c>
      <c r="AO27" s="122">
        <f t="shared" si="8"/>
        <v>0.74638005672488428</v>
      </c>
      <c r="AP27" s="328" t="s">
        <v>173</v>
      </c>
      <c r="AQ27" s="443">
        <f t="shared" si="9"/>
        <v>0.68906601000000012</v>
      </c>
      <c r="AR27" s="328"/>
      <c r="AS27" s="125" t="str">
        <f t="shared" si="10"/>
        <v>1 / 2F</v>
      </c>
      <c r="AT27" s="432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0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0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0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0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0</v>
      </c>
      <c r="BC27" s="1" t="s">
        <v>318</v>
      </c>
      <c r="BD27" s="444">
        <f t="shared" si="41"/>
        <v>0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0">
        <f>IF($A27=FREQUENCIAS!$T$1,FREQUENCIAS!$T$3,"ERRO NA MUT")</f>
        <v>2.7000000000000001E-3</v>
      </c>
      <c r="BI27" s="40">
        <f t="shared" si="11"/>
        <v>2.9429075927015891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CORRETO</v>
      </c>
      <c r="BO27" s="452" t="str">
        <f t="shared" si="12"/>
        <v/>
      </c>
      <c r="BP27" s="452">
        <f t="shared" si="13"/>
        <v>19</v>
      </c>
      <c r="BQ27" s="452">
        <f t="shared" si="14"/>
        <v>19</v>
      </c>
      <c r="BR27" s="453" t="str">
        <f t="shared" si="15"/>
        <v/>
      </c>
      <c r="BS27" s="453">
        <f t="shared" si="16"/>
        <v>19</v>
      </c>
      <c r="BT27" s="453">
        <f t="shared" si="17"/>
        <v>19</v>
      </c>
      <c r="BU27" s="454" t="str">
        <f t="shared" si="44"/>
        <v/>
      </c>
      <c r="BV27" s="454">
        <f t="shared" si="18"/>
        <v>0</v>
      </c>
      <c r="BW27" s="454">
        <f t="shared" si="19"/>
        <v>0</v>
      </c>
      <c r="BZ27" s="447">
        <v>17</v>
      </c>
      <c r="CA27" s="448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0</v>
      </c>
      <c r="CK27" s="1">
        <f t="shared" si="21"/>
        <v>0</v>
      </c>
      <c r="CL27" s="1">
        <f t="shared" si="22"/>
        <v>1</v>
      </c>
      <c r="CM27" s="1">
        <f t="shared" si="23"/>
        <v>1</v>
      </c>
      <c r="CN27" s="1">
        <f t="shared" si="24"/>
        <v>0</v>
      </c>
      <c r="CO27" s="1">
        <f t="shared" si="25"/>
        <v>0</v>
      </c>
      <c r="CP27" s="1">
        <f t="shared" si="26"/>
        <v>0</v>
      </c>
      <c r="CQ27" s="1">
        <f t="shared" si="27"/>
        <v>0</v>
      </c>
      <c r="CR27" s="1">
        <f t="shared" si="49"/>
        <v>2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13</v>
      </c>
      <c r="D28" s="292">
        <f>'IMPORTAÇÃO GENOTIPER'!AI24</f>
        <v>13</v>
      </c>
      <c r="E28" s="292">
        <f>'IMPORTAÇÃO GENOTIPER'!AQ24</f>
        <v>13.2</v>
      </c>
      <c r="F28" s="432">
        <f>'IMPORTAÇÃO GENOTIPER'!BO24</f>
        <v>12</v>
      </c>
      <c r="G28" s="432">
        <f>'IMPORTAÇÃO GENOTIPER'!BW24</f>
        <v>15</v>
      </c>
      <c r="H28" s="432">
        <f>'IMPORTAÇÃO GENOTIPER'!CE24</f>
        <v>13</v>
      </c>
      <c r="I28" s="432">
        <f>'IMPORTAÇÃO GENOTIPER'!CM24</f>
        <v>13.2</v>
      </c>
      <c r="J28" s="433">
        <f t="shared" si="52"/>
        <v>13</v>
      </c>
      <c r="K28" s="433">
        <f t="shared" si="52"/>
        <v>13</v>
      </c>
      <c r="L28" s="433">
        <f t="shared" si="52"/>
        <v>13</v>
      </c>
      <c r="M28" s="433">
        <f t="shared" si="30"/>
        <v>13.2</v>
      </c>
      <c r="N28" s="433">
        <f t="shared" si="53"/>
        <v>12</v>
      </c>
      <c r="O28" s="433">
        <f t="shared" si="53"/>
        <v>15</v>
      </c>
      <c r="P28" s="433">
        <f t="shared" si="53"/>
        <v>13</v>
      </c>
      <c r="Q28" s="433">
        <f t="shared" si="53"/>
        <v>13.2</v>
      </c>
      <c r="R28" s="434">
        <f t="shared" si="50"/>
        <v>13</v>
      </c>
      <c r="S28" s="434">
        <f t="shared" si="1"/>
        <v>13</v>
      </c>
      <c r="T28" s="434">
        <f t="shared" si="51"/>
        <v>13</v>
      </c>
      <c r="U28" s="434">
        <f t="shared" si="2"/>
        <v>13.2</v>
      </c>
      <c r="V28" s="434">
        <f t="shared" si="3"/>
        <v>12</v>
      </c>
      <c r="W28" s="434">
        <f t="shared" si="4"/>
        <v>15</v>
      </c>
      <c r="X28" s="434">
        <f t="shared" si="32"/>
        <v>13</v>
      </c>
      <c r="Y28" s="434">
        <f t="shared" si="33"/>
        <v>13.2</v>
      </c>
      <c r="Z28" s="435">
        <f t="shared" si="5"/>
        <v>13</v>
      </c>
      <c r="AA28" s="435">
        <f t="shared" si="6"/>
        <v>0</v>
      </c>
      <c r="AB28" s="436">
        <f t="shared" si="47"/>
        <v>1</v>
      </c>
      <c r="AC28" s="437">
        <f t="shared" si="34"/>
        <v>13</v>
      </c>
      <c r="AD28" s="438">
        <f t="shared" si="35"/>
        <v>13.2</v>
      </c>
      <c r="AE28" s="438">
        <f t="shared" si="36"/>
        <v>0</v>
      </c>
      <c r="AF28" s="439">
        <f t="shared" si="37"/>
        <v>13.2</v>
      </c>
      <c r="AG28" s="440">
        <f t="shared" si="38"/>
        <v>0</v>
      </c>
      <c r="AH28" s="441">
        <f>IF(AF28=0,0,VLOOKUP(AF28,FREQUENCIAS!$1:$1048576,(IF(($A28=FREQUENCIAS!$U$1),21,"ERRO")),FREQUENCIAS!$1:$1048576))</f>
        <v>3.2599999999999997E-2</v>
      </c>
      <c r="AI28" s="441">
        <f>IF(AG28=0,0,VLOOKUP(AG28,FREQUENCIAS!$1:$1048576,(IF(($A28=FREQUENCIAS!$U$1),21,"ERRO")),FREQUENCIAS!$1:$1048576))</f>
        <v>0</v>
      </c>
      <c r="AJ28" s="442"/>
      <c r="AK28" s="442"/>
      <c r="AL28" s="442"/>
      <c r="AM28" s="120">
        <f t="shared" si="39"/>
        <v>0.05</v>
      </c>
      <c r="AN28" s="121">
        <f t="shared" si="7"/>
        <v>5</v>
      </c>
      <c r="AO28" s="122">
        <f t="shared" si="8"/>
        <v>0.83333333333333337</v>
      </c>
      <c r="AP28" s="328" t="s">
        <v>173</v>
      </c>
      <c r="AQ28" s="443">
        <f t="shared" si="9"/>
        <v>0.90249999999999997</v>
      </c>
      <c r="AR28" s="328"/>
      <c r="AS28" s="125" t="str">
        <f t="shared" si="10"/>
        <v>1 / 4F</v>
      </c>
      <c r="AT28" s="432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0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0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0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0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0</v>
      </c>
      <c r="BC28" s="1" t="s">
        <v>318</v>
      </c>
      <c r="BD28" s="444">
        <f t="shared" si="41"/>
        <v>0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0">
        <f>IF($A28=FREQUENCIAS!$U$1,FREQUENCIAS!$U$3,"ERRO NA MUT")</f>
        <v>1.1000000000000001E-3</v>
      </c>
      <c r="BI28" s="40">
        <f t="shared" si="11"/>
        <v>5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2" t="str">
        <f t="shared" si="12"/>
        <v/>
      </c>
      <c r="BP28" s="452">
        <f t="shared" si="13"/>
        <v>13</v>
      </c>
      <c r="BQ28" s="452">
        <f t="shared" si="14"/>
        <v>13</v>
      </c>
      <c r="BR28" s="453" t="str">
        <f t="shared" si="15"/>
        <v/>
      </c>
      <c r="BS28" s="453">
        <f t="shared" si="16"/>
        <v>13.2</v>
      </c>
      <c r="BT28" s="453">
        <f t="shared" si="17"/>
        <v>13.2</v>
      </c>
      <c r="BU28" s="454" t="str">
        <f t="shared" si="44"/>
        <v/>
      </c>
      <c r="BV28" s="454">
        <f t="shared" si="18"/>
        <v>0</v>
      </c>
      <c r="BW28" s="454">
        <f t="shared" si="19"/>
        <v>0</v>
      </c>
      <c r="BZ28" s="447">
        <v>17</v>
      </c>
      <c r="CA28" s="448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0</v>
      </c>
      <c r="CK28" s="1">
        <f t="shared" si="21"/>
        <v>0</v>
      </c>
      <c r="CL28" s="1">
        <f t="shared" si="22"/>
        <v>0</v>
      </c>
      <c r="CM28" s="1">
        <f t="shared" si="23"/>
        <v>1</v>
      </c>
      <c r="CN28" s="1">
        <f t="shared" si="24"/>
        <v>0</v>
      </c>
      <c r="CO28" s="1">
        <f t="shared" si="25"/>
        <v>0</v>
      </c>
      <c r="CP28" s="1">
        <f t="shared" si="26"/>
        <v>0</v>
      </c>
      <c r="CQ28" s="1">
        <f t="shared" si="27"/>
        <v>0</v>
      </c>
      <c r="CR28" s="1">
        <f t="shared" si="49"/>
        <v>1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23</v>
      </c>
      <c r="C29" s="292">
        <f>'IMPORTAÇÃO GENOTIPER'!AA25</f>
        <v>25</v>
      </c>
      <c r="D29" s="292">
        <f>'IMPORTAÇÃO GENOTIPER'!AI25</f>
        <v>21</v>
      </c>
      <c r="E29" s="292">
        <f>'IMPORTAÇÃO GENOTIPER'!AQ25</f>
        <v>23</v>
      </c>
      <c r="F29" s="432">
        <f>'IMPORTAÇÃO GENOTIPER'!BO25</f>
        <v>21</v>
      </c>
      <c r="G29" s="432">
        <f>'IMPORTAÇÃO GENOTIPER'!BW25</f>
        <v>23</v>
      </c>
      <c r="H29" s="432">
        <f>'IMPORTAÇÃO GENOTIPER'!CE25</f>
        <v>21</v>
      </c>
      <c r="I29" s="432">
        <f>'IMPORTAÇÃO GENOTIPER'!CM25</f>
        <v>22</v>
      </c>
      <c r="J29" s="433">
        <f t="shared" si="52"/>
        <v>23</v>
      </c>
      <c r="K29" s="433">
        <f t="shared" si="52"/>
        <v>25</v>
      </c>
      <c r="L29" s="433">
        <f t="shared" si="52"/>
        <v>21</v>
      </c>
      <c r="M29" s="433">
        <f t="shared" si="30"/>
        <v>23</v>
      </c>
      <c r="N29" s="433">
        <f t="shared" si="53"/>
        <v>21</v>
      </c>
      <c r="O29" s="433">
        <f t="shared" si="53"/>
        <v>23</v>
      </c>
      <c r="P29" s="433">
        <f t="shared" si="53"/>
        <v>21</v>
      </c>
      <c r="Q29" s="433">
        <f t="shared" si="53"/>
        <v>22</v>
      </c>
      <c r="R29" s="434">
        <f t="shared" si="50"/>
        <v>23</v>
      </c>
      <c r="S29" s="434">
        <f t="shared" si="1"/>
        <v>25</v>
      </c>
      <c r="T29" s="434">
        <f t="shared" si="51"/>
        <v>21</v>
      </c>
      <c r="U29" s="434">
        <f t="shared" si="2"/>
        <v>23</v>
      </c>
      <c r="V29" s="434">
        <f t="shared" si="3"/>
        <v>21</v>
      </c>
      <c r="W29" s="434">
        <f t="shared" si="4"/>
        <v>23</v>
      </c>
      <c r="X29" s="434">
        <f t="shared" si="32"/>
        <v>21</v>
      </c>
      <c r="Y29" s="434">
        <f t="shared" si="33"/>
        <v>22</v>
      </c>
      <c r="Z29" s="435">
        <f t="shared" si="5"/>
        <v>0</v>
      </c>
      <c r="AA29" s="435">
        <f t="shared" si="6"/>
        <v>23</v>
      </c>
      <c r="AB29" s="436">
        <f t="shared" si="47"/>
        <v>1</v>
      </c>
      <c r="AC29" s="437">
        <f t="shared" si="34"/>
        <v>23</v>
      </c>
      <c r="AD29" s="438">
        <f t="shared" si="35"/>
        <v>21</v>
      </c>
      <c r="AE29" s="438">
        <f t="shared" si="36"/>
        <v>0</v>
      </c>
      <c r="AF29" s="439">
        <f t="shared" si="37"/>
        <v>21</v>
      </c>
      <c r="AG29" s="440">
        <f t="shared" si="38"/>
        <v>0</v>
      </c>
      <c r="AH29" s="441">
        <f>IF(AF29=0,0,VLOOKUP(AF29,FREQUENCIAS!$1:$1048576,(IF(($A29=FREQUENCIAS!$V$1),22,"ERRO")),FREQUENCIAS!$1:$1048576))</f>
        <v>0.15107999999999999</v>
      </c>
      <c r="AI29" s="441">
        <f>IF(AG29=0,0,VLOOKUP(AG29,FREQUENCIAS!$1:$1048576,(IF(($A29=FREQUENCIAS!$V$1),22,"ERRO")),FREQUENCIAS!$1:$1048576))</f>
        <v>0</v>
      </c>
      <c r="AJ29" s="442"/>
      <c r="AK29" s="442"/>
      <c r="AL29" s="442"/>
      <c r="AM29" s="120">
        <f t="shared" si="39"/>
        <v>0.15107999999999999</v>
      </c>
      <c r="AN29" s="121">
        <f t="shared" si="7"/>
        <v>3.3095048980672495</v>
      </c>
      <c r="AO29" s="122">
        <f t="shared" si="8"/>
        <v>0.76795478282238738</v>
      </c>
      <c r="AP29" s="328" t="s">
        <v>173</v>
      </c>
      <c r="AQ29" s="443">
        <f t="shared" si="9"/>
        <v>0.7206651664</v>
      </c>
      <c r="AR29" s="328"/>
      <c r="AS29" s="125" t="str">
        <f t="shared" si="10"/>
        <v>1 / 2F</v>
      </c>
      <c r="AT29" s="432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0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0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0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0</v>
      </c>
      <c r="BC29" s="1" t="s">
        <v>318</v>
      </c>
      <c r="BD29" s="444">
        <f t="shared" si="41"/>
        <v>0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0">
        <f>IF($A29=FREQUENCIAS!$V$1,FREQUENCIAS!$V$3,"ERRO NA MUT")</f>
        <v>2.8E-3</v>
      </c>
      <c r="BI29" s="40">
        <f t="shared" si="11"/>
        <v>3.3095048980672495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CORRETO</v>
      </c>
      <c r="BO29" s="452" t="str">
        <f t="shared" si="12"/>
        <v/>
      </c>
      <c r="BP29" s="452">
        <f t="shared" si="13"/>
        <v>23</v>
      </c>
      <c r="BQ29" s="452">
        <f t="shared" si="14"/>
        <v>23</v>
      </c>
      <c r="BR29" s="453" t="str">
        <f t="shared" si="15"/>
        <v/>
      </c>
      <c r="BS29" s="453">
        <f t="shared" si="16"/>
        <v>21</v>
      </c>
      <c r="BT29" s="453">
        <f t="shared" si="17"/>
        <v>21</v>
      </c>
      <c r="BU29" s="454" t="str">
        <f t="shared" si="44"/>
        <v/>
      </c>
      <c r="BV29" s="454">
        <f t="shared" si="18"/>
        <v>0</v>
      </c>
      <c r="BW29" s="454">
        <f t="shared" si="19"/>
        <v>0</v>
      </c>
      <c r="BZ29" s="447">
        <v>17</v>
      </c>
      <c r="CA29" s="448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0</v>
      </c>
      <c r="CL29" s="1">
        <f t="shared" si="22"/>
        <v>1</v>
      </c>
      <c r="CM29" s="1">
        <f t="shared" si="23"/>
        <v>0</v>
      </c>
      <c r="CN29" s="1">
        <f t="shared" si="24"/>
        <v>0</v>
      </c>
      <c r="CO29" s="1">
        <f t="shared" si="25"/>
        <v>0</v>
      </c>
      <c r="CP29" s="1">
        <f t="shared" si="26"/>
        <v>0</v>
      </c>
      <c r="CQ29" s="1">
        <f t="shared" si="27"/>
        <v>0</v>
      </c>
      <c r="CR29" s="1">
        <f t="shared" si="49"/>
        <v>2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10</v>
      </c>
      <c r="C30" s="292">
        <f>'IMPORTAÇÃO GENOTIPER'!AA26</f>
        <v>16</v>
      </c>
      <c r="D30" s="292">
        <f>'IMPORTAÇÃO GENOTIPER'!AI26</f>
        <v>10</v>
      </c>
      <c r="E30" s="292">
        <f>'IMPORTAÇÃO GENOTIPER'!AQ26</f>
        <v>16</v>
      </c>
      <c r="F30" s="432">
        <f>'IMPORTAÇÃO GENOTIPER'!BO26</f>
        <v>15</v>
      </c>
      <c r="G30" s="432">
        <f>'IMPORTAÇÃO GENOTIPER'!BW26</f>
        <v>16</v>
      </c>
      <c r="H30" s="432">
        <f>'IMPORTAÇÃO GENOTIPER'!CE26</f>
        <v>15</v>
      </c>
      <c r="I30" s="432">
        <f>'IMPORTAÇÃO GENOTIPER'!CM26</f>
        <v>16</v>
      </c>
      <c r="J30" s="433">
        <f t="shared" si="52"/>
        <v>10</v>
      </c>
      <c r="K30" s="433">
        <f t="shared" si="52"/>
        <v>16</v>
      </c>
      <c r="L30" s="433">
        <f t="shared" si="52"/>
        <v>10</v>
      </c>
      <c r="M30" s="433">
        <f t="shared" si="30"/>
        <v>16</v>
      </c>
      <c r="N30" s="433">
        <f t="shared" si="53"/>
        <v>15</v>
      </c>
      <c r="O30" s="433">
        <f t="shared" si="53"/>
        <v>16</v>
      </c>
      <c r="P30" s="433">
        <f t="shared" si="53"/>
        <v>15</v>
      </c>
      <c r="Q30" s="433">
        <f t="shared" si="53"/>
        <v>16</v>
      </c>
      <c r="R30" s="434">
        <f t="shared" si="50"/>
        <v>10</v>
      </c>
      <c r="S30" s="434">
        <f t="shared" si="1"/>
        <v>16</v>
      </c>
      <c r="T30" s="434">
        <f t="shared" si="51"/>
        <v>10</v>
      </c>
      <c r="U30" s="434">
        <f t="shared" si="2"/>
        <v>16</v>
      </c>
      <c r="V30" s="434">
        <f t="shared" si="3"/>
        <v>15</v>
      </c>
      <c r="W30" s="434">
        <f t="shared" si="4"/>
        <v>16</v>
      </c>
      <c r="X30" s="434">
        <f t="shared" si="32"/>
        <v>15</v>
      </c>
      <c r="Y30" s="434">
        <f t="shared" si="33"/>
        <v>16</v>
      </c>
      <c r="Z30" s="435">
        <f t="shared" si="5"/>
        <v>10</v>
      </c>
      <c r="AA30" s="435">
        <f t="shared" si="6"/>
        <v>16</v>
      </c>
      <c r="AB30" s="436">
        <f t="shared" si="47"/>
        <v>0</v>
      </c>
      <c r="AC30" s="437" t="str">
        <f t="shared" si="34"/>
        <v>NÃO DEF</v>
      </c>
      <c r="AD30" s="438">
        <f t="shared" si="35"/>
        <v>10</v>
      </c>
      <c r="AE30" s="438">
        <f t="shared" si="36"/>
        <v>16</v>
      </c>
      <c r="AF30" s="439">
        <f t="shared" si="37"/>
        <v>0</v>
      </c>
      <c r="AG30" s="440">
        <f t="shared" si="38"/>
        <v>16</v>
      </c>
      <c r="AH30" s="441">
        <f>IF(AF30=0,0,VLOOKUP(AF30,FREQUENCIAS!$1:$1048576,(IF(($A30=FREQUENCIAS!$W$1),23,"ERRO")),FREQUENCIAS!$1:$1048576))</f>
        <v>0</v>
      </c>
      <c r="AI30" s="441">
        <f>IF(AG30=0,0,VLOOKUP(AG30,FREQUENCIAS!$1:$1048576,(IF(($A30=FREQUENCIAS!$W$1),23,"ERRO")),FREQUENCIAS!$1:$1048576))</f>
        <v>0.32869999999999999</v>
      </c>
      <c r="AJ30" s="442"/>
      <c r="AK30" s="442"/>
      <c r="AL30" s="442"/>
      <c r="AM30" s="120">
        <f t="shared" si="39"/>
        <v>0.32869999999999999</v>
      </c>
      <c r="AN30" s="121">
        <f t="shared" si="7"/>
        <v>1.5211439002129601</v>
      </c>
      <c r="AO30" s="122">
        <f t="shared" si="8"/>
        <v>0.60335465186436588</v>
      </c>
      <c r="AP30" s="328" t="s">
        <v>173</v>
      </c>
      <c r="AQ30" s="443">
        <f t="shared" si="9"/>
        <v>0.45064368999999999</v>
      </c>
      <c r="AR30" s="328"/>
      <c r="AS30" s="125" t="str">
        <f t="shared" si="10"/>
        <v>1 / 2F</v>
      </c>
      <c r="AT30" s="432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0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1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0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0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4">
        <f t="shared" si="41"/>
        <v>0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0">
        <f>IF($A30=FREQUENCIAS!$W$1,FREQUENCIAS!$W$3,"ERRO NA MUT")</f>
        <v>2.7000000000000001E-3</v>
      </c>
      <c r="BI30" s="40">
        <f t="shared" si="11"/>
        <v>1.5211439002129601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2" t="str">
        <f t="shared" si="12"/>
        <v/>
      </c>
      <c r="BP30" s="452" t="str">
        <f t="shared" si="13"/>
        <v>NÃO DEF</v>
      </c>
      <c r="BQ30" s="452" t="str">
        <f t="shared" si="14"/>
        <v>NÃO DEF</v>
      </c>
      <c r="BR30" s="453" t="str">
        <f t="shared" si="15"/>
        <v/>
      </c>
      <c r="BS30" s="453">
        <f t="shared" si="16"/>
        <v>0</v>
      </c>
      <c r="BT30" s="453">
        <f t="shared" si="17"/>
        <v>0</v>
      </c>
      <c r="BU30" s="454" t="str">
        <f t="shared" si="44"/>
        <v>&lt;</v>
      </c>
      <c r="BV30" s="454">
        <f t="shared" si="18"/>
        <v>33.200000000000003</v>
      </c>
      <c r="BW30" s="454" t="str">
        <f t="shared" si="19"/>
        <v>&lt;33,2</v>
      </c>
      <c r="BZ30" s="447">
        <v>17</v>
      </c>
      <c r="CA30" s="448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0</v>
      </c>
      <c r="CK30" s="1">
        <f t="shared" si="21"/>
        <v>0</v>
      </c>
      <c r="CL30" s="1">
        <f t="shared" si="22"/>
        <v>0</v>
      </c>
      <c r="CM30" s="1">
        <f t="shared" si="23"/>
        <v>0</v>
      </c>
      <c r="CN30" s="1">
        <f t="shared" si="24"/>
        <v>0</v>
      </c>
      <c r="CO30" s="1">
        <f t="shared" si="25"/>
        <v>1</v>
      </c>
      <c r="CP30" s="1">
        <f t="shared" si="26"/>
        <v>0</v>
      </c>
      <c r="CQ30" s="1">
        <f t="shared" si="27"/>
        <v>1</v>
      </c>
      <c r="CR30" s="1">
        <f t="shared" si="49"/>
        <v>2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2">
        <f>'IMPORTAÇÃO GENOTIPER'!BO27</f>
        <v>0</v>
      </c>
      <c r="G31" s="432">
        <f>'IMPORTAÇÃO GENOTIPER'!BW27</f>
        <v>0</v>
      </c>
      <c r="H31" s="432">
        <f>'IMPORTAÇÃO GENOTIPER'!CE27</f>
        <v>0</v>
      </c>
      <c r="I31" s="432">
        <f>'IMPORTAÇÃO GENOTIPER'!CM27</f>
        <v>0</v>
      </c>
      <c r="J31" s="433">
        <f t="shared" si="52"/>
        <v>0</v>
      </c>
      <c r="K31" s="433">
        <f t="shared" si="52"/>
        <v>0</v>
      </c>
      <c r="L31" s="433">
        <f t="shared" si="52"/>
        <v>0</v>
      </c>
      <c r="M31" s="433">
        <f t="shared" si="30"/>
        <v>0</v>
      </c>
      <c r="N31" s="433">
        <f t="shared" si="53"/>
        <v>0</v>
      </c>
      <c r="O31" s="433">
        <f t="shared" si="53"/>
        <v>0</v>
      </c>
      <c r="P31" s="433">
        <f t="shared" si="53"/>
        <v>0</v>
      </c>
      <c r="Q31" s="433">
        <f t="shared" si="53"/>
        <v>0</v>
      </c>
      <c r="R31" s="434">
        <f t="shared" si="50"/>
        <v>0</v>
      </c>
      <c r="S31" s="434">
        <f t="shared" si="1"/>
        <v>0</v>
      </c>
      <c r="T31" s="434">
        <f t="shared" si="51"/>
        <v>0</v>
      </c>
      <c r="U31" s="434">
        <f t="shared" si="2"/>
        <v>0</v>
      </c>
      <c r="V31" s="434">
        <f t="shared" si="3"/>
        <v>0</v>
      </c>
      <c r="W31" s="434">
        <f t="shared" si="4"/>
        <v>0</v>
      </c>
      <c r="X31" s="434">
        <f t="shared" si="32"/>
        <v>0</v>
      </c>
      <c r="Y31" s="434">
        <f t="shared" si="33"/>
        <v>0</v>
      </c>
      <c r="Z31" s="435">
        <f t="shared" si="5"/>
        <v>0</v>
      </c>
      <c r="AA31" s="435">
        <f t="shared" si="6"/>
        <v>0</v>
      </c>
      <c r="AB31" s="436">
        <f t="shared" si="47"/>
        <v>0</v>
      </c>
      <c r="AC31" s="437">
        <f t="shared" si="34"/>
        <v>0</v>
      </c>
      <c r="AD31" s="438">
        <f t="shared" si="35"/>
        <v>0</v>
      </c>
      <c r="AE31" s="438">
        <f t="shared" si="36"/>
        <v>0</v>
      </c>
      <c r="AF31" s="439">
        <f t="shared" si="37"/>
        <v>0</v>
      </c>
      <c r="AG31" s="440">
        <f t="shared" si="38"/>
        <v>0</v>
      </c>
      <c r="AH31" s="441">
        <f>IF(AF31=0,0,VLOOKUP(AF31,FREQUENCIAS!$1:$1048576,(IF(($A31=FREQUENCIAS!$X$1),24,"ERRO")),FREQUENCIAS!$1:$1048576))</f>
        <v>0</v>
      </c>
      <c r="AI31" s="441">
        <f>IF(AG31=0,0,VLOOKUP(AG31,FREQUENCIAS!$1:$1048576,(IF(($A31=FREQUENCIAS!$X$1),24,"ERRO")),FREQUENCIAS!$1:$1048576))</f>
        <v>0</v>
      </c>
      <c r="AJ31" s="442"/>
      <c r="AK31" s="442"/>
      <c r="AL31" s="442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3">
        <f t="shared" si="9"/>
        <v>0</v>
      </c>
      <c r="AR31" s="328"/>
      <c r="AS31" s="125" t="str">
        <f t="shared" si="10"/>
        <v>MUTAÇÃO</v>
      </c>
      <c r="AT31" s="432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4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0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2" t="str">
        <f t="shared" si="12"/>
        <v/>
      </c>
      <c r="BP31" s="452">
        <f t="shared" si="13"/>
        <v>0</v>
      </c>
      <c r="BQ31" s="452">
        <f t="shared" si="14"/>
        <v>0</v>
      </c>
      <c r="BR31" s="453" t="str">
        <f t="shared" si="15"/>
        <v/>
      </c>
      <c r="BS31" s="453">
        <f t="shared" si="16"/>
        <v>0</v>
      </c>
      <c r="BT31" s="453">
        <f t="shared" si="17"/>
        <v>0</v>
      </c>
      <c r="BU31" s="454" t="str">
        <f t="shared" si="44"/>
        <v/>
      </c>
      <c r="BV31" s="454">
        <f t="shared" si="18"/>
        <v>0</v>
      </c>
      <c r="BW31" s="454">
        <f t="shared" si="19"/>
        <v>0</v>
      </c>
      <c r="BZ31" s="447">
        <v>17</v>
      </c>
      <c r="CA31" s="448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2">
        <f>'IMPORTAÇÃO GENOTIPER'!BO28</f>
        <v>0</v>
      </c>
      <c r="G32" s="432">
        <f>'IMPORTAÇÃO GENOTIPER'!BW28</f>
        <v>0</v>
      </c>
      <c r="H32" s="432">
        <f>'IMPORTAÇÃO GENOTIPER'!CE28</f>
        <v>0</v>
      </c>
      <c r="I32" s="432">
        <f>'IMPORTAÇÃO GENOTIPER'!CM28</f>
        <v>0</v>
      </c>
      <c r="J32" s="433">
        <f t="shared" si="52"/>
        <v>0</v>
      </c>
      <c r="K32" s="433">
        <f t="shared" si="52"/>
        <v>0</v>
      </c>
      <c r="L32" s="433">
        <f t="shared" si="52"/>
        <v>0</v>
      </c>
      <c r="M32" s="433">
        <f t="shared" si="30"/>
        <v>0</v>
      </c>
      <c r="N32" s="433">
        <f t="shared" si="53"/>
        <v>0</v>
      </c>
      <c r="O32" s="433">
        <f t="shared" si="53"/>
        <v>0</v>
      </c>
      <c r="P32" s="433">
        <f t="shared" si="53"/>
        <v>0</v>
      </c>
      <c r="Q32" s="433">
        <f t="shared" si="53"/>
        <v>0</v>
      </c>
      <c r="R32" s="434">
        <f t="shared" si="50"/>
        <v>0</v>
      </c>
      <c r="S32" s="434">
        <f t="shared" si="1"/>
        <v>0</v>
      </c>
      <c r="T32" s="434">
        <f t="shared" si="51"/>
        <v>0</v>
      </c>
      <c r="U32" s="434">
        <f t="shared" si="2"/>
        <v>0</v>
      </c>
      <c r="V32" s="434">
        <f t="shared" si="3"/>
        <v>0</v>
      </c>
      <c r="W32" s="434">
        <f t="shared" si="4"/>
        <v>0</v>
      </c>
      <c r="X32" s="434">
        <f t="shared" si="32"/>
        <v>0</v>
      </c>
      <c r="Y32" s="434">
        <f t="shared" si="33"/>
        <v>0</v>
      </c>
      <c r="Z32" s="435">
        <f t="shared" si="5"/>
        <v>0</v>
      </c>
      <c r="AA32" s="435">
        <f t="shared" si="6"/>
        <v>0</v>
      </c>
      <c r="AB32" s="436">
        <f t="shared" si="47"/>
        <v>0</v>
      </c>
      <c r="AC32" s="437">
        <f t="shared" si="34"/>
        <v>0</v>
      </c>
      <c r="AD32" s="438">
        <f t="shared" si="35"/>
        <v>0</v>
      </c>
      <c r="AE32" s="438">
        <f t="shared" si="36"/>
        <v>0</v>
      </c>
      <c r="AF32" s="439">
        <f t="shared" si="37"/>
        <v>0</v>
      </c>
      <c r="AG32" s="440">
        <f t="shared" si="38"/>
        <v>0</v>
      </c>
      <c r="AH32" s="441">
        <f>IF(AF32=0,0,VLOOKUP(AF32,FREQUENCIAS!$1:$1048576,(IF(($A32=FREQUENCIAS!$Y$1),24,"ERRO")),FREQUENCIAS!$1:$1048576))</f>
        <v>0</v>
      </c>
      <c r="AI32" s="441">
        <f>IF(AG32=0,0,VLOOKUP(AG32,FREQUENCIAS!$1:$1048576,(IF(($A32=FREQUENCIAS!$Y$1),24,"ERRO")),FREQUENCIAS!$1:$1048576))</f>
        <v>0</v>
      </c>
      <c r="AJ32" s="442"/>
      <c r="AK32" s="442"/>
      <c r="AL32" s="442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3">
        <f t="shared" si="9"/>
        <v>0</v>
      </c>
      <c r="AR32" s="328"/>
      <c r="AS32" s="125" t="str">
        <f t="shared" si="10"/>
        <v>MUTAÇÃO</v>
      </c>
      <c r="AT32" s="432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4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0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2" t="str">
        <f t="shared" si="12"/>
        <v/>
      </c>
      <c r="BP32" s="452">
        <f t="shared" si="13"/>
        <v>0</v>
      </c>
      <c r="BQ32" s="452">
        <f t="shared" si="14"/>
        <v>0</v>
      </c>
      <c r="BR32" s="453" t="str">
        <f t="shared" si="15"/>
        <v/>
      </c>
      <c r="BS32" s="453">
        <f t="shared" si="16"/>
        <v>0</v>
      </c>
      <c r="BT32" s="453">
        <f t="shared" si="17"/>
        <v>0</v>
      </c>
      <c r="BU32" s="454" t="str">
        <f t="shared" si="44"/>
        <v/>
      </c>
      <c r="BV32" s="454">
        <f t="shared" si="18"/>
        <v>0</v>
      </c>
      <c r="BW32" s="454">
        <f t="shared" si="19"/>
        <v>0</v>
      </c>
      <c r="BZ32" s="447">
        <v>17</v>
      </c>
      <c r="CA32" s="448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2">
        <f>'IMPORTAÇÃO GENOTIPER'!BO29</f>
        <v>0</v>
      </c>
      <c r="G33" s="432">
        <f>'IMPORTAÇÃO GENOTIPER'!BW29</f>
        <v>0</v>
      </c>
      <c r="H33" s="432">
        <f>'IMPORTAÇÃO GENOTIPER'!CE29</f>
        <v>0</v>
      </c>
      <c r="I33" s="432">
        <f>'IMPORTAÇÃO GENOTIPER'!CM29</f>
        <v>0</v>
      </c>
      <c r="J33" s="433">
        <f t="shared" si="52"/>
        <v>0</v>
      </c>
      <c r="K33" s="433">
        <f t="shared" si="52"/>
        <v>0</v>
      </c>
      <c r="L33" s="433">
        <f t="shared" si="52"/>
        <v>0</v>
      </c>
      <c r="M33" s="433">
        <f t="shared" si="30"/>
        <v>0</v>
      </c>
      <c r="N33" s="433">
        <f t="shared" si="53"/>
        <v>0</v>
      </c>
      <c r="O33" s="433">
        <f t="shared" si="53"/>
        <v>0</v>
      </c>
      <c r="P33" s="433">
        <f t="shared" si="53"/>
        <v>0</v>
      </c>
      <c r="Q33" s="433">
        <f t="shared" si="53"/>
        <v>0</v>
      </c>
      <c r="R33" s="434">
        <f t="shared" si="50"/>
        <v>0</v>
      </c>
      <c r="S33" s="434">
        <f t="shared" si="1"/>
        <v>0</v>
      </c>
      <c r="T33" s="434">
        <f t="shared" si="51"/>
        <v>0</v>
      </c>
      <c r="U33" s="434">
        <f t="shared" si="2"/>
        <v>0</v>
      </c>
      <c r="V33" s="434">
        <f t="shared" si="3"/>
        <v>0</v>
      </c>
      <c r="W33" s="434">
        <f t="shared" si="4"/>
        <v>0</v>
      </c>
      <c r="X33" s="434">
        <f t="shared" si="32"/>
        <v>0</v>
      </c>
      <c r="Y33" s="434">
        <f t="shared" si="33"/>
        <v>0</v>
      </c>
      <c r="Z33" s="435">
        <f t="shared" si="5"/>
        <v>0</v>
      </c>
      <c r="AA33" s="435">
        <f t="shared" si="6"/>
        <v>0</v>
      </c>
      <c r="AB33" s="436">
        <f t="shared" si="47"/>
        <v>0</v>
      </c>
      <c r="AC33" s="437">
        <f t="shared" si="34"/>
        <v>0</v>
      </c>
      <c r="AD33" s="438">
        <f t="shared" si="35"/>
        <v>0</v>
      </c>
      <c r="AE33" s="438">
        <f t="shared" si="36"/>
        <v>0</v>
      </c>
      <c r="AF33" s="439">
        <f t="shared" si="37"/>
        <v>0</v>
      </c>
      <c r="AG33" s="440">
        <f t="shared" si="38"/>
        <v>0</v>
      </c>
      <c r="AH33" s="441">
        <f>IF(AF33=0,0,VLOOKUP(AF33,FREQUENCIAS!$1:$1048576,(IF(($A33=FREQUENCIAS!$Z$1),25,"ERRO")),FREQUENCIAS!$1:$1048576))</f>
        <v>0</v>
      </c>
      <c r="AI33" s="441">
        <f>IF(AG33=0,0,VLOOKUP(AG33,FREQUENCIAS!$1:$1048576,(IF(($A33=FREQUENCIAS!$Z$1),25,"ERRO")),FREQUENCIAS!$1:$1048576))</f>
        <v>0</v>
      </c>
      <c r="AJ33" s="442"/>
      <c r="AK33" s="442"/>
      <c r="AL33" s="442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3">
        <f t="shared" si="9"/>
        <v>0</v>
      </c>
      <c r="AR33" s="328"/>
      <c r="AS33" s="125" t="str">
        <f t="shared" si="10"/>
        <v>MUTAÇÃO</v>
      </c>
      <c r="AT33" s="432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4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0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2" t="str">
        <f t="shared" si="12"/>
        <v/>
      </c>
      <c r="BP33" s="452">
        <f t="shared" si="13"/>
        <v>0</v>
      </c>
      <c r="BQ33" s="452">
        <f t="shared" si="14"/>
        <v>0</v>
      </c>
      <c r="BR33" s="453" t="str">
        <f t="shared" si="15"/>
        <v/>
      </c>
      <c r="BS33" s="453">
        <f t="shared" si="16"/>
        <v>0</v>
      </c>
      <c r="BT33" s="453">
        <f t="shared" si="17"/>
        <v>0</v>
      </c>
      <c r="BU33" s="454" t="str">
        <f t="shared" si="44"/>
        <v/>
      </c>
      <c r="BV33" s="454">
        <f t="shared" si="18"/>
        <v>0</v>
      </c>
      <c r="BW33" s="454">
        <f t="shared" si="19"/>
        <v>0</v>
      </c>
      <c r="BZ33" s="447">
        <v>17</v>
      </c>
      <c r="CA33" s="448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2">
        <f>'IMPORTAÇÃO GENOTIPER'!BO30</f>
        <v>0</v>
      </c>
      <c r="G34" s="432">
        <f>'IMPORTAÇÃO GENOTIPER'!BW30</f>
        <v>0</v>
      </c>
      <c r="H34" s="432">
        <f>'IMPORTAÇÃO GENOTIPER'!CE30</f>
        <v>0</v>
      </c>
      <c r="I34" s="432">
        <f>'IMPORTAÇÃO GENOTIPER'!CM30</f>
        <v>0</v>
      </c>
      <c r="J34" s="433">
        <f t="shared" si="52"/>
        <v>0</v>
      </c>
      <c r="K34" s="433">
        <f t="shared" si="52"/>
        <v>0</v>
      </c>
      <c r="L34" s="433">
        <f t="shared" si="52"/>
        <v>0</v>
      </c>
      <c r="M34" s="433">
        <f t="shared" si="30"/>
        <v>0</v>
      </c>
      <c r="N34" s="433">
        <f t="shared" si="53"/>
        <v>0</v>
      </c>
      <c r="O34" s="433">
        <f t="shared" si="53"/>
        <v>0</v>
      </c>
      <c r="P34" s="433">
        <f t="shared" si="53"/>
        <v>0</v>
      </c>
      <c r="Q34" s="433">
        <f t="shared" si="53"/>
        <v>0</v>
      </c>
      <c r="R34" s="434">
        <f t="shared" si="50"/>
        <v>0</v>
      </c>
      <c r="S34" s="434">
        <f t="shared" si="1"/>
        <v>0</v>
      </c>
      <c r="T34" s="434">
        <f t="shared" si="51"/>
        <v>0</v>
      </c>
      <c r="U34" s="434">
        <f t="shared" si="2"/>
        <v>0</v>
      </c>
      <c r="V34" s="434">
        <f t="shared" si="3"/>
        <v>0</v>
      </c>
      <c r="W34" s="434">
        <f t="shared" si="4"/>
        <v>0</v>
      </c>
      <c r="X34" s="434">
        <f t="shared" si="32"/>
        <v>0</v>
      </c>
      <c r="Y34" s="434">
        <f t="shared" si="33"/>
        <v>0</v>
      </c>
      <c r="Z34" s="435">
        <f t="shared" si="5"/>
        <v>0</v>
      </c>
      <c r="AA34" s="435">
        <f t="shared" si="6"/>
        <v>0</v>
      </c>
      <c r="AB34" s="436">
        <f t="shared" si="47"/>
        <v>0</v>
      </c>
      <c r="AC34" s="437">
        <f t="shared" si="34"/>
        <v>0</v>
      </c>
      <c r="AD34" s="438">
        <f t="shared" si="35"/>
        <v>0</v>
      </c>
      <c r="AE34" s="438">
        <f t="shared" si="36"/>
        <v>0</v>
      </c>
      <c r="AF34" s="439">
        <f t="shared" si="37"/>
        <v>0</v>
      </c>
      <c r="AG34" s="440">
        <f t="shared" si="38"/>
        <v>0</v>
      </c>
      <c r="AH34" s="441">
        <f>IF(AF34=0,0,VLOOKUP(AF34,FREQUENCIAS!$1:$1048576,(IF(($A34=FREQUENCIAS!$AA$1),27,"ERRO")),FREQUENCIAS!$1:$1048576))</f>
        <v>0</v>
      </c>
      <c r="AI34" s="441">
        <f>IF(AG34=0,0,VLOOKUP(AG34,FREQUENCIAS!$1:$1048576,(IF(($A34=FREQUENCIAS!$AA$1),27,"ERRO")),FREQUENCIAS!$1:$1048576))</f>
        <v>0</v>
      </c>
      <c r="AJ34" s="442"/>
      <c r="AK34" s="442"/>
      <c r="AL34" s="442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3">
        <f t="shared" si="9"/>
        <v>0</v>
      </c>
      <c r="AR34" s="328"/>
      <c r="AS34" s="125" t="str">
        <f t="shared" si="10"/>
        <v>MUTAÇÃO</v>
      </c>
      <c r="AT34" s="432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4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0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2" t="str">
        <f t="shared" si="12"/>
        <v/>
      </c>
      <c r="BP34" s="452">
        <f t="shared" si="13"/>
        <v>0</v>
      </c>
      <c r="BQ34" s="452">
        <f t="shared" si="14"/>
        <v>0</v>
      </c>
      <c r="BR34" s="453" t="str">
        <f t="shared" si="15"/>
        <v/>
      </c>
      <c r="BS34" s="453">
        <f t="shared" si="16"/>
        <v>0</v>
      </c>
      <c r="BT34" s="453">
        <f t="shared" si="17"/>
        <v>0</v>
      </c>
      <c r="BU34" s="454" t="str">
        <f t="shared" si="44"/>
        <v/>
      </c>
      <c r="BV34" s="454">
        <f t="shared" si="18"/>
        <v>0</v>
      </c>
      <c r="BW34" s="454">
        <f t="shared" si="19"/>
        <v>0</v>
      </c>
      <c r="BZ34" s="447">
        <v>17</v>
      </c>
      <c r="CA34" s="448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2">
        <f>'IMPORTAÇÃO GENOTIPER'!BO31</f>
        <v>0</v>
      </c>
      <c r="G35" s="432">
        <f>'IMPORTAÇÃO GENOTIPER'!BW31</f>
        <v>0</v>
      </c>
      <c r="H35" s="432">
        <f>'IMPORTAÇÃO GENOTIPER'!CE31</f>
        <v>0</v>
      </c>
      <c r="I35" s="432">
        <f>'IMPORTAÇÃO GENOTIPER'!CM31</f>
        <v>0</v>
      </c>
      <c r="J35" s="433">
        <f t="shared" si="52"/>
        <v>0</v>
      </c>
      <c r="K35" s="433">
        <f t="shared" si="52"/>
        <v>0</v>
      </c>
      <c r="L35" s="433">
        <f t="shared" si="52"/>
        <v>0</v>
      </c>
      <c r="M35" s="433">
        <f t="shared" si="30"/>
        <v>0</v>
      </c>
      <c r="N35" s="433">
        <f t="shared" si="53"/>
        <v>0</v>
      </c>
      <c r="O35" s="433">
        <f t="shared" si="53"/>
        <v>0</v>
      </c>
      <c r="P35" s="433">
        <f t="shared" si="53"/>
        <v>0</v>
      </c>
      <c r="Q35" s="433">
        <f t="shared" si="53"/>
        <v>0</v>
      </c>
      <c r="R35" s="434">
        <f t="shared" si="50"/>
        <v>0</v>
      </c>
      <c r="S35" s="434">
        <f t="shared" si="1"/>
        <v>0</v>
      </c>
      <c r="T35" s="434">
        <f t="shared" si="51"/>
        <v>0</v>
      </c>
      <c r="U35" s="434">
        <f t="shared" si="2"/>
        <v>0</v>
      </c>
      <c r="V35" s="434">
        <f t="shared" si="3"/>
        <v>0</v>
      </c>
      <c r="W35" s="434">
        <f t="shared" si="4"/>
        <v>0</v>
      </c>
      <c r="X35" s="434">
        <f t="shared" si="32"/>
        <v>0</v>
      </c>
      <c r="Y35" s="434">
        <f t="shared" si="33"/>
        <v>0</v>
      </c>
      <c r="Z35" s="435">
        <f t="shared" si="5"/>
        <v>0</v>
      </c>
      <c r="AA35" s="435">
        <f t="shared" si="6"/>
        <v>0</v>
      </c>
      <c r="AB35" s="436">
        <f t="shared" si="47"/>
        <v>0</v>
      </c>
      <c r="AC35" s="437">
        <f t="shared" si="34"/>
        <v>0</v>
      </c>
      <c r="AD35" s="438">
        <f t="shared" si="35"/>
        <v>0</v>
      </c>
      <c r="AE35" s="438">
        <f t="shared" si="36"/>
        <v>0</v>
      </c>
      <c r="AF35" s="439">
        <f t="shared" si="37"/>
        <v>0</v>
      </c>
      <c r="AG35" s="440">
        <f t="shared" si="38"/>
        <v>0</v>
      </c>
      <c r="AH35" s="441">
        <f>IF(AF35=0,0,VLOOKUP(AF35,FREQUENCIAS!$1:$1048576,(IF(($A35=FREQUENCIAS!$AB$1),28,"ERRO")),FREQUENCIAS!$1:$1048576))</f>
        <v>0</v>
      </c>
      <c r="AI35" s="441">
        <f>IF(AG35=0,0,VLOOKUP(AG35,FREQUENCIAS!$1:$1048576,(IF(($A35=FREQUENCIAS!$AB$1),28,"ERRO")),FREQUENCIAS!$1:$1048576))</f>
        <v>0</v>
      </c>
      <c r="AJ35" s="442"/>
      <c r="AK35" s="442"/>
      <c r="AL35" s="442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3">
        <f t="shared" si="9"/>
        <v>0</v>
      </c>
      <c r="AR35" s="328"/>
      <c r="AS35" s="125" t="str">
        <f t="shared" si="10"/>
        <v>MUTAÇÃO</v>
      </c>
      <c r="AT35" s="432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4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0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2" t="str">
        <f t="shared" si="12"/>
        <v/>
      </c>
      <c r="BP35" s="452">
        <f t="shared" si="13"/>
        <v>0</v>
      </c>
      <c r="BQ35" s="452">
        <f t="shared" si="14"/>
        <v>0</v>
      </c>
      <c r="BR35" s="453" t="str">
        <f t="shared" si="15"/>
        <v/>
      </c>
      <c r="BS35" s="453">
        <f t="shared" si="16"/>
        <v>0</v>
      </c>
      <c r="BT35" s="453">
        <f t="shared" si="17"/>
        <v>0</v>
      </c>
      <c r="BU35" s="454" t="str">
        <f t="shared" si="44"/>
        <v/>
      </c>
      <c r="BV35" s="454">
        <f t="shared" si="18"/>
        <v>0</v>
      </c>
      <c r="BW35" s="454">
        <f t="shared" si="19"/>
        <v>0</v>
      </c>
      <c r="BZ35" s="447">
        <v>17</v>
      </c>
      <c r="CA35" s="448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2">
        <f>'IMPORTAÇÃO GENOTIPER'!BO32</f>
        <v>0</v>
      </c>
      <c r="G36" s="432">
        <f>'IMPORTAÇÃO GENOTIPER'!BW32</f>
        <v>0</v>
      </c>
      <c r="H36" s="432">
        <f>'IMPORTAÇÃO GENOTIPER'!CE32</f>
        <v>0</v>
      </c>
      <c r="I36" s="432">
        <f>'IMPORTAÇÃO GENOTIPER'!CM32</f>
        <v>0</v>
      </c>
      <c r="J36" s="433">
        <f t="shared" si="52"/>
        <v>0</v>
      </c>
      <c r="K36" s="433">
        <f t="shared" si="52"/>
        <v>0</v>
      </c>
      <c r="L36" s="433">
        <f t="shared" si="52"/>
        <v>0</v>
      </c>
      <c r="M36" s="433">
        <f t="shared" si="30"/>
        <v>0</v>
      </c>
      <c r="N36" s="433">
        <f t="shared" si="53"/>
        <v>0</v>
      </c>
      <c r="O36" s="433">
        <f t="shared" si="53"/>
        <v>0</v>
      </c>
      <c r="P36" s="433">
        <f t="shared" si="53"/>
        <v>0</v>
      </c>
      <c r="Q36" s="433">
        <f t="shared" si="53"/>
        <v>0</v>
      </c>
      <c r="R36" s="434">
        <f t="shared" si="50"/>
        <v>0</v>
      </c>
      <c r="S36" s="434">
        <f t="shared" si="1"/>
        <v>0</v>
      </c>
      <c r="T36" s="434">
        <f t="shared" si="51"/>
        <v>0</v>
      </c>
      <c r="U36" s="434">
        <f t="shared" si="2"/>
        <v>0</v>
      </c>
      <c r="V36" s="434">
        <f t="shared" si="3"/>
        <v>0</v>
      </c>
      <c r="W36" s="434">
        <f t="shared" si="4"/>
        <v>0</v>
      </c>
      <c r="X36" s="434">
        <f t="shared" si="32"/>
        <v>0</v>
      </c>
      <c r="Y36" s="434">
        <f t="shared" si="33"/>
        <v>0</v>
      </c>
      <c r="Z36" s="435">
        <f t="shared" si="5"/>
        <v>0</v>
      </c>
      <c r="AA36" s="435">
        <f t="shared" si="6"/>
        <v>0</v>
      </c>
      <c r="AB36" s="436">
        <f t="shared" si="47"/>
        <v>0</v>
      </c>
      <c r="AC36" s="437">
        <f t="shared" si="34"/>
        <v>0</v>
      </c>
      <c r="AD36" s="438">
        <f t="shared" si="35"/>
        <v>0</v>
      </c>
      <c r="AE36" s="438">
        <f t="shared" si="36"/>
        <v>0</v>
      </c>
      <c r="AF36" s="439">
        <f t="shared" si="37"/>
        <v>0</v>
      </c>
      <c r="AG36" s="440">
        <f t="shared" si="38"/>
        <v>0</v>
      </c>
      <c r="AH36" s="441">
        <f>IF(AF36=0,0,VLOOKUP(AF36,FREQUENCIAS!$1:$1048576,(IF(($A36=FREQUENCIAS!$AC$1),29,"ERRO")),FREQUENCIAS!$1:$1048576))</f>
        <v>0</v>
      </c>
      <c r="AI36" s="441">
        <f>IF(AG36=0,0,VLOOKUP(AG36,FREQUENCIAS!$1:$1048576,(IF(($A36=FREQUENCIAS!$AC$1),29,"ERRO")),FREQUENCIAS!$1:$1048576))</f>
        <v>0</v>
      </c>
      <c r="AJ36" s="442"/>
      <c r="AK36" s="442"/>
      <c r="AL36" s="442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3">
        <f t="shared" si="9"/>
        <v>0</v>
      </c>
      <c r="AR36" s="328"/>
      <c r="AS36" s="125" t="str">
        <f t="shared" si="10"/>
        <v>MUTAÇÃO</v>
      </c>
      <c r="AT36" s="432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4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0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2" t="str">
        <f t="shared" si="12"/>
        <v/>
      </c>
      <c r="BP36" s="452">
        <f t="shared" si="13"/>
        <v>0</v>
      </c>
      <c r="BQ36" s="452">
        <f t="shared" si="14"/>
        <v>0</v>
      </c>
      <c r="BR36" s="453" t="str">
        <f t="shared" si="15"/>
        <v/>
      </c>
      <c r="BS36" s="453">
        <f t="shared" si="16"/>
        <v>0</v>
      </c>
      <c r="BT36" s="453">
        <f t="shared" si="17"/>
        <v>0</v>
      </c>
      <c r="BU36" s="454" t="str">
        <f t="shared" si="44"/>
        <v/>
      </c>
      <c r="BV36" s="454">
        <f t="shared" si="18"/>
        <v>0</v>
      </c>
      <c r="BW36" s="454">
        <f t="shared" si="19"/>
        <v>0</v>
      </c>
      <c r="BZ36" s="447">
        <v>17</v>
      </c>
      <c r="CA36" s="448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2">
        <f>'IMPORTAÇÃO GENOTIPER'!BO33</f>
        <v>0</v>
      </c>
      <c r="G37" s="432">
        <f>'IMPORTAÇÃO GENOTIPER'!BW33</f>
        <v>0</v>
      </c>
      <c r="H37" s="432">
        <f>'IMPORTAÇÃO GENOTIPER'!CE33</f>
        <v>0</v>
      </c>
      <c r="I37" s="432">
        <f>'IMPORTAÇÃO GENOTIPER'!CM33</f>
        <v>0</v>
      </c>
      <c r="J37" s="433">
        <f t="shared" si="52"/>
        <v>0</v>
      </c>
      <c r="K37" s="433">
        <f t="shared" si="52"/>
        <v>0</v>
      </c>
      <c r="L37" s="433">
        <f t="shared" si="52"/>
        <v>0</v>
      </c>
      <c r="M37" s="433">
        <f t="shared" si="30"/>
        <v>0</v>
      </c>
      <c r="N37" s="433">
        <f t="shared" si="53"/>
        <v>0</v>
      </c>
      <c r="O37" s="433">
        <f t="shared" si="53"/>
        <v>0</v>
      </c>
      <c r="P37" s="433">
        <f t="shared" si="53"/>
        <v>0</v>
      </c>
      <c r="Q37" s="433">
        <f t="shared" si="53"/>
        <v>0</v>
      </c>
      <c r="R37" s="434">
        <f t="shared" si="50"/>
        <v>0</v>
      </c>
      <c r="S37" s="434">
        <f t="shared" si="1"/>
        <v>0</v>
      </c>
      <c r="T37" s="434">
        <f t="shared" si="51"/>
        <v>0</v>
      </c>
      <c r="U37" s="434">
        <f t="shared" si="2"/>
        <v>0</v>
      </c>
      <c r="V37" s="434">
        <f t="shared" si="3"/>
        <v>0</v>
      </c>
      <c r="W37" s="434">
        <f t="shared" si="4"/>
        <v>0</v>
      </c>
      <c r="X37" s="434">
        <f t="shared" si="32"/>
        <v>0</v>
      </c>
      <c r="Y37" s="434">
        <f t="shared" si="33"/>
        <v>0</v>
      </c>
      <c r="Z37" s="435">
        <f t="shared" si="5"/>
        <v>0</v>
      </c>
      <c r="AA37" s="435">
        <f t="shared" si="6"/>
        <v>0</v>
      </c>
      <c r="AB37" s="436">
        <f t="shared" si="47"/>
        <v>0</v>
      </c>
      <c r="AC37" s="437">
        <f t="shared" si="34"/>
        <v>0</v>
      </c>
      <c r="AD37" s="438">
        <f t="shared" si="35"/>
        <v>0</v>
      </c>
      <c r="AE37" s="438">
        <f t="shared" si="36"/>
        <v>0</v>
      </c>
      <c r="AF37" s="439">
        <f t="shared" si="37"/>
        <v>0</v>
      </c>
      <c r="AG37" s="440">
        <f t="shared" si="38"/>
        <v>0</v>
      </c>
      <c r="AH37" s="441">
        <f>IF(AF37=0,0,VLOOKUP(AF37,FREQUENCIAS!$1:$1048576,(IF(($A37=FREQUENCIAS!$AF$1),30,"ERRO")),FREQUENCIAS!$1:$1048576))</f>
        <v>0</v>
      </c>
      <c r="AI37" s="441">
        <f>IF(AG37=0,0,VLOOKUP(AG37,FREQUENCIAS!$1:$1048576,(IF(($A37=FREQUENCIAS!$AD$1),30,"ERRO")),FREQUENCIAS!$1:$1048576))</f>
        <v>0</v>
      </c>
      <c r="AJ37" s="442"/>
      <c r="AK37" s="442"/>
      <c r="AL37" s="442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3">
        <f t="shared" si="9"/>
        <v>0</v>
      </c>
      <c r="AR37" s="328"/>
      <c r="AS37" s="125" t="str">
        <f t="shared" si="10"/>
        <v>MUTAÇÃO</v>
      </c>
      <c r="AT37" s="432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4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0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2" t="str">
        <f t="shared" si="12"/>
        <v/>
      </c>
      <c r="BP37" s="452">
        <f t="shared" si="13"/>
        <v>0</v>
      </c>
      <c r="BQ37" s="452">
        <f t="shared" si="14"/>
        <v>0</v>
      </c>
      <c r="BR37" s="453" t="str">
        <f t="shared" si="15"/>
        <v/>
      </c>
      <c r="BS37" s="453">
        <f t="shared" si="16"/>
        <v>0</v>
      </c>
      <c r="BT37" s="453">
        <f t="shared" si="17"/>
        <v>0</v>
      </c>
      <c r="BU37" s="454" t="str">
        <f t="shared" si="44"/>
        <v/>
      </c>
      <c r="BV37" s="454">
        <f t="shared" si="18"/>
        <v>0</v>
      </c>
      <c r="BW37" s="454">
        <f t="shared" si="19"/>
        <v>0</v>
      </c>
      <c r="BZ37" s="447">
        <v>17</v>
      </c>
      <c r="CA37" s="448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2">
        <f>'IMPORTAÇÃO GENOTIPER'!BO34</f>
        <v>0</v>
      </c>
      <c r="G38" s="432">
        <f>'IMPORTAÇÃO GENOTIPER'!BW34</f>
        <v>0</v>
      </c>
      <c r="H38" s="432">
        <f>'IMPORTAÇÃO GENOTIPER'!CE34</f>
        <v>0</v>
      </c>
      <c r="I38" s="432">
        <f>'IMPORTAÇÃO GENOTIPER'!CM34</f>
        <v>0</v>
      </c>
      <c r="J38" s="433">
        <f t="shared" si="52"/>
        <v>0</v>
      </c>
      <c r="K38" s="433">
        <f t="shared" si="52"/>
        <v>0</v>
      </c>
      <c r="L38" s="433">
        <f t="shared" si="52"/>
        <v>0</v>
      </c>
      <c r="M38" s="433">
        <f t="shared" si="30"/>
        <v>0</v>
      </c>
      <c r="N38" s="433">
        <f t="shared" si="53"/>
        <v>0</v>
      </c>
      <c r="O38" s="433">
        <f t="shared" si="53"/>
        <v>0</v>
      </c>
      <c r="P38" s="433">
        <f t="shared" si="53"/>
        <v>0</v>
      </c>
      <c r="Q38" s="433">
        <f t="shared" si="53"/>
        <v>0</v>
      </c>
      <c r="R38" s="434">
        <f t="shared" si="50"/>
        <v>0</v>
      </c>
      <c r="S38" s="434">
        <f t="shared" si="1"/>
        <v>0</v>
      </c>
      <c r="T38" s="434">
        <f t="shared" si="51"/>
        <v>0</v>
      </c>
      <c r="U38" s="434">
        <f t="shared" si="2"/>
        <v>0</v>
      </c>
      <c r="V38" s="434">
        <f t="shared" si="3"/>
        <v>0</v>
      </c>
      <c r="W38" s="434">
        <f t="shared" si="4"/>
        <v>0</v>
      </c>
      <c r="X38" s="434">
        <f t="shared" si="32"/>
        <v>0</v>
      </c>
      <c r="Y38" s="434">
        <f t="shared" si="33"/>
        <v>0</v>
      </c>
      <c r="Z38" s="435">
        <f t="shared" si="5"/>
        <v>0</v>
      </c>
      <c r="AA38" s="435">
        <f t="shared" si="6"/>
        <v>0</v>
      </c>
      <c r="AB38" s="436">
        <f t="shared" si="47"/>
        <v>0</v>
      </c>
      <c r="AC38" s="437">
        <f t="shared" si="34"/>
        <v>0</v>
      </c>
      <c r="AD38" s="438">
        <f t="shared" si="35"/>
        <v>0</v>
      </c>
      <c r="AE38" s="438">
        <f t="shared" si="36"/>
        <v>0</v>
      </c>
      <c r="AF38" s="439">
        <f t="shared" si="37"/>
        <v>0</v>
      </c>
      <c r="AG38" s="440">
        <f t="shared" si="38"/>
        <v>0</v>
      </c>
      <c r="AH38" s="441">
        <f>IF(AF38=0,0,VLOOKUP(AF38,FREQUENCIAS!$1:$1048576,(IF(($A38=FREQUENCIAS!$AE$1),31,"ERRO")),FREQUENCIAS!$1:$1048576))</f>
        <v>0</v>
      </c>
      <c r="AI38" s="441">
        <f>IF(AG38=0,0,VLOOKUP(AG38,FREQUENCIAS!$1:$1048576,(IF(($A38=FREQUENCIAS!$AG$1),31,"ERRO")),FREQUENCIAS!$1:$1048576))</f>
        <v>0</v>
      </c>
      <c r="AJ38" s="442"/>
      <c r="AK38" s="442"/>
      <c r="AL38" s="442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3">
        <f t="shared" si="9"/>
        <v>0</v>
      </c>
      <c r="AR38" s="328"/>
      <c r="AS38" s="125" t="str">
        <f t="shared" si="10"/>
        <v>MUTAÇÃO</v>
      </c>
      <c r="AT38" s="432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4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0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2" t="str">
        <f t="shared" si="12"/>
        <v/>
      </c>
      <c r="BP38" s="452">
        <f t="shared" si="13"/>
        <v>0</v>
      </c>
      <c r="BQ38" s="452">
        <f t="shared" si="14"/>
        <v>0</v>
      </c>
      <c r="BR38" s="453" t="str">
        <f t="shared" si="15"/>
        <v/>
      </c>
      <c r="BS38" s="453">
        <f t="shared" si="16"/>
        <v>0</v>
      </c>
      <c r="BT38" s="453">
        <f t="shared" si="17"/>
        <v>0</v>
      </c>
      <c r="BU38" s="454" t="str">
        <f t="shared" si="44"/>
        <v/>
      </c>
      <c r="BV38" s="454">
        <f t="shared" si="18"/>
        <v>0</v>
      </c>
      <c r="BW38" s="454">
        <f t="shared" si="19"/>
        <v>0</v>
      </c>
      <c r="BZ38" s="447">
        <v>17</v>
      </c>
      <c r="CA38" s="448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2">
        <f>'IMPORTAÇÃO GENOTIPER'!BO35</f>
        <v>0</v>
      </c>
      <c r="G39" s="432">
        <f>'IMPORTAÇÃO GENOTIPER'!BW35</f>
        <v>0</v>
      </c>
      <c r="H39" s="432">
        <f>'IMPORTAÇÃO GENOTIPER'!CE35</f>
        <v>0</v>
      </c>
      <c r="I39" s="432">
        <f>'IMPORTAÇÃO GENOTIPER'!CM35</f>
        <v>0</v>
      </c>
      <c r="J39" s="433">
        <f t="shared" si="52"/>
        <v>0</v>
      </c>
      <c r="K39" s="433">
        <f t="shared" si="52"/>
        <v>0</v>
      </c>
      <c r="L39" s="433">
        <f t="shared" si="52"/>
        <v>0</v>
      </c>
      <c r="M39" s="433">
        <f t="shared" si="30"/>
        <v>0</v>
      </c>
      <c r="N39" s="433">
        <f t="shared" si="53"/>
        <v>0</v>
      </c>
      <c r="O39" s="433">
        <f t="shared" si="53"/>
        <v>0</v>
      </c>
      <c r="P39" s="433">
        <f t="shared" si="53"/>
        <v>0</v>
      </c>
      <c r="Q39" s="433">
        <f t="shared" si="53"/>
        <v>0</v>
      </c>
      <c r="R39" s="434">
        <f t="shared" si="50"/>
        <v>0</v>
      </c>
      <c r="S39" s="434">
        <f t="shared" si="1"/>
        <v>0</v>
      </c>
      <c r="T39" s="434">
        <f t="shared" si="51"/>
        <v>0</v>
      </c>
      <c r="U39" s="434">
        <f t="shared" si="2"/>
        <v>0</v>
      </c>
      <c r="V39" s="434">
        <f t="shared" si="3"/>
        <v>0</v>
      </c>
      <c r="W39" s="434">
        <f t="shared" si="4"/>
        <v>0</v>
      </c>
      <c r="X39" s="434">
        <f t="shared" si="32"/>
        <v>0</v>
      </c>
      <c r="Y39" s="434">
        <f t="shared" si="33"/>
        <v>0</v>
      </c>
      <c r="Z39" s="435">
        <f t="shared" si="5"/>
        <v>0</v>
      </c>
      <c r="AA39" s="435">
        <f t="shared" si="6"/>
        <v>0</v>
      </c>
      <c r="AB39" s="436">
        <f t="shared" si="47"/>
        <v>0</v>
      </c>
      <c r="AC39" s="437">
        <f t="shared" si="34"/>
        <v>0</v>
      </c>
      <c r="AD39" s="438">
        <f t="shared" si="35"/>
        <v>0</v>
      </c>
      <c r="AE39" s="438">
        <f t="shared" si="36"/>
        <v>0</v>
      </c>
      <c r="AF39" s="439">
        <f t="shared" si="37"/>
        <v>0</v>
      </c>
      <c r="AG39" s="440">
        <f t="shared" si="38"/>
        <v>0</v>
      </c>
      <c r="AH39" s="441">
        <f>IF(AF39=0,0,VLOOKUP(AF39,FREQUENCIAS!$1:$1048576,(IF(($A39=FREQUENCIAS!$AF$1),32,"ERRO")),FREQUENCIAS!$1:$1048576))</f>
        <v>0</v>
      </c>
      <c r="AI39" s="441">
        <f>IF(AG39=0,0,VLOOKUP(AG39,FREQUENCIAS!$1:$1048576,(IF(($A39=FREQUENCIAS!$AF$1),32,"ERRO")),FREQUENCIAS!$1:$1048576))</f>
        <v>0</v>
      </c>
      <c r="AJ39" s="442"/>
      <c r="AK39" s="442"/>
      <c r="AL39" s="442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3">
        <f t="shared" si="9"/>
        <v>0</v>
      </c>
      <c r="AR39" s="328"/>
      <c r="AS39" s="125" t="str">
        <f t="shared" si="10"/>
        <v>MUTAÇÃO</v>
      </c>
      <c r="AT39" s="432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4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0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2" t="str">
        <f t="shared" si="12"/>
        <v/>
      </c>
      <c r="BP39" s="452">
        <f t="shared" si="13"/>
        <v>0</v>
      </c>
      <c r="BQ39" s="452">
        <f t="shared" si="14"/>
        <v>0</v>
      </c>
      <c r="BR39" s="453" t="str">
        <f t="shared" si="15"/>
        <v/>
      </c>
      <c r="BS39" s="453">
        <f t="shared" si="16"/>
        <v>0</v>
      </c>
      <c r="BT39" s="453">
        <f t="shared" si="17"/>
        <v>0</v>
      </c>
      <c r="BU39" s="454" t="str">
        <f t="shared" si="44"/>
        <v/>
      </c>
      <c r="BV39" s="454">
        <f t="shared" si="18"/>
        <v>0</v>
      </c>
      <c r="BW39" s="454">
        <f t="shared" si="19"/>
        <v>0</v>
      </c>
      <c r="BZ39" s="447">
        <v>17</v>
      </c>
      <c r="CA39" s="448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2">
        <f>'IMPORTAÇÃO GENOTIPER'!BO36</f>
        <v>0</v>
      </c>
      <c r="G40" s="432">
        <f>'IMPORTAÇÃO GENOTIPER'!BW36</f>
        <v>0</v>
      </c>
      <c r="H40" s="432">
        <f>'IMPORTAÇÃO GENOTIPER'!CE36</f>
        <v>0</v>
      </c>
      <c r="I40" s="432">
        <f>'IMPORTAÇÃO GENOTIPER'!CM36</f>
        <v>0</v>
      </c>
      <c r="J40" s="433">
        <f t="shared" si="52"/>
        <v>0</v>
      </c>
      <c r="K40" s="433">
        <f t="shared" si="52"/>
        <v>0</v>
      </c>
      <c r="L40" s="433">
        <f t="shared" si="52"/>
        <v>0</v>
      </c>
      <c r="M40" s="433">
        <f t="shared" si="30"/>
        <v>0</v>
      </c>
      <c r="N40" s="433">
        <f t="shared" si="53"/>
        <v>0</v>
      </c>
      <c r="O40" s="433">
        <f t="shared" si="53"/>
        <v>0</v>
      </c>
      <c r="P40" s="433">
        <f t="shared" si="53"/>
        <v>0</v>
      </c>
      <c r="Q40" s="433">
        <f t="shared" si="53"/>
        <v>0</v>
      </c>
      <c r="R40" s="434">
        <f t="shared" si="50"/>
        <v>0</v>
      </c>
      <c r="S40" s="434">
        <f t="shared" si="1"/>
        <v>0</v>
      </c>
      <c r="T40" s="434">
        <f t="shared" si="51"/>
        <v>0</v>
      </c>
      <c r="U40" s="434">
        <f t="shared" si="2"/>
        <v>0</v>
      </c>
      <c r="V40" s="434">
        <f t="shared" si="3"/>
        <v>0</v>
      </c>
      <c r="W40" s="434">
        <f t="shared" si="4"/>
        <v>0</v>
      </c>
      <c r="X40" s="434">
        <f t="shared" si="32"/>
        <v>0</v>
      </c>
      <c r="Y40" s="434">
        <f t="shared" si="33"/>
        <v>0</v>
      </c>
      <c r="Z40" s="435">
        <f t="shared" si="5"/>
        <v>0</v>
      </c>
      <c r="AA40" s="435">
        <f t="shared" si="6"/>
        <v>0</v>
      </c>
      <c r="AB40" s="436">
        <f t="shared" si="47"/>
        <v>0</v>
      </c>
      <c r="AC40" s="437">
        <f t="shared" si="34"/>
        <v>0</v>
      </c>
      <c r="AD40" s="438">
        <f t="shared" si="35"/>
        <v>0</v>
      </c>
      <c r="AE40" s="438">
        <f t="shared" si="36"/>
        <v>0</v>
      </c>
      <c r="AF40" s="439">
        <f t="shared" si="37"/>
        <v>0</v>
      </c>
      <c r="AG40" s="440">
        <f t="shared" si="38"/>
        <v>0</v>
      </c>
      <c r="AH40" s="441">
        <f>IF(AF40=0,0,VLOOKUP(AF40,FREQUENCIAS!$1:$1048576,(IF(($A40=FREQUENCIAS!$AG$1),33,"ERRO")),FREQUENCIAS!$1:$1048576))</f>
        <v>0</v>
      </c>
      <c r="AI40" s="441">
        <f>IF(AG40=0,0,VLOOKUP(AG40,FREQUENCIAS!$1:$1048576,(IF(($A40=FREQUENCIAS!$AG$1),33,"ERRO")),FREQUENCIAS!$1:$1048576))</f>
        <v>0</v>
      </c>
      <c r="AJ40" s="442"/>
      <c r="AK40" s="442"/>
      <c r="AL40" s="442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3">
        <f t="shared" si="9"/>
        <v>0</v>
      </c>
      <c r="AR40" s="328"/>
      <c r="AS40" s="125" t="str">
        <f t="shared" si="10"/>
        <v>MUTAÇÃO</v>
      </c>
      <c r="AT40" s="432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4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0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2" t="str">
        <f t="shared" si="12"/>
        <v/>
      </c>
      <c r="BP40" s="452">
        <f t="shared" si="13"/>
        <v>0</v>
      </c>
      <c r="BQ40" s="452">
        <f t="shared" si="14"/>
        <v>0</v>
      </c>
      <c r="BR40" s="453" t="str">
        <f t="shared" si="15"/>
        <v/>
      </c>
      <c r="BS40" s="453">
        <f t="shared" si="16"/>
        <v>0</v>
      </c>
      <c r="BT40" s="453">
        <f t="shared" si="17"/>
        <v>0</v>
      </c>
      <c r="BU40" s="454" t="str">
        <f t="shared" si="44"/>
        <v/>
      </c>
      <c r="BV40" s="454">
        <f t="shared" si="18"/>
        <v>0</v>
      </c>
      <c r="BW40" s="454">
        <f t="shared" si="19"/>
        <v>0</v>
      </c>
      <c r="BZ40" s="447">
        <v>17</v>
      </c>
      <c r="CA40" s="448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2">
        <f>'IMPORTAÇÃO GENOTIPER'!BO37</f>
        <v>0</v>
      </c>
      <c r="G41" s="432">
        <f>'IMPORTAÇÃO GENOTIPER'!BW37</f>
        <v>0</v>
      </c>
      <c r="H41" s="432">
        <f>'IMPORTAÇÃO GENOTIPER'!CE37</f>
        <v>0</v>
      </c>
      <c r="I41" s="432">
        <f>'IMPORTAÇÃO GENOTIPER'!CM37</f>
        <v>0</v>
      </c>
      <c r="J41" s="433">
        <f t="shared" si="52"/>
        <v>0</v>
      </c>
      <c r="K41" s="433">
        <f t="shared" si="52"/>
        <v>0</v>
      </c>
      <c r="L41" s="433">
        <f t="shared" si="52"/>
        <v>0</v>
      </c>
      <c r="M41" s="433">
        <f t="shared" si="30"/>
        <v>0</v>
      </c>
      <c r="N41" s="433">
        <f t="shared" si="53"/>
        <v>0</v>
      </c>
      <c r="O41" s="433">
        <f t="shared" si="53"/>
        <v>0</v>
      </c>
      <c r="P41" s="433">
        <f t="shared" si="53"/>
        <v>0</v>
      </c>
      <c r="Q41" s="433">
        <f t="shared" si="53"/>
        <v>0</v>
      </c>
      <c r="R41" s="434">
        <f t="shared" si="50"/>
        <v>0</v>
      </c>
      <c r="S41" s="434">
        <f t="shared" si="1"/>
        <v>0</v>
      </c>
      <c r="T41" s="434">
        <f t="shared" si="51"/>
        <v>0</v>
      </c>
      <c r="U41" s="434">
        <f t="shared" si="2"/>
        <v>0</v>
      </c>
      <c r="V41" s="434">
        <f t="shared" si="3"/>
        <v>0</v>
      </c>
      <c r="W41" s="434">
        <f t="shared" si="4"/>
        <v>0</v>
      </c>
      <c r="X41" s="434">
        <f t="shared" si="32"/>
        <v>0</v>
      </c>
      <c r="Y41" s="434">
        <f t="shared" si="33"/>
        <v>0</v>
      </c>
      <c r="Z41" s="435">
        <f t="shared" si="5"/>
        <v>0</v>
      </c>
      <c r="AA41" s="435">
        <f t="shared" si="6"/>
        <v>0</v>
      </c>
      <c r="AB41" s="436">
        <f t="shared" si="47"/>
        <v>0</v>
      </c>
      <c r="AC41" s="437">
        <f t="shared" si="34"/>
        <v>0</v>
      </c>
      <c r="AD41" s="438">
        <f t="shared" si="35"/>
        <v>0</v>
      </c>
      <c r="AE41" s="438">
        <f t="shared" si="36"/>
        <v>0</v>
      </c>
      <c r="AF41" s="439">
        <f t="shared" si="37"/>
        <v>0</v>
      </c>
      <c r="AG41" s="440">
        <f t="shared" si="38"/>
        <v>0</v>
      </c>
      <c r="AH41" s="441">
        <f>IF(AF41=0,0,VLOOKUP(AF41,FREQUENCIAS!$1:$1048576,(IF(($A41=FREQUENCIAS!$AH$1),34,"ERRO")),FREQUENCIAS!$1:$1048576))</f>
        <v>0</v>
      </c>
      <c r="AI41" s="441">
        <f>IF(AG41=0,0,VLOOKUP(AG41,FREQUENCIAS!$1:$1048576,(IF(($A41=FREQUENCIAS!$AH$1),34,"ERRO")),FREQUENCIAS!$1:$1048576))</f>
        <v>0</v>
      </c>
      <c r="AJ41" s="442"/>
      <c r="AK41" s="442"/>
      <c r="AL41" s="442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3">
        <f t="shared" si="9"/>
        <v>0</v>
      </c>
      <c r="AR41" s="328"/>
      <c r="AS41" s="125" t="str">
        <f t="shared" si="10"/>
        <v>MUTAÇÃO</v>
      </c>
      <c r="AT41" s="432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4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0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2" t="str">
        <f t="shared" si="12"/>
        <v/>
      </c>
      <c r="BP41" s="452">
        <f t="shared" si="13"/>
        <v>0</v>
      </c>
      <c r="BQ41" s="452">
        <f t="shared" si="14"/>
        <v>0</v>
      </c>
      <c r="BR41" s="453" t="str">
        <f t="shared" si="15"/>
        <v/>
      </c>
      <c r="BS41" s="453">
        <f t="shared" si="16"/>
        <v>0</v>
      </c>
      <c r="BT41" s="453">
        <f t="shared" si="17"/>
        <v>0</v>
      </c>
      <c r="BU41" s="454" t="str">
        <f t="shared" si="44"/>
        <v/>
      </c>
      <c r="BV41" s="454">
        <f t="shared" si="18"/>
        <v>0</v>
      </c>
      <c r="BW41" s="454">
        <f t="shared" si="19"/>
        <v>0</v>
      </c>
      <c r="BZ41" s="447">
        <v>17</v>
      </c>
      <c r="CA41" s="448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2">
        <f>'IMPORTAÇÃO GENOTIPER'!BO38</f>
        <v>0</v>
      </c>
      <c r="G42" s="432">
        <f>'IMPORTAÇÃO GENOTIPER'!BW38</f>
        <v>0</v>
      </c>
      <c r="H42" s="432">
        <f>'IMPORTAÇÃO GENOTIPER'!CE38</f>
        <v>0</v>
      </c>
      <c r="I42" s="432">
        <f>'IMPORTAÇÃO GENOTIPER'!CM38</f>
        <v>0</v>
      </c>
      <c r="J42" s="433">
        <f t="shared" ref="J42:L42" si="56">(IF(CODE(D42)=(60),($BL42-1),(IF(CODE(D42)=(62),($BM42+1),B42))))</f>
        <v>0</v>
      </c>
      <c r="K42" s="433">
        <f t="shared" si="56"/>
        <v>0</v>
      </c>
      <c r="L42" s="433">
        <f t="shared" si="56"/>
        <v>0</v>
      </c>
      <c r="M42" s="433">
        <f t="shared" si="30"/>
        <v>0</v>
      </c>
      <c r="N42" s="433">
        <f t="shared" ref="N42:Q42" si="57">(IF(CODE(H42)=(60),($BL42-1),(IF(CODE(H42)=(62),($BM42+1),F42))))</f>
        <v>0</v>
      </c>
      <c r="O42" s="433">
        <f t="shared" si="57"/>
        <v>0</v>
      </c>
      <c r="P42" s="433">
        <f t="shared" si="57"/>
        <v>0</v>
      </c>
      <c r="Q42" s="433">
        <f t="shared" si="57"/>
        <v>0</v>
      </c>
      <c r="R42" s="434">
        <f t="shared" si="50"/>
        <v>0</v>
      </c>
      <c r="S42" s="434">
        <f t="shared" si="1"/>
        <v>0</v>
      </c>
      <c r="T42" s="434">
        <f t="shared" si="51"/>
        <v>0</v>
      </c>
      <c r="U42" s="434">
        <f t="shared" si="2"/>
        <v>0</v>
      </c>
      <c r="V42" s="434">
        <f t="shared" si="3"/>
        <v>0</v>
      </c>
      <c r="W42" s="434">
        <f t="shared" si="4"/>
        <v>0</v>
      </c>
      <c r="X42" s="434">
        <f t="shared" si="32"/>
        <v>0</v>
      </c>
      <c r="Y42" s="434">
        <f t="shared" si="33"/>
        <v>0</v>
      </c>
      <c r="Z42" s="435">
        <f t="shared" si="5"/>
        <v>0</v>
      </c>
      <c r="AA42" s="435">
        <f t="shared" si="6"/>
        <v>0</v>
      </c>
      <c r="AB42" s="436">
        <f t="shared" si="47"/>
        <v>0</v>
      </c>
      <c r="AC42" s="437">
        <f t="shared" si="34"/>
        <v>0</v>
      </c>
      <c r="AD42" s="438">
        <f t="shared" si="35"/>
        <v>0</v>
      </c>
      <c r="AE42" s="438">
        <f t="shared" si="36"/>
        <v>0</v>
      </c>
      <c r="AF42" s="439">
        <f t="shared" si="37"/>
        <v>0</v>
      </c>
      <c r="AG42" s="440">
        <f t="shared" si="38"/>
        <v>0</v>
      </c>
      <c r="AH42" s="441">
        <f>IF(AF42=0,0,VLOOKUP(AF42,FREQUENCIAS!$1:$1048576,(IF(($A42=FREQUENCIAS!$AI$1),35,"ERRO")),FREQUENCIAS!$1:$1048576))</f>
        <v>0</v>
      </c>
      <c r="AI42" s="441">
        <f>IF(AG42=0,0,VLOOKUP(AG42,FREQUENCIAS!$1:$1048576,(IF(($A42=FREQUENCIAS!$AI$1),35,"ERRO")),FREQUENCIAS!$1:$1048576))</f>
        <v>0</v>
      </c>
      <c r="AJ42" s="442"/>
      <c r="AK42" s="442"/>
      <c r="AL42" s="442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3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MUTAÇÃO</v>
      </c>
      <c r="AT42" s="432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4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0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2" t="str">
        <f t="shared" si="12"/>
        <v/>
      </c>
      <c r="BP42" s="452">
        <f t="shared" si="13"/>
        <v>0</v>
      </c>
      <c r="BQ42" s="452">
        <f t="shared" si="14"/>
        <v>0</v>
      </c>
      <c r="BR42" s="453" t="str">
        <f t="shared" si="15"/>
        <v/>
      </c>
      <c r="BS42" s="453">
        <f t="shared" si="16"/>
        <v>0</v>
      </c>
      <c r="BT42" s="453">
        <f t="shared" si="17"/>
        <v>0</v>
      </c>
      <c r="BU42" s="454" t="str">
        <f t="shared" si="44"/>
        <v/>
      </c>
      <c r="BV42" s="454">
        <f t="shared" si="18"/>
        <v>0</v>
      </c>
      <c r="BW42" s="454">
        <f t="shared" si="19"/>
        <v>0</v>
      </c>
      <c r="BZ42" s="447">
        <v>17</v>
      </c>
      <c r="CA42" s="448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5"/>
      <c r="B43" s="456"/>
      <c r="C43" s="456"/>
      <c r="D43" s="456"/>
      <c r="E43" s="208"/>
      <c r="F43" s="208"/>
      <c r="G43" s="207" t="s">
        <v>319</v>
      </c>
      <c r="H43" s="869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16056935.548482534</v>
      </c>
      <c r="I43" s="869"/>
      <c r="J43" s="869"/>
      <c r="K43" s="869"/>
      <c r="L43" s="869"/>
      <c r="M43" s="869"/>
      <c r="N43" s="869"/>
      <c r="O43" s="869"/>
      <c r="P43" s="869"/>
      <c r="Q43" s="869"/>
      <c r="R43" s="869"/>
      <c r="S43" s="869"/>
      <c r="T43" s="869"/>
      <c r="U43" s="869"/>
      <c r="V43" s="869"/>
      <c r="W43" s="869"/>
      <c r="X43" s="869"/>
      <c r="Y43" s="869"/>
      <c r="Z43" s="869"/>
      <c r="AA43" s="869"/>
      <c r="AB43" s="869"/>
      <c r="AC43" s="869"/>
      <c r="AD43" s="869"/>
      <c r="AE43" s="869"/>
      <c r="AF43" s="869"/>
      <c r="AG43" s="869"/>
      <c r="AH43" s="869"/>
      <c r="AI43" s="869"/>
      <c r="AJ43" s="869"/>
      <c r="AK43" s="869"/>
      <c r="AL43" s="869"/>
      <c r="AM43" s="869"/>
      <c r="AN43" s="869"/>
      <c r="AO43" s="869"/>
      <c r="AP43" s="328"/>
      <c r="AQ43" s="804">
        <f>(IF((PRODUCT(AO9:AO42)&lt;&gt;0),((1-AQ9)*(1-AQ10)*(1-AQ11)*(1-AQ12)*(1-AQ13)*(1-AQ14)*(1-AQ15)*(1-AQ16)*(1-AQ17)*(1-AQ18)*(1-AQ19)*(1-AQ20)*(1-AQ21)*(1-AQ22)*(1-AQ23)*(1-AQ24)*(1-AQ25)*(1-AQ26)*(1-AQ27)*(1-AQ28)*(1-AQ29)*(1-AQ42)),$AP$23))</f>
        <v>9.8203806621790787E-13</v>
      </c>
      <c r="AR43" s="804"/>
      <c r="AS43" s="457" t="s">
        <v>320</v>
      </c>
      <c r="AT43" s="458"/>
      <c r="AX43" s="328" t="s">
        <v>241</v>
      </c>
      <c r="BD43" s="52">
        <f>SUM(BD9:BD42)</f>
        <v>0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59"/>
      <c r="B44" s="460"/>
      <c r="C44" s="460"/>
      <c r="D44" s="460"/>
      <c r="E44" s="9"/>
      <c r="F44" s="9"/>
      <c r="G44" s="211" t="s">
        <v>321</v>
      </c>
      <c r="H44" s="870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0.99999993771999995</v>
      </c>
      <c r="I44" s="870"/>
      <c r="J44" s="870"/>
      <c r="K44" s="870"/>
      <c r="L44" s="870"/>
      <c r="M44" s="870"/>
      <c r="N44" s="870"/>
      <c r="O44" s="870"/>
      <c r="P44" s="870"/>
      <c r="Q44" s="870"/>
      <c r="R44" s="870"/>
      <c r="S44" s="870"/>
      <c r="T44" s="870"/>
      <c r="U44" s="870"/>
      <c r="V44" s="870"/>
      <c r="W44" s="870"/>
      <c r="X44" s="870"/>
      <c r="Y44" s="870"/>
      <c r="Z44" s="870"/>
      <c r="AA44" s="870"/>
      <c r="AB44" s="870"/>
      <c r="AC44" s="870"/>
      <c r="AD44" s="870"/>
      <c r="AE44" s="870"/>
      <c r="AF44" s="870"/>
      <c r="AG44" s="870"/>
      <c r="AH44" s="870"/>
      <c r="AI44" s="870"/>
      <c r="AJ44" s="870"/>
      <c r="AK44" s="870"/>
      <c r="AL44" s="870"/>
      <c r="AM44" s="870"/>
      <c r="AN44" s="870"/>
      <c r="AO44" s="871"/>
      <c r="AP44" s="461"/>
      <c r="AQ44" s="461"/>
      <c r="AR44" s="461"/>
      <c r="AS44" s="461"/>
      <c r="AT44" s="462"/>
      <c r="AX44" s="1" t="s">
        <v>322</v>
      </c>
      <c r="BD44" s="300" t="s">
        <v>102</v>
      </c>
      <c r="BE44" s="47" t="s">
        <v>124</v>
      </c>
    </row>
    <row r="45" spans="1:96" ht="12.75">
      <c r="A45" s="459"/>
      <c r="B45" s="460"/>
      <c r="C45" s="460"/>
      <c r="D45" s="460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70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0.99999999999</v>
      </c>
      <c r="I45" s="872"/>
      <c r="J45" s="872"/>
      <c r="K45" s="872"/>
      <c r="L45" s="872"/>
      <c r="M45" s="872"/>
      <c r="N45" s="872"/>
      <c r="O45" s="872"/>
      <c r="P45" s="872"/>
      <c r="Q45" s="872"/>
      <c r="R45" s="872"/>
      <c r="S45" s="872"/>
      <c r="T45" s="872"/>
      <c r="U45" s="872"/>
      <c r="V45" s="872"/>
      <c r="W45" s="872"/>
      <c r="X45" s="872"/>
      <c r="Y45" s="872"/>
      <c r="Z45" s="872"/>
      <c r="AA45" s="872"/>
      <c r="AB45" s="872"/>
      <c r="AC45" s="872"/>
      <c r="AD45" s="872"/>
      <c r="AE45" s="872"/>
      <c r="AF45" s="872"/>
      <c r="AG45" s="872"/>
      <c r="AH45" s="872"/>
      <c r="AI45" s="872"/>
      <c r="AJ45" s="872"/>
      <c r="AK45" s="872"/>
      <c r="AL45" s="872"/>
      <c r="AM45" s="872"/>
      <c r="AN45" s="872"/>
      <c r="AO45" s="873"/>
      <c r="AP45" s="414"/>
      <c r="AQ45" s="414"/>
      <c r="AR45" s="414"/>
      <c r="AS45" s="414"/>
      <c r="AT45" s="463"/>
      <c r="BD45" s="301" t="s">
        <v>104</v>
      </c>
      <c r="BE45" s="47" t="s">
        <v>125</v>
      </c>
    </row>
    <row r="46" spans="1:96" ht="13.5" thickBot="1">
      <c r="A46" s="459"/>
      <c r="B46" s="460"/>
      <c r="C46" s="460"/>
      <c r="D46" s="460"/>
      <c r="E46" s="9"/>
      <c r="F46" s="9"/>
      <c r="G46" s="211" t="s">
        <v>323</v>
      </c>
      <c r="H46" s="4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VÍNCULO BIOLOGICAMENTE PROVADO</v>
      </c>
      <c r="I46" s="211"/>
      <c r="J46" s="9"/>
      <c r="K46" s="9"/>
      <c r="L46" s="9"/>
      <c r="M46" s="9"/>
      <c r="N46" s="9"/>
      <c r="O46" s="9"/>
      <c r="P46" s="9"/>
      <c r="Q46" s="9"/>
      <c r="R46" s="460"/>
      <c r="S46" s="460"/>
      <c r="T46" s="460"/>
      <c r="U46" s="460"/>
      <c r="V46" s="460"/>
      <c r="W46" s="460"/>
      <c r="X46" s="460"/>
      <c r="Y46" s="460"/>
      <c r="Z46" s="460"/>
      <c r="AA46" s="460"/>
      <c r="AB46" s="460"/>
      <c r="AC46" s="460"/>
      <c r="AD46" s="460"/>
      <c r="AE46" s="460"/>
      <c r="AF46" s="460"/>
      <c r="AG46" s="460"/>
      <c r="AH46" s="460"/>
      <c r="AI46" s="460"/>
      <c r="AJ46" s="460"/>
      <c r="AK46" s="460"/>
      <c r="AL46" s="460"/>
      <c r="AM46" s="212"/>
      <c r="AN46" s="212"/>
      <c r="AO46" s="213"/>
      <c r="AP46" s="328"/>
      <c r="AQ46" s="328"/>
      <c r="AR46" s="328"/>
      <c r="AS46" s="41"/>
      <c r="AT46" s="465"/>
      <c r="BD46" s="301"/>
      <c r="BE46" s="47" t="s">
        <v>96</v>
      </c>
    </row>
    <row r="47" spans="1:96" ht="13.5" customHeight="1" thickTop="1">
      <c r="A47" s="784" t="s">
        <v>324</v>
      </c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785"/>
      <c r="X47" s="785"/>
      <c r="Y47" s="785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6"/>
    </row>
    <row r="48" spans="1:96" ht="12" customHeight="1">
      <c r="A48" s="787"/>
      <c r="B48" s="788"/>
      <c r="C48" s="788"/>
      <c r="D48" s="788"/>
      <c r="E48" s="788"/>
      <c r="F48" s="788"/>
      <c r="G48" s="788"/>
      <c r="H48" s="788"/>
      <c r="I48" s="788"/>
      <c r="J48" s="788"/>
      <c r="K48" s="788"/>
      <c r="L48" s="788"/>
      <c r="M48" s="788"/>
      <c r="N48" s="788"/>
      <c r="O48" s="788"/>
      <c r="P48" s="788"/>
      <c r="Q48" s="788"/>
      <c r="R48" s="788"/>
      <c r="S48" s="788"/>
      <c r="T48" s="788"/>
      <c r="U48" s="788"/>
      <c r="V48" s="788"/>
      <c r="W48" s="788"/>
      <c r="X48" s="788"/>
      <c r="Y48" s="788"/>
      <c r="Z48" s="788"/>
      <c r="AA48" s="788"/>
      <c r="AB48" s="788"/>
      <c r="AC48" s="788"/>
      <c r="AD48" s="788"/>
      <c r="AE48" s="788"/>
      <c r="AF48" s="788"/>
      <c r="AG48" s="788"/>
      <c r="AH48" s="788"/>
      <c r="AI48" s="788"/>
      <c r="AJ48" s="788"/>
      <c r="AK48" s="788"/>
      <c r="AL48" s="788"/>
      <c r="AM48" s="788"/>
      <c r="AN48" s="788"/>
      <c r="AO48" s="788"/>
      <c r="AP48" s="788"/>
      <c r="AQ48" s="788"/>
      <c r="AR48" s="788"/>
      <c r="AS48" s="788"/>
      <c r="AT48" s="789"/>
    </row>
    <row r="49" spans="1:80" ht="12" customHeight="1">
      <c r="A49" s="787"/>
      <c r="B49" s="788"/>
      <c r="C49" s="788"/>
      <c r="D49" s="788"/>
      <c r="E49" s="788"/>
      <c r="F49" s="788"/>
      <c r="G49" s="788"/>
      <c r="H49" s="788"/>
      <c r="I49" s="788"/>
      <c r="J49" s="788"/>
      <c r="K49" s="788"/>
      <c r="L49" s="788"/>
      <c r="M49" s="788"/>
      <c r="N49" s="788"/>
      <c r="O49" s="788"/>
      <c r="P49" s="788"/>
      <c r="Q49" s="788"/>
      <c r="R49" s="788"/>
      <c r="S49" s="788"/>
      <c r="T49" s="788"/>
      <c r="U49" s="788"/>
      <c r="V49" s="788"/>
      <c r="W49" s="788"/>
      <c r="X49" s="788"/>
      <c r="Y49" s="788"/>
      <c r="Z49" s="788"/>
      <c r="AA49" s="788"/>
      <c r="AB49" s="788"/>
      <c r="AC49" s="788"/>
      <c r="AD49" s="788"/>
      <c r="AE49" s="788"/>
      <c r="AF49" s="788"/>
      <c r="AG49" s="788"/>
      <c r="AH49" s="788"/>
      <c r="AI49" s="788"/>
      <c r="AJ49" s="788"/>
      <c r="AK49" s="788"/>
      <c r="AL49" s="788"/>
      <c r="AM49" s="788"/>
      <c r="AN49" s="788"/>
      <c r="AO49" s="788"/>
      <c r="AP49" s="788"/>
      <c r="AQ49" s="788"/>
      <c r="AR49" s="788"/>
      <c r="AS49" s="788"/>
      <c r="AT49" s="789"/>
    </row>
    <row r="50" spans="1:80" ht="12" customHeight="1" thickBot="1">
      <c r="A50" s="787"/>
      <c r="B50" s="788"/>
      <c r="C50" s="788"/>
      <c r="D50" s="788"/>
      <c r="E50" s="788"/>
      <c r="F50" s="788"/>
      <c r="G50" s="788"/>
      <c r="H50" s="788"/>
      <c r="I50" s="788"/>
      <c r="J50" s="788"/>
      <c r="K50" s="788"/>
      <c r="L50" s="788"/>
      <c r="M50" s="788"/>
      <c r="N50" s="788"/>
      <c r="O50" s="788"/>
      <c r="P50" s="788"/>
      <c r="Q50" s="788"/>
      <c r="R50" s="788"/>
      <c r="S50" s="788"/>
      <c r="T50" s="788"/>
      <c r="U50" s="788"/>
      <c r="V50" s="788"/>
      <c r="W50" s="788"/>
      <c r="X50" s="788"/>
      <c r="Y50" s="788"/>
      <c r="Z50" s="788"/>
      <c r="AA50" s="788"/>
      <c r="AB50" s="788"/>
      <c r="AC50" s="788"/>
      <c r="AD50" s="788"/>
      <c r="AE50" s="788"/>
      <c r="AF50" s="788"/>
      <c r="AG50" s="788"/>
      <c r="AH50" s="788"/>
      <c r="AI50" s="788"/>
      <c r="AJ50" s="788"/>
      <c r="AK50" s="788"/>
      <c r="AL50" s="788"/>
      <c r="AM50" s="788"/>
      <c r="AN50" s="788"/>
      <c r="AO50" s="788"/>
      <c r="AP50" s="788"/>
      <c r="AQ50" s="788"/>
      <c r="AR50" s="788"/>
      <c r="AS50" s="788"/>
      <c r="AT50" s="789"/>
    </row>
    <row r="51" spans="1:80" ht="12" hidden="1" customHeight="1" thickTop="1" thickBot="1">
      <c r="A51" s="466" t="s">
        <v>325</v>
      </c>
      <c r="B51" s="467"/>
      <c r="C51" s="468"/>
      <c r="D51" s="467"/>
      <c r="E51" s="467"/>
      <c r="F51" s="467"/>
      <c r="G51" s="467"/>
      <c r="H51" s="467"/>
      <c r="I51" s="467"/>
      <c r="J51" s="467"/>
      <c r="K51" s="467"/>
      <c r="L51" s="467"/>
      <c r="M51" s="467"/>
      <c r="N51" s="467"/>
      <c r="O51" s="467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67"/>
      <c r="AC51" s="467"/>
      <c r="AD51" s="467"/>
      <c r="AE51" s="467"/>
      <c r="AF51" s="467"/>
      <c r="AG51" s="467"/>
      <c r="AH51" s="467"/>
      <c r="AI51" s="467"/>
      <c r="AJ51" s="467"/>
      <c r="AK51" s="467"/>
      <c r="AL51" s="467"/>
      <c r="AM51" s="467"/>
      <c r="AN51" s="467"/>
      <c r="AO51" s="467"/>
      <c r="AP51" s="469"/>
      <c r="AQ51" s="469"/>
      <c r="AR51" s="469"/>
      <c r="AS51" s="467"/>
      <c r="AT51" s="470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1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2"/>
      <c r="B53" s="10"/>
      <c r="C53" s="473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4"/>
      <c r="AN53" s="475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6"/>
      <c r="B54" s="16"/>
      <c r="C54" s="477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8">
        <f ca="1">TODAY()</f>
        <v>45902</v>
      </c>
      <c r="B55" s="879"/>
      <c r="C55" s="879"/>
      <c r="D55" s="879"/>
      <c r="E55" s="879"/>
      <c r="F55" s="879"/>
      <c r="G55" s="879"/>
      <c r="H55" s="879"/>
      <c r="I55" s="879"/>
      <c r="J55" s="879"/>
      <c r="K55" s="879"/>
      <c r="L55" s="879"/>
      <c r="M55" s="879"/>
      <c r="N55" s="879"/>
      <c r="O55" s="879"/>
      <c r="P55" s="879"/>
      <c r="Q55" s="879"/>
      <c r="R55" s="879"/>
      <c r="S55" s="879"/>
      <c r="T55" s="879"/>
      <c r="U55" s="879"/>
      <c r="V55" s="879"/>
      <c r="W55" s="879"/>
      <c r="X55" s="879"/>
      <c r="Y55" s="879"/>
      <c r="Z55" s="879"/>
      <c r="AA55" s="879"/>
      <c r="AB55" s="879"/>
      <c r="AC55" s="879"/>
      <c r="AD55" s="879"/>
      <c r="AE55" s="879"/>
      <c r="AF55" s="879"/>
      <c r="AG55" s="879"/>
      <c r="AH55" s="879"/>
      <c r="AI55" s="879"/>
      <c r="AJ55" s="879"/>
      <c r="AK55" s="879"/>
      <c r="AL55" s="879"/>
      <c r="AM55" s="879"/>
      <c r="AN55" s="879"/>
      <c r="AO55" s="879"/>
      <c r="AP55" s="879"/>
      <c r="AQ55" s="879"/>
      <c r="AR55" s="879"/>
      <c r="AS55" s="879"/>
      <c r="AT55" s="880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81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  <c r="AL58" s="882"/>
      <c r="AM58" s="882"/>
      <c r="AN58" s="882"/>
      <c r="AO58" s="882"/>
      <c r="AP58" s="882"/>
      <c r="AQ58" s="882"/>
      <c r="AR58" s="882"/>
      <c r="AS58" s="882"/>
      <c r="AT58" s="883"/>
    </row>
    <row r="59" spans="1:80" ht="11.1" customHeight="1">
      <c r="A59" s="827" t="s">
        <v>326</v>
      </c>
      <c r="B59" s="828"/>
      <c r="C59" s="828"/>
      <c r="D59" s="828"/>
      <c r="E59" s="828"/>
      <c r="F59" s="828"/>
      <c r="G59" s="828"/>
      <c r="H59" s="828"/>
      <c r="I59" s="828"/>
      <c r="J59" s="828"/>
      <c r="K59" s="828"/>
      <c r="L59" s="828"/>
      <c r="M59" s="828"/>
      <c r="N59" s="828"/>
      <c r="O59" s="828"/>
      <c r="P59" s="828"/>
      <c r="Q59" s="828"/>
      <c r="R59" s="828"/>
      <c r="S59" s="828"/>
      <c r="T59" s="828"/>
      <c r="U59" s="828"/>
      <c r="V59" s="828"/>
      <c r="W59" s="828"/>
      <c r="X59" s="828"/>
      <c r="Y59" s="828"/>
      <c r="Z59" s="828"/>
      <c r="AA59" s="828"/>
      <c r="AB59" s="828"/>
      <c r="AC59" s="828"/>
      <c r="AD59" s="828"/>
      <c r="AE59" s="828"/>
      <c r="AF59" s="828"/>
      <c r="AG59" s="828"/>
      <c r="AH59" s="828"/>
      <c r="AI59" s="828"/>
      <c r="AJ59" s="828"/>
      <c r="AK59" s="828"/>
      <c r="AL59" s="828"/>
      <c r="AM59" s="828"/>
      <c r="AN59" s="828"/>
      <c r="AO59" s="828"/>
      <c r="AP59" s="828"/>
      <c r="AQ59" s="828"/>
      <c r="AR59" s="828"/>
      <c r="AS59" s="828"/>
      <c r="AT59" s="829"/>
      <c r="BF59" s="2"/>
      <c r="BG59" s="2"/>
      <c r="BL59" s="1"/>
      <c r="BM59" s="1"/>
    </row>
    <row r="60" spans="1:80" ht="11.1" customHeight="1">
      <c r="A60" s="824" t="s">
        <v>242</v>
      </c>
      <c r="B60" s="825"/>
      <c r="C60" s="825"/>
      <c r="D60" s="825"/>
      <c r="E60" s="825"/>
      <c r="F60" s="825"/>
      <c r="G60" s="825"/>
      <c r="H60" s="825"/>
      <c r="I60" s="825"/>
      <c r="J60" s="825"/>
      <c r="K60" s="825"/>
      <c r="L60" s="825"/>
      <c r="M60" s="825"/>
      <c r="N60" s="825"/>
      <c r="O60" s="825"/>
      <c r="P60" s="825"/>
      <c r="Q60" s="825"/>
      <c r="R60" s="825"/>
      <c r="S60" s="825"/>
      <c r="T60" s="825"/>
      <c r="U60" s="825"/>
      <c r="V60" s="825"/>
      <c r="W60" s="825"/>
      <c r="X60" s="825"/>
      <c r="Y60" s="825"/>
      <c r="Z60" s="825"/>
      <c r="AA60" s="825"/>
      <c r="AB60" s="825"/>
      <c r="AC60" s="825"/>
      <c r="AD60" s="825"/>
      <c r="AE60" s="825"/>
      <c r="AF60" s="825"/>
      <c r="AG60" s="825"/>
      <c r="AH60" s="825"/>
      <c r="AI60" s="825"/>
      <c r="AJ60" s="825"/>
      <c r="AK60" s="825"/>
      <c r="AL60" s="825"/>
      <c r="AM60" s="825"/>
      <c r="AN60" s="825"/>
      <c r="AO60" s="825"/>
      <c r="AP60" s="825"/>
      <c r="AQ60" s="825"/>
      <c r="AR60" s="825"/>
      <c r="AS60" s="825"/>
      <c r="AT60" s="826"/>
      <c r="BF60" s="2"/>
      <c r="BG60" s="2"/>
      <c r="BL60" s="1"/>
      <c r="BM60" s="1"/>
    </row>
    <row r="61" spans="1:80" ht="11.1" hidden="1" customHeight="1">
      <c r="A61" s="824"/>
      <c r="B61" s="825"/>
      <c r="C61" s="825"/>
      <c r="D61" s="825"/>
      <c r="E61" s="825"/>
      <c r="F61" s="825"/>
      <c r="G61" s="825"/>
      <c r="H61" s="825"/>
      <c r="I61" s="825"/>
      <c r="J61" s="825"/>
      <c r="K61" s="825"/>
      <c r="L61" s="825"/>
      <c r="M61" s="825"/>
      <c r="N61" s="825"/>
      <c r="O61" s="825"/>
      <c r="P61" s="825"/>
      <c r="Q61" s="825"/>
      <c r="R61" s="825"/>
      <c r="S61" s="825"/>
      <c r="T61" s="825"/>
      <c r="U61" s="825"/>
      <c r="V61" s="825"/>
      <c r="W61" s="825"/>
      <c r="X61" s="825"/>
      <c r="Y61" s="825"/>
      <c r="Z61" s="825"/>
      <c r="AA61" s="825"/>
      <c r="AB61" s="825"/>
      <c r="AC61" s="825"/>
      <c r="AD61" s="825"/>
      <c r="AE61" s="825"/>
      <c r="AF61" s="825"/>
      <c r="AG61" s="825"/>
      <c r="AH61" s="825"/>
      <c r="AI61" s="825"/>
      <c r="AJ61" s="825"/>
      <c r="AK61" s="825"/>
      <c r="AL61" s="825"/>
      <c r="AM61" s="825"/>
      <c r="AN61" s="825"/>
      <c r="AO61" s="825"/>
      <c r="AP61" s="825"/>
      <c r="AQ61" s="825"/>
      <c r="AR61" s="825"/>
      <c r="AS61" s="825"/>
      <c r="AT61" s="826"/>
      <c r="BF61" s="2"/>
      <c r="BG61" s="2"/>
      <c r="BL61" s="1"/>
      <c r="BM61" s="1"/>
    </row>
    <row r="62" spans="1:80" ht="11.1" customHeight="1" thickBot="1">
      <c r="A62" s="866" t="s">
        <v>327</v>
      </c>
      <c r="B62" s="822"/>
      <c r="C62" s="822"/>
      <c r="D62" s="822"/>
      <c r="E62" s="822"/>
      <c r="F62" s="822"/>
      <c r="G62" s="822"/>
      <c r="H62" s="822"/>
      <c r="I62" s="822"/>
      <c r="J62" s="822"/>
      <c r="K62" s="822"/>
      <c r="L62" s="822"/>
      <c r="M62" s="822"/>
      <c r="N62" s="822"/>
      <c r="O62" s="822"/>
      <c r="P62" s="822"/>
      <c r="Q62" s="822"/>
      <c r="R62" s="822"/>
      <c r="S62" s="822"/>
      <c r="T62" s="822"/>
      <c r="U62" s="822"/>
      <c r="V62" s="822"/>
      <c r="W62" s="822"/>
      <c r="X62" s="822"/>
      <c r="Y62" s="822"/>
      <c r="Z62" s="822"/>
      <c r="AA62" s="822"/>
      <c r="AB62" s="822"/>
      <c r="AC62" s="822"/>
      <c r="AD62" s="822"/>
      <c r="AE62" s="822"/>
      <c r="AF62" s="822"/>
      <c r="AG62" s="822"/>
      <c r="AH62" s="822"/>
      <c r="AI62" s="822"/>
      <c r="AJ62" s="822"/>
      <c r="AK62" s="822"/>
      <c r="AL62" s="822"/>
      <c r="AM62" s="822"/>
      <c r="AN62" s="822"/>
      <c r="AO62" s="822"/>
      <c r="AP62" s="822"/>
      <c r="AQ62" s="822"/>
      <c r="AR62" s="822"/>
      <c r="AS62" s="822"/>
      <c r="AT62" s="823"/>
      <c r="BF62" s="2"/>
      <c r="BG62" s="2"/>
      <c r="BL62" s="1"/>
      <c r="BM62" s="1"/>
    </row>
    <row r="63" spans="1:80" ht="21.75" customHeight="1" thickTop="1">
      <c r="A63" s="478" t="s">
        <v>195</v>
      </c>
      <c r="B63" s="478" t="s">
        <v>197</v>
      </c>
      <c r="C63" s="478" t="s">
        <v>198</v>
      </c>
      <c r="D63" s="478" t="s">
        <v>199</v>
      </c>
      <c r="E63" s="478" t="s">
        <v>200</v>
      </c>
      <c r="F63" s="478" t="s">
        <v>201</v>
      </c>
      <c r="G63" s="478"/>
      <c r="H63" s="478"/>
      <c r="I63" s="478"/>
      <c r="J63" s="478"/>
      <c r="K63" s="478"/>
      <c r="L63" s="478"/>
      <c r="M63" s="478"/>
      <c r="N63" s="478"/>
      <c r="O63" s="478"/>
      <c r="P63" s="478"/>
      <c r="Q63" s="478"/>
      <c r="R63" s="478"/>
      <c r="S63" s="478"/>
      <c r="T63" s="478"/>
      <c r="U63" s="478"/>
      <c r="V63" s="478"/>
      <c r="W63" s="478"/>
      <c r="X63" s="478"/>
      <c r="Y63" s="478"/>
      <c r="Z63" s="478"/>
      <c r="AA63" s="478"/>
      <c r="AB63" s="478"/>
      <c r="AC63" s="478"/>
      <c r="AD63" s="478"/>
      <c r="AE63" s="478"/>
      <c r="AF63" s="478"/>
      <c r="AG63" s="478"/>
      <c r="AH63" s="478"/>
      <c r="AI63" s="479"/>
      <c r="AJ63" s="479"/>
      <c r="AK63" s="479"/>
      <c r="AL63" s="479"/>
      <c r="AM63" s="480"/>
      <c r="AN63" s="481"/>
      <c r="AT63" s="482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3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9" t="s">
        <v>53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1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902" t="s">
        <v>130</v>
      </c>
      <c r="C8" s="902"/>
      <c r="D8" s="902" t="s">
        <v>131</v>
      </c>
      <c r="E8" s="902"/>
      <c r="F8" s="902" t="s">
        <v>133</v>
      </c>
      <c r="G8" s="902"/>
      <c r="H8" s="903" t="s">
        <v>165</v>
      </c>
      <c r="I8" s="904"/>
      <c r="J8" s="903" t="s">
        <v>166</v>
      </c>
      <c r="K8" s="904"/>
      <c r="L8" s="903" t="s">
        <v>167</v>
      </c>
      <c r="M8" s="904"/>
      <c r="N8" s="237" t="s">
        <v>135</v>
      </c>
      <c r="O8" s="237" t="s">
        <v>136</v>
      </c>
      <c r="P8" s="237" t="s">
        <v>137</v>
      </c>
      <c r="Q8" s="158" t="s">
        <v>134</v>
      </c>
      <c r="R8" s="905" t="s">
        <v>138</v>
      </c>
      <c r="S8" s="906"/>
      <c r="T8" s="905" t="s">
        <v>141</v>
      </c>
      <c r="U8" s="906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15</v>
      </c>
      <c r="C9" s="196">
        <f>'PD0101'!C9</f>
        <v>16</v>
      </c>
      <c r="D9" s="195">
        <f>'PD0101'!D9</f>
        <v>16</v>
      </c>
      <c r="E9" s="196">
        <f>'PD0101'!E9</f>
        <v>16</v>
      </c>
      <c r="F9" s="195">
        <f>'PD0101'!F9</f>
        <v>0</v>
      </c>
      <c r="G9" s="196">
        <f>'PD0101'!G9</f>
        <v>0</v>
      </c>
      <c r="H9" s="167">
        <f t="shared" ref="H9:H30" si="0">IF((B9&gt;C9),C9,B9)</f>
        <v>15</v>
      </c>
      <c r="I9" s="167">
        <f t="shared" ref="I9:I30" si="1">IF((C9&gt;B9),C9,B9)</f>
        <v>16</v>
      </c>
      <c r="J9" s="167">
        <f t="shared" ref="J9:J30" si="2">IF((D9&gt;E9),E9,D9)</f>
        <v>16</v>
      </c>
      <c r="K9" s="167">
        <f t="shared" ref="K9:K30" si="3">IF((E9&gt;D9),E9,D9)</f>
        <v>16</v>
      </c>
      <c r="L9" s="167">
        <f t="shared" ref="L9:L30" si="4">IF((F9&gt;G9),G9,F9)</f>
        <v>0</v>
      </c>
      <c r="M9" s="167">
        <f t="shared" ref="M9:M30" si="5">IF((G9&gt;F9),G9,F9)</f>
        <v>0</v>
      </c>
      <c r="N9" s="168">
        <f t="shared" ref="N9:N30" si="6">IF((J9=H9),J9,(IF((J9=I9),J9,0)))</f>
        <v>16</v>
      </c>
      <c r="O9" s="168">
        <f t="shared" ref="O9:O30" si="7">IF((K9=H9),K9,(IF((K9=I9),K9,0)))</f>
        <v>16</v>
      </c>
      <c r="P9" s="168">
        <f t="shared" ref="P9:P30" si="8">(IF(((N9+O9)=(J9+K9)),0,1))</f>
        <v>0</v>
      </c>
      <c r="Q9" s="169">
        <f t="shared" ref="Q9:Q30" si="9">IF(OR((N9=O9),(O9=0)),N9,(IF(AND((N9=0),(O9&lt;&gt;0)),O9,$AD$7)))</f>
        <v>16</v>
      </c>
      <c r="R9" s="170">
        <f t="shared" ref="R9:R30" si="10">(IF((Q9&lt;&gt;$AD$7),(J9+K9-Q9),D9))</f>
        <v>16</v>
      </c>
      <c r="S9" s="170">
        <f t="shared" ref="S9:S30" si="11">(IF((Q9&lt;&gt;$AD$7),0,K9))</f>
        <v>0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0</v>
      </c>
      <c r="V9" s="173">
        <f>IF(R9=0,0,VLOOKUP(R9,FREQUENCIAS!$1:$1048576,(IF(($A9=FREQUENCIAS!$B$1),2,"ERRO")),FREQUENCIAS!$1:$1048576))</f>
        <v>0.27030799999999999</v>
      </c>
      <c r="W9" s="173">
        <f>IF(S9=0,0,VLOOKUP(S9,FREQUENCIAS!$1:$1048576,(IF(($A9=FREQUENCIAS!$B$1),2,"ERRO")),FREQUENCIAS!$1:$1048576))</f>
        <v>0</v>
      </c>
      <c r="X9" s="173"/>
      <c r="Y9" s="173"/>
      <c r="Z9" s="173"/>
      <c r="AA9" s="197">
        <f>((IF((AND(($H9=$J9),($I9=$K9))),2,( IF((OR(($H9=$J9),($I9=$K9),($H9=$K9),($I9=$J9))),1,0)))))</f>
        <v>1</v>
      </c>
      <c r="AB9" s="197">
        <f t="shared" ref="AB9:AB30" si="14">((IF((AND(($H9=$L9),($I9=$M9))),2,( IF((OR(($H9=$L9),($I9=$M9),($H9=$M9),($I9=$L9))),1,0)))))</f>
        <v>0</v>
      </c>
      <c r="AC9" s="197">
        <f t="shared" ref="AC9:AC30" si="15">((IF((AND(($J9=$L9),($K9=$M9))),2,( IF((OR(($J9=$L9),($K9=$M9),($J9=$M9),($K9=$L9))),1,0)))))</f>
        <v>0</v>
      </c>
      <c r="AD9" s="164"/>
      <c r="AE9" s="165">
        <f t="shared" ref="AE9:AE30" si="16">(1-AA9)^2</f>
        <v>0</v>
      </c>
      <c r="AF9" s="164"/>
      <c r="AG9" s="163" t="str">
        <f t="shared" ref="AG9:AG30" si="17">IF((AND((AA9&gt;=1),(AC9&gt;=1))),"INCLUSÃO","VERIFICAR")</f>
        <v>VERIFICAR</v>
      </c>
    </row>
    <row r="10" spans="1:35" ht="17.25" thickTop="1" thickBot="1">
      <c r="A10" s="166" t="s">
        <v>214</v>
      </c>
      <c r="B10" s="195">
        <f>'PD0101'!B10</f>
        <v>15</v>
      </c>
      <c r="C10" s="196">
        <f>'PD0101'!C10</f>
        <v>17</v>
      </c>
      <c r="D10" s="195">
        <f>'PD0101'!D10</f>
        <v>16</v>
      </c>
      <c r="E10" s="196">
        <f>'PD0101'!E10</f>
        <v>17</v>
      </c>
      <c r="F10" s="195">
        <f>'PD0101'!F10</f>
        <v>0</v>
      </c>
      <c r="G10" s="196">
        <f>'PD0101'!G10</f>
        <v>0</v>
      </c>
      <c r="H10" s="167">
        <f t="shared" si="0"/>
        <v>15</v>
      </c>
      <c r="I10" s="167">
        <f t="shared" si="1"/>
        <v>17</v>
      </c>
      <c r="J10" s="167">
        <f t="shared" si="2"/>
        <v>16</v>
      </c>
      <c r="K10" s="167">
        <f t="shared" si="3"/>
        <v>17</v>
      </c>
      <c r="L10" s="167">
        <f t="shared" si="4"/>
        <v>0</v>
      </c>
      <c r="M10" s="167">
        <f t="shared" si="5"/>
        <v>0</v>
      </c>
      <c r="N10" s="168">
        <f t="shared" si="6"/>
        <v>0</v>
      </c>
      <c r="O10" s="168">
        <f t="shared" si="7"/>
        <v>17</v>
      </c>
      <c r="P10" s="168">
        <f t="shared" si="8"/>
        <v>1</v>
      </c>
      <c r="Q10" s="169">
        <f t="shared" si="9"/>
        <v>17</v>
      </c>
      <c r="R10" s="170">
        <f t="shared" si="10"/>
        <v>16</v>
      </c>
      <c r="S10" s="170">
        <f t="shared" si="11"/>
        <v>0</v>
      </c>
      <c r="T10" s="171">
        <f t="shared" si="12"/>
        <v>0</v>
      </c>
      <c r="U10" s="172">
        <f t="shared" si="13"/>
        <v>0</v>
      </c>
      <c r="V10" s="173">
        <f>IF(R10=0,0,VLOOKUP(R10,FREQUENCIAS!$1:$1048576,(IF(($A10=FREQUENCIAS!$C$1),3,"ERRO")),FREQUENCIAS!$1:$1048576))</f>
        <v>0.1328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1</v>
      </c>
      <c r="AB10" s="197">
        <f t="shared" si="14"/>
        <v>0</v>
      </c>
      <c r="AC10" s="197">
        <f t="shared" si="15"/>
        <v>0</v>
      </c>
      <c r="AD10" s="164"/>
      <c r="AE10" s="165">
        <f t="shared" si="16"/>
        <v>0</v>
      </c>
      <c r="AF10" s="164"/>
      <c r="AG10" s="163" t="str">
        <f t="shared" si="17"/>
        <v>VERIFICAR</v>
      </c>
    </row>
    <row r="11" spans="1:35" ht="17.25" thickTop="1" thickBot="1">
      <c r="A11" s="166" t="s">
        <v>215</v>
      </c>
      <c r="B11" s="195">
        <f>'PD0101'!B11</f>
        <v>10</v>
      </c>
      <c r="C11" s="196">
        <f>'PD0101'!C11</f>
        <v>10</v>
      </c>
      <c r="D11" s="195">
        <f>'PD0101'!D11</f>
        <v>10</v>
      </c>
      <c r="E11" s="196">
        <f>'PD0101'!E11</f>
        <v>12</v>
      </c>
      <c r="F11" s="195">
        <f>'PD0101'!F11</f>
        <v>0</v>
      </c>
      <c r="G11" s="196">
        <f>'PD0101'!G11</f>
        <v>0</v>
      </c>
      <c r="H11" s="167">
        <f t="shared" si="0"/>
        <v>10</v>
      </c>
      <c r="I11" s="167">
        <f t="shared" si="1"/>
        <v>10</v>
      </c>
      <c r="J11" s="167">
        <f t="shared" si="2"/>
        <v>10</v>
      </c>
      <c r="K11" s="167">
        <f t="shared" si="3"/>
        <v>12</v>
      </c>
      <c r="L11" s="167">
        <f t="shared" si="4"/>
        <v>0</v>
      </c>
      <c r="M11" s="167">
        <f t="shared" si="5"/>
        <v>0</v>
      </c>
      <c r="N11" s="168">
        <f t="shared" si="6"/>
        <v>10</v>
      </c>
      <c r="O11" s="168">
        <f t="shared" si="7"/>
        <v>0</v>
      </c>
      <c r="P11" s="168">
        <f t="shared" si="8"/>
        <v>1</v>
      </c>
      <c r="Q11" s="169">
        <f t="shared" si="9"/>
        <v>10</v>
      </c>
      <c r="R11" s="170">
        <f t="shared" si="10"/>
        <v>12</v>
      </c>
      <c r="S11" s="170">
        <f t="shared" si="11"/>
        <v>0</v>
      </c>
      <c r="T11" s="171">
        <f t="shared" si="12"/>
        <v>0</v>
      </c>
      <c r="U11" s="172">
        <f t="shared" si="13"/>
        <v>0</v>
      </c>
      <c r="V11" s="173">
        <f>IF(R11=0,0,VLOOKUP(R11,FREQUENCIAS!$1:$1048576,(IF(($A11=FREQUENCIAS!$D$1),4,"ERRO")),FREQUENCIAS!$1:$1048576))</f>
        <v>7.3099999999999998E-2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1</v>
      </c>
      <c r="AB11" s="197">
        <f t="shared" si="14"/>
        <v>0</v>
      </c>
      <c r="AC11" s="197">
        <f t="shared" si="15"/>
        <v>0</v>
      </c>
      <c r="AD11" s="164"/>
      <c r="AE11" s="165">
        <f t="shared" si="16"/>
        <v>0</v>
      </c>
      <c r="AF11" s="164"/>
      <c r="AG11" s="163" t="str">
        <f t="shared" si="17"/>
        <v>VERIFICAR</v>
      </c>
    </row>
    <row r="12" spans="1:35" ht="17.25" thickTop="1" thickBot="1">
      <c r="A12" s="166" t="s">
        <v>216</v>
      </c>
      <c r="B12" s="195">
        <f>'PD0101'!B12</f>
        <v>13</v>
      </c>
      <c r="C12" s="196">
        <f>'PD0101'!C12</f>
        <v>16</v>
      </c>
      <c r="D12" s="195">
        <f>'PD0101'!D12</f>
        <v>13</v>
      </c>
      <c r="E12" s="196">
        <f>'PD0101'!E12</f>
        <v>13</v>
      </c>
      <c r="F12" s="195">
        <f>'PD0101'!F12</f>
        <v>0</v>
      </c>
      <c r="G12" s="196">
        <f>'PD0101'!G12</f>
        <v>0</v>
      </c>
      <c r="H12" s="167">
        <f t="shared" si="0"/>
        <v>13</v>
      </c>
      <c r="I12" s="167">
        <f t="shared" si="1"/>
        <v>16</v>
      </c>
      <c r="J12" s="167">
        <f t="shared" si="2"/>
        <v>13</v>
      </c>
      <c r="K12" s="167">
        <f t="shared" si="3"/>
        <v>13</v>
      </c>
      <c r="L12" s="167">
        <f t="shared" si="4"/>
        <v>0</v>
      </c>
      <c r="M12" s="167">
        <f t="shared" si="5"/>
        <v>0</v>
      </c>
      <c r="N12" s="168">
        <f t="shared" si="6"/>
        <v>13</v>
      </c>
      <c r="O12" s="168">
        <f t="shared" si="7"/>
        <v>13</v>
      </c>
      <c r="P12" s="168">
        <f t="shared" si="8"/>
        <v>0</v>
      </c>
      <c r="Q12" s="168">
        <f t="shared" si="9"/>
        <v>13</v>
      </c>
      <c r="R12" s="170">
        <f t="shared" si="10"/>
        <v>13</v>
      </c>
      <c r="S12" s="170">
        <f t="shared" si="11"/>
        <v>0</v>
      </c>
      <c r="T12" s="171">
        <f t="shared" si="12"/>
        <v>0</v>
      </c>
      <c r="U12" s="172">
        <f t="shared" si="13"/>
        <v>0</v>
      </c>
      <c r="V12" s="173">
        <f>IF(R12=0,0,VLOOKUP(R12,FREQUENCIAS!$1:$1048576,(IF(($A12=FREQUENCIAS!$E$1),5,"ERRO")),FREQUENCIAS!$1:$1048576))</f>
        <v>0.27010000000000001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1</v>
      </c>
      <c r="AB12" s="197">
        <f t="shared" si="14"/>
        <v>0</v>
      </c>
      <c r="AC12" s="197">
        <f t="shared" si="15"/>
        <v>0</v>
      </c>
      <c r="AD12" s="164" t="s">
        <v>140</v>
      </c>
      <c r="AE12" s="165">
        <f t="shared" si="16"/>
        <v>0</v>
      </c>
      <c r="AF12" s="164"/>
      <c r="AG12" s="163" t="str">
        <f t="shared" si="17"/>
        <v>VERIFICAR</v>
      </c>
    </row>
    <row r="13" spans="1:35" ht="17.25" thickTop="1" thickBot="1">
      <c r="A13" s="166" t="s">
        <v>157</v>
      </c>
      <c r="B13" s="195">
        <f>'PD0101'!B13</f>
        <v>11</v>
      </c>
      <c r="C13" s="196">
        <f>'PD0101'!C13</f>
        <v>12</v>
      </c>
      <c r="D13" s="195">
        <f>'PD0101'!D13</f>
        <v>12</v>
      </c>
      <c r="E13" s="196">
        <f>'PD0101'!E13</f>
        <v>12</v>
      </c>
      <c r="F13" s="195">
        <f>'PD0101'!F13</f>
        <v>0</v>
      </c>
      <c r="G13" s="196">
        <f>'PD0101'!G13</f>
        <v>0</v>
      </c>
      <c r="H13" s="167">
        <f t="shared" si="0"/>
        <v>11</v>
      </c>
      <c r="I13" s="167">
        <f t="shared" si="1"/>
        <v>12</v>
      </c>
      <c r="J13" s="167">
        <f t="shared" si="2"/>
        <v>12</v>
      </c>
      <c r="K13" s="167">
        <f t="shared" si="3"/>
        <v>12</v>
      </c>
      <c r="L13" s="167">
        <f t="shared" si="4"/>
        <v>0</v>
      </c>
      <c r="M13" s="167">
        <f t="shared" si="5"/>
        <v>0</v>
      </c>
      <c r="N13" s="168">
        <f t="shared" si="6"/>
        <v>12</v>
      </c>
      <c r="O13" s="168">
        <f t="shared" si="7"/>
        <v>12</v>
      </c>
      <c r="P13" s="168">
        <f t="shared" si="8"/>
        <v>0</v>
      </c>
      <c r="Q13" s="169">
        <f t="shared" si="9"/>
        <v>12</v>
      </c>
      <c r="R13" s="170">
        <f t="shared" si="10"/>
        <v>12</v>
      </c>
      <c r="S13" s="170">
        <f t="shared" si="11"/>
        <v>0</v>
      </c>
      <c r="T13" s="171">
        <f t="shared" si="12"/>
        <v>0</v>
      </c>
      <c r="U13" s="172">
        <f t="shared" si="13"/>
        <v>0</v>
      </c>
      <c r="V13" s="173">
        <f>IF(R13=0,0,VLOOKUP(R13,FREQUENCIAS!$1:$1048576,(IF(($A13=FREQUENCIAS!$F$1),6,"ERRO")),FREQUENCIAS!$1:$1048576))</f>
        <v>0.29337999999999997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1</v>
      </c>
      <c r="AB13" s="197">
        <f t="shared" si="14"/>
        <v>0</v>
      </c>
      <c r="AC13" s="197">
        <f t="shared" si="15"/>
        <v>0</v>
      </c>
      <c r="AD13" s="164" t="s">
        <v>116</v>
      </c>
      <c r="AE13" s="165">
        <f t="shared" si="16"/>
        <v>0</v>
      </c>
      <c r="AF13" s="164"/>
      <c r="AG13" s="163" t="str">
        <f t="shared" si="17"/>
        <v>VERIFICAR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12</v>
      </c>
      <c r="C14" s="162">
        <f>'PD0101'!C14</f>
        <v>13</v>
      </c>
      <c r="D14" s="161">
        <f>'PD0101'!D14</f>
        <v>8</v>
      </c>
      <c r="E14" s="162">
        <f>'PD0101'!E14</f>
        <v>13</v>
      </c>
      <c r="F14" s="161">
        <f>'PD0101'!F14</f>
        <v>0</v>
      </c>
      <c r="G14" s="162">
        <f>'PD0101'!G14</f>
        <v>0</v>
      </c>
      <c r="H14" s="167">
        <f t="shared" si="0"/>
        <v>12</v>
      </c>
      <c r="I14" s="167">
        <f t="shared" si="1"/>
        <v>13</v>
      </c>
      <c r="J14" s="167">
        <f t="shared" si="2"/>
        <v>8</v>
      </c>
      <c r="K14" s="167">
        <f t="shared" si="3"/>
        <v>13</v>
      </c>
      <c r="L14" s="167">
        <f t="shared" si="4"/>
        <v>0</v>
      </c>
      <c r="M14" s="167">
        <f t="shared" si="5"/>
        <v>0</v>
      </c>
      <c r="N14" s="168">
        <f t="shared" si="6"/>
        <v>0</v>
      </c>
      <c r="O14" s="168">
        <f t="shared" si="7"/>
        <v>13</v>
      </c>
      <c r="P14" s="168">
        <f t="shared" si="8"/>
        <v>1</v>
      </c>
      <c r="Q14" s="169">
        <f t="shared" si="9"/>
        <v>13</v>
      </c>
      <c r="R14" s="170">
        <f t="shared" si="10"/>
        <v>8</v>
      </c>
      <c r="S14" s="170">
        <f t="shared" si="11"/>
        <v>0</v>
      </c>
      <c r="T14" s="171">
        <f t="shared" si="12"/>
        <v>0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1</v>
      </c>
      <c r="AB14" s="197">
        <f t="shared" si="14"/>
        <v>0</v>
      </c>
      <c r="AC14" s="197">
        <f t="shared" si="15"/>
        <v>0</v>
      </c>
      <c r="AD14" s="164"/>
      <c r="AE14" s="165">
        <f t="shared" si="16"/>
        <v>0</v>
      </c>
      <c r="AF14" s="164"/>
      <c r="AG14" s="163" t="str">
        <f t="shared" si="17"/>
        <v>VERIFICAR</v>
      </c>
    </row>
    <row r="15" spans="1:35" ht="17.25" thickTop="1" thickBot="1">
      <c r="A15" s="166" t="s">
        <v>159</v>
      </c>
      <c r="B15" s="195">
        <f>'PD0101'!B15</f>
        <v>9</v>
      </c>
      <c r="C15" s="196">
        <f>'PD0101'!C15</f>
        <v>11</v>
      </c>
      <c r="D15" s="195">
        <f>'PD0101'!D15</f>
        <v>9</v>
      </c>
      <c r="E15" s="196">
        <f>'PD0101'!E15</f>
        <v>11</v>
      </c>
      <c r="F15" s="195">
        <f>'PD0101'!F15</f>
        <v>0</v>
      </c>
      <c r="G15" s="196">
        <f>'PD0101'!G15</f>
        <v>0</v>
      </c>
      <c r="H15" s="167">
        <f t="shared" si="0"/>
        <v>9</v>
      </c>
      <c r="I15" s="167">
        <f t="shared" si="1"/>
        <v>11</v>
      </c>
      <c r="J15" s="167">
        <f t="shared" si="2"/>
        <v>9</v>
      </c>
      <c r="K15" s="167">
        <f t="shared" si="3"/>
        <v>11</v>
      </c>
      <c r="L15" s="167">
        <f t="shared" si="4"/>
        <v>0</v>
      </c>
      <c r="M15" s="167">
        <f t="shared" si="5"/>
        <v>0</v>
      </c>
      <c r="N15" s="168">
        <f t="shared" si="6"/>
        <v>9</v>
      </c>
      <c r="O15" s="168">
        <f t="shared" si="7"/>
        <v>11</v>
      </c>
      <c r="P15" s="168">
        <f t="shared" si="8"/>
        <v>0</v>
      </c>
      <c r="Q15" s="169" t="str">
        <f t="shared" si="9"/>
        <v>NÃO DEF</v>
      </c>
      <c r="R15" s="170">
        <f t="shared" si="10"/>
        <v>9</v>
      </c>
      <c r="S15" s="170">
        <f t="shared" si="11"/>
        <v>11</v>
      </c>
      <c r="T15" s="171">
        <f t="shared" si="12"/>
        <v>0</v>
      </c>
      <c r="U15" s="172">
        <f t="shared" si="13"/>
        <v>0</v>
      </c>
      <c r="V15" s="173">
        <f>IF(R15=0,0,VLOOKUP(R15,FREQUENCIAS!$1:$1048576,(IF(($A15=FREQUENCIAS!$H$1),8,"ERRO")),FREQUENCIAS!$1:$1048576))</f>
        <v>0.160298</v>
      </c>
      <c r="W15" s="173">
        <f>IF(S15=0,0,VLOOKUP(S15,FREQUENCIAS!$1:$1048576,(IF(($A15=FREQUENCIAS!$H$1),8,"ERRO")),FREQUENCIAS!$1:$1048576))</f>
        <v>0.28868100000000002</v>
      </c>
      <c r="X15" s="173"/>
      <c r="Y15" s="173"/>
      <c r="Z15" s="173"/>
      <c r="AA15" s="197">
        <f t="shared" si="18"/>
        <v>2</v>
      </c>
      <c r="AB15" s="197">
        <f t="shared" si="14"/>
        <v>0</v>
      </c>
      <c r="AC15" s="197">
        <f t="shared" si="15"/>
        <v>0</v>
      </c>
      <c r="AD15" s="164"/>
      <c r="AE15" s="165">
        <f t="shared" si="16"/>
        <v>1</v>
      </c>
      <c r="AF15" s="164"/>
      <c r="AG15" s="163" t="str">
        <f t="shared" si="17"/>
        <v>VERIFICAR</v>
      </c>
    </row>
    <row r="16" spans="1:35" ht="17.25" thickTop="1" thickBot="1">
      <c r="A16" s="166" t="s">
        <v>155</v>
      </c>
      <c r="B16" s="195">
        <f>'PD0101'!B16</f>
        <v>14</v>
      </c>
      <c r="C16" s="196">
        <f>'PD0101'!C16</f>
        <v>15</v>
      </c>
      <c r="D16" s="195">
        <f>'PD0101'!D16</f>
        <v>14</v>
      </c>
      <c r="E16" s="196">
        <f>'PD0101'!E16</f>
        <v>18</v>
      </c>
      <c r="F16" s="195">
        <f>'PD0101'!F16</f>
        <v>0</v>
      </c>
      <c r="G16" s="196">
        <f>'PD0101'!G16</f>
        <v>0</v>
      </c>
      <c r="H16" s="167">
        <f t="shared" si="0"/>
        <v>14</v>
      </c>
      <c r="I16" s="167">
        <f t="shared" si="1"/>
        <v>15</v>
      </c>
      <c r="J16" s="167">
        <f t="shared" si="2"/>
        <v>14</v>
      </c>
      <c r="K16" s="167">
        <f t="shared" si="3"/>
        <v>18</v>
      </c>
      <c r="L16" s="167">
        <f t="shared" si="4"/>
        <v>0</v>
      </c>
      <c r="M16" s="167">
        <f t="shared" si="5"/>
        <v>0</v>
      </c>
      <c r="N16" s="168">
        <f t="shared" si="6"/>
        <v>14</v>
      </c>
      <c r="O16" s="168">
        <f t="shared" si="7"/>
        <v>0</v>
      </c>
      <c r="P16" s="168">
        <f t="shared" si="8"/>
        <v>1</v>
      </c>
      <c r="Q16" s="169">
        <f t="shared" si="9"/>
        <v>14</v>
      </c>
      <c r="R16" s="170">
        <f t="shared" si="10"/>
        <v>18</v>
      </c>
      <c r="S16" s="170">
        <f t="shared" si="11"/>
        <v>0</v>
      </c>
      <c r="T16" s="171">
        <f t="shared" si="12"/>
        <v>0</v>
      </c>
      <c r="U16" s="172">
        <f t="shared" si="13"/>
        <v>0</v>
      </c>
      <c r="V16" s="173">
        <f>IF(R16=0,0,VLOOKUP(R16,FREQUENCIAS!$1:$1048576,(IF(($A16=FREQUENCIAS!$I$1),9,"ERRO")),FREQUENCIAS!$1:$1048576))</f>
        <v>7.7560000000000004E-2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1</v>
      </c>
      <c r="AB16" s="197">
        <f t="shared" si="14"/>
        <v>0</v>
      </c>
      <c r="AC16" s="197">
        <f t="shared" si="15"/>
        <v>0</v>
      </c>
      <c r="AD16" s="164"/>
      <c r="AE16" s="165">
        <f t="shared" si="16"/>
        <v>0</v>
      </c>
      <c r="AF16" s="164"/>
      <c r="AG16" s="163" t="str">
        <f t="shared" si="17"/>
        <v>VERIFICAR</v>
      </c>
    </row>
    <row r="17" spans="1:35" ht="17.25" thickTop="1" thickBot="1">
      <c r="A17" s="166" t="s">
        <v>51</v>
      </c>
      <c r="B17" s="195">
        <f>'PD0101'!B17</f>
        <v>21</v>
      </c>
      <c r="C17" s="196">
        <f>'PD0101'!C17</f>
        <v>24</v>
      </c>
      <c r="D17" s="195">
        <f>'PD0101'!D17</f>
        <v>16</v>
      </c>
      <c r="E17" s="196">
        <f>'PD0101'!E17</f>
        <v>24</v>
      </c>
      <c r="F17" s="195">
        <f>'PD0101'!F17</f>
        <v>0</v>
      </c>
      <c r="G17" s="196">
        <f>'PD0101'!G17</f>
        <v>0</v>
      </c>
      <c r="H17" s="167">
        <f t="shared" si="0"/>
        <v>21</v>
      </c>
      <c r="I17" s="167">
        <f t="shared" si="1"/>
        <v>24</v>
      </c>
      <c r="J17" s="167">
        <f t="shared" si="2"/>
        <v>16</v>
      </c>
      <c r="K17" s="167">
        <f t="shared" si="3"/>
        <v>24</v>
      </c>
      <c r="L17" s="167">
        <f t="shared" si="4"/>
        <v>0</v>
      </c>
      <c r="M17" s="167">
        <f t="shared" si="5"/>
        <v>0</v>
      </c>
      <c r="N17" s="168">
        <f t="shared" si="6"/>
        <v>0</v>
      </c>
      <c r="O17" s="168">
        <f t="shared" si="7"/>
        <v>24</v>
      </c>
      <c r="P17" s="168">
        <f t="shared" si="8"/>
        <v>1</v>
      </c>
      <c r="Q17" s="169">
        <f t="shared" si="9"/>
        <v>24</v>
      </c>
      <c r="R17" s="170">
        <f t="shared" si="10"/>
        <v>16</v>
      </c>
      <c r="S17" s="170">
        <f t="shared" si="11"/>
        <v>0</v>
      </c>
      <c r="T17" s="171">
        <f t="shared" si="12"/>
        <v>0</v>
      </c>
      <c r="U17" s="172">
        <f t="shared" si="13"/>
        <v>0</v>
      </c>
      <c r="V17" s="173">
        <f>IF(R17=0,0,VLOOKUP(R17,FREQUENCIAS!$1:$1048576,(IF(($A17=FREQUENCIAS!$J$1),10,"ERRO")),FREQUENCIAS!$1:$1048576))</f>
        <v>4.4999999999999998E-2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1</v>
      </c>
      <c r="AB17" s="197">
        <f t="shared" si="14"/>
        <v>0</v>
      </c>
      <c r="AC17" s="197">
        <f t="shared" si="15"/>
        <v>0</v>
      </c>
      <c r="AD17" s="164" t="s">
        <v>173</v>
      </c>
      <c r="AE17" s="165">
        <f t="shared" si="16"/>
        <v>0</v>
      </c>
      <c r="AF17" s="164"/>
      <c r="AG17" s="163" t="str">
        <f t="shared" si="17"/>
        <v>VERIFICAR</v>
      </c>
    </row>
    <row r="18" spans="1:35" ht="17.25" thickTop="1" thickBot="1">
      <c r="A18" s="166" t="s">
        <v>132</v>
      </c>
      <c r="B18" s="195">
        <f>'PD0101'!B18</f>
        <v>12</v>
      </c>
      <c r="C18" s="196">
        <f>'PD0101'!C18</f>
        <v>13</v>
      </c>
      <c r="D18" s="195">
        <f>'PD0101'!D18</f>
        <v>10</v>
      </c>
      <c r="E18" s="196">
        <f>'PD0101'!E18</f>
        <v>13</v>
      </c>
      <c r="F18" s="195">
        <f>'PD0101'!F18</f>
        <v>0</v>
      </c>
      <c r="G18" s="196">
        <f>'PD0101'!G18</f>
        <v>0</v>
      </c>
      <c r="H18" s="167">
        <f t="shared" si="0"/>
        <v>12</v>
      </c>
      <c r="I18" s="167">
        <f t="shared" si="1"/>
        <v>13</v>
      </c>
      <c r="J18" s="167">
        <f t="shared" si="2"/>
        <v>10</v>
      </c>
      <c r="K18" s="167">
        <f t="shared" si="3"/>
        <v>13</v>
      </c>
      <c r="L18" s="167">
        <f t="shared" si="4"/>
        <v>0</v>
      </c>
      <c r="M18" s="167">
        <f t="shared" si="5"/>
        <v>0</v>
      </c>
      <c r="N18" s="168">
        <f t="shared" si="6"/>
        <v>0</v>
      </c>
      <c r="O18" s="168">
        <f t="shared" si="7"/>
        <v>13</v>
      </c>
      <c r="P18" s="168">
        <f t="shared" si="8"/>
        <v>1</v>
      </c>
      <c r="Q18" s="169">
        <f t="shared" si="9"/>
        <v>13</v>
      </c>
      <c r="R18" s="170">
        <f t="shared" si="10"/>
        <v>10</v>
      </c>
      <c r="S18" s="170">
        <f t="shared" si="11"/>
        <v>0</v>
      </c>
      <c r="T18" s="171">
        <f t="shared" si="12"/>
        <v>0</v>
      </c>
      <c r="U18" s="172">
        <f t="shared" si="13"/>
        <v>0</v>
      </c>
      <c r="V18" s="173">
        <f>IF(R18=0,0,VLOOKUP(R18,FREQUENCIAS!$1:$1048576,(IF(($A18=FREQUENCIAS!$K$1),11,"ERRO")),FREQUENCIAS!$1:$1048576))</f>
        <v>0.262376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1</v>
      </c>
      <c r="AB18" s="197">
        <f t="shared" si="14"/>
        <v>0</v>
      </c>
      <c r="AC18" s="197">
        <f t="shared" si="15"/>
        <v>0</v>
      </c>
      <c r="AD18" s="164"/>
      <c r="AE18" s="165">
        <f t="shared" si="16"/>
        <v>0</v>
      </c>
      <c r="AF18" s="164"/>
      <c r="AG18" s="163" t="str">
        <f t="shared" si="17"/>
        <v>VERIFICAR</v>
      </c>
    </row>
    <row r="19" spans="1:35" ht="17.25" thickTop="1" thickBot="1">
      <c r="A19" s="166" t="s">
        <v>220</v>
      </c>
      <c r="B19" s="195">
        <f>'PD0101'!B19</f>
        <v>9</v>
      </c>
      <c r="C19" s="196">
        <f>'PD0101'!C19</f>
        <v>12</v>
      </c>
      <c r="D19" s="195">
        <f>'PD0101'!D19</f>
        <v>12</v>
      </c>
      <c r="E19" s="196">
        <f>'PD0101'!E19</f>
        <v>12</v>
      </c>
      <c r="F19" s="195">
        <f>'PD0101'!F19</f>
        <v>0</v>
      </c>
      <c r="G19" s="196">
        <f>'PD0101'!G19</f>
        <v>0</v>
      </c>
      <c r="H19" s="167">
        <f t="shared" si="0"/>
        <v>9</v>
      </c>
      <c r="I19" s="167">
        <f t="shared" si="1"/>
        <v>12</v>
      </c>
      <c r="J19" s="167">
        <f t="shared" si="2"/>
        <v>12</v>
      </c>
      <c r="K19" s="167">
        <f t="shared" si="3"/>
        <v>12</v>
      </c>
      <c r="L19" s="167">
        <f t="shared" si="4"/>
        <v>0</v>
      </c>
      <c r="M19" s="167">
        <f t="shared" si="5"/>
        <v>0</v>
      </c>
      <c r="N19" s="168">
        <f t="shared" si="6"/>
        <v>12</v>
      </c>
      <c r="O19" s="168">
        <f t="shared" si="7"/>
        <v>12</v>
      </c>
      <c r="P19" s="168">
        <f t="shared" si="8"/>
        <v>0</v>
      </c>
      <c r="Q19" s="169">
        <f t="shared" si="9"/>
        <v>12</v>
      </c>
      <c r="R19" s="170">
        <f t="shared" si="10"/>
        <v>12</v>
      </c>
      <c r="S19" s="170">
        <f t="shared" si="11"/>
        <v>0</v>
      </c>
      <c r="T19" s="171">
        <f t="shared" si="12"/>
        <v>0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1</v>
      </c>
      <c r="AB19" s="197">
        <f t="shared" si="14"/>
        <v>0</v>
      </c>
      <c r="AC19" s="197">
        <f t="shared" si="15"/>
        <v>0</v>
      </c>
      <c r="AD19" s="164" t="s">
        <v>59</v>
      </c>
      <c r="AE19" s="165">
        <f t="shared" si="16"/>
        <v>0</v>
      </c>
      <c r="AF19" s="164"/>
      <c r="AG19" s="163" t="str">
        <f t="shared" si="17"/>
        <v>VERIFICAR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9</v>
      </c>
      <c r="C20" s="196">
        <f>'PD0101'!C20</f>
        <v>9</v>
      </c>
      <c r="D20" s="195">
        <f>'PD0101'!D20</f>
        <v>9</v>
      </c>
      <c r="E20" s="196">
        <f>'PD0101'!E20</f>
        <v>9</v>
      </c>
      <c r="F20" s="195">
        <f>'PD0101'!F20</f>
        <v>0</v>
      </c>
      <c r="G20" s="196">
        <f>'PD0101'!G20</f>
        <v>0</v>
      </c>
      <c r="H20" s="167">
        <f t="shared" si="0"/>
        <v>9</v>
      </c>
      <c r="I20" s="167">
        <f t="shared" si="1"/>
        <v>9</v>
      </c>
      <c r="J20" s="167">
        <f t="shared" si="2"/>
        <v>9</v>
      </c>
      <c r="K20" s="167">
        <f t="shared" si="3"/>
        <v>9</v>
      </c>
      <c r="L20" s="167">
        <f t="shared" si="4"/>
        <v>0</v>
      </c>
      <c r="M20" s="167">
        <f t="shared" si="5"/>
        <v>0</v>
      </c>
      <c r="N20" s="168">
        <f t="shared" si="6"/>
        <v>9</v>
      </c>
      <c r="O20" s="168">
        <f t="shared" si="7"/>
        <v>9</v>
      </c>
      <c r="P20" s="168">
        <f t="shared" si="8"/>
        <v>0</v>
      </c>
      <c r="Q20" s="169">
        <f t="shared" si="9"/>
        <v>9</v>
      </c>
      <c r="R20" s="170">
        <f t="shared" si="10"/>
        <v>9</v>
      </c>
      <c r="S20" s="170">
        <f t="shared" si="11"/>
        <v>0</v>
      </c>
      <c r="T20" s="171">
        <f t="shared" si="12"/>
        <v>0</v>
      </c>
      <c r="U20" s="172">
        <f t="shared" si="13"/>
        <v>0</v>
      </c>
      <c r="V20" s="173">
        <f>IF(R20=0,0,VLOOKUP(R20,FREQUENCIAS!$1:$1048576,(IF(($A20=FREQUENCIAS!$M$1),13,"ERRO")),FREQUENCIAS!$1:$1048576))</f>
        <v>0.16256300000000001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2</v>
      </c>
      <c r="AB20" s="197">
        <f t="shared" si="14"/>
        <v>0</v>
      </c>
      <c r="AC20" s="197">
        <f t="shared" si="15"/>
        <v>0</v>
      </c>
      <c r="AD20" s="164"/>
      <c r="AE20" s="165">
        <f t="shared" si="16"/>
        <v>1</v>
      </c>
      <c r="AF20" s="164"/>
      <c r="AG20" s="163" t="str">
        <f t="shared" si="17"/>
        <v>VERIFICAR</v>
      </c>
    </row>
    <row r="21" spans="1:35" ht="17.25" thickTop="1" thickBot="1">
      <c r="A21" s="166" t="s">
        <v>179</v>
      </c>
      <c r="B21" s="195">
        <f>'PD0101'!B21</f>
        <v>15</v>
      </c>
      <c r="C21" s="196">
        <f>'PD0101'!C21</f>
        <v>16</v>
      </c>
      <c r="D21" s="195">
        <f>'PD0101'!D21</f>
        <v>15</v>
      </c>
      <c r="E21" s="196">
        <f>'PD0101'!E21</f>
        <v>15</v>
      </c>
      <c r="F21" s="195">
        <f>'PD0101'!F21</f>
        <v>0</v>
      </c>
      <c r="G21" s="196">
        <f>'PD0101'!G21</f>
        <v>0</v>
      </c>
      <c r="H21" s="167">
        <f t="shared" si="0"/>
        <v>15</v>
      </c>
      <c r="I21" s="167">
        <f t="shared" si="1"/>
        <v>16</v>
      </c>
      <c r="J21" s="167">
        <f t="shared" si="2"/>
        <v>15</v>
      </c>
      <c r="K21" s="167">
        <f t="shared" si="3"/>
        <v>15</v>
      </c>
      <c r="L21" s="167">
        <f t="shared" si="4"/>
        <v>0</v>
      </c>
      <c r="M21" s="167">
        <f t="shared" si="5"/>
        <v>0</v>
      </c>
      <c r="N21" s="168">
        <f t="shared" si="6"/>
        <v>15</v>
      </c>
      <c r="O21" s="168">
        <f t="shared" si="7"/>
        <v>15</v>
      </c>
      <c r="P21" s="168">
        <f t="shared" si="8"/>
        <v>0</v>
      </c>
      <c r="Q21" s="169">
        <f t="shared" si="9"/>
        <v>15</v>
      </c>
      <c r="R21" s="170">
        <f t="shared" si="10"/>
        <v>15</v>
      </c>
      <c r="S21" s="170">
        <f t="shared" si="11"/>
        <v>0</v>
      </c>
      <c r="T21" s="171">
        <f t="shared" si="12"/>
        <v>0</v>
      </c>
      <c r="U21" s="172">
        <f t="shared" si="13"/>
        <v>0</v>
      </c>
      <c r="V21" s="173">
        <f>IF(R21=0,0,VLOOKUP(R21,FREQUENCIAS!$1:$1048576,(IF(($A21=FREQUENCIAS!$N$1),14,"ERRO")),FREQUENCIAS!$1:$1048576))</f>
        <v>0.13799400000000001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1</v>
      </c>
      <c r="AB21" s="197">
        <f t="shared" si="14"/>
        <v>0</v>
      </c>
      <c r="AC21" s="197">
        <f t="shared" si="15"/>
        <v>0</v>
      </c>
      <c r="AD21" s="164"/>
      <c r="AE21" s="165">
        <f t="shared" si="16"/>
        <v>0</v>
      </c>
      <c r="AF21" s="164"/>
      <c r="AG21" s="163" t="str">
        <f t="shared" si="17"/>
        <v>VERIFICAR</v>
      </c>
    </row>
    <row r="22" spans="1:35" ht="17.25" thickTop="1" thickBot="1">
      <c r="A22" s="166" t="s">
        <v>154</v>
      </c>
      <c r="B22" s="195">
        <f>'PD0101'!B22</f>
        <v>30</v>
      </c>
      <c r="C22" s="196">
        <f>'PD0101'!C22</f>
        <v>35</v>
      </c>
      <c r="D22" s="195">
        <f>'PD0101'!D22</f>
        <v>29</v>
      </c>
      <c r="E22" s="196">
        <f>'PD0101'!E22</f>
        <v>30</v>
      </c>
      <c r="F22" s="195">
        <f>'PD0101'!F22</f>
        <v>0</v>
      </c>
      <c r="G22" s="196">
        <f>'PD0101'!G22</f>
        <v>0</v>
      </c>
      <c r="H22" s="167">
        <f t="shared" si="0"/>
        <v>30</v>
      </c>
      <c r="I22" s="167">
        <f t="shared" si="1"/>
        <v>35</v>
      </c>
      <c r="J22" s="167">
        <f t="shared" si="2"/>
        <v>29</v>
      </c>
      <c r="K22" s="167">
        <f t="shared" si="3"/>
        <v>30</v>
      </c>
      <c r="L22" s="167">
        <f t="shared" si="4"/>
        <v>0</v>
      </c>
      <c r="M22" s="167">
        <f t="shared" si="5"/>
        <v>0</v>
      </c>
      <c r="N22" s="168">
        <f t="shared" si="6"/>
        <v>0</v>
      </c>
      <c r="O22" s="168">
        <f t="shared" si="7"/>
        <v>30</v>
      </c>
      <c r="P22" s="168">
        <f t="shared" si="8"/>
        <v>1</v>
      </c>
      <c r="Q22" s="169">
        <f t="shared" si="9"/>
        <v>30</v>
      </c>
      <c r="R22" s="170">
        <f t="shared" si="10"/>
        <v>29</v>
      </c>
      <c r="S22" s="170">
        <f t="shared" si="11"/>
        <v>0</v>
      </c>
      <c r="T22" s="171">
        <f t="shared" si="12"/>
        <v>0</v>
      </c>
      <c r="U22" s="172">
        <f t="shared" si="13"/>
        <v>0</v>
      </c>
      <c r="V22" s="173">
        <f>IF(R22=0,0,VLOOKUP(R22,FREQUENCIAS!$1:$1048576,(IF(($A22=FREQUENCIAS!$O$1),15,"ERRO")),FREQUENCIAS!$1:$1048576))</f>
        <v>0.20807800000000001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1</v>
      </c>
      <c r="AB22" s="197">
        <f t="shared" si="14"/>
        <v>0</v>
      </c>
      <c r="AC22" s="197">
        <f t="shared" si="15"/>
        <v>0</v>
      </c>
      <c r="AD22" s="164"/>
      <c r="AE22" s="165">
        <f t="shared" si="16"/>
        <v>0</v>
      </c>
      <c r="AF22" s="164"/>
      <c r="AG22" s="163" t="str">
        <f t="shared" si="17"/>
        <v>VERIFICAR</v>
      </c>
    </row>
    <row r="23" spans="1:35" ht="17.25" thickTop="1" thickBot="1">
      <c r="A23" s="166" t="s">
        <v>158</v>
      </c>
      <c r="B23" s="195">
        <f>'PD0101'!B23</f>
        <v>10</v>
      </c>
      <c r="C23" s="196">
        <f>'PD0101'!C23</f>
        <v>10</v>
      </c>
      <c r="D23" s="195">
        <f>'PD0101'!D23</f>
        <v>9</v>
      </c>
      <c r="E23" s="196">
        <f>'PD0101'!E23</f>
        <v>10</v>
      </c>
      <c r="F23" s="195">
        <f>'PD0101'!F23</f>
        <v>0</v>
      </c>
      <c r="G23" s="196">
        <f>'PD0101'!G23</f>
        <v>0</v>
      </c>
      <c r="H23" s="167">
        <f t="shared" si="0"/>
        <v>10</v>
      </c>
      <c r="I23" s="167">
        <f t="shared" si="1"/>
        <v>10</v>
      </c>
      <c r="J23" s="167">
        <f t="shared" si="2"/>
        <v>9</v>
      </c>
      <c r="K23" s="167">
        <f t="shared" si="3"/>
        <v>10</v>
      </c>
      <c r="L23" s="167">
        <f t="shared" si="4"/>
        <v>0</v>
      </c>
      <c r="M23" s="167">
        <f t="shared" si="5"/>
        <v>0</v>
      </c>
      <c r="N23" s="168">
        <f t="shared" si="6"/>
        <v>0</v>
      </c>
      <c r="O23" s="168">
        <f t="shared" si="7"/>
        <v>10</v>
      </c>
      <c r="P23" s="168">
        <f t="shared" si="8"/>
        <v>1</v>
      </c>
      <c r="Q23" s="169">
        <f t="shared" si="9"/>
        <v>10</v>
      </c>
      <c r="R23" s="170">
        <f t="shared" si="10"/>
        <v>9</v>
      </c>
      <c r="S23" s="170">
        <f t="shared" si="11"/>
        <v>0</v>
      </c>
      <c r="T23" s="171">
        <f t="shared" si="12"/>
        <v>0</v>
      </c>
      <c r="U23" s="172">
        <f t="shared" si="13"/>
        <v>0</v>
      </c>
      <c r="V23" s="173">
        <f>IF(R23=0,0,VLOOKUP(R23,FREQUENCIAS!$1:$1048576,(IF(($A23=FREQUENCIAS!$P$1),16,"ERRO")),FREQUENCIAS!$1:$1048576))</f>
        <v>0.12053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1</v>
      </c>
      <c r="AB23" s="197">
        <f t="shared" si="14"/>
        <v>0</v>
      </c>
      <c r="AC23" s="197">
        <f t="shared" si="15"/>
        <v>0</v>
      </c>
      <c r="AD23" s="164" t="s">
        <v>173</v>
      </c>
      <c r="AE23" s="165">
        <f t="shared" si="16"/>
        <v>0</v>
      </c>
      <c r="AF23" s="164"/>
      <c r="AG23" s="163" t="str">
        <f t="shared" si="17"/>
        <v>VERIFICAR</v>
      </c>
    </row>
    <row r="24" spans="1:35" ht="17.25" thickTop="1" thickBot="1">
      <c r="A24" s="166" t="s">
        <v>156</v>
      </c>
      <c r="B24" s="195">
        <f>'PD0101'!B24</f>
        <v>13</v>
      </c>
      <c r="C24" s="196">
        <f>'PD0101'!C24</f>
        <v>13</v>
      </c>
      <c r="D24" s="195">
        <f>'PD0101'!D24</f>
        <v>12</v>
      </c>
      <c r="E24" s="196">
        <f>'PD0101'!E24</f>
        <v>13</v>
      </c>
      <c r="F24" s="195">
        <f>'PD0101'!F24</f>
        <v>0</v>
      </c>
      <c r="G24" s="196">
        <f>'PD0101'!G24</f>
        <v>0</v>
      </c>
      <c r="H24" s="167">
        <f t="shared" si="0"/>
        <v>13</v>
      </c>
      <c r="I24" s="167">
        <f t="shared" si="1"/>
        <v>13</v>
      </c>
      <c r="J24" s="167">
        <f t="shared" si="2"/>
        <v>12</v>
      </c>
      <c r="K24" s="167">
        <f t="shared" si="3"/>
        <v>13</v>
      </c>
      <c r="L24" s="167">
        <f t="shared" si="4"/>
        <v>0</v>
      </c>
      <c r="M24" s="167">
        <f t="shared" si="5"/>
        <v>0</v>
      </c>
      <c r="N24" s="168">
        <f t="shared" si="6"/>
        <v>0</v>
      </c>
      <c r="O24" s="168">
        <f t="shared" si="7"/>
        <v>13</v>
      </c>
      <c r="P24" s="168">
        <f t="shared" si="8"/>
        <v>1</v>
      </c>
      <c r="Q24" s="169">
        <f t="shared" si="9"/>
        <v>13</v>
      </c>
      <c r="R24" s="170">
        <f t="shared" si="10"/>
        <v>12</v>
      </c>
      <c r="S24" s="170">
        <f t="shared" si="11"/>
        <v>0</v>
      </c>
      <c r="T24" s="171">
        <f t="shared" si="12"/>
        <v>0</v>
      </c>
      <c r="U24" s="172">
        <f t="shared" si="13"/>
        <v>0</v>
      </c>
      <c r="V24" s="173">
        <f>IF(R24=0,0,VLOOKUP(R24,FREQUENCIAS!$1:$1048576,(IF(($A24=FREQUENCIAS!$Q$1),17,"ERRO")),FREQUENCIAS!$1:$1048576))</f>
        <v>0.34637600000000002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1</v>
      </c>
      <c r="AB24" s="197">
        <f t="shared" si="14"/>
        <v>0</v>
      </c>
      <c r="AC24" s="197">
        <f t="shared" si="15"/>
        <v>0</v>
      </c>
      <c r="AD24" s="164" t="s">
        <v>173</v>
      </c>
      <c r="AE24" s="165">
        <f t="shared" si="16"/>
        <v>0</v>
      </c>
      <c r="AF24" s="164"/>
      <c r="AG24" s="163" t="str">
        <f t="shared" si="17"/>
        <v>VERIFICAR</v>
      </c>
    </row>
    <row r="25" spans="1:35" ht="17.25" thickTop="1" thickBot="1">
      <c r="A25" s="166" t="s">
        <v>142</v>
      </c>
      <c r="B25" s="195">
        <f>'PD0101'!B25</f>
        <v>8</v>
      </c>
      <c r="C25" s="196">
        <f>'PD0101'!C25</f>
        <v>8</v>
      </c>
      <c r="D25" s="195">
        <f>'PD0101'!D25</f>
        <v>8</v>
      </c>
      <c r="E25" s="196">
        <f>'PD0101'!E25</f>
        <v>11</v>
      </c>
      <c r="F25" s="195">
        <f>'PD0101'!F25</f>
        <v>0</v>
      </c>
      <c r="G25" s="196">
        <f>'PD0101'!G25</f>
        <v>0</v>
      </c>
      <c r="H25" s="167">
        <f t="shared" si="0"/>
        <v>8</v>
      </c>
      <c r="I25" s="167">
        <f t="shared" si="1"/>
        <v>8</v>
      </c>
      <c r="J25" s="167">
        <f t="shared" si="2"/>
        <v>8</v>
      </c>
      <c r="K25" s="167">
        <f t="shared" si="3"/>
        <v>11</v>
      </c>
      <c r="L25" s="167">
        <f t="shared" si="4"/>
        <v>0</v>
      </c>
      <c r="M25" s="167">
        <f t="shared" si="5"/>
        <v>0</v>
      </c>
      <c r="N25" s="168">
        <f t="shared" si="6"/>
        <v>8</v>
      </c>
      <c r="O25" s="168">
        <f t="shared" si="7"/>
        <v>0</v>
      </c>
      <c r="P25" s="168">
        <f t="shared" si="8"/>
        <v>1</v>
      </c>
      <c r="Q25" s="169">
        <f t="shared" si="9"/>
        <v>8</v>
      </c>
      <c r="R25" s="170">
        <f t="shared" si="10"/>
        <v>11</v>
      </c>
      <c r="S25" s="170">
        <f t="shared" si="11"/>
        <v>0</v>
      </c>
      <c r="T25" s="171">
        <f t="shared" si="12"/>
        <v>0</v>
      </c>
      <c r="U25" s="172">
        <f t="shared" si="13"/>
        <v>0</v>
      </c>
      <c r="V25" s="173">
        <f>IF(R25=0,0,VLOOKUP(R25,FREQUENCIAS!$1:$1048576,(IF(($A25=FREQUENCIAS!$R$1),18,"ERRO")),FREQUENCIAS!$1:$1048576))</f>
        <v>0.275532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1</v>
      </c>
      <c r="AB25" s="197">
        <f t="shared" si="14"/>
        <v>0</v>
      </c>
      <c r="AC25" s="197">
        <f t="shared" si="15"/>
        <v>0</v>
      </c>
      <c r="AD25" s="164" t="s">
        <v>173</v>
      </c>
      <c r="AE25" s="165">
        <f t="shared" si="16"/>
        <v>0</v>
      </c>
      <c r="AF25" s="164"/>
      <c r="AG25" s="163" t="str">
        <f t="shared" si="17"/>
        <v>VERIFICAR</v>
      </c>
    </row>
    <row r="26" spans="1:35" ht="17.25" thickTop="1" thickBot="1">
      <c r="A26" s="166" t="s">
        <v>153</v>
      </c>
      <c r="B26" s="195">
        <f>'PD0101'!B26</f>
        <v>12</v>
      </c>
      <c r="C26" s="196">
        <f>'PD0101'!C26</f>
        <v>13</v>
      </c>
      <c r="D26" s="195">
        <f>'PD0101'!D26</f>
        <v>13</v>
      </c>
      <c r="E26" s="196">
        <f>'PD0101'!E26</f>
        <v>15</v>
      </c>
      <c r="F26" s="195">
        <f>'PD0101'!F26</f>
        <v>0</v>
      </c>
      <c r="G26" s="196">
        <f>'PD0101'!G26</f>
        <v>0</v>
      </c>
      <c r="H26" s="167">
        <f t="shared" si="0"/>
        <v>12</v>
      </c>
      <c r="I26" s="167">
        <f t="shared" si="1"/>
        <v>13</v>
      </c>
      <c r="J26" s="167">
        <f t="shared" si="2"/>
        <v>13</v>
      </c>
      <c r="K26" s="167">
        <f t="shared" si="3"/>
        <v>15</v>
      </c>
      <c r="L26" s="167">
        <f t="shared" si="4"/>
        <v>0</v>
      </c>
      <c r="M26" s="167">
        <f t="shared" si="5"/>
        <v>0</v>
      </c>
      <c r="N26" s="168">
        <f t="shared" si="6"/>
        <v>13</v>
      </c>
      <c r="O26" s="168">
        <f t="shared" si="7"/>
        <v>0</v>
      </c>
      <c r="P26" s="168">
        <f t="shared" si="8"/>
        <v>1</v>
      </c>
      <c r="Q26" s="169">
        <f t="shared" si="9"/>
        <v>13</v>
      </c>
      <c r="R26" s="170">
        <f t="shared" si="10"/>
        <v>15</v>
      </c>
      <c r="S26" s="170">
        <f t="shared" si="11"/>
        <v>0</v>
      </c>
      <c r="T26" s="171">
        <f t="shared" si="12"/>
        <v>0</v>
      </c>
      <c r="U26" s="172">
        <f t="shared" si="13"/>
        <v>0</v>
      </c>
      <c r="V26" s="173">
        <f>IF(R26=0,0,VLOOKUP(R26,FREQUENCIAS!$1:$1048576,(IF(($A26=FREQUENCIAS!$S$1),19,"ERRO")),FREQUENCIAS!$1:$1048576))</f>
        <v>0.13833100000000001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1</v>
      </c>
      <c r="AB26" s="197">
        <f t="shared" si="14"/>
        <v>0</v>
      </c>
      <c r="AC26" s="197">
        <f t="shared" si="15"/>
        <v>0</v>
      </c>
      <c r="AD26" s="164" t="s">
        <v>173</v>
      </c>
      <c r="AE26" s="165">
        <f t="shared" si="16"/>
        <v>0</v>
      </c>
      <c r="AF26" s="164"/>
      <c r="AG26" s="163" t="str">
        <f t="shared" si="17"/>
        <v>VERIFICAR</v>
      </c>
    </row>
    <row r="27" spans="1:35" ht="17.25" thickTop="1" thickBot="1">
      <c r="A27" s="166" t="s">
        <v>217</v>
      </c>
      <c r="B27" s="195">
        <f>'PD0101'!B27</f>
        <v>19</v>
      </c>
      <c r="C27" s="196">
        <f>'PD0101'!C27</f>
        <v>20</v>
      </c>
      <c r="D27" s="195">
        <f>'PD0101'!D27</f>
        <v>19</v>
      </c>
      <c r="E27" s="196">
        <f>'PD0101'!E27</f>
        <v>19</v>
      </c>
      <c r="F27" s="195">
        <f>'PD0101'!F27</f>
        <v>0</v>
      </c>
      <c r="G27" s="196">
        <f>'PD0101'!G27</f>
        <v>0</v>
      </c>
      <c r="H27" s="167">
        <f t="shared" si="0"/>
        <v>19</v>
      </c>
      <c r="I27" s="167">
        <f t="shared" si="1"/>
        <v>20</v>
      </c>
      <c r="J27" s="167">
        <f t="shared" si="2"/>
        <v>19</v>
      </c>
      <c r="K27" s="167">
        <f t="shared" si="3"/>
        <v>19</v>
      </c>
      <c r="L27" s="167">
        <f t="shared" si="4"/>
        <v>0</v>
      </c>
      <c r="M27" s="167">
        <f t="shared" si="5"/>
        <v>0</v>
      </c>
      <c r="N27" s="168">
        <f t="shared" si="6"/>
        <v>19</v>
      </c>
      <c r="O27" s="168">
        <f t="shared" si="7"/>
        <v>19</v>
      </c>
      <c r="P27" s="168">
        <f t="shared" si="8"/>
        <v>0</v>
      </c>
      <c r="Q27" s="169">
        <f t="shared" si="9"/>
        <v>19</v>
      </c>
      <c r="R27" s="170">
        <f t="shared" si="10"/>
        <v>19</v>
      </c>
      <c r="S27" s="170">
        <f t="shared" si="11"/>
        <v>0</v>
      </c>
      <c r="T27" s="171">
        <f t="shared" si="12"/>
        <v>0</v>
      </c>
      <c r="U27" s="172">
        <f t="shared" si="13"/>
        <v>0</v>
      </c>
      <c r="V27" s="173">
        <f>IF(R27=0,0,VLOOKUP(R27,FREQUENCIAS!$1:$1048576,(IF(($A27=FREQUENCIAS!$T$1),20,"ERRO")),FREQUENCIAS!$1:$1048576))</f>
        <v>0.1699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1</v>
      </c>
      <c r="AB27" s="197">
        <f t="shared" si="14"/>
        <v>0</v>
      </c>
      <c r="AC27" s="197">
        <f t="shared" si="15"/>
        <v>0</v>
      </c>
      <c r="AD27" s="164" t="s">
        <v>173</v>
      </c>
      <c r="AE27" s="165">
        <f t="shared" si="16"/>
        <v>0</v>
      </c>
      <c r="AF27" s="164"/>
      <c r="AG27" s="163" t="str">
        <f t="shared" si="17"/>
        <v>VERIFICAR</v>
      </c>
    </row>
    <row r="28" spans="1:35" ht="17.25" thickTop="1" thickBot="1">
      <c r="A28" s="166" t="s">
        <v>52</v>
      </c>
      <c r="B28" s="195">
        <f>'PD0101'!B28</f>
        <v>13</v>
      </c>
      <c r="C28" s="196">
        <f>'PD0101'!C28</f>
        <v>13</v>
      </c>
      <c r="D28" s="195">
        <f>'PD0101'!D28</f>
        <v>13</v>
      </c>
      <c r="E28" s="196">
        <f>'PD0101'!E28</f>
        <v>13.2</v>
      </c>
      <c r="F28" s="195">
        <f>'PD0101'!F28</f>
        <v>0</v>
      </c>
      <c r="G28" s="196">
        <f>'PD0101'!G28</f>
        <v>0</v>
      </c>
      <c r="H28" s="167">
        <f t="shared" si="0"/>
        <v>13</v>
      </c>
      <c r="I28" s="167">
        <f t="shared" si="1"/>
        <v>13</v>
      </c>
      <c r="J28" s="167">
        <f t="shared" si="2"/>
        <v>13</v>
      </c>
      <c r="K28" s="167">
        <f t="shared" si="3"/>
        <v>13.2</v>
      </c>
      <c r="L28" s="167">
        <f t="shared" si="4"/>
        <v>0</v>
      </c>
      <c r="M28" s="167">
        <f t="shared" si="5"/>
        <v>0</v>
      </c>
      <c r="N28" s="168">
        <f t="shared" si="6"/>
        <v>13</v>
      </c>
      <c r="O28" s="168">
        <f t="shared" si="7"/>
        <v>0</v>
      </c>
      <c r="P28" s="168">
        <f t="shared" si="8"/>
        <v>1</v>
      </c>
      <c r="Q28" s="169">
        <f t="shared" si="9"/>
        <v>13</v>
      </c>
      <c r="R28" s="170">
        <f t="shared" si="10"/>
        <v>13.2</v>
      </c>
      <c r="S28" s="170">
        <f t="shared" si="11"/>
        <v>0</v>
      </c>
      <c r="T28" s="171">
        <f t="shared" si="12"/>
        <v>0</v>
      </c>
      <c r="U28" s="172">
        <f t="shared" si="13"/>
        <v>0</v>
      </c>
      <c r="V28" s="173">
        <f>IF(R28=0,0,VLOOKUP(R28,FREQUENCIAS!$1:$1048576,(IF(($A28=FREQUENCIAS!$U$1),21,"ERRO")),FREQUENCIAS!$1:$1048576))</f>
        <v>3.2599999999999997E-2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1</v>
      </c>
      <c r="AB28" s="197">
        <f t="shared" si="14"/>
        <v>0</v>
      </c>
      <c r="AC28" s="197">
        <f t="shared" si="15"/>
        <v>0</v>
      </c>
      <c r="AD28" s="164" t="s">
        <v>173</v>
      </c>
      <c r="AE28" s="165">
        <f t="shared" si="16"/>
        <v>0</v>
      </c>
      <c r="AF28" s="164"/>
      <c r="AG28" s="163" t="str">
        <f t="shared" si="17"/>
        <v>VERIFICAR</v>
      </c>
    </row>
    <row r="29" spans="1:35" ht="17.25" thickTop="1" thickBot="1">
      <c r="A29" s="166" t="s">
        <v>152</v>
      </c>
      <c r="B29" s="195">
        <f>'PD0101'!B29</f>
        <v>23</v>
      </c>
      <c r="C29" s="196">
        <f>'PD0101'!C29</f>
        <v>25</v>
      </c>
      <c r="D29" s="195">
        <f>'PD0101'!D29</f>
        <v>21</v>
      </c>
      <c r="E29" s="196">
        <f>'PD0101'!E29</f>
        <v>23</v>
      </c>
      <c r="F29" s="195">
        <f>'PD0101'!F29</f>
        <v>0</v>
      </c>
      <c r="G29" s="196">
        <f>'PD0101'!G29</f>
        <v>0</v>
      </c>
      <c r="H29" s="167">
        <f t="shared" si="0"/>
        <v>23</v>
      </c>
      <c r="I29" s="167">
        <f t="shared" si="1"/>
        <v>25</v>
      </c>
      <c r="J29" s="167">
        <f t="shared" si="2"/>
        <v>21</v>
      </c>
      <c r="K29" s="167">
        <f t="shared" si="3"/>
        <v>23</v>
      </c>
      <c r="L29" s="167">
        <f t="shared" si="4"/>
        <v>0</v>
      </c>
      <c r="M29" s="167">
        <f t="shared" si="5"/>
        <v>0</v>
      </c>
      <c r="N29" s="168">
        <f t="shared" si="6"/>
        <v>0</v>
      </c>
      <c r="O29" s="168">
        <f t="shared" si="7"/>
        <v>23</v>
      </c>
      <c r="P29" s="168">
        <f t="shared" si="8"/>
        <v>1</v>
      </c>
      <c r="Q29" s="169">
        <f t="shared" si="9"/>
        <v>23</v>
      </c>
      <c r="R29" s="170">
        <f t="shared" si="10"/>
        <v>21</v>
      </c>
      <c r="S29" s="170">
        <f t="shared" si="11"/>
        <v>0</v>
      </c>
      <c r="T29" s="171">
        <f t="shared" si="12"/>
        <v>0</v>
      </c>
      <c r="U29" s="172">
        <f t="shared" si="13"/>
        <v>0</v>
      </c>
      <c r="V29" s="173">
        <f>IF(R29=0,0,VLOOKUP(R29,FREQUENCIAS!$1:$1048576,(IF(($A29=FREQUENCIAS!$V$1),22,"ERRO")),FREQUENCIAS!$1:$1048576))</f>
        <v>0.15107999999999999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1</v>
      </c>
      <c r="AB29" s="197">
        <f t="shared" si="14"/>
        <v>0</v>
      </c>
      <c r="AC29" s="197">
        <f t="shared" si="15"/>
        <v>0</v>
      </c>
      <c r="AD29" s="164" t="s">
        <v>173</v>
      </c>
      <c r="AE29" s="165">
        <f t="shared" si="16"/>
        <v>0</v>
      </c>
      <c r="AF29" s="164"/>
      <c r="AG29" s="163" t="str">
        <f t="shared" si="17"/>
        <v>VERIFICAR</v>
      </c>
    </row>
    <row r="30" spans="1:35" ht="17.25" thickTop="1" thickBot="1">
      <c r="A30" s="166" t="s">
        <v>218</v>
      </c>
      <c r="B30" s="195">
        <f>'PD0101'!B30</f>
        <v>10</v>
      </c>
      <c r="C30" s="196">
        <f>'PD0101'!C30</f>
        <v>16</v>
      </c>
      <c r="D30" s="195">
        <f>'PD0101'!D30</f>
        <v>10</v>
      </c>
      <c r="E30" s="196">
        <f>'PD0101'!E30</f>
        <v>16</v>
      </c>
      <c r="F30" s="195">
        <f>'PD0101'!F30</f>
        <v>0</v>
      </c>
      <c r="G30" s="196">
        <f>'PD0101'!G30</f>
        <v>0</v>
      </c>
      <c r="H30" s="167">
        <f t="shared" si="0"/>
        <v>10</v>
      </c>
      <c r="I30" s="167">
        <f t="shared" si="1"/>
        <v>16</v>
      </c>
      <c r="J30" s="167">
        <f t="shared" si="2"/>
        <v>10</v>
      </c>
      <c r="K30" s="167">
        <f t="shared" si="3"/>
        <v>16</v>
      </c>
      <c r="L30" s="167">
        <f t="shared" si="4"/>
        <v>0</v>
      </c>
      <c r="M30" s="167">
        <f t="shared" si="5"/>
        <v>0</v>
      </c>
      <c r="N30" s="168">
        <f t="shared" si="6"/>
        <v>10</v>
      </c>
      <c r="O30" s="168">
        <f t="shared" si="7"/>
        <v>16</v>
      </c>
      <c r="P30" s="168">
        <f t="shared" si="8"/>
        <v>0</v>
      </c>
      <c r="Q30" s="169" t="str">
        <f t="shared" si="9"/>
        <v>NÃO DEF</v>
      </c>
      <c r="R30" s="170">
        <f t="shared" si="10"/>
        <v>10</v>
      </c>
      <c r="S30" s="170">
        <f t="shared" si="11"/>
        <v>16</v>
      </c>
      <c r="T30" s="171">
        <f t="shared" si="12"/>
        <v>0</v>
      </c>
      <c r="U30" s="172">
        <f t="shared" si="13"/>
        <v>0</v>
      </c>
      <c r="V30" s="173">
        <f>IF(R30=0,0,VLOOKUP(R30,FREQUENCIAS!$1:$1048576,(IF(($A30=FREQUENCIAS!$W$1),23,"ERRO")),FREQUENCIAS!$1:$1048576))</f>
        <v>1.7399999999999999E-2</v>
      </c>
      <c r="W30" s="173">
        <f>IF(S30=0,0,VLOOKUP(S30,FREQUENCIAS!$1:$1048576,(IF(($A30=FREQUENCIAS!$W$1),23,"ERRO")),FREQUENCIAS!$1:$1048576))</f>
        <v>0.32869999999999999</v>
      </c>
      <c r="X30" s="173"/>
      <c r="Y30" s="173"/>
      <c r="Z30" s="173"/>
      <c r="AA30" s="197">
        <f t="shared" si="18"/>
        <v>2</v>
      </c>
      <c r="AB30" s="197">
        <f t="shared" si="14"/>
        <v>0</v>
      </c>
      <c r="AC30" s="197">
        <f t="shared" si="15"/>
        <v>0</v>
      </c>
      <c r="AD30" s="164" t="s">
        <v>173</v>
      </c>
      <c r="AE30" s="165">
        <f t="shared" si="16"/>
        <v>1</v>
      </c>
      <c r="AF30" s="164"/>
      <c r="AG30" s="163" t="str">
        <f t="shared" si="17"/>
        <v>VERIFICAR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95" t="str">
        <f>(IF(((PRODUCT(AC9:AC30))&lt;&gt;0),PRODUCT(AB9:AB30),$AD$23))</f>
        <v>NIHIL</v>
      </c>
      <c r="AC31" s="895"/>
      <c r="AE31" s="896" t="str">
        <f>(IF(((PRODUCT(AC9:AC30))&lt;&gt;0),((1-AE9)*(1-AE10)*(1-AE11)*(1-AE12)*(1-AE13)*(1-AE14)*(1-AE15)*(1-AE16)*(1-AE17)*(1-AE18)*(1-AE19)*(1-AE20)*(1-AE21)*(1-AE22)*(1-AE23)*(1-AE24)*(1-AE25)*(1-AE26)*(1-AE27)*(1-AE28)*(1-AE29)*(1-AE30)),$AD$23))</f>
        <v>NIHIL</v>
      </c>
      <c r="AF31" s="896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7" t="str">
        <f>(IF(((PRODUCT(AC9:AC30))&lt;&gt;0),(ROUNDDOWN((AB31/(AB31+1)),11)),$AD$23))</f>
        <v>NIHIL</v>
      </c>
      <c r="AC32" s="907"/>
      <c r="AD32" s="907"/>
      <c r="AE32" s="907"/>
      <c r="AF32" s="907"/>
      <c r="AG32" s="908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7" t="str">
        <f>(IF(((PRODUCT(AC9:AC30))&lt;&gt;0),(ROUNDDOWN((1-$AE31),11)),$AD$13))</f>
        <v>TROCA POSSÍVEL</v>
      </c>
      <c r="AC33" s="897"/>
      <c r="AD33" s="897"/>
      <c r="AE33" s="897"/>
      <c r="AF33" s="897"/>
      <c r="AG33" s="898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25</v>
      </c>
      <c r="AB34" s="199">
        <f>SUM(AB9:AB30)</f>
        <v>0</v>
      </c>
      <c r="AC34" s="199">
        <f>SUM(AC9:AC30)</f>
        <v>0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DETECTADA EXCLUSÃO DE MÃE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54</v>
      </c>
      <c r="C8" s="910"/>
      <c r="D8" s="909" t="s">
        <v>131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0</v>
      </c>
      <c r="C9" s="259">
        <f>'PD0101'!G9</f>
        <v>0</v>
      </c>
      <c r="D9" s="259">
        <f>'PD0101'!D9</f>
        <v>16</v>
      </c>
      <c r="E9" s="259">
        <f>'PD0101'!E9</f>
        <v>16</v>
      </c>
      <c r="F9" s="259">
        <f>'PD0101'!B9</f>
        <v>15</v>
      </c>
      <c r="G9" s="259">
        <f>'PD0101'!C9</f>
        <v>16</v>
      </c>
      <c r="H9" s="90">
        <f t="shared" ref="H9:M24" si="0">(IF(CODE(B9)=(60),($BF9-1),(IF(CODE(B9)=(62),($BG9+1),B9))))</f>
        <v>0</v>
      </c>
      <c r="I9" s="90">
        <f t="shared" si="0"/>
        <v>0</v>
      </c>
      <c r="J9" s="90">
        <f t="shared" si="0"/>
        <v>16</v>
      </c>
      <c r="K9" s="90">
        <f t="shared" si="0"/>
        <v>16</v>
      </c>
      <c r="L9" s="90">
        <f t="shared" si="0"/>
        <v>15</v>
      </c>
      <c r="M9" s="90">
        <f t="shared" si="0"/>
        <v>16</v>
      </c>
      <c r="N9" s="91">
        <f t="shared" ref="N9:N30" si="1">IF((H9&gt;I9),I9,H9)</f>
        <v>0</v>
      </c>
      <c r="O9" s="91">
        <f t="shared" ref="O9:O30" si="2">IF((I9&gt;H9),I9,H9)</f>
        <v>0</v>
      </c>
      <c r="P9" s="91">
        <f t="shared" ref="P9:P30" si="3">IF((J9&gt;K9),K9,J9)</f>
        <v>16</v>
      </c>
      <c r="Q9" s="91">
        <f t="shared" ref="Q9:Q30" si="4">IF((K9&gt;J9),K9,J9)</f>
        <v>16</v>
      </c>
      <c r="R9" s="91">
        <f t="shared" ref="R9:R30" si="5">IF((L9&gt;M9),M9,L9)</f>
        <v>15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1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16</v>
      </c>
      <c r="Y9" s="92">
        <f>(IF((AND(($T9=0),($U9=0))),$E9,(IF(($W9&lt;&gt;$AJ$7),0,$Q9))))</f>
        <v>16</v>
      </c>
      <c r="Z9" s="95">
        <f t="shared" ref="Z9:Z30" si="9">(IF(OR((X9=R9),(X9=S9)),X9,0))</f>
        <v>16</v>
      </c>
      <c r="AA9" s="96">
        <f t="shared" ref="AA9:AA30" si="10">(IF(AND((V9=0),(Z9=0),(OR((S9=T9),(S9=U9)))),Y9,(IF((Y9&lt;&gt;0),(IF(OR((Y9=R9),(Y9=S9)),Y9,0)),0))))</f>
        <v>16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0.27030799999999999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0.54061599999999999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0.92487088802403183</v>
      </c>
      <c r="AI9" s="100">
        <f t="shared" ref="AI9:AI30" si="11">(IF((AH9=0),0,(AH9/(AH9+1))))</f>
        <v>0.48048463602327851</v>
      </c>
      <c r="AJ9" s="101"/>
      <c r="AK9" s="102">
        <f t="shared" ref="AK9:AK30" si="12">(1-AG9)^2</f>
        <v>0.211033659456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0.92487088802403183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16</v>
      </c>
      <c r="BN9" s="57">
        <f t="shared" ref="BN9:BN30" si="22">(IF((OR(($Z9=($BF9-1)),($Z9=($BG9+1)))),(CONCATENATE((BL9),(BM9))),$Z9))</f>
        <v>16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16</v>
      </c>
      <c r="BQ9" s="37">
        <f t="shared" ref="BQ9:BQ30" si="24">(IF((OR(($AA9=($BF9-1)),($AA9=($BG9+1)))),(CONCATENATE((BO9),(BP9))),$AA9))</f>
        <v>16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0</v>
      </c>
      <c r="C10" s="259">
        <f>'PD0101'!G10</f>
        <v>0</v>
      </c>
      <c r="D10" s="259">
        <f>'PD0101'!D10</f>
        <v>16</v>
      </c>
      <c r="E10" s="259">
        <f>'PD0101'!E10</f>
        <v>17</v>
      </c>
      <c r="F10" s="259">
        <f>'PD0101'!B10</f>
        <v>15</v>
      </c>
      <c r="G10" s="259">
        <f>'PD0101'!C10</f>
        <v>17</v>
      </c>
      <c r="H10" s="90">
        <f t="shared" si="0"/>
        <v>0</v>
      </c>
      <c r="I10" s="90">
        <f t="shared" si="0"/>
        <v>0</v>
      </c>
      <c r="J10" s="90">
        <f t="shared" si="0"/>
        <v>16</v>
      </c>
      <c r="K10" s="90">
        <f t="shared" si="0"/>
        <v>17</v>
      </c>
      <c r="L10" s="90">
        <f t="shared" si="0"/>
        <v>15</v>
      </c>
      <c r="M10" s="90">
        <f t="shared" si="0"/>
        <v>17</v>
      </c>
      <c r="N10" s="91">
        <f t="shared" si="1"/>
        <v>0</v>
      </c>
      <c r="O10" s="91">
        <f t="shared" si="2"/>
        <v>0</v>
      </c>
      <c r="P10" s="91">
        <f t="shared" si="3"/>
        <v>16</v>
      </c>
      <c r="Q10" s="91">
        <f t="shared" si="4"/>
        <v>17</v>
      </c>
      <c r="R10" s="91">
        <f t="shared" si="5"/>
        <v>15</v>
      </c>
      <c r="S10" s="91">
        <f t="shared" si="6"/>
        <v>17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16</v>
      </c>
      <c r="Y10" s="92">
        <f>(IF((AND((T10=0),(U10=0))),E10,(IF((W10&lt;&gt;$AJ$7),0,Q10))))</f>
        <v>17</v>
      </c>
      <c r="Z10" s="95">
        <f t="shared" si="9"/>
        <v>0</v>
      </c>
      <c r="AA10" s="96">
        <f t="shared" si="10"/>
        <v>17</v>
      </c>
      <c r="AB10" s="97">
        <f>IF(X10=0,0,VLOOKUP(X10,FREQUENCIAS!$1:$1048576,(IF(($A10=FREQUENCIAS!$C$1),3,"ERRO")),FREQUENCIAS!$1:$1048576))</f>
        <v>0.1328</v>
      </c>
      <c r="AC10" s="97">
        <f>IF(Y10=0,0,VLOOKUP(Y10,FREQUENCIAS!$1:$1048576,(IF(($A10=FREQUENCIAS!$C$1),3,"ERRO")),FREQUENCIAS!$1:$1048576))</f>
        <v>4.1500000000000002E-2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0.17430000000000001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2.8686173264486516</v>
      </c>
      <c r="AI10" s="100">
        <f t="shared" si="11"/>
        <v>0.7415097137772505</v>
      </c>
      <c r="AJ10" s="101"/>
      <c r="AK10" s="102">
        <f t="shared" si="12"/>
        <v>0.68178048999999996</v>
      </c>
      <c r="AL10" s="101"/>
      <c r="AM10" s="103" t="str">
        <f t="shared" si="13"/>
        <v>1 / 2F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2.8686173264486516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17</v>
      </c>
      <c r="BQ10" s="37">
        <f t="shared" si="24"/>
        <v>17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0</v>
      </c>
      <c r="C11" s="259">
        <f>'PD0101'!G11</f>
        <v>0</v>
      </c>
      <c r="D11" s="259">
        <f>'PD0101'!D11</f>
        <v>10</v>
      </c>
      <c r="E11" s="259">
        <f>'PD0101'!E11</f>
        <v>12</v>
      </c>
      <c r="F11" s="259">
        <f>'PD0101'!B11</f>
        <v>10</v>
      </c>
      <c r="G11" s="259">
        <f>'PD0101'!C11</f>
        <v>10</v>
      </c>
      <c r="H11" s="90">
        <f t="shared" si="0"/>
        <v>0</v>
      </c>
      <c r="I11" s="90">
        <f t="shared" si="0"/>
        <v>0</v>
      </c>
      <c r="J11" s="90">
        <f t="shared" si="0"/>
        <v>10</v>
      </c>
      <c r="K11" s="90">
        <f t="shared" si="0"/>
        <v>12</v>
      </c>
      <c r="L11" s="90">
        <f t="shared" si="0"/>
        <v>10</v>
      </c>
      <c r="M11" s="90">
        <f t="shared" si="0"/>
        <v>10</v>
      </c>
      <c r="N11" s="91">
        <f t="shared" si="1"/>
        <v>0</v>
      </c>
      <c r="O11" s="91">
        <f t="shared" si="2"/>
        <v>0</v>
      </c>
      <c r="P11" s="91">
        <f t="shared" si="3"/>
        <v>10</v>
      </c>
      <c r="Q11" s="91">
        <f t="shared" si="4"/>
        <v>12</v>
      </c>
      <c r="R11" s="91">
        <f t="shared" si="5"/>
        <v>10</v>
      </c>
      <c r="S11" s="91">
        <f t="shared" si="6"/>
        <v>10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1</v>
      </c>
      <c r="W11" s="94">
        <f t="shared" si="25"/>
        <v>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12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7.3099999999999998E-2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0.3342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2.9922202274087373</v>
      </c>
      <c r="AI11" s="100">
        <f t="shared" si="11"/>
        <v>0.74951281666916503</v>
      </c>
      <c r="AJ11" s="101"/>
      <c r="AK11" s="102">
        <f t="shared" si="12"/>
        <v>0.44328963999999993</v>
      </c>
      <c r="AL11" s="101"/>
      <c r="AM11" s="103" t="str">
        <f t="shared" si="13"/>
        <v>1 / F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2.9922202274087373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0</v>
      </c>
      <c r="C12" s="261">
        <f>'PD0101'!G12</f>
        <v>0</v>
      </c>
      <c r="D12" s="261">
        <f>'PD0101'!D12</f>
        <v>13</v>
      </c>
      <c r="E12" s="261">
        <f>'PD0101'!E12</f>
        <v>13</v>
      </c>
      <c r="F12" s="261">
        <f>'PD0101'!B12</f>
        <v>13</v>
      </c>
      <c r="G12" s="261">
        <f>'PD0101'!C12</f>
        <v>16</v>
      </c>
      <c r="H12" s="112">
        <f t="shared" si="0"/>
        <v>0</v>
      </c>
      <c r="I12" s="112">
        <f t="shared" si="0"/>
        <v>0</v>
      </c>
      <c r="J12" s="112">
        <f t="shared" si="0"/>
        <v>13</v>
      </c>
      <c r="K12" s="112">
        <f t="shared" si="0"/>
        <v>13</v>
      </c>
      <c r="L12" s="112">
        <f t="shared" si="0"/>
        <v>13</v>
      </c>
      <c r="M12" s="112">
        <f t="shared" si="0"/>
        <v>16</v>
      </c>
      <c r="N12" s="113">
        <f t="shared" si="1"/>
        <v>0</v>
      </c>
      <c r="O12" s="113">
        <f t="shared" si="2"/>
        <v>0</v>
      </c>
      <c r="P12" s="113">
        <f t="shared" si="3"/>
        <v>13</v>
      </c>
      <c r="Q12" s="113">
        <f t="shared" si="4"/>
        <v>13</v>
      </c>
      <c r="R12" s="113">
        <f t="shared" si="5"/>
        <v>13</v>
      </c>
      <c r="S12" s="113">
        <f t="shared" si="6"/>
        <v>16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0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13</v>
      </c>
      <c r="Z12" s="117">
        <f t="shared" si="9"/>
        <v>13</v>
      </c>
      <c r="AA12" s="118">
        <f t="shared" si="10"/>
        <v>13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0.27010000000000001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0.54020000000000001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0.92558311736393928</v>
      </c>
      <c r="AI12" s="122">
        <f t="shared" si="11"/>
        <v>0.4806767929244376</v>
      </c>
      <c r="AJ12" s="123" t="s">
        <v>140</v>
      </c>
      <c r="AK12" s="124">
        <f t="shared" si="12"/>
        <v>0.21141604</v>
      </c>
      <c r="AL12" s="123"/>
      <c r="AM12" s="125" t="str">
        <f t="shared" si="13"/>
        <v>1 / 2F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0.92558311736393928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13</v>
      </c>
      <c r="BN12" s="114">
        <f t="shared" si="22"/>
        <v>13</v>
      </c>
      <c r="BO12" s="114" t="str">
        <f t="shared" si="28"/>
        <v/>
      </c>
      <c r="BP12" s="114">
        <f t="shared" si="23"/>
        <v>13</v>
      </c>
      <c r="BQ12" s="114">
        <f t="shared" si="24"/>
        <v>13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0</v>
      </c>
      <c r="C13" s="259">
        <f>'PD0101'!G13</f>
        <v>0</v>
      </c>
      <c r="D13" s="259">
        <f>'PD0101'!D13</f>
        <v>12</v>
      </c>
      <c r="E13" s="259">
        <f>'PD0101'!E13</f>
        <v>12</v>
      </c>
      <c r="F13" s="259">
        <f>'PD0101'!B13</f>
        <v>11</v>
      </c>
      <c r="G13" s="259">
        <f>'PD0101'!C13</f>
        <v>12</v>
      </c>
      <c r="H13" s="90">
        <f t="shared" si="0"/>
        <v>0</v>
      </c>
      <c r="I13" s="90">
        <f t="shared" si="0"/>
        <v>0</v>
      </c>
      <c r="J13" s="90">
        <f t="shared" si="0"/>
        <v>12</v>
      </c>
      <c r="K13" s="90">
        <f t="shared" si="0"/>
        <v>12</v>
      </c>
      <c r="L13" s="90">
        <f t="shared" si="0"/>
        <v>11</v>
      </c>
      <c r="M13" s="90">
        <f t="shared" si="0"/>
        <v>12</v>
      </c>
      <c r="N13" s="91">
        <f t="shared" si="1"/>
        <v>0</v>
      </c>
      <c r="O13" s="91">
        <f t="shared" si="2"/>
        <v>0</v>
      </c>
      <c r="P13" s="91">
        <f t="shared" si="3"/>
        <v>12</v>
      </c>
      <c r="Q13" s="91">
        <f t="shared" si="4"/>
        <v>12</v>
      </c>
      <c r="R13" s="91">
        <f t="shared" si="5"/>
        <v>11</v>
      </c>
      <c r="S13" s="91">
        <f t="shared" si="6"/>
        <v>12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12</v>
      </c>
      <c r="Y13" s="92">
        <f t="shared" ref="Y13:Y23" si="31">(IF((AND((T13=0),(U13=0))),E13,(IF((W13&lt;&gt;$AJ$7),0,Q13))))</f>
        <v>12</v>
      </c>
      <c r="Z13" s="95">
        <f t="shared" si="9"/>
        <v>12</v>
      </c>
      <c r="AA13" s="96">
        <f t="shared" si="10"/>
        <v>12</v>
      </c>
      <c r="AB13" s="97">
        <f>IF(X13=0,0,VLOOKUP(X13,FREQUENCIAS!$1:$1048576,(IF(($A13=FREQUENCIAS!$F$1),6,"ERRO")),FREQUENCIAS!$1:$1048576))</f>
        <v>0.29337999999999997</v>
      </c>
      <c r="AC13" s="97">
        <f>IF(Y13=0,0,VLOOKUP(Y13,FREQUENCIAS!$1:$1048576,(IF(($A13=FREQUENCIAS!$F$1),6,"ERRO")),FREQUENCIAS!$1:$1048576))</f>
        <v>0.29337999999999997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0.58675999999999995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0.85213715999727324</v>
      </c>
      <c r="AI13" s="100">
        <f t="shared" si="11"/>
        <v>0.46008318303949358</v>
      </c>
      <c r="AJ13" s="101" t="s">
        <v>163</v>
      </c>
      <c r="AK13" s="262">
        <f t="shared" si="12"/>
        <v>0.17076729760000003</v>
      </c>
      <c r="AL13" s="101"/>
      <c r="AM13" s="103" t="str">
        <f t="shared" si="13"/>
        <v>1 / 2F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0.85213715999727324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12</v>
      </c>
      <c r="BN13" s="57">
        <f t="shared" si="22"/>
        <v>12</v>
      </c>
      <c r="BO13" s="37" t="str">
        <f t="shared" si="28"/>
        <v/>
      </c>
      <c r="BP13" s="37">
        <f t="shared" si="23"/>
        <v>12</v>
      </c>
      <c r="BQ13" s="37">
        <f t="shared" si="24"/>
        <v>12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0</v>
      </c>
      <c r="C14" s="259">
        <f>'PD0101'!G14</f>
        <v>0</v>
      </c>
      <c r="D14" s="259">
        <f>'PD0101'!D14</f>
        <v>8</v>
      </c>
      <c r="E14" s="259">
        <f>'PD0101'!E14</f>
        <v>13</v>
      </c>
      <c r="F14" s="259">
        <f>'PD0101'!B14</f>
        <v>12</v>
      </c>
      <c r="G14" s="259">
        <f>'PD0101'!C14</f>
        <v>13</v>
      </c>
      <c r="H14" s="90">
        <f t="shared" si="0"/>
        <v>0</v>
      </c>
      <c r="I14" s="90">
        <f t="shared" si="0"/>
        <v>0</v>
      </c>
      <c r="J14" s="90">
        <f t="shared" si="0"/>
        <v>8</v>
      </c>
      <c r="K14" s="90">
        <f t="shared" si="0"/>
        <v>13</v>
      </c>
      <c r="L14" s="90">
        <f t="shared" si="0"/>
        <v>12</v>
      </c>
      <c r="M14" s="90">
        <f t="shared" si="0"/>
        <v>13</v>
      </c>
      <c r="N14" s="91">
        <f t="shared" si="1"/>
        <v>0</v>
      </c>
      <c r="O14" s="91">
        <f t="shared" si="2"/>
        <v>0</v>
      </c>
      <c r="P14" s="91">
        <f t="shared" si="3"/>
        <v>8</v>
      </c>
      <c r="Q14" s="91">
        <f t="shared" si="4"/>
        <v>13</v>
      </c>
      <c r="R14" s="91">
        <f t="shared" si="5"/>
        <v>12</v>
      </c>
      <c r="S14" s="91">
        <f t="shared" si="6"/>
        <v>13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0</v>
      </c>
      <c r="X14" s="116">
        <f t="shared" si="30"/>
        <v>8</v>
      </c>
      <c r="Y14" s="92">
        <f t="shared" si="31"/>
        <v>13</v>
      </c>
      <c r="Z14" s="95">
        <f t="shared" si="9"/>
        <v>0</v>
      </c>
      <c r="AA14" s="96">
        <f t="shared" si="10"/>
        <v>13</v>
      </c>
      <c r="AB14" s="97" t="e">
        <f>IF(X14=0,0,VLOOKUP(X14,FREQUENCIAS!$1:$1048576,(IF(($A14=FREQUENCIAS!$G$1),7,"ERRO")),FREQUENCIAS!$1:$1048576))</f>
        <v>#VALUE!</v>
      </c>
      <c r="AC14" s="97" t="e">
        <f>IF(Y14=0,0,VLOOKUP(Y14,FREQUENCIAS!$1:$1048576,(IF(($A14=FREQUENCIAS!$G$1),7,"ERRO")),FREQUENCIAS!$1:$1048576))</f>
        <v>#VALUE!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13</v>
      </c>
      <c r="BQ14" s="37">
        <f t="shared" si="24"/>
        <v>13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0</v>
      </c>
      <c r="C15" s="259">
        <f>'PD0101'!G15</f>
        <v>0</v>
      </c>
      <c r="D15" s="259">
        <f>'PD0101'!D15</f>
        <v>9</v>
      </c>
      <c r="E15" s="259">
        <f>'PD0101'!E15</f>
        <v>11</v>
      </c>
      <c r="F15" s="259">
        <f>'PD0101'!B15</f>
        <v>9</v>
      </c>
      <c r="G15" s="259">
        <f>'PD0101'!C15</f>
        <v>11</v>
      </c>
      <c r="H15" s="90">
        <f t="shared" si="0"/>
        <v>0</v>
      </c>
      <c r="I15" s="90">
        <f t="shared" si="0"/>
        <v>0</v>
      </c>
      <c r="J15" s="90">
        <f t="shared" si="0"/>
        <v>9</v>
      </c>
      <c r="K15" s="90">
        <f t="shared" si="0"/>
        <v>11</v>
      </c>
      <c r="L15" s="90">
        <f t="shared" si="0"/>
        <v>9</v>
      </c>
      <c r="M15" s="90">
        <f t="shared" si="0"/>
        <v>11</v>
      </c>
      <c r="N15" s="91">
        <f t="shared" si="1"/>
        <v>0</v>
      </c>
      <c r="O15" s="91">
        <f t="shared" si="2"/>
        <v>0</v>
      </c>
      <c r="P15" s="91">
        <f t="shared" si="3"/>
        <v>9</v>
      </c>
      <c r="Q15" s="91">
        <f t="shared" si="4"/>
        <v>11</v>
      </c>
      <c r="R15" s="91">
        <f t="shared" si="5"/>
        <v>9</v>
      </c>
      <c r="S15" s="91">
        <f t="shared" si="6"/>
        <v>11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0</v>
      </c>
      <c r="X15" s="116">
        <f t="shared" si="30"/>
        <v>9</v>
      </c>
      <c r="Y15" s="92">
        <f t="shared" si="31"/>
        <v>11</v>
      </c>
      <c r="Z15" s="95">
        <f t="shared" si="9"/>
        <v>9</v>
      </c>
      <c r="AA15" s="96">
        <f t="shared" si="10"/>
        <v>11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0.28868100000000002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0.44897900000000002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1.1136378316135052</v>
      </c>
      <c r="AI15" s="100">
        <f t="shared" si="11"/>
        <v>0.52688204902321334</v>
      </c>
      <c r="AJ15" s="101"/>
      <c r="AK15" s="102">
        <f t="shared" si="12"/>
        <v>0.303624142441</v>
      </c>
      <c r="AL15" s="101"/>
      <c r="AM15" s="103" t="str">
        <f t="shared" si="13"/>
        <v>1 / 2F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1.1136378316135052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9</v>
      </c>
      <c r="BN15" s="57">
        <f t="shared" si="22"/>
        <v>9</v>
      </c>
      <c r="BO15" s="37" t="str">
        <f t="shared" si="28"/>
        <v/>
      </c>
      <c r="BP15" s="37">
        <f t="shared" si="23"/>
        <v>11</v>
      </c>
      <c r="BQ15" s="37">
        <f t="shared" si="24"/>
        <v>11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0</v>
      </c>
      <c r="C16" s="259">
        <f>'PD0101'!G16</f>
        <v>0</v>
      </c>
      <c r="D16" s="259">
        <f>'PD0101'!D16</f>
        <v>14</v>
      </c>
      <c r="E16" s="259">
        <f>'PD0101'!E16</f>
        <v>18</v>
      </c>
      <c r="F16" s="259">
        <f>'PD0101'!B16</f>
        <v>14</v>
      </c>
      <c r="G16" s="259">
        <f>'PD0101'!C16</f>
        <v>15</v>
      </c>
      <c r="H16" s="90">
        <f t="shared" si="0"/>
        <v>0</v>
      </c>
      <c r="I16" s="90">
        <f t="shared" si="0"/>
        <v>0</v>
      </c>
      <c r="J16" s="90">
        <f t="shared" si="0"/>
        <v>14</v>
      </c>
      <c r="K16" s="90">
        <f t="shared" si="0"/>
        <v>18</v>
      </c>
      <c r="L16" s="90">
        <f t="shared" si="0"/>
        <v>14</v>
      </c>
      <c r="M16" s="90">
        <f t="shared" si="0"/>
        <v>15</v>
      </c>
      <c r="N16" s="91">
        <f t="shared" si="1"/>
        <v>0</v>
      </c>
      <c r="O16" s="91">
        <f t="shared" si="2"/>
        <v>0</v>
      </c>
      <c r="P16" s="91">
        <f t="shared" si="3"/>
        <v>14</v>
      </c>
      <c r="Q16" s="91">
        <f t="shared" si="4"/>
        <v>18</v>
      </c>
      <c r="R16" s="91">
        <f t="shared" si="5"/>
        <v>14</v>
      </c>
      <c r="S16" s="91">
        <f t="shared" si="6"/>
        <v>15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0</v>
      </c>
      <c r="X16" s="116">
        <f t="shared" si="30"/>
        <v>14</v>
      </c>
      <c r="Y16" s="92">
        <f t="shared" si="31"/>
        <v>18</v>
      </c>
      <c r="Z16" s="95">
        <f t="shared" si="9"/>
        <v>14</v>
      </c>
      <c r="AA16" s="96">
        <f t="shared" si="10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7.7560000000000004E-2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0.22478199999999998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2.2243773967666454</v>
      </c>
      <c r="AI16" s="100">
        <f t="shared" si="11"/>
        <v>0.68986260696319723</v>
      </c>
      <c r="AJ16" s="101"/>
      <c r="AK16" s="102">
        <f t="shared" si="12"/>
        <v>0.60096294752399992</v>
      </c>
      <c r="AL16" s="101"/>
      <c r="AM16" s="103" t="str">
        <f t="shared" si="13"/>
        <v>1 / 2F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2.2243773967666454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14</v>
      </c>
      <c r="BN16" s="57">
        <f t="shared" si="22"/>
        <v>14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0</v>
      </c>
      <c r="C17" s="259">
        <f>'PD0101'!G17</f>
        <v>0</v>
      </c>
      <c r="D17" s="259">
        <f>'PD0101'!D17</f>
        <v>16</v>
      </c>
      <c r="E17" s="259">
        <f>'PD0101'!E17</f>
        <v>24</v>
      </c>
      <c r="F17" s="259">
        <f>'PD0101'!B17</f>
        <v>21</v>
      </c>
      <c r="G17" s="259">
        <f>'PD0101'!C17</f>
        <v>24</v>
      </c>
      <c r="H17" s="90">
        <f t="shared" si="0"/>
        <v>0</v>
      </c>
      <c r="I17" s="90">
        <f t="shared" si="0"/>
        <v>0</v>
      </c>
      <c r="J17" s="90">
        <f t="shared" si="0"/>
        <v>16</v>
      </c>
      <c r="K17" s="90">
        <f t="shared" si="0"/>
        <v>24</v>
      </c>
      <c r="L17" s="90">
        <f t="shared" si="0"/>
        <v>21</v>
      </c>
      <c r="M17" s="90">
        <f t="shared" si="0"/>
        <v>24</v>
      </c>
      <c r="N17" s="91">
        <f t="shared" si="1"/>
        <v>0</v>
      </c>
      <c r="O17" s="91">
        <f t="shared" si="2"/>
        <v>0</v>
      </c>
      <c r="P17" s="91">
        <f t="shared" si="3"/>
        <v>16</v>
      </c>
      <c r="Q17" s="91">
        <f t="shared" si="4"/>
        <v>24</v>
      </c>
      <c r="R17" s="91">
        <f t="shared" si="5"/>
        <v>21</v>
      </c>
      <c r="S17" s="91">
        <f t="shared" si="6"/>
        <v>24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1</v>
      </c>
      <c r="W17" s="94">
        <f t="shared" si="25"/>
        <v>0</v>
      </c>
      <c r="X17" s="116">
        <f t="shared" si="30"/>
        <v>16</v>
      </c>
      <c r="Y17" s="92">
        <f t="shared" si="31"/>
        <v>24</v>
      </c>
      <c r="Z17" s="95">
        <f t="shared" si="9"/>
        <v>0</v>
      </c>
      <c r="AA17" s="96">
        <f t="shared" si="10"/>
        <v>24</v>
      </c>
      <c r="AB17" s="97">
        <f>IF(X17=0,0,VLOOKUP(X17,FREQUENCIAS!$1:$1048576,(IF(($A17=FREQUENCIAS!$J$1),10,"ERRO")),FREQUENCIAS!$1:$1048576))</f>
        <v>4.4999999999999998E-2</v>
      </c>
      <c r="AC17" s="97">
        <f>IF(Y17=0,0,VLOOKUP(Y17,FREQUENCIAS!$1:$1048576,(IF(($A17=FREQUENCIAS!$J$1),10,"ERRO")),FREQUENCIAS!$1:$1048576))</f>
        <v>7.5800000000000006E-2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0.1208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4.1390728476821188</v>
      </c>
      <c r="AI17" s="100">
        <f t="shared" si="11"/>
        <v>0.80541237113402064</v>
      </c>
      <c r="AJ17" s="101" t="s">
        <v>173</v>
      </c>
      <c r="AK17" s="102">
        <f t="shared" si="12"/>
        <v>0.77299264000000001</v>
      </c>
      <c r="AL17" s="101"/>
      <c r="AM17" s="103" t="str">
        <f t="shared" si="13"/>
        <v>1 / 2F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4.1390728476821188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24</v>
      </c>
      <c r="BQ17" s="37">
        <f t="shared" si="24"/>
        <v>24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0</v>
      </c>
      <c r="C18" s="259">
        <f>'PD0101'!G18</f>
        <v>0</v>
      </c>
      <c r="D18" s="259">
        <f>'PD0101'!D18</f>
        <v>10</v>
      </c>
      <c r="E18" s="259">
        <f>'PD0101'!E18</f>
        <v>13</v>
      </c>
      <c r="F18" s="259">
        <f>'PD0101'!B18</f>
        <v>12</v>
      </c>
      <c r="G18" s="259">
        <f>'PD0101'!C18</f>
        <v>13</v>
      </c>
      <c r="H18" s="90">
        <f t="shared" si="0"/>
        <v>0</v>
      </c>
      <c r="I18" s="90">
        <f t="shared" si="0"/>
        <v>0</v>
      </c>
      <c r="J18" s="90">
        <f t="shared" si="0"/>
        <v>10</v>
      </c>
      <c r="K18" s="90">
        <f t="shared" si="0"/>
        <v>13</v>
      </c>
      <c r="L18" s="90">
        <f t="shared" si="0"/>
        <v>12</v>
      </c>
      <c r="M18" s="90">
        <f t="shared" si="0"/>
        <v>13</v>
      </c>
      <c r="N18" s="91">
        <f t="shared" si="1"/>
        <v>0</v>
      </c>
      <c r="O18" s="91">
        <f t="shared" si="2"/>
        <v>0</v>
      </c>
      <c r="P18" s="91">
        <f t="shared" si="3"/>
        <v>10</v>
      </c>
      <c r="Q18" s="91">
        <f t="shared" si="4"/>
        <v>13</v>
      </c>
      <c r="R18" s="91">
        <f t="shared" si="5"/>
        <v>12</v>
      </c>
      <c r="S18" s="91">
        <f t="shared" si="6"/>
        <v>13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1</v>
      </c>
      <c r="W18" s="94">
        <f t="shared" si="25"/>
        <v>0</v>
      </c>
      <c r="X18" s="116">
        <f t="shared" si="30"/>
        <v>10</v>
      </c>
      <c r="Y18" s="92">
        <f t="shared" si="31"/>
        <v>13</v>
      </c>
      <c r="Z18" s="95">
        <f t="shared" si="9"/>
        <v>0</v>
      </c>
      <c r="AA18" s="96">
        <f t="shared" si="10"/>
        <v>13</v>
      </c>
      <c r="AB18" s="97">
        <f>IF(X18=0,0,VLOOKUP(X18,FREQUENCIAS!$1:$1048576,(IF(($A18=FREQUENCIAS!$K$1),11,"ERRO")),FREQUENCIAS!$1:$1048576))</f>
        <v>0.262376</v>
      </c>
      <c r="AC18" s="97">
        <f>IF(Y18=0,0,VLOOKUP(Y18,FREQUENCIAS!$1:$1048576,(IF(($A18=FREQUENCIAS!$K$1),11,"ERRO")),FREQUENCIAS!$1:$1048576))</f>
        <v>6.3686000000000006E-2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0.32606200000000002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1.5334506934264034</v>
      </c>
      <c r="AI18" s="100">
        <f t="shared" si="11"/>
        <v>0.60528144376572213</v>
      </c>
      <c r="AJ18" s="101"/>
      <c r="AK18" s="102">
        <f t="shared" si="12"/>
        <v>0.45419242784399988</v>
      </c>
      <c r="AL18" s="101"/>
      <c r="AM18" s="103" t="str">
        <f t="shared" si="13"/>
        <v>1 / 2F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1.5334506934264034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13</v>
      </c>
      <c r="BQ18" s="37">
        <f t="shared" si="24"/>
        <v>13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0</v>
      </c>
      <c r="C19" s="259">
        <f>'PD0101'!G19</f>
        <v>0</v>
      </c>
      <c r="D19" s="259">
        <f>'PD0101'!D19</f>
        <v>12</v>
      </c>
      <c r="E19" s="259">
        <f>'PD0101'!E19</f>
        <v>12</v>
      </c>
      <c r="F19" s="259">
        <f>'PD0101'!B19</f>
        <v>9</v>
      </c>
      <c r="G19" s="259">
        <f>'PD0101'!C19</f>
        <v>12</v>
      </c>
      <c r="H19" s="90">
        <f t="shared" si="0"/>
        <v>0</v>
      </c>
      <c r="I19" s="90">
        <f t="shared" si="0"/>
        <v>0</v>
      </c>
      <c r="J19" s="90">
        <f t="shared" si="0"/>
        <v>12</v>
      </c>
      <c r="K19" s="90">
        <f t="shared" si="0"/>
        <v>12</v>
      </c>
      <c r="L19" s="90">
        <f t="shared" si="0"/>
        <v>9</v>
      </c>
      <c r="M19" s="90">
        <f t="shared" si="0"/>
        <v>12</v>
      </c>
      <c r="N19" s="91">
        <f t="shared" si="1"/>
        <v>0</v>
      </c>
      <c r="O19" s="91">
        <f t="shared" si="2"/>
        <v>0</v>
      </c>
      <c r="P19" s="91">
        <f t="shared" si="3"/>
        <v>12</v>
      </c>
      <c r="Q19" s="91">
        <f t="shared" si="4"/>
        <v>12</v>
      </c>
      <c r="R19" s="91">
        <f t="shared" si="5"/>
        <v>9</v>
      </c>
      <c r="S19" s="91">
        <f t="shared" si="6"/>
        <v>12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0</v>
      </c>
      <c r="X19" s="116">
        <f t="shared" si="30"/>
        <v>12</v>
      </c>
      <c r="Y19" s="92">
        <f t="shared" si="31"/>
        <v>12</v>
      </c>
      <c r="Z19" s="95">
        <f t="shared" si="9"/>
        <v>12</v>
      </c>
      <c r="AA19" s="96">
        <f t="shared" si="10"/>
        <v>12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12</v>
      </c>
      <c r="BN19" s="57">
        <f t="shared" si="22"/>
        <v>12</v>
      </c>
      <c r="BO19" s="37" t="str">
        <f t="shared" si="28"/>
        <v/>
      </c>
      <c r="BP19" s="37">
        <f t="shared" si="23"/>
        <v>12</v>
      </c>
      <c r="BQ19" s="37">
        <f t="shared" si="24"/>
        <v>12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0</v>
      </c>
      <c r="C20" s="259">
        <f>'PD0101'!G20</f>
        <v>0</v>
      </c>
      <c r="D20" s="259">
        <f>'PD0101'!D20</f>
        <v>9</v>
      </c>
      <c r="E20" s="259">
        <f>'PD0101'!E20</f>
        <v>9</v>
      </c>
      <c r="F20" s="259">
        <f>'PD0101'!B20</f>
        <v>9</v>
      </c>
      <c r="G20" s="259">
        <f>'PD0101'!C20</f>
        <v>9</v>
      </c>
      <c r="H20" s="90">
        <f t="shared" si="0"/>
        <v>0</v>
      </c>
      <c r="I20" s="90">
        <f t="shared" si="0"/>
        <v>0</v>
      </c>
      <c r="J20" s="90">
        <f t="shared" si="0"/>
        <v>9</v>
      </c>
      <c r="K20" s="90">
        <f t="shared" si="0"/>
        <v>9</v>
      </c>
      <c r="L20" s="90">
        <f t="shared" si="0"/>
        <v>9</v>
      </c>
      <c r="M20" s="90">
        <f t="shared" si="0"/>
        <v>9</v>
      </c>
      <c r="N20" s="91">
        <f t="shared" si="1"/>
        <v>0</v>
      </c>
      <c r="O20" s="91">
        <f t="shared" si="2"/>
        <v>0</v>
      </c>
      <c r="P20" s="91">
        <f t="shared" si="3"/>
        <v>9</v>
      </c>
      <c r="Q20" s="91">
        <f t="shared" si="4"/>
        <v>9</v>
      </c>
      <c r="R20" s="91">
        <f t="shared" si="5"/>
        <v>9</v>
      </c>
      <c r="S20" s="91">
        <f t="shared" si="6"/>
        <v>9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1</v>
      </c>
      <c r="W20" s="94">
        <f t="shared" si="25"/>
        <v>0</v>
      </c>
      <c r="X20" s="116">
        <f t="shared" si="30"/>
        <v>9</v>
      </c>
      <c r="Y20" s="92">
        <f t="shared" si="31"/>
        <v>9</v>
      </c>
      <c r="Z20" s="95">
        <f t="shared" si="9"/>
        <v>9</v>
      </c>
      <c r="AA20" s="96">
        <f t="shared" si="10"/>
        <v>9</v>
      </c>
      <c r="AB20" s="97">
        <f>IF(X20=0,0,VLOOKUP(X20,FREQUENCIAS!$1:$1048576,(IF(($A20=FREQUENCIAS!$M$1),13,"ERRO")),FREQUENCIAS!$1:$1048576))</f>
        <v>0.16256300000000001</v>
      </c>
      <c r="AC20" s="97">
        <f>IF(Y20=0,0,VLOOKUP(Y20,FREQUENCIAS!$1:$1048576,(IF(($A20=FREQUENCIAS!$M$1),13,"ERRO")),FREQUENCIAS!$1:$1048576))</f>
        <v>0.16256300000000001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0.32512600000000003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3.0757306398134876</v>
      </c>
      <c r="AI20" s="100">
        <f t="shared" si="11"/>
        <v>0.75464521864335921</v>
      </c>
      <c r="AJ20" s="101"/>
      <c r="AK20" s="102">
        <f t="shared" si="12"/>
        <v>0.45545491587599995</v>
      </c>
      <c r="AL20" s="101"/>
      <c r="AM20" s="103" t="str">
        <f t="shared" si="13"/>
        <v>1 / F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3.0757306398134876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9</v>
      </c>
      <c r="BN20" s="57">
        <f t="shared" si="22"/>
        <v>9</v>
      </c>
      <c r="BO20" s="37" t="str">
        <f t="shared" si="28"/>
        <v/>
      </c>
      <c r="BP20" s="37">
        <f t="shared" si="23"/>
        <v>9</v>
      </c>
      <c r="BQ20" s="37">
        <f t="shared" si="24"/>
        <v>9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0</v>
      </c>
      <c r="C21" s="259">
        <f>'PD0101'!G21</f>
        <v>0</v>
      </c>
      <c r="D21" s="259">
        <f>'PD0101'!D21</f>
        <v>15</v>
      </c>
      <c r="E21" s="259">
        <f>'PD0101'!E21</f>
        <v>15</v>
      </c>
      <c r="F21" s="259">
        <f>'PD0101'!B21</f>
        <v>15</v>
      </c>
      <c r="G21" s="259">
        <f>'PD0101'!C21</f>
        <v>16</v>
      </c>
      <c r="H21" s="90">
        <f t="shared" si="0"/>
        <v>0</v>
      </c>
      <c r="I21" s="90">
        <f t="shared" si="0"/>
        <v>0</v>
      </c>
      <c r="J21" s="90">
        <f t="shared" si="0"/>
        <v>15</v>
      </c>
      <c r="K21" s="90">
        <f t="shared" si="0"/>
        <v>15</v>
      </c>
      <c r="L21" s="90">
        <f t="shared" si="0"/>
        <v>15</v>
      </c>
      <c r="M21" s="90">
        <f t="shared" si="0"/>
        <v>16</v>
      </c>
      <c r="N21" s="91">
        <f t="shared" si="1"/>
        <v>0</v>
      </c>
      <c r="O21" s="91">
        <f t="shared" si="2"/>
        <v>0</v>
      </c>
      <c r="P21" s="91">
        <f t="shared" si="3"/>
        <v>15</v>
      </c>
      <c r="Q21" s="91">
        <f t="shared" si="4"/>
        <v>15</v>
      </c>
      <c r="R21" s="91">
        <f t="shared" si="5"/>
        <v>15</v>
      </c>
      <c r="S21" s="91">
        <f t="shared" si="6"/>
        <v>16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0</v>
      </c>
      <c r="X21" s="116">
        <f t="shared" si="30"/>
        <v>15</v>
      </c>
      <c r="Y21" s="92">
        <f t="shared" si="31"/>
        <v>15</v>
      </c>
      <c r="Z21" s="95">
        <f t="shared" si="9"/>
        <v>15</v>
      </c>
      <c r="AA21" s="96">
        <f t="shared" si="10"/>
        <v>15</v>
      </c>
      <c r="AB21" s="97">
        <f>IF(X21=0,0,VLOOKUP(X21,FREQUENCIAS!$1:$1048576,(IF(($A21=FREQUENCIAS!$N$1),14,"ERRO")),FREQUENCIAS!$1:$1048576))</f>
        <v>0.13799400000000001</v>
      </c>
      <c r="AC21" s="97">
        <f>IF(Y21=0,0,VLOOKUP(Y21,FREQUENCIAS!$1:$1048576,(IF(($A21=FREQUENCIAS!$N$1),14,"ERRO")),FREQUENCIAS!$1:$1048576))</f>
        <v>0.13799400000000001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0.27598800000000001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1.8116729712886066</v>
      </c>
      <c r="AI21" s="100">
        <f t="shared" si="11"/>
        <v>0.6443398609256844</v>
      </c>
      <c r="AJ21" s="101"/>
      <c r="AK21" s="102">
        <f t="shared" si="12"/>
        <v>0.52419337614399997</v>
      </c>
      <c r="AL21" s="101"/>
      <c r="AM21" s="103" t="str">
        <f t="shared" si="13"/>
        <v>1 / 2F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1.8116729712886066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15</v>
      </c>
      <c r="BN21" s="57">
        <f t="shared" si="22"/>
        <v>15</v>
      </c>
      <c r="BO21" s="37" t="str">
        <f t="shared" si="28"/>
        <v/>
      </c>
      <c r="BP21" s="37">
        <f t="shared" si="23"/>
        <v>15</v>
      </c>
      <c r="BQ21" s="37">
        <f t="shared" si="24"/>
        <v>15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0</v>
      </c>
      <c r="C22" s="259">
        <f>'PD0101'!G22</f>
        <v>0</v>
      </c>
      <c r="D22" s="259">
        <f>'PD0101'!D22</f>
        <v>29</v>
      </c>
      <c r="E22" s="259">
        <f>'PD0101'!E22</f>
        <v>30</v>
      </c>
      <c r="F22" s="259">
        <f>'PD0101'!B22</f>
        <v>30</v>
      </c>
      <c r="G22" s="259">
        <f>'PD0101'!C22</f>
        <v>35</v>
      </c>
      <c r="H22" s="90">
        <f t="shared" si="0"/>
        <v>0</v>
      </c>
      <c r="I22" s="90">
        <f t="shared" si="0"/>
        <v>0</v>
      </c>
      <c r="J22" s="90">
        <f t="shared" si="0"/>
        <v>29</v>
      </c>
      <c r="K22" s="90">
        <f t="shared" si="0"/>
        <v>30</v>
      </c>
      <c r="L22" s="90">
        <f t="shared" si="0"/>
        <v>30</v>
      </c>
      <c r="M22" s="90">
        <f t="shared" si="0"/>
        <v>35</v>
      </c>
      <c r="N22" s="91">
        <f t="shared" si="1"/>
        <v>0</v>
      </c>
      <c r="O22" s="91">
        <f t="shared" si="2"/>
        <v>0</v>
      </c>
      <c r="P22" s="91">
        <f t="shared" si="3"/>
        <v>29</v>
      </c>
      <c r="Q22" s="91">
        <f t="shared" si="4"/>
        <v>30</v>
      </c>
      <c r="R22" s="91">
        <f t="shared" si="5"/>
        <v>30</v>
      </c>
      <c r="S22" s="91">
        <f t="shared" si="6"/>
        <v>35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0</v>
      </c>
      <c r="X22" s="116">
        <f t="shared" si="30"/>
        <v>29</v>
      </c>
      <c r="Y22" s="92">
        <f t="shared" si="31"/>
        <v>30</v>
      </c>
      <c r="Z22" s="95">
        <f t="shared" si="9"/>
        <v>0</v>
      </c>
      <c r="AA22" s="96">
        <f t="shared" si="10"/>
        <v>30</v>
      </c>
      <c r="AB22" s="97">
        <f>IF(X22=0,0,VLOOKUP(X22,FREQUENCIAS!$1:$1048576,(IF(($A22=FREQUENCIAS!$O$1),15,"ERRO")),FREQUENCIAS!$1:$1048576))</f>
        <v>0.20807800000000001</v>
      </c>
      <c r="AC22" s="97">
        <f>IF(Y22=0,0,VLOOKUP(Y22,FREQUENCIAS!$1:$1048576,(IF(($A22=FREQUENCIAS!$O$1),15,"ERRO")),FREQUENCIAS!$1:$1048576))</f>
        <v>0.231679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0.43975700000000001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1.1369915657965648</v>
      </c>
      <c r="AI22" s="100">
        <f t="shared" si="11"/>
        <v>0.53205243483155751</v>
      </c>
      <c r="AJ22" s="101"/>
      <c r="AK22" s="102">
        <f t="shared" si="12"/>
        <v>0.31387221904900003</v>
      </c>
      <c r="AL22" s="101"/>
      <c r="AM22" s="103" t="str">
        <f t="shared" si="13"/>
        <v>1 / 2F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1.1369915657965648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30</v>
      </c>
      <c r="BQ22" s="37">
        <f t="shared" si="24"/>
        <v>30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0</v>
      </c>
      <c r="C23" s="259">
        <f>'PD0101'!G23</f>
        <v>0</v>
      </c>
      <c r="D23" s="259">
        <f>'PD0101'!D23</f>
        <v>9</v>
      </c>
      <c r="E23" s="259">
        <f>'PD0101'!E23</f>
        <v>10</v>
      </c>
      <c r="F23" s="259">
        <f>'PD0101'!B23</f>
        <v>10</v>
      </c>
      <c r="G23" s="259">
        <f>'PD0101'!C23</f>
        <v>10</v>
      </c>
      <c r="H23" s="90">
        <f t="shared" si="0"/>
        <v>0</v>
      </c>
      <c r="I23" s="90">
        <f t="shared" si="0"/>
        <v>0</v>
      </c>
      <c r="J23" s="90">
        <f t="shared" si="0"/>
        <v>9</v>
      </c>
      <c r="K23" s="90">
        <f t="shared" si="0"/>
        <v>10</v>
      </c>
      <c r="L23" s="90">
        <f t="shared" si="0"/>
        <v>10</v>
      </c>
      <c r="M23" s="90">
        <f t="shared" si="0"/>
        <v>10</v>
      </c>
      <c r="N23" s="91">
        <f t="shared" si="1"/>
        <v>0</v>
      </c>
      <c r="O23" s="91">
        <f t="shared" si="2"/>
        <v>0</v>
      </c>
      <c r="P23" s="91">
        <f t="shared" si="3"/>
        <v>9</v>
      </c>
      <c r="Q23" s="91">
        <f t="shared" si="4"/>
        <v>10</v>
      </c>
      <c r="R23" s="91">
        <f t="shared" si="5"/>
        <v>10</v>
      </c>
      <c r="S23" s="91">
        <f t="shared" si="6"/>
        <v>10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1</v>
      </c>
      <c r="W23" s="94">
        <f t="shared" si="25"/>
        <v>0</v>
      </c>
      <c r="X23" s="116">
        <f t="shared" si="30"/>
        <v>9</v>
      </c>
      <c r="Y23" s="92">
        <f t="shared" si="31"/>
        <v>10</v>
      </c>
      <c r="Z23" s="95">
        <f t="shared" si="9"/>
        <v>0</v>
      </c>
      <c r="AA23" s="96">
        <f t="shared" si="10"/>
        <v>10</v>
      </c>
      <c r="AB23" s="97">
        <f>IF(X23=0,0,VLOOKUP(X23,FREQUENCIAS!$1:$1048576,(IF(($A23=FREQUENCIAS!$P$1),16,"ERRO")),FREQUENCIAS!$1:$1048576))</f>
        <v>0.12053</v>
      </c>
      <c r="AC23" s="97">
        <f>IF(Y23=0,0,VLOOKUP(Y23,FREQUENCIAS!$1:$1048576,(IF(($A23=FREQUENCIAS!$P$1),16,"ERRO")),FREQUENCIAS!$1:$1048576))</f>
        <v>0.275034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0.39556400000000003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1.2640179591671639</v>
      </c>
      <c r="AI23" s="100">
        <f t="shared" si="11"/>
        <v>0.55830739064991453</v>
      </c>
      <c r="AJ23" s="101" t="s">
        <v>173</v>
      </c>
      <c r="AK23" s="102">
        <f t="shared" si="12"/>
        <v>0.36534287809599997</v>
      </c>
      <c r="AL23" s="101"/>
      <c r="AM23" s="103" t="str">
        <f t="shared" si="13"/>
        <v>1 / 2F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1.2640179591671639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10</v>
      </c>
      <c r="BQ23" s="62">
        <f t="shared" si="24"/>
        <v>10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0</v>
      </c>
      <c r="C24" s="259">
        <f>'PD0101'!G24</f>
        <v>0</v>
      </c>
      <c r="D24" s="259">
        <f>'PD0101'!D24</f>
        <v>12</v>
      </c>
      <c r="E24" s="259">
        <f>'PD0101'!E24</f>
        <v>13</v>
      </c>
      <c r="F24" s="259">
        <f>'PD0101'!B24</f>
        <v>13</v>
      </c>
      <c r="G24" s="259">
        <f>'PD0101'!C24</f>
        <v>13</v>
      </c>
      <c r="H24" s="90">
        <f t="shared" si="0"/>
        <v>0</v>
      </c>
      <c r="I24" s="90">
        <f t="shared" si="0"/>
        <v>0</v>
      </c>
      <c r="J24" s="90">
        <f t="shared" si="0"/>
        <v>12</v>
      </c>
      <c r="K24" s="90">
        <f t="shared" si="0"/>
        <v>13</v>
      </c>
      <c r="L24" s="90">
        <f t="shared" si="0"/>
        <v>13</v>
      </c>
      <c r="M24" s="90">
        <f t="shared" si="0"/>
        <v>13</v>
      </c>
      <c r="N24" s="91">
        <f t="shared" si="1"/>
        <v>0</v>
      </c>
      <c r="O24" s="91">
        <f t="shared" si="2"/>
        <v>0</v>
      </c>
      <c r="P24" s="91">
        <f t="shared" si="3"/>
        <v>12</v>
      </c>
      <c r="Q24" s="91">
        <f t="shared" si="4"/>
        <v>13</v>
      </c>
      <c r="R24" s="91">
        <f t="shared" si="5"/>
        <v>13</v>
      </c>
      <c r="S24" s="91">
        <f t="shared" si="6"/>
        <v>13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1</v>
      </c>
      <c r="W24" s="94">
        <f>IF(OR(($T24=$U24),($U24=0)),$T24,(IF(AND(($T24=0),($U24&lt;&gt;0)),$U24,$AJ$7)))</f>
        <v>0</v>
      </c>
      <c r="X24" s="116">
        <f t="shared" si="30"/>
        <v>12</v>
      </c>
      <c r="Y24" s="92">
        <f>(IF((AND(($T24=0),($U24=0))),$E24,(IF(($W24&lt;&gt;$AJ$7),0,$Q24))))</f>
        <v>13</v>
      </c>
      <c r="Z24" s="95">
        <f t="shared" si="9"/>
        <v>0</v>
      </c>
      <c r="AA24" s="96">
        <f t="shared" si="10"/>
        <v>13</v>
      </c>
      <c r="AB24" s="97">
        <f>IF(X24=0,0,VLOOKUP(X24,FREQUENCIAS!$1:$1048576,(IF(($A24=FREQUENCIAS!$Q$1),17,"ERRO")),FREQUENCIAS!$1:$1048576))</f>
        <v>0.34637600000000002</v>
      </c>
      <c r="AC24" s="97">
        <f>IF(Y24=0,0,VLOOKUP(Y24,FREQUENCIAS!$1:$1048576,(IF(($A24=FREQUENCIAS!$Q$1),17,"ERRO")),FREQUENCIAS!$1:$1048576))</f>
        <v>0.17447299999999999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0.52084900000000001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0.95997112406858798</v>
      </c>
      <c r="AI24" s="100">
        <f t="shared" si="11"/>
        <v>0.48978840161473441</v>
      </c>
      <c r="AJ24" s="101"/>
      <c r="AK24" s="102">
        <f t="shared" si="12"/>
        <v>0.229585680801</v>
      </c>
      <c r="AL24" s="101"/>
      <c r="AM24" s="103" t="str">
        <f t="shared" si="13"/>
        <v>1 / 2F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0.95997112406858798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13</v>
      </c>
      <c r="BQ24" s="37">
        <f t="shared" si="24"/>
        <v>13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0</v>
      </c>
      <c r="C25" s="259">
        <f>'PD0101'!G25</f>
        <v>0</v>
      </c>
      <c r="D25" s="259">
        <f>'PD0101'!D25</f>
        <v>8</v>
      </c>
      <c r="E25" s="259">
        <f>'PD0101'!E25</f>
        <v>11</v>
      </c>
      <c r="F25" s="259">
        <f>'PD0101'!B25</f>
        <v>8</v>
      </c>
      <c r="G25" s="259">
        <f>'PD0101'!C25</f>
        <v>8</v>
      </c>
      <c r="H25" s="90">
        <f t="shared" ref="H25:M30" si="33">(IF(CODE(B25)=(60),($BF25-1),(IF(CODE(B25)=(62),($BG25+1),B25))))</f>
        <v>0</v>
      </c>
      <c r="I25" s="90">
        <f t="shared" si="33"/>
        <v>0</v>
      </c>
      <c r="J25" s="90">
        <f t="shared" si="33"/>
        <v>8</v>
      </c>
      <c r="K25" s="90">
        <f t="shared" si="33"/>
        <v>11</v>
      </c>
      <c r="L25" s="90">
        <f t="shared" si="33"/>
        <v>8</v>
      </c>
      <c r="M25" s="90">
        <f t="shared" si="33"/>
        <v>8</v>
      </c>
      <c r="N25" s="91">
        <f t="shared" si="1"/>
        <v>0</v>
      </c>
      <c r="O25" s="91">
        <f t="shared" si="2"/>
        <v>0</v>
      </c>
      <c r="P25" s="91">
        <f t="shared" si="3"/>
        <v>8</v>
      </c>
      <c r="Q25" s="91">
        <f t="shared" si="4"/>
        <v>11</v>
      </c>
      <c r="R25" s="91">
        <f t="shared" si="5"/>
        <v>8</v>
      </c>
      <c r="S25" s="91">
        <f t="shared" si="6"/>
        <v>8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0</v>
      </c>
      <c r="X25" s="116">
        <f t="shared" si="30"/>
        <v>8</v>
      </c>
      <c r="Y25" s="92">
        <f>(IF((AND((T25=0),(U25=0))),E25,(IF((W25&lt;&gt;$AJ$7),0,Q25))))</f>
        <v>11</v>
      </c>
      <c r="Z25" s="95">
        <f t="shared" si="9"/>
        <v>8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0.275532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0.73139399999999999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1.3672521240261748</v>
      </c>
      <c r="AI25" s="100">
        <f t="shared" si="11"/>
        <v>0.57756928809964692</v>
      </c>
      <c r="AJ25" s="101"/>
      <c r="AK25" s="102">
        <f t="shared" si="12"/>
        <v>7.2149183236000003E-2</v>
      </c>
      <c r="AL25" s="101"/>
      <c r="AM25" s="103" t="str">
        <f t="shared" si="13"/>
        <v>1 / F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1.3672521240261748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8</v>
      </c>
      <c r="BN25" s="57">
        <f t="shared" si="22"/>
        <v>8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0</v>
      </c>
      <c r="C26" s="259">
        <f>'PD0101'!G26</f>
        <v>0</v>
      </c>
      <c r="D26" s="259">
        <f>'PD0101'!D26</f>
        <v>13</v>
      </c>
      <c r="E26" s="259">
        <f>'PD0101'!E26</f>
        <v>15</v>
      </c>
      <c r="F26" s="259">
        <f>'PD0101'!B26</f>
        <v>12</v>
      </c>
      <c r="G26" s="259">
        <f>'PD0101'!C26</f>
        <v>13</v>
      </c>
      <c r="H26" s="90">
        <f t="shared" si="33"/>
        <v>0</v>
      </c>
      <c r="I26" s="90">
        <f t="shared" si="33"/>
        <v>0</v>
      </c>
      <c r="J26" s="90">
        <f t="shared" si="33"/>
        <v>13</v>
      </c>
      <c r="K26" s="90">
        <f t="shared" si="33"/>
        <v>15</v>
      </c>
      <c r="L26" s="90">
        <f t="shared" si="33"/>
        <v>12</v>
      </c>
      <c r="M26" s="90">
        <f t="shared" si="33"/>
        <v>13</v>
      </c>
      <c r="N26" s="91">
        <f t="shared" si="1"/>
        <v>0</v>
      </c>
      <c r="O26" s="91">
        <f t="shared" si="2"/>
        <v>0</v>
      </c>
      <c r="P26" s="91">
        <f t="shared" si="3"/>
        <v>13</v>
      </c>
      <c r="Q26" s="91">
        <f t="shared" si="4"/>
        <v>15</v>
      </c>
      <c r="R26" s="91">
        <f t="shared" si="5"/>
        <v>12</v>
      </c>
      <c r="S26" s="91">
        <f t="shared" si="6"/>
        <v>13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0</v>
      </c>
      <c r="X26" s="116">
        <f t="shared" si="30"/>
        <v>13</v>
      </c>
      <c r="Y26" s="92">
        <f xml:space="preserve"> (IF((AND((T26=0),(U26=0))),E26,(IF((W26&lt;&gt;$AJ$7),0,Q26))))</f>
        <v>15</v>
      </c>
      <c r="Z26" s="95">
        <f t="shared" si="9"/>
        <v>13</v>
      </c>
      <c r="AA26" s="96">
        <f t="shared" si="10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0.13833100000000001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0.41699300000000006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1.1990608955066391</v>
      </c>
      <c r="AI26" s="100">
        <f t="shared" si="11"/>
        <v>0.54526043274048985</v>
      </c>
      <c r="AJ26" s="101" t="s">
        <v>140</v>
      </c>
      <c r="AK26" s="102">
        <f t="shared" si="12"/>
        <v>0.33989716204899995</v>
      </c>
      <c r="AL26" s="101"/>
      <c r="AM26" s="103" t="str">
        <f t="shared" si="13"/>
        <v>1 / 2F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1.1990608955066391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0</v>
      </c>
      <c r="C27" s="259">
        <f>'PD0101'!G27</f>
        <v>0</v>
      </c>
      <c r="D27" s="259">
        <f>'PD0101'!D27</f>
        <v>19</v>
      </c>
      <c r="E27" s="259">
        <f>'PD0101'!E27</f>
        <v>19</v>
      </c>
      <c r="F27" s="259">
        <f>'PD0101'!B27</f>
        <v>19</v>
      </c>
      <c r="G27" s="259">
        <f>'PD0101'!C27</f>
        <v>20</v>
      </c>
      <c r="H27" s="90">
        <f t="shared" si="33"/>
        <v>0</v>
      </c>
      <c r="I27" s="90">
        <f t="shared" si="33"/>
        <v>0</v>
      </c>
      <c r="J27" s="90">
        <f t="shared" si="33"/>
        <v>19</v>
      </c>
      <c r="K27" s="90">
        <f t="shared" si="33"/>
        <v>19</v>
      </c>
      <c r="L27" s="90">
        <f t="shared" si="33"/>
        <v>19</v>
      </c>
      <c r="M27" s="90">
        <f t="shared" si="33"/>
        <v>20</v>
      </c>
      <c r="N27" s="91">
        <f t="shared" si="1"/>
        <v>0</v>
      </c>
      <c r="O27" s="91">
        <f t="shared" si="2"/>
        <v>0</v>
      </c>
      <c r="P27" s="91">
        <f t="shared" si="3"/>
        <v>19</v>
      </c>
      <c r="Q27" s="91">
        <f t="shared" si="4"/>
        <v>19</v>
      </c>
      <c r="R27" s="91">
        <f t="shared" si="5"/>
        <v>19</v>
      </c>
      <c r="S27" s="91">
        <f t="shared" si="6"/>
        <v>20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0</v>
      </c>
      <c r="X27" s="116">
        <f t="shared" si="30"/>
        <v>19</v>
      </c>
      <c r="Y27" s="92">
        <f>(IF((AND((T27=0),(U27=0))),E27,(IF((W27&lt;&gt;$AJ$7),0,Q27))))</f>
        <v>19</v>
      </c>
      <c r="Z27" s="95">
        <f t="shared" si="9"/>
        <v>19</v>
      </c>
      <c r="AA27" s="96">
        <f t="shared" si="10"/>
        <v>19</v>
      </c>
      <c r="AB27" s="97">
        <f>IF(X27=0,0,VLOOKUP(X27,FREQUENCIAS!$1:$1048576,(IF(($A27=FREQUENCIAS!$T$1),20,"ERRO")),FREQUENCIAS!$1:$1048576))</f>
        <v>0.1699</v>
      </c>
      <c r="AC27" s="97">
        <f>IF(Y27=0,0,VLOOKUP(Y27,FREQUENCIAS!$1:$1048576,(IF(($A27=FREQUENCIAS!$T$1),20,"ERRO")),FREQUENCIAS!$1:$1048576))</f>
        <v>0.1699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0.33979999999999999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1.4714537963507945</v>
      </c>
      <c r="AI27" s="100">
        <f t="shared" si="11"/>
        <v>0.5953798523457966</v>
      </c>
      <c r="AJ27" s="101" t="s">
        <v>163</v>
      </c>
      <c r="AK27" s="262">
        <f t="shared" si="12"/>
        <v>0.43586404000000001</v>
      </c>
      <c r="AL27" s="101"/>
      <c r="AM27" s="103" t="str">
        <f t="shared" si="13"/>
        <v>1 / 2F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1.4714537963507945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19</v>
      </c>
      <c r="BN27" s="57">
        <f t="shared" si="22"/>
        <v>19</v>
      </c>
      <c r="BO27" s="37" t="str">
        <f t="shared" si="28"/>
        <v/>
      </c>
      <c r="BP27" s="37">
        <f t="shared" si="23"/>
        <v>19</v>
      </c>
      <c r="BQ27" s="37">
        <f t="shared" si="24"/>
        <v>19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0</v>
      </c>
      <c r="C28" s="259">
        <f>'PD0101'!G28</f>
        <v>0</v>
      </c>
      <c r="D28" s="259">
        <f>'PD0101'!D28</f>
        <v>13</v>
      </c>
      <c r="E28" s="259">
        <f>'PD0101'!E28</f>
        <v>13.2</v>
      </c>
      <c r="F28" s="259">
        <f>'PD0101'!B28</f>
        <v>13</v>
      </c>
      <c r="G28" s="259">
        <f>'PD0101'!C28</f>
        <v>13</v>
      </c>
      <c r="H28" s="90">
        <f t="shared" si="33"/>
        <v>0</v>
      </c>
      <c r="I28" s="90">
        <f t="shared" si="33"/>
        <v>0</v>
      </c>
      <c r="J28" s="90">
        <f t="shared" si="33"/>
        <v>13</v>
      </c>
      <c r="K28" s="90">
        <f t="shared" si="33"/>
        <v>13.2</v>
      </c>
      <c r="L28" s="90">
        <f t="shared" si="33"/>
        <v>13</v>
      </c>
      <c r="M28" s="90">
        <f t="shared" si="33"/>
        <v>13</v>
      </c>
      <c r="N28" s="91">
        <f t="shared" si="1"/>
        <v>0</v>
      </c>
      <c r="O28" s="91">
        <f t="shared" si="2"/>
        <v>0</v>
      </c>
      <c r="P28" s="91">
        <f t="shared" si="3"/>
        <v>13</v>
      </c>
      <c r="Q28" s="91">
        <f t="shared" si="4"/>
        <v>13.2</v>
      </c>
      <c r="R28" s="91">
        <f t="shared" si="5"/>
        <v>13</v>
      </c>
      <c r="S28" s="91">
        <f t="shared" si="6"/>
        <v>13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0</v>
      </c>
      <c r="X28" s="116">
        <f t="shared" si="30"/>
        <v>13</v>
      </c>
      <c r="Y28" s="92">
        <f>(IF((AND((T28=0),(U28=0))),E28,(IF((W28&lt;&gt;$AJ$7),0,Q28))))</f>
        <v>13.2</v>
      </c>
      <c r="Z28" s="95">
        <f t="shared" si="9"/>
        <v>13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3.2599999999999997E-2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0.26950000000000002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3.7105751391465676</v>
      </c>
      <c r="AI28" s="100">
        <f t="shared" si="11"/>
        <v>0.78771169751870818</v>
      </c>
      <c r="AJ28" s="101"/>
      <c r="AK28" s="102">
        <f t="shared" si="12"/>
        <v>0.53363024999999986</v>
      </c>
      <c r="AL28" s="101"/>
      <c r="AM28" s="103" t="str">
        <f t="shared" si="13"/>
        <v>1 / F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3.7105751391465676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13</v>
      </c>
      <c r="BN28" s="57">
        <f t="shared" si="22"/>
        <v>13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0</v>
      </c>
      <c r="C29" s="259">
        <f>'PD0101'!G29</f>
        <v>0</v>
      </c>
      <c r="D29" s="259">
        <f>'PD0101'!D29</f>
        <v>21</v>
      </c>
      <c r="E29" s="259">
        <f>'PD0101'!E29</f>
        <v>23</v>
      </c>
      <c r="F29" s="259">
        <f>'PD0101'!B29</f>
        <v>23</v>
      </c>
      <c r="G29" s="259">
        <f>'PD0101'!C29</f>
        <v>25</v>
      </c>
      <c r="H29" s="90">
        <f t="shared" si="33"/>
        <v>0</v>
      </c>
      <c r="I29" s="90">
        <f t="shared" si="33"/>
        <v>0</v>
      </c>
      <c r="J29" s="90">
        <f t="shared" si="33"/>
        <v>21</v>
      </c>
      <c r="K29" s="90">
        <f t="shared" si="33"/>
        <v>23</v>
      </c>
      <c r="L29" s="90">
        <f t="shared" si="33"/>
        <v>23</v>
      </c>
      <c r="M29" s="90">
        <f t="shared" si="33"/>
        <v>25</v>
      </c>
      <c r="N29" s="91">
        <f t="shared" si="1"/>
        <v>0</v>
      </c>
      <c r="O29" s="91">
        <f t="shared" si="2"/>
        <v>0</v>
      </c>
      <c r="P29" s="91">
        <f t="shared" si="3"/>
        <v>21</v>
      </c>
      <c r="Q29" s="91">
        <f t="shared" si="4"/>
        <v>23</v>
      </c>
      <c r="R29" s="91">
        <f t="shared" si="5"/>
        <v>23</v>
      </c>
      <c r="S29" s="91">
        <f t="shared" si="6"/>
        <v>25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0</v>
      </c>
      <c r="X29" s="116">
        <f t="shared" si="30"/>
        <v>21</v>
      </c>
      <c r="Y29" s="92">
        <f>(IF((AND((T29=0),(U29=0))),E29,(IF((W29&lt;&gt;$AJ$7),0,Q29))))</f>
        <v>23</v>
      </c>
      <c r="Z29" s="95">
        <f t="shared" si="9"/>
        <v>0</v>
      </c>
      <c r="AA29" s="96">
        <f t="shared" si="10"/>
        <v>23</v>
      </c>
      <c r="AB29" s="97">
        <f>IF(X29=0,0,VLOOKUP(X29,FREQUENCIAS!$1:$1048576,(IF(($A29=FREQUENCIAS!$V$1),22,"ERRO")),FREQUENCIAS!$1:$1048576))</f>
        <v>0.15107999999999999</v>
      </c>
      <c r="AC29" s="97">
        <f>IF(Y29=0,0,VLOOKUP(Y29,FREQUENCIAS!$1:$1048576,(IF(($A29=FREQUENCIAS!$V$1),22,"ERRO")),FREQUENCIAS!$1:$1048576))</f>
        <v>0.149283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0.30036299999999999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1.6646524372176335</v>
      </c>
      <c r="AI29" s="100">
        <f t="shared" si="11"/>
        <v>0.62471653487230172</v>
      </c>
      <c r="AJ29" s="101"/>
      <c r="AK29" s="102">
        <f t="shared" si="12"/>
        <v>0.48949193176900008</v>
      </c>
      <c r="AL29" s="101"/>
      <c r="AM29" s="103" t="str">
        <f t="shared" si="13"/>
        <v>1 / 2F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1.6646524372176335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23</v>
      </c>
      <c r="BQ29" s="37">
        <f t="shared" si="24"/>
        <v>23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0</v>
      </c>
      <c r="C30" s="259">
        <f>'PD0101'!G30</f>
        <v>0</v>
      </c>
      <c r="D30" s="259">
        <f>'PD0101'!D30</f>
        <v>10</v>
      </c>
      <c r="E30" s="259">
        <f>'PD0101'!E30</f>
        <v>16</v>
      </c>
      <c r="F30" s="259">
        <f>'PD0101'!B30</f>
        <v>10</v>
      </c>
      <c r="G30" s="259">
        <f>'PD0101'!C30</f>
        <v>16</v>
      </c>
      <c r="H30" s="90">
        <f t="shared" si="33"/>
        <v>0</v>
      </c>
      <c r="I30" s="90">
        <f t="shared" si="33"/>
        <v>0</v>
      </c>
      <c r="J30" s="90">
        <f t="shared" si="33"/>
        <v>10</v>
      </c>
      <c r="K30" s="90">
        <f t="shared" si="33"/>
        <v>16</v>
      </c>
      <c r="L30" s="90">
        <f t="shared" si="33"/>
        <v>10</v>
      </c>
      <c r="M30" s="90">
        <f t="shared" si="33"/>
        <v>16</v>
      </c>
      <c r="N30" s="91">
        <f t="shared" si="1"/>
        <v>0</v>
      </c>
      <c r="O30" s="91">
        <f t="shared" si="2"/>
        <v>0</v>
      </c>
      <c r="P30" s="91">
        <f t="shared" si="3"/>
        <v>10</v>
      </c>
      <c r="Q30" s="91">
        <f t="shared" si="4"/>
        <v>16</v>
      </c>
      <c r="R30" s="91">
        <f t="shared" si="5"/>
        <v>10</v>
      </c>
      <c r="S30" s="91">
        <f t="shared" si="6"/>
        <v>16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0</v>
      </c>
      <c r="X30" s="116">
        <f t="shared" si="30"/>
        <v>10</v>
      </c>
      <c r="Y30" s="92">
        <f>(IF((AND((T30=0),(U30=0))),E30,(IF((W30&lt;&gt;$AJ$7),0,Q30))))</f>
        <v>16</v>
      </c>
      <c r="Z30" s="95">
        <f t="shared" si="9"/>
        <v>10</v>
      </c>
      <c r="AA30" s="96">
        <f t="shared" si="10"/>
        <v>16</v>
      </c>
      <c r="AB30" s="97">
        <f>IF(X30=0,0,VLOOKUP(X30,FREQUENCIAS!$1:$1048576,(IF(($A30=FREQUENCIAS!$W$1),23,"ERRO")),FREQUENCIAS!$1:$1048576))</f>
        <v>1.7399999999999999E-2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0.34609999999999996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1.4446691707598962</v>
      </c>
      <c r="AI30" s="100">
        <f t="shared" si="11"/>
        <v>0.59094669660796595</v>
      </c>
      <c r="AJ30" s="101"/>
      <c r="AK30" s="102">
        <f t="shared" si="12"/>
        <v>0.42758521000000005</v>
      </c>
      <c r="AL30" s="101"/>
      <c r="AM30" s="103" t="str">
        <f t="shared" si="13"/>
        <v>1 / 2F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1.4446691707598962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10</v>
      </c>
      <c r="BN30" s="57">
        <f t="shared" si="22"/>
        <v>10</v>
      </c>
      <c r="BO30" s="37" t="str">
        <f t="shared" si="28"/>
        <v>&gt;</v>
      </c>
      <c r="BP30" s="37">
        <f t="shared" si="23"/>
        <v>15</v>
      </c>
      <c r="BQ30" s="37" t="str">
        <f t="shared" si="24"/>
        <v>&gt;15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8"/>
      <c r="AI31" s="918"/>
      <c r="AK31" s="852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52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45902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ht="16.5" thickTop="1" thickBot="1">
      <c r="A8" s="253" t="s">
        <v>50</v>
      </c>
      <c r="B8" s="909" t="s">
        <v>130</v>
      </c>
      <c r="C8" s="910"/>
      <c r="D8" s="909" t="s">
        <v>55</v>
      </c>
      <c r="E8" s="910"/>
      <c r="F8" s="909" t="s">
        <v>56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15</v>
      </c>
      <c r="C9" s="259">
        <f>'PD0101'!C9</f>
        <v>16</v>
      </c>
      <c r="D9" s="259">
        <f>'PD0101'!F9</f>
        <v>0</v>
      </c>
      <c r="E9" s="259">
        <f>'PD0101'!G9</f>
        <v>0</v>
      </c>
      <c r="F9" s="259">
        <f>'PD0101'!D9</f>
        <v>16</v>
      </c>
      <c r="G9" s="259">
        <f>'PD0101'!E9</f>
        <v>16</v>
      </c>
      <c r="H9" s="90">
        <f t="shared" ref="H9:M24" si="0">(IF(CODE(B9)=(60),($BF9-1),(IF(CODE(B9)=(62),($BG9+1),B9))))</f>
        <v>15</v>
      </c>
      <c r="I9" s="90">
        <f t="shared" si="0"/>
        <v>16</v>
      </c>
      <c r="J9" s="90">
        <f t="shared" si="0"/>
        <v>0</v>
      </c>
      <c r="K9" s="90">
        <f t="shared" si="0"/>
        <v>0</v>
      </c>
      <c r="L9" s="90">
        <f t="shared" si="0"/>
        <v>16</v>
      </c>
      <c r="M9" s="90">
        <f t="shared" si="0"/>
        <v>16</v>
      </c>
      <c r="N9" s="91">
        <f t="shared" ref="N9:N30" si="1">IF((H9&gt;I9),I9,H9)</f>
        <v>15</v>
      </c>
      <c r="O9" s="91">
        <f t="shared" ref="O9:O30" si="2">IF((I9&gt;H9),I9,H9)</f>
        <v>16</v>
      </c>
      <c r="P9" s="91">
        <f t="shared" ref="P9:P30" si="3">IF((J9&gt;K9),K9,J9)</f>
        <v>0</v>
      </c>
      <c r="Q9" s="91">
        <f t="shared" ref="Q9:Q30" si="4">IF((K9&gt;J9),K9,J9)</f>
        <v>0</v>
      </c>
      <c r="R9" s="91">
        <f t="shared" ref="R9:R30" si="5">IF((L9&gt;M9),M9,L9)</f>
        <v>16</v>
      </c>
      <c r="S9" s="91">
        <f t="shared" ref="S9:S30" si="6">IF((M9&gt;L9),M9,L9)</f>
        <v>16</v>
      </c>
      <c r="T9" s="92">
        <f t="shared" ref="T9:T30" si="7">IF((P9=N9),P9,(IF((P9=O9),P9,0)))</f>
        <v>0</v>
      </c>
      <c r="U9" s="92">
        <f t="shared" ref="U9:U30" si="8">IF((Q9=N9),Q9,(IF((Q9=O9),Q9,0)))</f>
        <v>0</v>
      </c>
      <c r="V9" s="93">
        <f>(IF((OR((P9="&gt;18"),(Q9="&gt;18"))),2,(IF(((T9+U9)=(P9+Q9)),0,1))))</f>
        <v>0</v>
      </c>
      <c r="W9" s="94">
        <f>IF(OR(($T9=$U9),($U9=0)),$T9,(IF(AND(($T9=0),($U9&lt;&gt;0)),$U9,$AJ$7)))</f>
        <v>0</v>
      </c>
      <c r="X9" s="116">
        <f>(ROUND( (IF((AND((T9=0),(U9=0))),D9,(IF((V9=2),S9,(IF((W9&lt;&gt;$AJ$7),(P9+Q9-W9),P9)))))),1))</f>
        <v>0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EM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1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0</v>
      </c>
      <c r="BK9" s="54">
        <f t="shared" ref="BK9:BK30" si="19">(IF((OR(($W9=($BF9-1)),($W9=($BG9+1)))),(CONCATENATE((BI9),(BJ9))),$W9))</f>
        <v>0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15</v>
      </c>
      <c r="C10" s="259">
        <f>'PD0101'!C10</f>
        <v>17</v>
      </c>
      <c r="D10" s="259">
        <f>'PD0101'!F10</f>
        <v>0</v>
      </c>
      <c r="E10" s="259">
        <f>'PD0101'!G10</f>
        <v>0</v>
      </c>
      <c r="F10" s="259">
        <f>'PD0101'!D10</f>
        <v>16</v>
      </c>
      <c r="G10" s="259">
        <f>'PD0101'!E10</f>
        <v>17</v>
      </c>
      <c r="H10" s="90">
        <f t="shared" si="0"/>
        <v>15</v>
      </c>
      <c r="I10" s="90">
        <f t="shared" si="0"/>
        <v>17</v>
      </c>
      <c r="J10" s="90">
        <f t="shared" si="0"/>
        <v>0</v>
      </c>
      <c r="K10" s="90">
        <f t="shared" si="0"/>
        <v>0</v>
      </c>
      <c r="L10" s="90">
        <f t="shared" si="0"/>
        <v>16</v>
      </c>
      <c r="M10" s="90">
        <f t="shared" si="0"/>
        <v>17</v>
      </c>
      <c r="N10" s="91">
        <f t="shared" si="1"/>
        <v>15</v>
      </c>
      <c r="O10" s="91">
        <f t="shared" si="2"/>
        <v>17</v>
      </c>
      <c r="P10" s="91">
        <f t="shared" si="3"/>
        <v>0</v>
      </c>
      <c r="Q10" s="91">
        <f t="shared" si="4"/>
        <v>0</v>
      </c>
      <c r="R10" s="91">
        <f t="shared" si="5"/>
        <v>16</v>
      </c>
      <c r="S10" s="91">
        <f t="shared" si="6"/>
        <v>17</v>
      </c>
      <c r="T10" s="92">
        <f t="shared" si="7"/>
        <v>0</v>
      </c>
      <c r="U10" s="92">
        <f t="shared" si="8"/>
        <v>0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0</v>
      </c>
      <c r="X10" s="116">
        <f>(ROUND( (IF((AND((T10=0),(U10=0))),D10,(IF((V10=2),S10,(IF((W10&lt;&gt;$AJ$7),(P10+Q10-W10),P10)))))),1))</f>
        <v>0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EM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1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0</v>
      </c>
      <c r="BK10" s="54">
        <f t="shared" si="19"/>
        <v>0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10</v>
      </c>
      <c r="C11" s="259">
        <f>'PD0101'!C11</f>
        <v>10</v>
      </c>
      <c r="D11" s="259">
        <f>'PD0101'!F11</f>
        <v>0</v>
      </c>
      <c r="E11" s="259">
        <f>'PD0101'!G11</f>
        <v>0</v>
      </c>
      <c r="F11" s="259">
        <f>'PD0101'!D11</f>
        <v>10</v>
      </c>
      <c r="G11" s="259">
        <f>'PD0101'!E11</f>
        <v>12</v>
      </c>
      <c r="H11" s="90">
        <f t="shared" si="0"/>
        <v>10</v>
      </c>
      <c r="I11" s="90">
        <f t="shared" si="0"/>
        <v>10</v>
      </c>
      <c r="J11" s="90">
        <f t="shared" si="0"/>
        <v>0</v>
      </c>
      <c r="K11" s="90">
        <f t="shared" si="0"/>
        <v>0</v>
      </c>
      <c r="L11" s="90">
        <f t="shared" si="0"/>
        <v>10</v>
      </c>
      <c r="M11" s="90">
        <f t="shared" si="0"/>
        <v>12</v>
      </c>
      <c r="N11" s="91">
        <f t="shared" si="1"/>
        <v>10</v>
      </c>
      <c r="O11" s="91">
        <f t="shared" si="2"/>
        <v>10</v>
      </c>
      <c r="P11" s="91">
        <f t="shared" si="3"/>
        <v>0</v>
      </c>
      <c r="Q11" s="91">
        <f t="shared" si="4"/>
        <v>0</v>
      </c>
      <c r="R11" s="91">
        <f t="shared" si="5"/>
        <v>10</v>
      </c>
      <c r="S11" s="91">
        <f t="shared" si="6"/>
        <v>12</v>
      </c>
      <c r="T11" s="92">
        <f t="shared" si="7"/>
        <v>0</v>
      </c>
      <c r="U11" s="92">
        <f t="shared" si="8"/>
        <v>0</v>
      </c>
      <c r="V11" s="93">
        <f>(IF((OR((P11="&gt;22"),(Q11="&gt;22"))),2,(IF(((T11+U11)=(P11+Q11)),0,1))))</f>
        <v>0</v>
      </c>
      <c r="W11" s="94">
        <f t="shared" si="25"/>
        <v>0</v>
      </c>
      <c r="X11" s="116">
        <f>(ROUND( (IF((AND((T11=0),(U11=0))),D11,(IF((V11=2),S11,(IF((W11&lt;&gt;$AJ$7),(P11+Q11-W11),P11)))))),1))</f>
        <v>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EM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1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0</v>
      </c>
      <c r="BK11" s="54">
        <f t="shared" si="19"/>
        <v>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13</v>
      </c>
      <c r="C12" s="261">
        <f>'PD0101'!C12</f>
        <v>16</v>
      </c>
      <c r="D12" s="261">
        <f>'PD0101'!F12</f>
        <v>0</v>
      </c>
      <c r="E12" s="261">
        <f>'PD0101'!G12</f>
        <v>0</v>
      </c>
      <c r="F12" s="261">
        <f>'PD0101'!D12</f>
        <v>13</v>
      </c>
      <c r="G12" s="261">
        <f>'PD0101'!E12</f>
        <v>13</v>
      </c>
      <c r="H12" s="112">
        <f t="shared" si="0"/>
        <v>13</v>
      </c>
      <c r="I12" s="112">
        <f t="shared" si="0"/>
        <v>16</v>
      </c>
      <c r="J12" s="112">
        <f t="shared" si="0"/>
        <v>0</v>
      </c>
      <c r="K12" s="112">
        <f t="shared" si="0"/>
        <v>0</v>
      </c>
      <c r="L12" s="112">
        <f t="shared" si="0"/>
        <v>13</v>
      </c>
      <c r="M12" s="112">
        <f t="shared" si="0"/>
        <v>13</v>
      </c>
      <c r="N12" s="113">
        <f t="shared" si="1"/>
        <v>13</v>
      </c>
      <c r="O12" s="113">
        <f t="shared" si="2"/>
        <v>16</v>
      </c>
      <c r="P12" s="113">
        <f t="shared" si="3"/>
        <v>0</v>
      </c>
      <c r="Q12" s="113">
        <f t="shared" si="4"/>
        <v>0</v>
      </c>
      <c r="R12" s="113">
        <f t="shared" si="5"/>
        <v>13</v>
      </c>
      <c r="S12" s="113">
        <f t="shared" si="6"/>
        <v>13</v>
      </c>
      <c r="T12" s="114">
        <f t="shared" si="7"/>
        <v>0</v>
      </c>
      <c r="U12" s="114">
        <f t="shared" si="8"/>
        <v>0</v>
      </c>
      <c r="V12" s="115">
        <f>(IF((OR((P12="&gt;21"),(Q12="&gt;21"))),2,(IF(((T12+U12)=(P12+Q12)),0,1))))</f>
        <v>0</v>
      </c>
      <c r="W12" s="114">
        <f t="shared" si="25"/>
        <v>0</v>
      </c>
      <c r="X12" s="116">
        <f>(ROUND( (IF((AND((T12=0),(U12=0))),D12,(IF((V12=2),S12,(IF((W12&lt;&gt;$AJ$7),(P12+Q12-W12),P12)))))),1))</f>
        <v>0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EM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1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0</v>
      </c>
      <c r="BK12" s="114">
        <f t="shared" si="19"/>
        <v>0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11</v>
      </c>
      <c r="C13" s="259">
        <f>'PD0101'!C13</f>
        <v>12</v>
      </c>
      <c r="D13" s="259">
        <f>'PD0101'!F13</f>
        <v>0</v>
      </c>
      <c r="E13" s="259">
        <f>'PD0101'!G13</f>
        <v>0</v>
      </c>
      <c r="F13" s="259">
        <f>'PD0101'!D13</f>
        <v>12</v>
      </c>
      <c r="G13" s="259">
        <f>'PD0101'!E13</f>
        <v>12</v>
      </c>
      <c r="H13" s="90">
        <f t="shared" si="0"/>
        <v>11</v>
      </c>
      <c r="I13" s="90">
        <f t="shared" si="0"/>
        <v>12</v>
      </c>
      <c r="J13" s="90">
        <f t="shared" si="0"/>
        <v>0</v>
      </c>
      <c r="K13" s="90">
        <f t="shared" si="0"/>
        <v>0</v>
      </c>
      <c r="L13" s="90">
        <f t="shared" si="0"/>
        <v>12</v>
      </c>
      <c r="M13" s="90">
        <f t="shared" si="0"/>
        <v>12</v>
      </c>
      <c r="N13" s="91">
        <f t="shared" si="1"/>
        <v>11</v>
      </c>
      <c r="O13" s="91">
        <f t="shared" si="2"/>
        <v>12</v>
      </c>
      <c r="P13" s="91">
        <f t="shared" si="3"/>
        <v>0</v>
      </c>
      <c r="Q13" s="91">
        <f t="shared" si="4"/>
        <v>0</v>
      </c>
      <c r="R13" s="91">
        <f t="shared" si="5"/>
        <v>12</v>
      </c>
      <c r="S13" s="91">
        <f t="shared" si="6"/>
        <v>12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0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0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0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12</v>
      </c>
      <c r="C14" s="259">
        <f>'PD0101'!C14</f>
        <v>13</v>
      </c>
      <c r="D14" s="259">
        <f>'PD0101'!F14</f>
        <v>0</v>
      </c>
      <c r="E14" s="259">
        <f>'PD0101'!G14</f>
        <v>0</v>
      </c>
      <c r="F14" s="259">
        <f>'PD0101'!D14</f>
        <v>8</v>
      </c>
      <c r="G14" s="259">
        <f>'PD0101'!E14</f>
        <v>13</v>
      </c>
      <c r="H14" s="90">
        <f t="shared" si="0"/>
        <v>12</v>
      </c>
      <c r="I14" s="90">
        <f t="shared" si="0"/>
        <v>13</v>
      </c>
      <c r="J14" s="90">
        <f t="shared" si="0"/>
        <v>0</v>
      </c>
      <c r="K14" s="90">
        <f t="shared" si="0"/>
        <v>0</v>
      </c>
      <c r="L14" s="90">
        <f t="shared" si="0"/>
        <v>8</v>
      </c>
      <c r="M14" s="90">
        <f t="shared" si="0"/>
        <v>13</v>
      </c>
      <c r="N14" s="91">
        <f t="shared" si="1"/>
        <v>12</v>
      </c>
      <c r="O14" s="91">
        <f t="shared" si="2"/>
        <v>13</v>
      </c>
      <c r="P14" s="91">
        <f t="shared" si="3"/>
        <v>0</v>
      </c>
      <c r="Q14" s="91">
        <f t="shared" si="4"/>
        <v>0</v>
      </c>
      <c r="R14" s="91">
        <f t="shared" si="5"/>
        <v>8</v>
      </c>
      <c r="S14" s="91">
        <f t="shared" si="6"/>
        <v>13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0</v>
      </c>
      <c r="W14" s="94">
        <f t="shared" si="25"/>
        <v>0</v>
      </c>
      <c r="X14" s="116">
        <f t="shared" si="30"/>
        <v>0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>
        <f>IF(X14=0,0,VLOOKUP(X14,FREQUENCIAS!$1:$1048576,(IF(($A14=FREQUENCIAS!$G$1),7,"ERRO")),FREQUENCIAS!$1:$1048576))</f>
        <v>0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9</v>
      </c>
      <c r="C15" s="259">
        <f>'PD0101'!C15</f>
        <v>11</v>
      </c>
      <c r="D15" s="259">
        <f>'PD0101'!F15</f>
        <v>0</v>
      </c>
      <c r="E15" s="259">
        <f>'PD0101'!G15</f>
        <v>0</v>
      </c>
      <c r="F15" s="259">
        <f>'PD0101'!D15</f>
        <v>9</v>
      </c>
      <c r="G15" s="259">
        <f>'PD0101'!E15</f>
        <v>11</v>
      </c>
      <c r="H15" s="90">
        <f t="shared" si="0"/>
        <v>9</v>
      </c>
      <c r="I15" s="90">
        <f t="shared" si="0"/>
        <v>11</v>
      </c>
      <c r="J15" s="90">
        <f t="shared" si="0"/>
        <v>0</v>
      </c>
      <c r="K15" s="90">
        <f t="shared" si="0"/>
        <v>0</v>
      </c>
      <c r="L15" s="90">
        <f t="shared" si="0"/>
        <v>9</v>
      </c>
      <c r="M15" s="90">
        <f t="shared" si="0"/>
        <v>11</v>
      </c>
      <c r="N15" s="91">
        <f t="shared" si="1"/>
        <v>9</v>
      </c>
      <c r="O15" s="91">
        <f t="shared" si="2"/>
        <v>11</v>
      </c>
      <c r="P15" s="91">
        <f t="shared" si="3"/>
        <v>0</v>
      </c>
      <c r="Q15" s="91">
        <f t="shared" si="4"/>
        <v>0</v>
      </c>
      <c r="R15" s="91">
        <f t="shared" si="5"/>
        <v>9</v>
      </c>
      <c r="S15" s="91">
        <f t="shared" si="6"/>
        <v>11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0</v>
      </c>
      <c r="W15" s="94">
        <f t="shared" si="25"/>
        <v>0</v>
      </c>
      <c r="X15" s="116">
        <f t="shared" si="30"/>
        <v>0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14</v>
      </c>
      <c r="C16" s="259">
        <f>'PD0101'!C16</f>
        <v>15</v>
      </c>
      <c r="D16" s="259">
        <f>'PD0101'!F16</f>
        <v>0</v>
      </c>
      <c r="E16" s="259">
        <f>'PD0101'!G16</f>
        <v>0</v>
      </c>
      <c r="F16" s="259">
        <f>'PD0101'!D16</f>
        <v>14</v>
      </c>
      <c r="G16" s="259">
        <f>'PD0101'!E16</f>
        <v>18</v>
      </c>
      <c r="H16" s="90">
        <f t="shared" si="0"/>
        <v>14</v>
      </c>
      <c r="I16" s="90">
        <f t="shared" si="0"/>
        <v>15</v>
      </c>
      <c r="J16" s="90">
        <f t="shared" si="0"/>
        <v>0</v>
      </c>
      <c r="K16" s="90">
        <f t="shared" si="0"/>
        <v>0</v>
      </c>
      <c r="L16" s="90">
        <f t="shared" si="0"/>
        <v>14</v>
      </c>
      <c r="M16" s="90">
        <f t="shared" si="0"/>
        <v>18</v>
      </c>
      <c r="N16" s="91">
        <f t="shared" si="1"/>
        <v>14</v>
      </c>
      <c r="O16" s="91">
        <f t="shared" si="2"/>
        <v>15</v>
      </c>
      <c r="P16" s="91">
        <f t="shared" si="3"/>
        <v>0</v>
      </c>
      <c r="Q16" s="91">
        <f t="shared" si="4"/>
        <v>0</v>
      </c>
      <c r="R16" s="91">
        <f t="shared" si="5"/>
        <v>14</v>
      </c>
      <c r="S16" s="91">
        <f t="shared" si="6"/>
        <v>18</v>
      </c>
      <c r="T16" s="92">
        <f t="shared" si="7"/>
        <v>0</v>
      </c>
      <c r="U16" s="92">
        <f t="shared" si="8"/>
        <v>0</v>
      </c>
      <c r="V16" s="93">
        <f>(IF((OR((P16="&gt;22"),(Q16="&gt;22"))),2,(IF(((T16+U16)=(P16+Q16)),0,1))))</f>
        <v>0</v>
      </c>
      <c r="W16" s="94">
        <f t="shared" si="25"/>
        <v>0</v>
      </c>
      <c r="X16" s="116">
        <f t="shared" si="30"/>
        <v>0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EM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1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0</v>
      </c>
      <c r="BK16" s="54">
        <f t="shared" si="19"/>
        <v>0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21</v>
      </c>
      <c r="C17" s="259">
        <f>'PD0101'!C17</f>
        <v>24</v>
      </c>
      <c r="D17" s="259">
        <f>'PD0101'!F17</f>
        <v>0</v>
      </c>
      <c r="E17" s="259">
        <f>'PD0101'!G17</f>
        <v>0</v>
      </c>
      <c r="F17" s="259">
        <f>'PD0101'!D17</f>
        <v>16</v>
      </c>
      <c r="G17" s="259">
        <f>'PD0101'!E17</f>
        <v>24</v>
      </c>
      <c r="H17" s="90">
        <f t="shared" si="0"/>
        <v>21</v>
      </c>
      <c r="I17" s="90">
        <f t="shared" si="0"/>
        <v>24</v>
      </c>
      <c r="J17" s="90">
        <f t="shared" si="0"/>
        <v>0</v>
      </c>
      <c r="K17" s="90">
        <f t="shared" si="0"/>
        <v>0</v>
      </c>
      <c r="L17" s="90">
        <f t="shared" si="0"/>
        <v>16</v>
      </c>
      <c r="M17" s="90">
        <f t="shared" si="0"/>
        <v>24</v>
      </c>
      <c r="N17" s="91">
        <f t="shared" si="1"/>
        <v>21</v>
      </c>
      <c r="O17" s="91">
        <f t="shared" si="2"/>
        <v>24</v>
      </c>
      <c r="P17" s="91">
        <f t="shared" si="3"/>
        <v>0</v>
      </c>
      <c r="Q17" s="91">
        <f t="shared" si="4"/>
        <v>0</v>
      </c>
      <c r="R17" s="91">
        <f t="shared" si="5"/>
        <v>16</v>
      </c>
      <c r="S17" s="91">
        <f t="shared" si="6"/>
        <v>24</v>
      </c>
      <c r="T17" s="92">
        <f t="shared" si="7"/>
        <v>0</v>
      </c>
      <c r="U17" s="92">
        <f t="shared" si="8"/>
        <v>0</v>
      </c>
      <c r="V17" s="93">
        <f>(IF((OR((P17="&gt;28"),(Q17="&gt;28"))),2,(IF(((T17+U17)=(P17+Q17)),0,1))))</f>
        <v>0</v>
      </c>
      <c r="W17" s="94">
        <f t="shared" si="25"/>
        <v>0</v>
      </c>
      <c r="X17" s="116">
        <f t="shared" si="30"/>
        <v>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EM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1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0</v>
      </c>
      <c r="BK17" s="54">
        <f t="shared" si="19"/>
        <v>0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12</v>
      </c>
      <c r="C18" s="259">
        <f>'PD0101'!C18</f>
        <v>13</v>
      </c>
      <c r="D18" s="259">
        <f>'PD0101'!F18</f>
        <v>0</v>
      </c>
      <c r="E18" s="259">
        <f>'PD0101'!G18</f>
        <v>0</v>
      </c>
      <c r="F18" s="259">
        <f>'PD0101'!D18</f>
        <v>10</v>
      </c>
      <c r="G18" s="259">
        <f>'PD0101'!E18</f>
        <v>13</v>
      </c>
      <c r="H18" s="90">
        <f t="shared" si="0"/>
        <v>12</v>
      </c>
      <c r="I18" s="90">
        <f t="shared" si="0"/>
        <v>13</v>
      </c>
      <c r="J18" s="90">
        <f t="shared" si="0"/>
        <v>0</v>
      </c>
      <c r="K18" s="90">
        <f t="shared" si="0"/>
        <v>0</v>
      </c>
      <c r="L18" s="90">
        <f t="shared" si="0"/>
        <v>10</v>
      </c>
      <c r="M18" s="90">
        <f t="shared" si="0"/>
        <v>13</v>
      </c>
      <c r="N18" s="91">
        <f t="shared" si="1"/>
        <v>12</v>
      </c>
      <c r="O18" s="91">
        <f t="shared" si="2"/>
        <v>13</v>
      </c>
      <c r="P18" s="91">
        <f t="shared" si="3"/>
        <v>0</v>
      </c>
      <c r="Q18" s="91">
        <f t="shared" si="4"/>
        <v>0</v>
      </c>
      <c r="R18" s="91">
        <f t="shared" si="5"/>
        <v>10</v>
      </c>
      <c r="S18" s="91">
        <f t="shared" si="6"/>
        <v>13</v>
      </c>
      <c r="T18" s="92">
        <f t="shared" si="7"/>
        <v>0</v>
      </c>
      <c r="U18" s="92">
        <f t="shared" si="8"/>
        <v>0</v>
      </c>
      <c r="V18" s="93">
        <f>(IF((OR((P18="&gt;17,2"),(Q18="&gt;17,2"))),2,(IF(((T18+U18)=(P18+Q18)),0,1))))</f>
        <v>0</v>
      </c>
      <c r="W18" s="94">
        <f t="shared" si="25"/>
        <v>0</v>
      </c>
      <c r="X18" s="116">
        <f t="shared" si="30"/>
        <v>0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EM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1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0</v>
      </c>
      <c r="BK18" s="54">
        <f t="shared" si="19"/>
        <v>0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9</v>
      </c>
      <c r="C19" s="259">
        <f>'PD0101'!C19</f>
        <v>12</v>
      </c>
      <c r="D19" s="259">
        <f>'PD0101'!F19</f>
        <v>0</v>
      </c>
      <c r="E19" s="259">
        <f>'PD0101'!G19</f>
        <v>0</v>
      </c>
      <c r="F19" s="259">
        <f>'PD0101'!D19</f>
        <v>12</v>
      </c>
      <c r="G19" s="259">
        <f>'PD0101'!E19</f>
        <v>12</v>
      </c>
      <c r="H19" s="90">
        <f t="shared" si="0"/>
        <v>9</v>
      </c>
      <c r="I19" s="90">
        <f t="shared" si="0"/>
        <v>12</v>
      </c>
      <c r="J19" s="90">
        <f t="shared" si="0"/>
        <v>0</v>
      </c>
      <c r="K19" s="90">
        <f t="shared" si="0"/>
        <v>0</v>
      </c>
      <c r="L19" s="90">
        <f t="shared" si="0"/>
        <v>12</v>
      </c>
      <c r="M19" s="90">
        <f t="shared" si="0"/>
        <v>12</v>
      </c>
      <c r="N19" s="91">
        <f t="shared" si="1"/>
        <v>9</v>
      </c>
      <c r="O19" s="91">
        <f t="shared" si="2"/>
        <v>12</v>
      </c>
      <c r="P19" s="91">
        <f t="shared" si="3"/>
        <v>0</v>
      </c>
      <c r="Q19" s="91">
        <f t="shared" si="4"/>
        <v>0</v>
      </c>
      <c r="R19" s="91">
        <f t="shared" si="5"/>
        <v>12</v>
      </c>
      <c r="S19" s="91">
        <f t="shared" si="6"/>
        <v>12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0</v>
      </c>
      <c r="W19" s="94">
        <f t="shared" si="25"/>
        <v>0</v>
      </c>
      <c r="X19" s="116">
        <f t="shared" si="30"/>
        <v>0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>
        <f>IF(X19=0,0,VLOOKUP(X19,FREQUENCIAS!$1:$1048576,(IF(($A19=FREQUENCIAS!$L$1),12,"ERRO")),FREQUENCIAS!$1:$1048576))</f>
        <v>0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9</v>
      </c>
      <c r="C20" s="259">
        <f>'PD0101'!C20</f>
        <v>9</v>
      </c>
      <c r="D20" s="259">
        <f>'PD0101'!F20</f>
        <v>0</v>
      </c>
      <c r="E20" s="259">
        <f>'PD0101'!G20</f>
        <v>0</v>
      </c>
      <c r="F20" s="259">
        <f>'PD0101'!D20</f>
        <v>9</v>
      </c>
      <c r="G20" s="259">
        <f>'PD0101'!E20</f>
        <v>9</v>
      </c>
      <c r="H20" s="90">
        <f t="shared" si="0"/>
        <v>9</v>
      </c>
      <c r="I20" s="90">
        <f t="shared" si="0"/>
        <v>9</v>
      </c>
      <c r="J20" s="90">
        <f t="shared" si="0"/>
        <v>0</v>
      </c>
      <c r="K20" s="90">
        <f t="shared" si="0"/>
        <v>0</v>
      </c>
      <c r="L20" s="90">
        <f t="shared" si="0"/>
        <v>9</v>
      </c>
      <c r="M20" s="90">
        <f t="shared" si="0"/>
        <v>9</v>
      </c>
      <c r="N20" s="91">
        <f t="shared" si="1"/>
        <v>9</v>
      </c>
      <c r="O20" s="91">
        <f t="shared" si="2"/>
        <v>9</v>
      </c>
      <c r="P20" s="91">
        <f t="shared" si="3"/>
        <v>0</v>
      </c>
      <c r="Q20" s="91">
        <f t="shared" si="4"/>
        <v>0</v>
      </c>
      <c r="R20" s="91">
        <f t="shared" si="5"/>
        <v>9</v>
      </c>
      <c r="S20" s="91">
        <f t="shared" si="6"/>
        <v>9</v>
      </c>
      <c r="T20" s="92">
        <f t="shared" si="7"/>
        <v>0</v>
      </c>
      <c r="U20" s="92">
        <f t="shared" si="8"/>
        <v>0</v>
      </c>
      <c r="V20" s="93">
        <f>(IF((OR((P20="&gt;20"),(Q20="&gt;20"))),2,(IF(((T20+U20)=(P20+Q20)),0,1))))</f>
        <v>0</v>
      </c>
      <c r="W20" s="94">
        <f t="shared" si="25"/>
        <v>0</v>
      </c>
      <c r="X20" s="116">
        <f t="shared" si="30"/>
        <v>0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EM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1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0</v>
      </c>
      <c r="BK20" s="54">
        <f t="shared" si="19"/>
        <v>0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15</v>
      </c>
      <c r="C21" s="259">
        <f>'PD0101'!C21</f>
        <v>16</v>
      </c>
      <c r="D21" s="259">
        <f>'PD0101'!F21</f>
        <v>0</v>
      </c>
      <c r="E21" s="259">
        <f>'PD0101'!G21</f>
        <v>0</v>
      </c>
      <c r="F21" s="259">
        <f>'PD0101'!D21</f>
        <v>15</v>
      </c>
      <c r="G21" s="259">
        <f>'PD0101'!E21</f>
        <v>15</v>
      </c>
      <c r="H21" s="90">
        <f t="shared" si="0"/>
        <v>15</v>
      </c>
      <c r="I21" s="90">
        <f t="shared" si="0"/>
        <v>16</v>
      </c>
      <c r="J21" s="90">
        <f t="shared" si="0"/>
        <v>0</v>
      </c>
      <c r="K21" s="90">
        <f t="shared" si="0"/>
        <v>0</v>
      </c>
      <c r="L21" s="90">
        <f t="shared" si="0"/>
        <v>15</v>
      </c>
      <c r="M21" s="90">
        <f t="shared" si="0"/>
        <v>15</v>
      </c>
      <c r="N21" s="91">
        <f t="shared" si="1"/>
        <v>15</v>
      </c>
      <c r="O21" s="91">
        <f t="shared" si="2"/>
        <v>16</v>
      </c>
      <c r="P21" s="91">
        <f t="shared" si="3"/>
        <v>0</v>
      </c>
      <c r="Q21" s="91">
        <f t="shared" si="4"/>
        <v>0</v>
      </c>
      <c r="R21" s="91">
        <f t="shared" si="5"/>
        <v>15</v>
      </c>
      <c r="S21" s="91">
        <f t="shared" si="6"/>
        <v>15</v>
      </c>
      <c r="T21" s="92">
        <f t="shared" si="7"/>
        <v>0</v>
      </c>
      <c r="U21" s="92">
        <f t="shared" si="8"/>
        <v>0</v>
      </c>
      <c r="V21" s="93">
        <f>(IF((OR((P21="&gt;24"),(Q21="&gt;24"))),2,(IF(((T21+U21)=(P21+Q21)),0,1))))</f>
        <v>0</v>
      </c>
      <c r="W21" s="94">
        <f t="shared" si="25"/>
        <v>0</v>
      </c>
      <c r="X21" s="116">
        <f t="shared" si="30"/>
        <v>0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EM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1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0</v>
      </c>
      <c r="BK21" s="54">
        <f t="shared" si="19"/>
        <v>0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30</v>
      </c>
      <c r="C22" s="259">
        <f>'PD0101'!C22</f>
        <v>35</v>
      </c>
      <c r="D22" s="259">
        <f>'PD0101'!F22</f>
        <v>0</v>
      </c>
      <c r="E22" s="259">
        <f>'PD0101'!G22</f>
        <v>0</v>
      </c>
      <c r="F22" s="259">
        <f>'PD0101'!D22</f>
        <v>29</v>
      </c>
      <c r="G22" s="259">
        <f>'PD0101'!E22</f>
        <v>30</v>
      </c>
      <c r="H22" s="90">
        <f t="shared" si="0"/>
        <v>30</v>
      </c>
      <c r="I22" s="90">
        <f t="shared" si="0"/>
        <v>35</v>
      </c>
      <c r="J22" s="90">
        <f t="shared" si="0"/>
        <v>0</v>
      </c>
      <c r="K22" s="90">
        <f t="shared" si="0"/>
        <v>0</v>
      </c>
      <c r="L22" s="90">
        <f t="shared" si="0"/>
        <v>29</v>
      </c>
      <c r="M22" s="90">
        <f t="shared" si="0"/>
        <v>30</v>
      </c>
      <c r="N22" s="91">
        <f t="shared" si="1"/>
        <v>30</v>
      </c>
      <c r="O22" s="91">
        <f t="shared" si="2"/>
        <v>35</v>
      </c>
      <c r="P22" s="91">
        <f t="shared" si="3"/>
        <v>0</v>
      </c>
      <c r="Q22" s="91">
        <f t="shared" si="4"/>
        <v>0</v>
      </c>
      <c r="R22" s="91">
        <f t="shared" si="5"/>
        <v>29</v>
      </c>
      <c r="S22" s="91">
        <f t="shared" si="6"/>
        <v>30</v>
      </c>
      <c r="T22" s="92">
        <f t="shared" si="7"/>
        <v>0</v>
      </c>
      <c r="U22" s="92">
        <f t="shared" si="8"/>
        <v>0</v>
      </c>
      <c r="V22" s="93">
        <f>(IF((OR((P22="&gt;22"),(Q22="&gt;22"))),2,(IF(((T22+U22)=(P22+Q22)),0,1))))</f>
        <v>0</v>
      </c>
      <c r="W22" s="94">
        <f t="shared" si="25"/>
        <v>0</v>
      </c>
      <c r="X22" s="116">
        <f t="shared" si="30"/>
        <v>0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0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EM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1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0</v>
      </c>
      <c r="BK22" s="54">
        <f t="shared" si="19"/>
        <v>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10</v>
      </c>
      <c r="C23" s="259">
        <f>'PD0101'!C23</f>
        <v>10</v>
      </c>
      <c r="D23" s="259">
        <f>'PD0101'!F23</f>
        <v>0</v>
      </c>
      <c r="E23" s="259">
        <f>'PD0101'!G23</f>
        <v>0</v>
      </c>
      <c r="F23" s="259">
        <f>'PD0101'!D23</f>
        <v>9</v>
      </c>
      <c r="G23" s="259">
        <f>'PD0101'!E23</f>
        <v>10</v>
      </c>
      <c r="H23" s="90">
        <f t="shared" si="0"/>
        <v>10</v>
      </c>
      <c r="I23" s="90">
        <f t="shared" si="0"/>
        <v>10</v>
      </c>
      <c r="J23" s="90">
        <f t="shared" si="0"/>
        <v>0</v>
      </c>
      <c r="K23" s="90">
        <f t="shared" si="0"/>
        <v>0</v>
      </c>
      <c r="L23" s="90">
        <f t="shared" si="0"/>
        <v>9</v>
      </c>
      <c r="M23" s="90">
        <f t="shared" si="0"/>
        <v>10</v>
      </c>
      <c r="N23" s="91">
        <f t="shared" si="1"/>
        <v>10</v>
      </c>
      <c r="O23" s="91">
        <f t="shared" si="2"/>
        <v>10</v>
      </c>
      <c r="P23" s="91">
        <f t="shared" si="3"/>
        <v>0</v>
      </c>
      <c r="Q23" s="91">
        <f t="shared" si="4"/>
        <v>0</v>
      </c>
      <c r="R23" s="91">
        <f t="shared" si="5"/>
        <v>9</v>
      </c>
      <c r="S23" s="91">
        <f t="shared" si="6"/>
        <v>10</v>
      </c>
      <c r="T23" s="92">
        <f t="shared" si="7"/>
        <v>0</v>
      </c>
      <c r="U23" s="92">
        <f t="shared" si="8"/>
        <v>0</v>
      </c>
      <c r="V23" s="93">
        <f>(IF((OR((P23="&gt;32"),(Q23="&gt;32"))),2,(IF(((T23+U23)=(P23+Q23)),0,1))))</f>
        <v>0</v>
      </c>
      <c r="W23" s="94">
        <f t="shared" si="25"/>
        <v>0</v>
      </c>
      <c r="X23" s="116">
        <f t="shared" si="30"/>
        <v>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EM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1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0</v>
      </c>
      <c r="BK23" s="25">
        <f t="shared" si="19"/>
        <v>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13</v>
      </c>
      <c r="C24" s="259">
        <f>'PD0101'!C24</f>
        <v>13</v>
      </c>
      <c r="D24" s="259">
        <f>'PD0101'!F24</f>
        <v>0</v>
      </c>
      <c r="E24" s="259">
        <f>'PD0101'!G24</f>
        <v>0</v>
      </c>
      <c r="F24" s="259">
        <f>'PD0101'!D24</f>
        <v>12</v>
      </c>
      <c r="G24" s="259">
        <f>'PD0101'!E24</f>
        <v>13</v>
      </c>
      <c r="H24" s="90">
        <f t="shared" si="0"/>
        <v>13</v>
      </c>
      <c r="I24" s="90">
        <f t="shared" si="0"/>
        <v>13</v>
      </c>
      <c r="J24" s="90">
        <f t="shared" si="0"/>
        <v>0</v>
      </c>
      <c r="K24" s="90">
        <f t="shared" si="0"/>
        <v>0</v>
      </c>
      <c r="L24" s="90">
        <f t="shared" si="0"/>
        <v>12</v>
      </c>
      <c r="M24" s="90">
        <f t="shared" si="0"/>
        <v>13</v>
      </c>
      <c r="N24" s="91">
        <f t="shared" si="1"/>
        <v>13</v>
      </c>
      <c r="O24" s="91">
        <f t="shared" si="2"/>
        <v>13</v>
      </c>
      <c r="P24" s="91">
        <f t="shared" si="3"/>
        <v>0</v>
      </c>
      <c r="Q24" s="91">
        <f t="shared" si="4"/>
        <v>0</v>
      </c>
      <c r="R24" s="91">
        <f t="shared" si="5"/>
        <v>12</v>
      </c>
      <c r="S24" s="91">
        <f t="shared" si="6"/>
        <v>13</v>
      </c>
      <c r="T24" s="92">
        <f t="shared" si="7"/>
        <v>0</v>
      </c>
      <c r="U24" s="92">
        <f t="shared" si="8"/>
        <v>0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0</v>
      </c>
      <c r="X24" s="116">
        <f t="shared" si="30"/>
        <v>0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EM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1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0</v>
      </c>
      <c r="BK24" s="54">
        <f t="shared" si="19"/>
        <v>0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8</v>
      </c>
      <c r="C25" s="259">
        <f>'PD0101'!C25</f>
        <v>8</v>
      </c>
      <c r="D25" s="259">
        <f>'PD0101'!F25</f>
        <v>0</v>
      </c>
      <c r="E25" s="259">
        <f>'PD0101'!G25</f>
        <v>0</v>
      </c>
      <c r="F25" s="259">
        <f>'PD0101'!D25</f>
        <v>8</v>
      </c>
      <c r="G25" s="259">
        <f>'PD0101'!E25</f>
        <v>11</v>
      </c>
      <c r="H25" s="90">
        <f t="shared" ref="H25:M30" si="33">(IF(CODE(B25)=(60),($BF25-1),(IF(CODE(B25)=(62),($BG25+1),B25))))</f>
        <v>8</v>
      </c>
      <c r="I25" s="90">
        <f t="shared" si="33"/>
        <v>8</v>
      </c>
      <c r="J25" s="90">
        <f t="shared" si="33"/>
        <v>0</v>
      </c>
      <c r="K25" s="90">
        <f t="shared" si="33"/>
        <v>0</v>
      </c>
      <c r="L25" s="90">
        <f t="shared" si="33"/>
        <v>8</v>
      </c>
      <c r="M25" s="90">
        <f t="shared" si="33"/>
        <v>11</v>
      </c>
      <c r="N25" s="91">
        <f t="shared" si="1"/>
        <v>8</v>
      </c>
      <c r="O25" s="91">
        <f t="shared" si="2"/>
        <v>8</v>
      </c>
      <c r="P25" s="91">
        <f t="shared" si="3"/>
        <v>0</v>
      </c>
      <c r="Q25" s="91">
        <f t="shared" si="4"/>
        <v>0</v>
      </c>
      <c r="R25" s="91">
        <f t="shared" si="5"/>
        <v>8</v>
      </c>
      <c r="S25" s="91">
        <f t="shared" si="6"/>
        <v>11</v>
      </c>
      <c r="T25" s="92">
        <f t="shared" si="7"/>
        <v>0</v>
      </c>
      <c r="U25" s="92">
        <f t="shared" si="8"/>
        <v>0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0</v>
      </c>
      <c r="X25" s="116">
        <f t="shared" si="30"/>
        <v>0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EM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1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0</v>
      </c>
      <c r="BK25" s="54">
        <f t="shared" si="19"/>
        <v>0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12</v>
      </c>
      <c r="C26" s="259">
        <f>'PD0101'!C26</f>
        <v>13</v>
      </c>
      <c r="D26" s="259">
        <f>'PD0101'!F26</f>
        <v>0</v>
      </c>
      <c r="E26" s="259">
        <f>'PD0101'!G26</f>
        <v>0</v>
      </c>
      <c r="F26" s="259">
        <f>'PD0101'!D26</f>
        <v>13</v>
      </c>
      <c r="G26" s="259">
        <f>'PD0101'!E26</f>
        <v>15</v>
      </c>
      <c r="H26" s="90">
        <f t="shared" si="33"/>
        <v>12</v>
      </c>
      <c r="I26" s="90">
        <f t="shared" si="33"/>
        <v>13</v>
      </c>
      <c r="J26" s="90">
        <f t="shared" si="33"/>
        <v>0</v>
      </c>
      <c r="K26" s="90">
        <f t="shared" si="33"/>
        <v>0</v>
      </c>
      <c r="L26" s="90">
        <f t="shared" si="33"/>
        <v>13</v>
      </c>
      <c r="M26" s="90">
        <f t="shared" si="33"/>
        <v>15</v>
      </c>
      <c r="N26" s="91">
        <f t="shared" si="1"/>
        <v>12</v>
      </c>
      <c r="O26" s="91">
        <f t="shared" si="2"/>
        <v>13</v>
      </c>
      <c r="P26" s="91">
        <f t="shared" si="3"/>
        <v>0</v>
      </c>
      <c r="Q26" s="91">
        <f t="shared" si="4"/>
        <v>0</v>
      </c>
      <c r="R26" s="91">
        <f t="shared" si="5"/>
        <v>13</v>
      </c>
      <c r="S26" s="91">
        <f t="shared" si="6"/>
        <v>15</v>
      </c>
      <c r="T26" s="92">
        <f t="shared" si="7"/>
        <v>0</v>
      </c>
      <c r="U26" s="92">
        <f t="shared" si="8"/>
        <v>0</v>
      </c>
      <c r="V26" s="93">
        <f>(IF((OR((P26="&gt;21"),(Q26="&gt;21"))),2,(IF(((T26+U26)=(P26+Q26)),0,1))))</f>
        <v>0</v>
      </c>
      <c r="W26" s="92">
        <f t="shared" si="34"/>
        <v>0</v>
      </c>
      <c r="X26" s="116">
        <f t="shared" si="30"/>
        <v>0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EM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1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0</v>
      </c>
      <c r="BK26" s="54">
        <f t="shared" si="19"/>
        <v>0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19</v>
      </c>
      <c r="C27" s="259">
        <f>'PD0101'!C27</f>
        <v>20</v>
      </c>
      <c r="D27" s="259">
        <f>'PD0101'!F27</f>
        <v>0</v>
      </c>
      <c r="E27" s="259">
        <f>'PD0101'!G27</f>
        <v>0</v>
      </c>
      <c r="F27" s="259">
        <f>'PD0101'!D27</f>
        <v>19</v>
      </c>
      <c r="G27" s="259">
        <f>'PD0101'!E27</f>
        <v>19</v>
      </c>
      <c r="H27" s="90">
        <f t="shared" si="33"/>
        <v>19</v>
      </c>
      <c r="I27" s="90">
        <f t="shared" si="33"/>
        <v>20</v>
      </c>
      <c r="J27" s="90">
        <f t="shared" si="33"/>
        <v>0</v>
      </c>
      <c r="K27" s="90">
        <f t="shared" si="33"/>
        <v>0</v>
      </c>
      <c r="L27" s="90">
        <f t="shared" si="33"/>
        <v>19</v>
      </c>
      <c r="M27" s="90">
        <f t="shared" si="33"/>
        <v>19</v>
      </c>
      <c r="N27" s="91">
        <f t="shared" si="1"/>
        <v>19</v>
      </c>
      <c r="O27" s="91">
        <f t="shared" si="2"/>
        <v>20</v>
      </c>
      <c r="P27" s="91">
        <f t="shared" si="3"/>
        <v>0</v>
      </c>
      <c r="Q27" s="91">
        <f t="shared" si="4"/>
        <v>0</v>
      </c>
      <c r="R27" s="91">
        <f t="shared" si="5"/>
        <v>19</v>
      </c>
      <c r="S27" s="91">
        <f t="shared" si="6"/>
        <v>19</v>
      </c>
      <c r="T27" s="92">
        <f t="shared" si="7"/>
        <v>0</v>
      </c>
      <c r="U27" s="92">
        <f t="shared" si="8"/>
        <v>0</v>
      </c>
      <c r="V27" s="93">
        <f>(IF((OR((P27="&gt;21"),(Q27="&gt;21"))),2,(IF(((T27+U27)=(P27+Q27)),0,1))))</f>
        <v>0</v>
      </c>
      <c r="W27" s="94">
        <f t="shared" si="34"/>
        <v>0</v>
      </c>
      <c r="X27" s="116">
        <f t="shared" si="30"/>
        <v>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EM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1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0</v>
      </c>
      <c r="BK27" s="54">
        <f t="shared" si="19"/>
        <v>0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13</v>
      </c>
      <c r="C28" s="259">
        <f>'PD0101'!C28</f>
        <v>13</v>
      </c>
      <c r="D28" s="259">
        <f>'PD0101'!F28</f>
        <v>0</v>
      </c>
      <c r="E28" s="259">
        <f>'PD0101'!G28</f>
        <v>0</v>
      </c>
      <c r="F28" s="259">
        <f>'PD0101'!D28</f>
        <v>13</v>
      </c>
      <c r="G28" s="259">
        <f>'PD0101'!E28</f>
        <v>13.2</v>
      </c>
      <c r="H28" s="90">
        <f t="shared" si="33"/>
        <v>13</v>
      </c>
      <c r="I28" s="90">
        <f t="shared" si="33"/>
        <v>13</v>
      </c>
      <c r="J28" s="90">
        <f t="shared" si="33"/>
        <v>0</v>
      </c>
      <c r="K28" s="90">
        <f t="shared" si="33"/>
        <v>0</v>
      </c>
      <c r="L28" s="90">
        <f t="shared" si="33"/>
        <v>13</v>
      </c>
      <c r="M28" s="90">
        <f t="shared" si="33"/>
        <v>13.2</v>
      </c>
      <c r="N28" s="91">
        <f t="shared" si="1"/>
        <v>13</v>
      </c>
      <c r="O28" s="91">
        <f t="shared" si="2"/>
        <v>13</v>
      </c>
      <c r="P28" s="91">
        <f t="shared" si="3"/>
        <v>0</v>
      </c>
      <c r="Q28" s="91">
        <f t="shared" si="4"/>
        <v>0</v>
      </c>
      <c r="R28" s="91">
        <f t="shared" si="5"/>
        <v>13</v>
      </c>
      <c r="S28" s="91">
        <f t="shared" si="6"/>
        <v>13.2</v>
      </c>
      <c r="T28" s="92">
        <f t="shared" si="7"/>
        <v>0</v>
      </c>
      <c r="U28" s="92">
        <f t="shared" si="8"/>
        <v>0</v>
      </c>
      <c r="V28" s="93">
        <f>(IF((OR((P28="&gt;20"),(Q28="&gt;20"))),2,(IF(((T28+U28)=(P28+Q28)),0,1))))</f>
        <v>0</v>
      </c>
      <c r="W28" s="94">
        <f t="shared" si="34"/>
        <v>0</v>
      </c>
      <c r="X28" s="116">
        <f t="shared" si="30"/>
        <v>0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EM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1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0</v>
      </c>
      <c r="BK28" s="54">
        <f t="shared" si="19"/>
        <v>0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23</v>
      </c>
      <c r="C29" s="259">
        <f>'PD0101'!C29</f>
        <v>25</v>
      </c>
      <c r="D29" s="259">
        <f>'PD0101'!F29</f>
        <v>0</v>
      </c>
      <c r="E29" s="259">
        <f>'PD0101'!G29</f>
        <v>0</v>
      </c>
      <c r="F29" s="259">
        <f>'PD0101'!D29</f>
        <v>21</v>
      </c>
      <c r="G29" s="259">
        <f>'PD0101'!E29</f>
        <v>23</v>
      </c>
      <c r="H29" s="90">
        <f t="shared" si="33"/>
        <v>23</v>
      </c>
      <c r="I29" s="90">
        <f t="shared" si="33"/>
        <v>25</v>
      </c>
      <c r="J29" s="90">
        <f t="shared" si="33"/>
        <v>0</v>
      </c>
      <c r="K29" s="90">
        <f t="shared" si="33"/>
        <v>0</v>
      </c>
      <c r="L29" s="90">
        <f t="shared" si="33"/>
        <v>21</v>
      </c>
      <c r="M29" s="90">
        <f t="shared" si="33"/>
        <v>23</v>
      </c>
      <c r="N29" s="91">
        <f t="shared" si="1"/>
        <v>23</v>
      </c>
      <c r="O29" s="91">
        <f t="shared" si="2"/>
        <v>25</v>
      </c>
      <c r="P29" s="91">
        <f t="shared" si="3"/>
        <v>0</v>
      </c>
      <c r="Q29" s="91">
        <f t="shared" si="4"/>
        <v>0</v>
      </c>
      <c r="R29" s="91">
        <f t="shared" si="5"/>
        <v>21</v>
      </c>
      <c r="S29" s="91">
        <f t="shared" si="6"/>
        <v>23</v>
      </c>
      <c r="T29" s="92">
        <f t="shared" si="7"/>
        <v>0</v>
      </c>
      <c r="U29" s="92">
        <f t="shared" si="8"/>
        <v>0</v>
      </c>
      <c r="V29" s="93">
        <f>(IF((OR((P29="&gt;23"),(Q29="&gt;23"))),2,(IF(((T29+U29)=(P29+Q29)),0,1))))</f>
        <v>0</v>
      </c>
      <c r="W29" s="94">
        <f t="shared" si="34"/>
        <v>0</v>
      </c>
      <c r="X29" s="116">
        <f t="shared" si="30"/>
        <v>0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EM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1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0</v>
      </c>
      <c r="BK29" s="54">
        <f t="shared" si="19"/>
        <v>0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10</v>
      </c>
      <c r="C30" s="259">
        <f>'PD0101'!C30</f>
        <v>16</v>
      </c>
      <c r="D30" s="259">
        <f>'PD0101'!F30</f>
        <v>0</v>
      </c>
      <c r="E30" s="259">
        <f>'PD0101'!G30</f>
        <v>0</v>
      </c>
      <c r="F30" s="259">
        <f>'PD0101'!D30</f>
        <v>10</v>
      </c>
      <c r="G30" s="259">
        <f>'PD0101'!E30</f>
        <v>16</v>
      </c>
      <c r="H30" s="90">
        <f t="shared" si="33"/>
        <v>10</v>
      </c>
      <c r="I30" s="90">
        <f t="shared" si="33"/>
        <v>16</v>
      </c>
      <c r="J30" s="90">
        <f t="shared" si="33"/>
        <v>0</v>
      </c>
      <c r="K30" s="90">
        <f t="shared" si="33"/>
        <v>0</v>
      </c>
      <c r="L30" s="90">
        <f t="shared" si="33"/>
        <v>10</v>
      </c>
      <c r="M30" s="90">
        <f t="shared" si="33"/>
        <v>16</v>
      </c>
      <c r="N30" s="91">
        <f t="shared" si="1"/>
        <v>10</v>
      </c>
      <c r="O30" s="91">
        <f t="shared" si="2"/>
        <v>16</v>
      </c>
      <c r="P30" s="91">
        <f t="shared" si="3"/>
        <v>0</v>
      </c>
      <c r="Q30" s="91">
        <f t="shared" si="4"/>
        <v>0</v>
      </c>
      <c r="R30" s="91">
        <f t="shared" si="5"/>
        <v>10</v>
      </c>
      <c r="S30" s="91">
        <f t="shared" si="6"/>
        <v>16</v>
      </c>
      <c r="T30" s="92">
        <f t="shared" si="7"/>
        <v>0</v>
      </c>
      <c r="U30" s="92">
        <f t="shared" si="8"/>
        <v>0</v>
      </c>
      <c r="V30" s="93">
        <f>(IF((OR((P30="&gt;22"),(Q30="&gt;22"))),2,(IF(((T30+U30)=(P30+Q30)),0,1))))</f>
        <v>0</v>
      </c>
      <c r="W30" s="94">
        <f t="shared" si="34"/>
        <v>0</v>
      </c>
      <c r="X30" s="116">
        <f t="shared" si="30"/>
        <v>0</v>
      </c>
      <c r="Y30" s="92">
        <f>(IF((AND((T30=0),(U30=0))),E30,(IF((W30&lt;&gt;$AJ$7),0,Q30))))</f>
        <v>0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0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EM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1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0</v>
      </c>
      <c r="BK30" s="54">
        <f t="shared" si="19"/>
        <v>0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15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231</v>
      </c>
      <c r="AS37" s="917"/>
      <c r="AT37" s="917"/>
      <c r="AU37" s="917"/>
      <c r="AV37" s="917"/>
      <c r="AW37" s="917"/>
      <c r="AX37" s="917"/>
      <c r="AY37" s="917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45902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</row>
    <row r="50" spans="1:59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</row>
    <row r="51" spans="1:59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</row>
    <row r="52" spans="1:59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94" t="s">
        <v>203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5"/>
      <c r="P1" s="795"/>
      <c r="Q1" s="795"/>
      <c r="R1" s="795"/>
      <c r="S1" s="795"/>
      <c r="T1" s="795"/>
      <c r="U1" s="795"/>
      <c r="V1" s="795"/>
      <c r="W1" s="795"/>
      <c r="X1" s="795"/>
      <c r="Y1" s="795"/>
      <c r="Z1" s="795"/>
      <c r="AA1" s="795"/>
      <c r="AB1" s="795"/>
      <c r="AC1" s="795"/>
      <c r="AD1" s="795"/>
      <c r="AE1" s="795"/>
      <c r="AF1" s="795"/>
      <c r="AG1" s="795"/>
      <c r="AH1" s="795"/>
      <c r="AI1" s="795"/>
      <c r="AJ1" s="795"/>
      <c r="AK1" s="795"/>
      <c r="AL1" s="795"/>
      <c r="AM1" s="795"/>
      <c r="AN1" s="796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11"/>
      <c r="C3" s="911"/>
      <c r="D3" s="911"/>
      <c r="E3" s="911"/>
      <c r="F3" s="911"/>
      <c r="G3" s="91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XX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ERRO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8" t="s">
        <v>88</v>
      </c>
      <c r="BA6" s="799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12" t="s">
        <v>226</v>
      </c>
      <c r="AR7" s="912"/>
      <c r="AS7" s="912"/>
      <c r="AT7" s="912"/>
      <c r="AU7" s="912"/>
      <c r="AV7" s="912"/>
      <c r="AZ7" s="798" t="s">
        <v>87</v>
      </c>
      <c r="BA7" s="799"/>
      <c r="BB7" s="892"/>
      <c r="BF7" s="2"/>
      <c r="BG7" s="2"/>
      <c r="BI7" s="798" t="s">
        <v>108</v>
      </c>
      <c r="BJ7" s="799"/>
      <c r="BK7" s="892"/>
      <c r="BL7" s="884" t="s">
        <v>109</v>
      </c>
      <c r="BM7" s="885"/>
      <c r="BN7" s="886"/>
      <c r="BO7" s="887" t="s">
        <v>111</v>
      </c>
      <c r="BP7" s="888"/>
      <c r="BQ7" s="889"/>
    </row>
    <row r="8" spans="1:80" s="1" customFormat="1" ht="16.5" thickTop="1" thickBot="1">
      <c r="A8" s="253" t="s">
        <v>50</v>
      </c>
      <c r="B8" s="909" t="s">
        <v>54</v>
      </c>
      <c r="C8" s="910"/>
      <c r="D8" s="909" t="s">
        <v>55</v>
      </c>
      <c r="E8" s="910"/>
      <c r="F8" s="909" t="s">
        <v>133</v>
      </c>
      <c r="G8" s="910"/>
      <c r="H8" s="909" t="s">
        <v>97</v>
      </c>
      <c r="I8" s="910"/>
      <c r="J8" s="909" t="s">
        <v>98</v>
      </c>
      <c r="K8" s="910"/>
      <c r="L8" s="909" t="s">
        <v>99</v>
      </c>
      <c r="M8" s="910"/>
      <c r="N8" s="909" t="s">
        <v>165</v>
      </c>
      <c r="O8" s="910"/>
      <c r="P8" s="909" t="s">
        <v>166</v>
      </c>
      <c r="Q8" s="910"/>
      <c r="R8" s="909" t="s">
        <v>167</v>
      </c>
      <c r="S8" s="910"/>
      <c r="T8" s="254" t="s">
        <v>135</v>
      </c>
      <c r="U8" s="254" t="s">
        <v>136</v>
      </c>
      <c r="V8" s="254" t="s">
        <v>137</v>
      </c>
      <c r="W8" s="255" t="s">
        <v>134</v>
      </c>
      <c r="X8" s="913" t="s">
        <v>138</v>
      </c>
      <c r="Y8" s="914"/>
      <c r="Z8" s="913" t="s">
        <v>141</v>
      </c>
      <c r="AA8" s="914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12"/>
      <c r="AR8" s="912"/>
      <c r="AS8" s="912"/>
      <c r="AT8" s="912"/>
      <c r="AU8" s="912"/>
      <c r="AV8" s="912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16</v>
      </c>
      <c r="C9" s="259">
        <f>'PD0101'!E9</f>
        <v>16</v>
      </c>
      <c r="D9" s="259">
        <f>'PD0101'!B9</f>
        <v>15</v>
      </c>
      <c r="E9" s="259">
        <f>'PD0101'!C9</f>
        <v>16</v>
      </c>
      <c r="F9" s="259">
        <f>'IMPORTAÇÃO GENOTIPER'!AY5</f>
        <v>0</v>
      </c>
      <c r="G9" s="259">
        <f>'IMPORTAÇÃO GENOTIPER'!BG5</f>
        <v>0</v>
      </c>
      <c r="H9" s="90">
        <f t="shared" ref="H9:M24" si="0">(IF(CODE(B9)=(60),($BF9-1),(IF(CODE(B9)=(62),($BG9+1),B9))))</f>
        <v>16</v>
      </c>
      <c r="I9" s="90">
        <f t="shared" si="0"/>
        <v>16</v>
      </c>
      <c r="J9" s="90">
        <f t="shared" si="0"/>
        <v>15</v>
      </c>
      <c r="K9" s="90">
        <f t="shared" si="0"/>
        <v>16</v>
      </c>
      <c r="L9" s="90">
        <f t="shared" si="0"/>
        <v>0</v>
      </c>
      <c r="M9" s="90">
        <f t="shared" si="0"/>
        <v>0</v>
      </c>
      <c r="N9" s="91">
        <f t="shared" ref="N9:N30" si="1">IF((H9&gt;I9),I9,H9)</f>
        <v>16</v>
      </c>
      <c r="O9" s="91">
        <f t="shared" ref="O9:O30" si="2">IF((I9&gt;H9),I9,H9)</f>
        <v>16</v>
      </c>
      <c r="P9" s="91">
        <f t="shared" ref="P9:P30" si="3">IF((J9&gt;K9),K9,J9)</f>
        <v>15</v>
      </c>
      <c r="Q9" s="91">
        <f t="shared" ref="Q9:Q30" si="4">IF((K9&gt;J9),K9,J9)</f>
        <v>16</v>
      </c>
      <c r="R9" s="91">
        <f t="shared" ref="R9:R30" si="5">IF((L9&gt;M9),M9,L9)</f>
        <v>0</v>
      </c>
      <c r="S9" s="91">
        <f t="shared" ref="S9:S30" si="6">IF((M9&gt;L9),M9,L9)</f>
        <v>0</v>
      </c>
      <c r="T9" s="92">
        <f t="shared" ref="T9:T30" si="7">IF((P9=N9),P9,(IF((P9=O9),P9,0)))</f>
        <v>0</v>
      </c>
      <c r="U9" s="92">
        <f t="shared" ref="U9:U30" si="8">IF((Q9=N9),Q9,(IF((Q9=O9),Q9,0)))</f>
        <v>16</v>
      </c>
      <c r="V9" s="93">
        <f>(IF((OR((P9="&gt;18"),(Q9="&gt;18"))),2,(IF(((T9+U9)=(P9+Q9)),0,1))))</f>
        <v>1</v>
      </c>
      <c r="W9" s="94">
        <f>IF(OR(($T9=$U9),($U9=0)),$T9,(IF(AND(($T9=0),($U9&lt;&gt;0)),$U9,$AJ$7)))</f>
        <v>16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ALELO ERRADO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16</v>
      </c>
      <c r="BK9" s="54">
        <f t="shared" ref="BK9:BK30" si="19">(IF((OR(($W9=($BF9-1)),($W9=($BG9+1)))),(CONCATENATE((BI9),(BJ9))),$W9))</f>
        <v>16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16</v>
      </c>
      <c r="C10" s="259">
        <f>'PD0101'!E10</f>
        <v>17</v>
      </c>
      <c r="D10" s="259">
        <f>'PD0101'!B10</f>
        <v>15</v>
      </c>
      <c r="E10" s="259">
        <f>'PD0101'!C10</f>
        <v>17</v>
      </c>
      <c r="F10" s="259">
        <f>'IMPORTAÇÃO GENOTIPER'!AY6</f>
        <v>0</v>
      </c>
      <c r="G10" s="259">
        <f>'IMPORTAÇÃO GENOTIPER'!BG6</f>
        <v>0</v>
      </c>
      <c r="H10" s="90">
        <f t="shared" si="0"/>
        <v>16</v>
      </c>
      <c r="I10" s="90">
        <f t="shared" si="0"/>
        <v>17</v>
      </c>
      <c r="J10" s="90">
        <f t="shared" si="0"/>
        <v>15</v>
      </c>
      <c r="K10" s="90">
        <f t="shared" si="0"/>
        <v>17</v>
      </c>
      <c r="L10" s="90">
        <f t="shared" si="0"/>
        <v>0</v>
      </c>
      <c r="M10" s="90">
        <f t="shared" si="0"/>
        <v>0</v>
      </c>
      <c r="N10" s="91">
        <f t="shared" si="1"/>
        <v>16</v>
      </c>
      <c r="O10" s="91">
        <f t="shared" si="2"/>
        <v>17</v>
      </c>
      <c r="P10" s="91">
        <f t="shared" si="3"/>
        <v>15</v>
      </c>
      <c r="Q10" s="91">
        <f t="shared" si="4"/>
        <v>17</v>
      </c>
      <c r="R10" s="91">
        <f t="shared" si="5"/>
        <v>0</v>
      </c>
      <c r="S10" s="91">
        <f t="shared" si="6"/>
        <v>0</v>
      </c>
      <c r="T10" s="92">
        <f t="shared" si="7"/>
        <v>0</v>
      </c>
      <c r="U10" s="92">
        <f t="shared" si="8"/>
        <v>17</v>
      </c>
      <c r="V10" s="93">
        <f>(IF((OR((P10="&gt;36"),(Q10="&gt;36"))),2,(IF(((T10+U10)=(P10+Q10)),0,1))))</f>
        <v>1</v>
      </c>
      <c r="W10" s="94">
        <f t="shared" ref="W10:W23" si="25">IF(OR((T10=U10),(U10=0)),T10,(IF(AND((T10=0),(U10&lt;&gt;0)),U10,$AJ$7)))</f>
        <v>17</v>
      </c>
      <c r="X10" s="116">
        <f>(ROUND( (IF((AND((T10=0),(U10=0))),D10,(IF((V10=2),S10,(IF((W10&lt;&gt;$AJ$7),(P10+Q10-W10),P10)))))),1))</f>
        <v>15</v>
      </c>
      <c r="Y10" s="92">
        <f>(IF((AND((T10=0),(U10=0))),E10,(IF((W10&lt;&gt;$AJ$7),0,Q10))))</f>
        <v>0</v>
      </c>
      <c r="Z10" s="95">
        <f t="shared" si="9"/>
        <v>0</v>
      </c>
      <c r="AA10" s="96">
        <f t="shared" si="10"/>
        <v>0</v>
      </c>
      <c r="AB10" s="97">
        <f>IF(X10=0,0,VLOOKUP(X10,FREQUENCIAS!$1:$1048576,(IF(($A10=FREQUENCIAS!$C$1),3,"ERRO")),FREQUENCIAS!$1:$1048576))</f>
        <v>0.15870000000000001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0</v>
      </c>
      <c r="AI10" s="100">
        <f t="shared" si="11"/>
        <v>0</v>
      </c>
      <c r="AJ10" s="101"/>
      <c r="AK10" s="102">
        <f t="shared" si="12"/>
        <v>1</v>
      </c>
      <c r="AL10" s="101"/>
      <c r="AM10" s="103" t="str">
        <f t="shared" si="13"/>
        <v>EXCLUI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1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0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17</v>
      </c>
      <c r="BK10" s="54">
        <f t="shared" si="19"/>
        <v>17</v>
      </c>
      <c r="BL10" s="57" t="str">
        <f t="shared" si="20"/>
        <v/>
      </c>
      <c r="BM10" s="63">
        <f t="shared" si="21"/>
        <v>0</v>
      </c>
      <c r="BN10" s="57">
        <f t="shared" si="22"/>
        <v>0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10</v>
      </c>
      <c r="C11" s="259">
        <f>'PD0101'!E11</f>
        <v>12</v>
      </c>
      <c r="D11" s="259">
        <f>'PD0101'!B11</f>
        <v>10</v>
      </c>
      <c r="E11" s="259">
        <f>'PD0101'!C11</f>
        <v>10</v>
      </c>
      <c r="F11" s="259">
        <f>'IMPORTAÇÃO GENOTIPER'!AY7</f>
        <v>0</v>
      </c>
      <c r="G11" s="259">
        <f>'IMPORTAÇÃO GENOTIPER'!BG7</f>
        <v>0</v>
      </c>
      <c r="H11" s="90">
        <f t="shared" si="0"/>
        <v>10</v>
      </c>
      <c r="I11" s="90">
        <f t="shared" si="0"/>
        <v>12</v>
      </c>
      <c r="J11" s="90">
        <f t="shared" si="0"/>
        <v>10</v>
      </c>
      <c r="K11" s="90">
        <f t="shared" si="0"/>
        <v>10</v>
      </c>
      <c r="L11" s="90">
        <f t="shared" si="0"/>
        <v>0</v>
      </c>
      <c r="M11" s="90">
        <f t="shared" si="0"/>
        <v>0</v>
      </c>
      <c r="N11" s="91">
        <f t="shared" si="1"/>
        <v>10</v>
      </c>
      <c r="O11" s="91">
        <f t="shared" si="2"/>
        <v>12</v>
      </c>
      <c r="P11" s="91">
        <f t="shared" si="3"/>
        <v>10</v>
      </c>
      <c r="Q11" s="91">
        <f t="shared" si="4"/>
        <v>10</v>
      </c>
      <c r="R11" s="91">
        <f t="shared" si="5"/>
        <v>0</v>
      </c>
      <c r="S11" s="91">
        <f t="shared" si="6"/>
        <v>0</v>
      </c>
      <c r="T11" s="92">
        <f t="shared" si="7"/>
        <v>10</v>
      </c>
      <c r="U11" s="92">
        <f t="shared" si="8"/>
        <v>10</v>
      </c>
      <c r="V11" s="93">
        <f>(IF((OR((P11="&gt;22"),(Q11="&gt;22"))),2,(IF(((T11+U11)=(P11+Q11)),0,1))))</f>
        <v>0</v>
      </c>
      <c r="W11" s="94">
        <f t="shared" si="25"/>
        <v>10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0</v>
      </c>
      <c r="AI11" s="100">
        <f t="shared" si="11"/>
        <v>0</v>
      </c>
      <c r="AJ11" s="101"/>
      <c r="AK11" s="102">
        <f t="shared" si="12"/>
        <v>1</v>
      </c>
      <c r="AL11" s="101"/>
      <c r="AM11" s="103" t="str">
        <f t="shared" si="13"/>
        <v>EXCLUI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1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0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0</v>
      </c>
      <c r="BN11" s="57">
        <f t="shared" si="22"/>
        <v>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13</v>
      </c>
      <c r="C12" s="261">
        <f>'PD0101'!E12</f>
        <v>13</v>
      </c>
      <c r="D12" s="261">
        <f>'PD0101'!B12</f>
        <v>13</v>
      </c>
      <c r="E12" s="261">
        <f>'PD0101'!C12</f>
        <v>16</v>
      </c>
      <c r="F12" s="261">
        <f>'IMPORTAÇÃO GENOTIPER'!AY8</f>
        <v>0</v>
      </c>
      <c r="G12" s="261">
        <f>'IMPORTAÇÃO GENOTIPER'!BG8</f>
        <v>0</v>
      </c>
      <c r="H12" s="112">
        <f t="shared" si="0"/>
        <v>13</v>
      </c>
      <c r="I12" s="112">
        <f t="shared" si="0"/>
        <v>13</v>
      </c>
      <c r="J12" s="112">
        <f t="shared" si="0"/>
        <v>13</v>
      </c>
      <c r="K12" s="112">
        <f t="shared" si="0"/>
        <v>16</v>
      </c>
      <c r="L12" s="112">
        <f t="shared" si="0"/>
        <v>0</v>
      </c>
      <c r="M12" s="112">
        <f t="shared" si="0"/>
        <v>0</v>
      </c>
      <c r="N12" s="113">
        <f t="shared" si="1"/>
        <v>13</v>
      </c>
      <c r="O12" s="113">
        <f t="shared" si="2"/>
        <v>13</v>
      </c>
      <c r="P12" s="113">
        <f t="shared" si="3"/>
        <v>13</v>
      </c>
      <c r="Q12" s="113">
        <f t="shared" si="4"/>
        <v>16</v>
      </c>
      <c r="R12" s="113">
        <f t="shared" si="5"/>
        <v>0</v>
      </c>
      <c r="S12" s="113">
        <f t="shared" si="6"/>
        <v>0</v>
      </c>
      <c r="T12" s="114">
        <f t="shared" si="7"/>
        <v>13</v>
      </c>
      <c r="U12" s="114">
        <f t="shared" si="8"/>
        <v>0</v>
      </c>
      <c r="V12" s="115">
        <f>(IF((OR((P12="&gt;21"),(Q12="&gt;21"))),2,(IF(((T12+U12)=(P12+Q12)),0,1))))</f>
        <v>1</v>
      </c>
      <c r="W12" s="114">
        <f t="shared" si="25"/>
        <v>13</v>
      </c>
      <c r="X12" s="116">
        <f>(ROUND( (IF((AND((T12=0),(U12=0))),D12,(IF((V12=2),S12,(IF((W12&lt;&gt;$AJ$7),(P12+Q12-W12),P12)))))),1))</f>
        <v>16</v>
      </c>
      <c r="Y12" s="114">
        <f xml:space="preserve"> (IF((AND((T12=0),(U12=0))),E12,(IF((W12&lt;&gt;$AJ$7),0,Q12))))</f>
        <v>0</v>
      </c>
      <c r="Z12" s="117">
        <f t="shared" si="9"/>
        <v>0</v>
      </c>
      <c r="AA12" s="118">
        <f t="shared" si="10"/>
        <v>0</v>
      </c>
      <c r="AB12" s="119">
        <f>IF(X12=0,0,VLOOKUP(X12,FREQUENCIAS!$1:$1048576,(IF(($A12=FREQUENCIAS!$E$1),5,"ERRO")),FREQUENCIAS!$1:$1048576))</f>
        <v>0.11559999999999999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0</v>
      </c>
      <c r="AI12" s="122">
        <f t="shared" si="11"/>
        <v>0</v>
      </c>
      <c r="AJ12" s="123" t="s">
        <v>140</v>
      </c>
      <c r="AK12" s="124">
        <f t="shared" si="12"/>
        <v>1</v>
      </c>
      <c r="AL12" s="123"/>
      <c r="AM12" s="125" t="str">
        <f t="shared" si="13"/>
        <v>EXCLUI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1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0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I12" s="114" t="str">
        <f t="shared" si="17"/>
        <v/>
      </c>
      <c r="BJ12" s="114">
        <f t="shared" si="18"/>
        <v>13</v>
      </c>
      <c r="BK12" s="114">
        <f t="shared" si="19"/>
        <v>13</v>
      </c>
      <c r="BL12" s="114" t="str">
        <f t="shared" si="20"/>
        <v/>
      </c>
      <c r="BM12" s="114">
        <f t="shared" si="21"/>
        <v>0</v>
      </c>
      <c r="BN12" s="114">
        <f t="shared" si="22"/>
        <v>0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12</v>
      </c>
      <c r="C13" s="259">
        <f>'PD0101'!E13</f>
        <v>12</v>
      </c>
      <c r="D13" s="259">
        <f>'PD0101'!B13</f>
        <v>11</v>
      </c>
      <c r="E13" s="259">
        <f>'PD0101'!C13</f>
        <v>12</v>
      </c>
      <c r="F13" s="259">
        <f>'IMPORTAÇÃO GENOTIPER'!AY9</f>
        <v>0</v>
      </c>
      <c r="G13" s="259">
        <f>'IMPORTAÇÃO GENOTIPER'!BG9</f>
        <v>0</v>
      </c>
      <c r="H13" s="90">
        <f t="shared" si="0"/>
        <v>12</v>
      </c>
      <c r="I13" s="90">
        <f t="shared" si="0"/>
        <v>12</v>
      </c>
      <c r="J13" s="90">
        <f t="shared" si="0"/>
        <v>11</v>
      </c>
      <c r="K13" s="90">
        <f t="shared" si="0"/>
        <v>12</v>
      </c>
      <c r="L13" s="90">
        <f t="shared" si="0"/>
        <v>0</v>
      </c>
      <c r="M13" s="90">
        <f t="shared" si="0"/>
        <v>0</v>
      </c>
      <c r="N13" s="91">
        <f t="shared" si="1"/>
        <v>12</v>
      </c>
      <c r="O13" s="91">
        <f t="shared" si="2"/>
        <v>12</v>
      </c>
      <c r="P13" s="91">
        <f t="shared" si="3"/>
        <v>11</v>
      </c>
      <c r="Q13" s="91">
        <f t="shared" si="4"/>
        <v>12</v>
      </c>
      <c r="R13" s="91">
        <f t="shared" si="5"/>
        <v>0</v>
      </c>
      <c r="S13" s="91">
        <f t="shared" si="6"/>
        <v>0</v>
      </c>
      <c r="T13" s="92">
        <f t="shared" si="7"/>
        <v>0</v>
      </c>
      <c r="U13" s="92">
        <f t="shared" si="8"/>
        <v>12</v>
      </c>
      <c r="V13" s="93">
        <f>(IF((OR((P13="&gt;21"),(Q13="&gt;21"))),2,(IF(((T13+U13)=(P13+Q13)),0,1))))</f>
        <v>1</v>
      </c>
      <c r="W13" s="94">
        <f t="shared" si="25"/>
        <v>12</v>
      </c>
      <c r="X13" s="116">
        <f t="shared" ref="X13:X30" si="30">(ROUND( (IF((AND((T13=0),(U13=0))),D13,(IF((V13=2),S13,(IF((W13&lt;&gt;$AJ$7),(P13+Q13-W13),P13)))))),1))</f>
        <v>11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2.95179E-2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12</v>
      </c>
      <c r="BK13" s="54">
        <f t="shared" si="19"/>
        <v>12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8</v>
      </c>
      <c r="C14" s="259">
        <f>'PD0101'!E14</f>
        <v>13</v>
      </c>
      <c r="D14" s="259">
        <f>'PD0101'!B14</f>
        <v>12</v>
      </c>
      <c r="E14" s="259">
        <f>'PD0101'!C14</f>
        <v>13</v>
      </c>
      <c r="F14" s="259">
        <f>'IMPORTAÇÃO GENOTIPER'!AY10</f>
        <v>0</v>
      </c>
      <c r="G14" s="259">
        <f>'IMPORTAÇÃO GENOTIPER'!BG10</f>
        <v>0</v>
      </c>
      <c r="H14" s="90">
        <f t="shared" si="0"/>
        <v>8</v>
      </c>
      <c r="I14" s="90">
        <f t="shared" si="0"/>
        <v>13</v>
      </c>
      <c r="J14" s="90">
        <f t="shared" si="0"/>
        <v>12</v>
      </c>
      <c r="K14" s="90">
        <f t="shared" si="0"/>
        <v>13</v>
      </c>
      <c r="L14" s="90">
        <f t="shared" si="0"/>
        <v>0</v>
      </c>
      <c r="M14" s="90">
        <f t="shared" si="0"/>
        <v>0</v>
      </c>
      <c r="N14" s="91">
        <f t="shared" si="1"/>
        <v>8</v>
      </c>
      <c r="O14" s="91">
        <f t="shared" si="2"/>
        <v>13</v>
      </c>
      <c r="P14" s="91">
        <f t="shared" si="3"/>
        <v>12</v>
      </c>
      <c r="Q14" s="91">
        <f t="shared" si="4"/>
        <v>13</v>
      </c>
      <c r="R14" s="91">
        <f t="shared" si="5"/>
        <v>0</v>
      </c>
      <c r="S14" s="91">
        <f t="shared" si="6"/>
        <v>0</v>
      </c>
      <c r="T14" s="92">
        <f t="shared" si="7"/>
        <v>0</v>
      </c>
      <c r="U14" s="92">
        <f t="shared" si="8"/>
        <v>13</v>
      </c>
      <c r="V14" s="93">
        <f>(IF((OR((P14="&gt;20"),(Q14="&gt;20"))),2,(IF(((T14+U14)=(P14+Q14)),0,1))))</f>
        <v>1</v>
      </c>
      <c r="W14" s="94">
        <f t="shared" si="25"/>
        <v>13</v>
      </c>
      <c r="X14" s="116">
        <f t="shared" si="30"/>
        <v>12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13</v>
      </c>
      <c r="BK14" s="54">
        <f t="shared" si="19"/>
        <v>13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9</v>
      </c>
      <c r="C15" s="259">
        <f>'PD0101'!E15</f>
        <v>11</v>
      </c>
      <c r="D15" s="259">
        <f>'PD0101'!B15</f>
        <v>9</v>
      </c>
      <c r="E15" s="259">
        <f>'PD0101'!C15</f>
        <v>11</v>
      </c>
      <c r="F15" s="259">
        <f>'IMPORTAÇÃO GENOTIPER'!AY11</f>
        <v>0</v>
      </c>
      <c r="G15" s="259">
        <f>'IMPORTAÇÃO GENOTIPER'!BG11</f>
        <v>0</v>
      </c>
      <c r="H15" s="90">
        <f t="shared" si="0"/>
        <v>9</v>
      </c>
      <c r="I15" s="90">
        <f t="shared" si="0"/>
        <v>11</v>
      </c>
      <c r="J15" s="90">
        <f t="shared" si="0"/>
        <v>9</v>
      </c>
      <c r="K15" s="90">
        <f t="shared" si="0"/>
        <v>11</v>
      </c>
      <c r="L15" s="90">
        <f t="shared" si="0"/>
        <v>0</v>
      </c>
      <c r="M15" s="90">
        <f t="shared" si="0"/>
        <v>0</v>
      </c>
      <c r="N15" s="91">
        <f t="shared" si="1"/>
        <v>9</v>
      </c>
      <c r="O15" s="91">
        <f t="shared" si="2"/>
        <v>11</v>
      </c>
      <c r="P15" s="91">
        <f t="shared" si="3"/>
        <v>9</v>
      </c>
      <c r="Q15" s="91">
        <f t="shared" si="4"/>
        <v>11</v>
      </c>
      <c r="R15" s="91">
        <f t="shared" si="5"/>
        <v>0</v>
      </c>
      <c r="S15" s="91">
        <f t="shared" si="6"/>
        <v>0</v>
      </c>
      <c r="T15" s="92">
        <f t="shared" si="7"/>
        <v>9</v>
      </c>
      <c r="U15" s="92">
        <f t="shared" si="8"/>
        <v>11</v>
      </c>
      <c r="V15" s="93">
        <f>(IF((OR((P15="&gt;23"),(Q15="&gt;23"))),2,(IF(((T15+U15)=(P15+Q15)),0,1))))</f>
        <v>0</v>
      </c>
      <c r="W15" s="94" t="str">
        <f t="shared" si="25"/>
        <v>NÃO DEF</v>
      </c>
      <c r="X15" s="116">
        <f t="shared" si="30"/>
        <v>9</v>
      </c>
      <c r="Y15" s="92">
        <f t="shared" si="31"/>
        <v>11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0.28868100000000002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I15" s="54" t="str">
        <f t="shared" si="17"/>
        <v/>
      </c>
      <c r="BJ15" s="54" t="str">
        <f t="shared" si="18"/>
        <v>NÃO DEF</v>
      </c>
      <c r="BK15" s="54" t="str">
        <f t="shared" si="19"/>
        <v>NÃO DEF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14</v>
      </c>
      <c r="C16" s="259">
        <f>'PD0101'!E16</f>
        <v>18</v>
      </c>
      <c r="D16" s="259">
        <f>'PD0101'!B16</f>
        <v>14</v>
      </c>
      <c r="E16" s="259">
        <f>'PD0101'!C16</f>
        <v>15</v>
      </c>
      <c r="F16" s="259">
        <f>'IMPORTAÇÃO GENOTIPER'!AY12</f>
        <v>0</v>
      </c>
      <c r="G16" s="259">
        <f>'IMPORTAÇÃO GENOTIPER'!BG12</f>
        <v>0</v>
      </c>
      <c r="H16" s="90">
        <f t="shared" si="0"/>
        <v>14</v>
      </c>
      <c r="I16" s="90">
        <f t="shared" si="0"/>
        <v>18</v>
      </c>
      <c r="J16" s="90">
        <f t="shared" si="0"/>
        <v>14</v>
      </c>
      <c r="K16" s="90">
        <f t="shared" si="0"/>
        <v>15</v>
      </c>
      <c r="L16" s="90">
        <f t="shared" si="0"/>
        <v>0</v>
      </c>
      <c r="M16" s="90">
        <f t="shared" si="0"/>
        <v>0</v>
      </c>
      <c r="N16" s="91">
        <f t="shared" si="1"/>
        <v>14</v>
      </c>
      <c r="O16" s="91">
        <f t="shared" si="2"/>
        <v>18</v>
      </c>
      <c r="P16" s="91">
        <f t="shared" si="3"/>
        <v>14</v>
      </c>
      <c r="Q16" s="91">
        <f t="shared" si="4"/>
        <v>15</v>
      </c>
      <c r="R16" s="91">
        <f t="shared" si="5"/>
        <v>0</v>
      </c>
      <c r="S16" s="91">
        <f t="shared" si="6"/>
        <v>0</v>
      </c>
      <c r="T16" s="92">
        <f t="shared" si="7"/>
        <v>14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14</v>
      </c>
      <c r="X16" s="116">
        <f t="shared" si="30"/>
        <v>15</v>
      </c>
      <c r="Y16" s="92">
        <f t="shared" si="31"/>
        <v>0</v>
      </c>
      <c r="Z16" s="95">
        <f t="shared" si="9"/>
        <v>0</v>
      </c>
      <c r="AA16" s="96">
        <f t="shared" si="10"/>
        <v>0</v>
      </c>
      <c r="AB16" s="97">
        <f>IF(X16=0,0,VLOOKUP(X16,FREQUENCIAS!$1:$1048576,(IF(($A16=FREQUENCIAS!$I$1),9,"ERRO")),FREQUENCIAS!$1:$1048576))</f>
        <v>0.15221299999999999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0</v>
      </c>
      <c r="AI16" s="100">
        <f t="shared" si="11"/>
        <v>0</v>
      </c>
      <c r="AJ16" s="101"/>
      <c r="AK16" s="102">
        <f t="shared" si="12"/>
        <v>1</v>
      </c>
      <c r="AL16" s="101"/>
      <c r="AM16" s="103" t="str">
        <f t="shared" si="13"/>
        <v>EXCLUI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1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0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I16" s="54" t="str">
        <f t="shared" si="17"/>
        <v/>
      </c>
      <c r="BJ16" s="54">
        <f t="shared" si="18"/>
        <v>15</v>
      </c>
      <c r="BK16" s="54">
        <f t="shared" si="19"/>
        <v>14</v>
      </c>
      <c r="BL16" s="57" t="str">
        <f t="shared" si="20"/>
        <v/>
      </c>
      <c r="BM16" s="57">
        <f t="shared" si="21"/>
        <v>0</v>
      </c>
      <c r="BN16" s="57">
        <f t="shared" si="22"/>
        <v>0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16</v>
      </c>
      <c r="C17" s="259">
        <f>'PD0101'!E17</f>
        <v>24</v>
      </c>
      <c r="D17" s="259">
        <f>'PD0101'!B17</f>
        <v>21</v>
      </c>
      <c r="E17" s="259">
        <f>'PD0101'!C17</f>
        <v>24</v>
      </c>
      <c r="F17" s="259">
        <f>'IMPORTAÇÃO GENOTIPER'!AY13</f>
        <v>0</v>
      </c>
      <c r="G17" s="259">
        <f>'IMPORTAÇÃO GENOTIPER'!BG13</f>
        <v>0</v>
      </c>
      <c r="H17" s="90">
        <f t="shared" si="0"/>
        <v>16</v>
      </c>
      <c r="I17" s="90">
        <f t="shared" si="0"/>
        <v>24</v>
      </c>
      <c r="J17" s="90">
        <f t="shared" si="0"/>
        <v>21</v>
      </c>
      <c r="K17" s="90">
        <f t="shared" si="0"/>
        <v>24</v>
      </c>
      <c r="L17" s="90">
        <f t="shared" si="0"/>
        <v>0</v>
      </c>
      <c r="M17" s="90">
        <f t="shared" si="0"/>
        <v>0</v>
      </c>
      <c r="N17" s="91">
        <f t="shared" si="1"/>
        <v>16</v>
      </c>
      <c r="O17" s="91">
        <f t="shared" si="2"/>
        <v>24</v>
      </c>
      <c r="P17" s="91">
        <f t="shared" si="3"/>
        <v>21</v>
      </c>
      <c r="Q17" s="91">
        <f t="shared" si="4"/>
        <v>24</v>
      </c>
      <c r="R17" s="91">
        <f t="shared" si="5"/>
        <v>0</v>
      </c>
      <c r="S17" s="91">
        <f t="shared" si="6"/>
        <v>0</v>
      </c>
      <c r="T17" s="92">
        <f t="shared" si="7"/>
        <v>0</v>
      </c>
      <c r="U17" s="92">
        <f t="shared" si="8"/>
        <v>24</v>
      </c>
      <c r="V17" s="93">
        <f>(IF((OR((P17="&gt;28"),(Q17="&gt;28"))),2,(IF(((T17+U17)=(P17+Q17)),0,1))))</f>
        <v>1</v>
      </c>
      <c r="W17" s="94">
        <f t="shared" si="25"/>
        <v>24</v>
      </c>
      <c r="X17" s="116">
        <f t="shared" si="30"/>
        <v>21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0.06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I17" s="54" t="str">
        <f t="shared" si="17"/>
        <v/>
      </c>
      <c r="BJ17" s="54">
        <f t="shared" si="18"/>
        <v>24</v>
      </c>
      <c r="BK17" s="54">
        <f t="shared" si="19"/>
        <v>24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10</v>
      </c>
      <c r="C18" s="259">
        <f>'PD0101'!E18</f>
        <v>13</v>
      </c>
      <c r="D18" s="259">
        <f>'PD0101'!B18</f>
        <v>12</v>
      </c>
      <c r="E18" s="259">
        <f>'PD0101'!C18</f>
        <v>13</v>
      </c>
      <c r="F18" s="259">
        <f>'IMPORTAÇÃO GENOTIPER'!AY14</f>
        <v>0</v>
      </c>
      <c r="G18" s="259">
        <f>'IMPORTAÇÃO GENOTIPER'!BG14</f>
        <v>0</v>
      </c>
      <c r="H18" s="90">
        <f t="shared" si="0"/>
        <v>10</v>
      </c>
      <c r="I18" s="90">
        <f t="shared" si="0"/>
        <v>13</v>
      </c>
      <c r="J18" s="90">
        <f t="shared" si="0"/>
        <v>12</v>
      </c>
      <c r="K18" s="90">
        <f t="shared" si="0"/>
        <v>13</v>
      </c>
      <c r="L18" s="90">
        <f t="shared" si="0"/>
        <v>0</v>
      </c>
      <c r="M18" s="90">
        <f t="shared" si="0"/>
        <v>0</v>
      </c>
      <c r="N18" s="91">
        <f t="shared" si="1"/>
        <v>10</v>
      </c>
      <c r="O18" s="91">
        <f t="shared" si="2"/>
        <v>13</v>
      </c>
      <c r="P18" s="91">
        <f t="shared" si="3"/>
        <v>12</v>
      </c>
      <c r="Q18" s="91">
        <f t="shared" si="4"/>
        <v>13</v>
      </c>
      <c r="R18" s="91">
        <f t="shared" si="5"/>
        <v>0</v>
      </c>
      <c r="S18" s="91">
        <f t="shared" si="6"/>
        <v>0</v>
      </c>
      <c r="T18" s="92">
        <f t="shared" si="7"/>
        <v>0</v>
      </c>
      <c r="U18" s="92">
        <f t="shared" si="8"/>
        <v>13</v>
      </c>
      <c r="V18" s="93">
        <f>(IF((OR((P18="&gt;17,2"),(Q18="&gt;17,2"))),2,(IF(((T18+U18)=(P18+Q18)),0,1))))</f>
        <v>1</v>
      </c>
      <c r="W18" s="94">
        <f t="shared" si="25"/>
        <v>13</v>
      </c>
      <c r="X18" s="116">
        <f t="shared" si="30"/>
        <v>12</v>
      </c>
      <c r="Y18" s="92">
        <f t="shared" si="31"/>
        <v>0</v>
      </c>
      <c r="Z18" s="95">
        <f t="shared" si="9"/>
        <v>0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0</v>
      </c>
      <c r="AI18" s="100">
        <f t="shared" si="11"/>
        <v>0</v>
      </c>
      <c r="AJ18" s="101"/>
      <c r="AK18" s="102">
        <f t="shared" si="12"/>
        <v>1</v>
      </c>
      <c r="AL18" s="101"/>
      <c r="AM18" s="103" t="str">
        <f t="shared" si="13"/>
        <v>EXCLUI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1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0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I18" s="54" t="str">
        <f t="shared" si="17"/>
        <v/>
      </c>
      <c r="BJ18" s="54">
        <f t="shared" si="18"/>
        <v>13</v>
      </c>
      <c r="BK18" s="54">
        <f t="shared" si="19"/>
        <v>13</v>
      </c>
      <c r="BL18" s="57" t="str">
        <f t="shared" si="20"/>
        <v/>
      </c>
      <c r="BM18" s="57">
        <f t="shared" si="21"/>
        <v>0</v>
      </c>
      <c r="BN18" s="57">
        <f t="shared" si="22"/>
        <v>0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12</v>
      </c>
      <c r="C19" s="259">
        <f>'PD0101'!E19</f>
        <v>12</v>
      </c>
      <c r="D19" s="259">
        <f>'PD0101'!B19</f>
        <v>9</v>
      </c>
      <c r="E19" s="259">
        <f>'PD0101'!C19</f>
        <v>12</v>
      </c>
      <c r="F19" s="259">
        <f>'IMPORTAÇÃO GENOTIPER'!AY15</f>
        <v>0</v>
      </c>
      <c r="G19" s="259">
        <f>'IMPORTAÇÃO GENOTIPER'!BG15</f>
        <v>0</v>
      </c>
      <c r="H19" s="90">
        <f t="shared" si="0"/>
        <v>12</v>
      </c>
      <c r="I19" s="90">
        <f t="shared" si="0"/>
        <v>12</v>
      </c>
      <c r="J19" s="90">
        <f t="shared" si="0"/>
        <v>9</v>
      </c>
      <c r="K19" s="90">
        <f t="shared" si="0"/>
        <v>12</v>
      </c>
      <c r="L19" s="90">
        <f t="shared" si="0"/>
        <v>0</v>
      </c>
      <c r="M19" s="90">
        <f t="shared" si="0"/>
        <v>0</v>
      </c>
      <c r="N19" s="91">
        <f t="shared" si="1"/>
        <v>12</v>
      </c>
      <c r="O19" s="91">
        <f t="shared" si="2"/>
        <v>12</v>
      </c>
      <c r="P19" s="91">
        <f t="shared" si="3"/>
        <v>9</v>
      </c>
      <c r="Q19" s="91">
        <f t="shared" si="4"/>
        <v>12</v>
      </c>
      <c r="R19" s="91">
        <f t="shared" si="5"/>
        <v>0</v>
      </c>
      <c r="S19" s="91">
        <f t="shared" si="6"/>
        <v>0</v>
      </c>
      <c r="T19" s="92">
        <f t="shared" si="7"/>
        <v>0</v>
      </c>
      <c r="U19" s="92">
        <f t="shared" si="8"/>
        <v>12</v>
      </c>
      <c r="V19" s="93">
        <f>(IF((OR((P19="&gt;21"),(Q19="&gt;21"))),2,(IF(((T19+U19)=(P19+Q19)),0,1))))</f>
        <v>1</v>
      </c>
      <c r="W19" s="94">
        <f t="shared" si="25"/>
        <v>12</v>
      </c>
      <c r="X19" s="116">
        <f t="shared" si="30"/>
        <v>9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12</v>
      </c>
      <c r="BK19" s="54">
        <f t="shared" si="19"/>
        <v>12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9</v>
      </c>
      <c r="C20" s="259">
        <f>'PD0101'!E20</f>
        <v>9</v>
      </c>
      <c r="D20" s="259">
        <f>'PD0101'!B20</f>
        <v>9</v>
      </c>
      <c r="E20" s="259">
        <f>'PD0101'!C20</f>
        <v>9</v>
      </c>
      <c r="F20" s="259">
        <f>'IMPORTAÇÃO GENOTIPER'!AY16</f>
        <v>0</v>
      </c>
      <c r="G20" s="259">
        <f>'IMPORTAÇÃO GENOTIPER'!BG16</f>
        <v>0</v>
      </c>
      <c r="H20" s="90">
        <f t="shared" si="0"/>
        <v>9</v>
      </c>
      <c r="I20" s="90">
        <f t="shared" si="0"/>
        <v>9</v>
      </c>
      <c r="J20" s="90">
        <f t="shared" si="0"/>
        <v>9</v>
      </c>
      <c r="K20" s="90">
        <f t="shared" si="0"/>
        <v>9</v>
      </c>
      <c r="L20" s="90">
        <f t="shared" si="0"/>
        <v>0</v>
      </c>
      <c r="M20" s="90">
        <f t="shared" si="0"/>
        <v>0</v>
      </c>
      <c r="N20" s="91">
        <f t="shared" si="1"/>
        <v>9</v>
      </c>
      <c r="O20" s="91">
        <f t="shared" si="2"/>
        <v>9</v>
      </c>
      <c r="P20" s="91">
        <f t="shared" si="3"/>
        <v>9</v>
      </c>
      <c r="Q20" s="91">
        <f t="shared" si="4"/>
        <v>9</v>
      </c>
      <c r="R20" s="91">
        <f t="shared" si="5"/>
        <v>0</v>
      </c>
      <c r="S20" s="91">
        <f t="shared" si="6"/>
        <v>0</v>
      </c>
      <c r="T20" s="92">
        <f t="shared" si="7"/>
        <v>9</v>
      </c>
      <c r="U20" s="92">
        <f t="shared" si="8"/>
        <v>9</v>
      </c>
      <c r="V20" s="93">
        <f>(IF((OR((P20="&gt;20"),(Q20="&gt;20"))),2,(IF(((T20+U20)=(P20+Q20)),0,1))))</f>
        <v>0</v>
      </c>
      <c r="W20" s="94">
        <f t="shared" si="25"/>
        <v>9</v>
      </c>
      <c r="X20" s="116">
        <f t="shared" si="30"/>
        <v>9</v>
      </c>
      <c r="Y20" s="92">
        <f t="shared" si="31"/>
        <v>0</v>
      </c>
      <c r="Z20" s="95">
        <f t="shared" si="9"/>
        <v>0</v>
      </c>
      <c r="AA20" s="96">
        <f t="shared" si="10"/>
        <v>0</v>
      </c>
      <c r="AB20" s="97">
        <f>IF(X20=0,0,VLOOKUP(X20,FREQUENCIAS!$1:$1048576,(IF(($A20=FREQUENCIAS!$M$1),13,"ERRO")),FREQUENCIAS!$1:$1048576))</f>
        <v>0.16256300000000001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0</v>
      </c>
      <c r="AI20" s="100">
        <f t="shared" si="11"/>
        <v>0</v>
      </c>
      <c r="AJ20" s="101"/>
      <c r="AK20" s="102">
        <f t="shared" si="12"/>
        <v>1</v>
      </c>
      <c r="AL20" s="101"/>
      <c r="AM20" s="103" t="str">
        <f t="shared" si="13"/>
        <v>EXCLUI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1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0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I20" s="54" t="str">
        <f t="shared" si="17"/>
        <v/>
      </c>
      <c r="BJ20" s="54">
        <f t="shared" si="18"/>
        <v>9</v>
      </c>
      <c r="BK20" s="54">
        <f t="shared" si="19"/>
        <v>9</v>
      </c>
      <c r="BL20" s="57" t="str">
        <f t="shared" si="20"/>
        <v/>
      </c>
      <c r="BM20" s="57">
        <f t="shared" si="21"/>
        <v>0</v>
      </c>
      <c r="BN20" s="57">
        <f t="shared" si="22"/>
        <v>0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15</v>
      </c>
      <c r="C21" s="259">
        <f>'PD0101'!E21</f>
        <v>15</v>
      </c>
      <c r="D21" s="259">
        <f>'PD0101'!B21</f>
        <v>15</v>
      </c>
      <c r="E21" s="259">
        <f>'PD0101'!C21</f>
        <v>16</v>
      </c>
      <c r="F21" s="259">
        <f>'IMPORTAÇÃO GENOTIPER'!AY17</f>
        <v>0</v>
      </c>
      <c r="G21" s="259">
        <f>'IMPORTAÇÃO GENOTIPER'!BG17</f>
        <v>0</v>
      </c>
      <c r="H21" s="90">
        <f t="shared" si="0"/>
        <v>15</v>
      </c>
      <c r="I21" s="90">
        <f t="shared" si="0"/>
        <v>15</v>
      </c>
      <c r="J21" s="90">
        <f t="shared" si="0"/>
        <v>15</v>
      </c>
      <c r="K21" s="90">
        <f t="shared" si="0"/>
        <v>16</v>
      </c>
      <c r="L21" s="90">
        <f t="shared" si="0"/>
        <v>0</v>
      </c>
      <c r="M21" s="90">
        <f t="shared" si="0"/>
        <v>0</v>
      </c>
      <c r="N21" s="91">
        <f t="shared" si="1"/>
        <v>15</v>
      </c>
      <c r="O21" s="91">
        <f t="shared" si="2"/>
        <v>15</v>
      </c>
      <c r="P21" s="91">
        <f t="shared" si="3"/>
        <v>15</v>
      </c>
      <c r="Q21" s="91">
        <f t="shared" si="4"/>
        <v>16</v>
      </c>
      <c r="R21" s="91">
        <f t="shared" si="5"/>
        <v>0</v>
      </c>
      <c r="S21" s="91">
        <f t="shared" si="6"/>
        <v>0</v>
      </c>
      <c r="T21" s="92">
        <f t="shared" si="7"/>
        <v>15</v>
      </c>
      <c r="U21" s="92">
        <f t="shared" si="8"/>
        <v>0</v>
      </c>
      <c r="V21" s="93">
        <f>(IF((OR((P21="&gt;24"),(Q21="&gt;24"))),2,(IF(((T21+U21)=(P21+Q21)),0,1))))</f>
        <v>1</v>
      </c>
      <c r="W21" s="94">
        <f t="shared" si="25"/>
        <v>15</v>
      </c>
      <c r="X21" s="116">
        <f t="shared" si="30"/>
        <v>16</v>
      </c>
      <c r="Y21" s="92">
        <f t="shared" si="31"/>
        <v>0</v>
      </c>
      <c r="Z21" s="95">
        <f t="shared" si="9"/>
        <v>0</v>
      </c>
      <c r="AA21" s="96">
        <f t="shared" si="10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</v>
      </c>
      <c r="AI21" s="100">
        <f t="shared" si="11"/>
        <v>0</v>
      </c>
      <c r="AJ21" s="101"/>
      <c r="AK21" s="102">
        <f t="shared" si="12"/>
        <v>1</v>
      </c>
      <c r="AL21" s="101"/>
      <c r="AM21" s="103" t="str">
        <f t="shared" si="13"/>
        <v>EXCLUI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1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I21" s="54" t="str">
        <f t="shared" si="17"/>
        <v/>
      </c>
      <c r="BJ21" s="54">
        <f t="shared" si="18"/>
        <v>15</v>
      </c>
      <c r="BK21" s="54">
        <f t="shared" si="19"/>
        <v>15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29</v>
      </c>
      <c r="C22" s="259">
        <f>'PD0101'!E22</f>
        <v>30</v>
      </c>
      <c r="D22" s="259">
        <f>'PD0101'!B22</f>
        <v>30</v>
      </c>
      <c r="E22" s="259">
        <f>'PD0101'!C22</f>
        <v>35</v>
      </c>
      <c r="F22" s="259">
        <f>'IMPORTAÇÃO GENOTIPER'!AY18</f>
        <v>0</v>
      </c>
      <c r="G22" s="259">
        <f>'IMPORTAÇÃO GENOTIPER'!BG18</f>
        <v>0</v>
      </c>
      <c r="H22" s="90">
        <f t="shared" si="0"/>
        <v>29</v>
      </c>
      <c r="I22" s="90">
        <f t="shared" si="0"/>
        <v>30</v>
      </c>
      <c r="J22" s="90">
        <f t="shared" si="0"/>
        <v>30</v>
      </c>
      <c r="K22" s="90">
        <f t="shared" si="0"/>
        <v>35</v>
      </c>
      <c r="L22" s="90">
        <f t="shared" si="0"/>
        <v>0</v>
      </c>
      <c r="M22" s="90">
        <f t="shared" si="0"/>
        <v>0</v>
      </c>
      <c r="N22" s="91">
        <f t="shared" si="1"/>
        <v>29</v>
      </c>
      <c r="O22" s="91">
        <f t="shared" si="2"/>
        <v>30</v>
      </c>
      <c r="P22" s="91">
        <f t="shared" si="3"/>
        <v>30</v>
      </c>
      <c r="Q22" s="91">
        <f t="shared" si="4"/>
        <v>35</v>
      </c>
      <c r="R22" s="91">
        <f t="shared" si="5"/>
        <v>0</v>
      </c>
      <c r="S22" s="91">
        <f t="shared" si="6"/>
        <v>0</v>
      </c>
      <c r="T22" s="92">
        <f t="shared" si="7"/>
        <v>30</v>
      </c>
      <c r="U22" s="92">
        <f t="shared" si="8"/>
        <v>0</v>
      </c>
      <c r="V22" s="93">
        <f>(IF((OR((P22="&gt;22"),(Q22="&gt;22"))),2,(IF(((T22+U22)=(P22+Q22)),0,1))))</f>
        <v>1</v>
      </c>
      <c r="W22" s="94">
        <f t="shared" si="25"/>
        <v>30</v>
      </c>
      <c r="X22" s="116">
        <f t="shared" si="30"/>
        <v>35</v>
      </c>
      <c r="Y22" s="92">
        <f t="shared" si="31"/>
        <v>0</v>
      </c>
      <c r="Z22" s="95">
        <f t="shared" si="9"/>
        <v>0</v>
      </c>
      <c r="AA22" s="96">
        <f t="shared" si="10"/>
        <v>0</v>
      </c>
      <c r="AB22" s="97">
        <f>IF(X22=0,0,VLOOKUP(X22,FREQUENCIAS!$1:$1048576,(IF(($A22=FREQUENCIAS!$O$1),15,"ERRO")),FREQUENCIAS!$1:$1048576))</f>
        <v>6.4419999999999998E-3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0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0</v>
      </c>
      <c r="AI22" s="100">
        <f t="shared" si="11"/>
        <v>0</v>
      </c>
      <c r="AJ22" s="101"/>
      <c r="AK22" s="102">
        <f t="shared" si="12"/>
        <v>1</v>
      </c>
      <c r="AL22" s="101"/>
      <c r="AM22" s="103" t="str">
        <f t="shared" si="13"/>
        <v>EXCLUI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1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0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30</v>
      </c>
      <c r="BK22" s="54">
        <f t="shared" si="19"/>
        <v>30</v>
      </c>
      <c r="BL22" s="57" t="str">
        <f t="shared" si="20"/>
        <v/>
      </c>
      <c r="BM22" s="57">
        <f t="shared" si="21"/>
        <v>0</v>
      </c>
      <c r="BN22" s="57">
        <f t="shared" si="22"/>
        <v>0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9</v>
      </c>
      <c r="C23" s="259">
        <f>'PD0101'!E23</f>
        <v>10</v>
      </c>
      <c r="D23" s="259">
        <f>'PD0101'!B23</f>
        <v>10</v>
      </c>
      <c r="E23" s="259">
        <f>'PD0101'!C23</f>
        <v>10</v>
      </c>
      <c r="F23" s="259">
        <f>'IMPORTAÇÃO GENOTIPER'!AY19</f>
        <v>0</v>
      </c>
      <c r="G23" s="259">
        <f>'IMPORTAÇÃO GENOTIPER'!BG19</f>
        <v>0</v>
      </c>
      <c r="H23" s="90">
        <f t="shared" si="0"/>
        <v>9</v>
      </c>
      <c r="I23" s="90">
        <f t="shared" si="0"/>
        <v>10</v>
      </c>
      <c r="J23" s="90">
        <f t="shared" si="0"/>
        <v>10</v>
      </c>
      <c r="K23" s="90">
        <f t="shared" si="0"/>
        <v>10</v>
      </c>
      <c r="L23" s="90">
        <f t="shared" si="0"/>
        <v>0</v>
      </c>
      <c r="M23" s="90">
        <f t="shared" si="0"/>
        <v>0</v>
      </c>
      <c r="N23" s="91">
        <f t="shared" si="1"/>
        <v>9</v>
      </c>
      <c r="O23" s="91">
        <f t="shared" si="2"/>
        <v>10</v>
      </c>
      <c r="P23" s="91">
        <f t="shared" si="3"/>
        <v>10</v>
      </c>
      <c r="Q23" s="91">
        <f t="shared" si="4"/>
        <v>10</v>
      </c>
      <c r="R23" s="91">
        <f t="shared" si="5"/>
        <v>0</v>
      </c>
      <c r="S23" s="91">
        <f t="shared" si="6"/>
        <v>0</v>
      </c>
      <c r="T23" s="92">
        <f t="shared" si="7"/>
        <v>10</v>
      </c>
      <c r="U23" s="92">
        <f t="shared" si="8"/>
        <v>10</v>
      </c>
      <c r="V23" s="93">
        <f>(IF((OR((P23="&gt;32"),(Q23="&gt;32"))),2,(IF(((T23+U23)=(P23+Q23)),0,1))))</f>
        <v>0</v>
      </c>
      <c r="W23" s="94">
        <f t="shared" si="25"/>
        <v>10</v>
      </c>
      <c r="X23" s="116">
        <f t="shared" si="30"/>
        <v>10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0.275034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10</v>
      </c>
      <c r="BK23" s="25">
        <f t="shared" si="19"/>
        <v>10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12</v>
      </c>
      <c r="C24" s="259">
        <f>'PD0101'!E24</f>
        <v>13</v>
      </c>
      <c r="D24" s="259">
        <f>'PD0101'!B24</f>
        <v>13</v>
      </c>
      <c r="E24" s="259">
        <f>'PD0101'!C24</f>
        <v>13</v>
      </c>
      <c r="F24" s="259">
        <f>'IMPORTAÇÃO GENOTIPER'!AY20</f>
        <v>0</v>
      </c>
      <c r="G24" s="259">
        <f>'IMPORTAÇÃO GENOTIPER'!BG20</f>
        <v>0</v>
      </c>
      <c r="H24" s="90">
        <f t="shared" si="0"/>
        <v>12</v>
      </c>
      <c r="I24" s="90">
        <f t="shared" si="0"/>
        <v>13</v>
      </c>
      <c r="J24" s="90">
        <f t="shared" si="0"/>
        <v>13</v>
      </c>
      <c r="K24" s="90">
        <f t="shared" si="0"/>
        <v>13</v>
      </c>
      <c r="L24" s="90">
        <f t="shared" si="0"/>
        <v>0</v>
      </c>
      <c r="M24" s="90">
        <f t="shared" si="0"/>
        <v>0</v>
      </c>
      <c r="N24" s="91">
        <f t="shared" si="1"/>
        <v>12</v>
      </c>
      <c r="O24" s="91">
        <f t="shared" si="2"/>
        <v>13</v>
      </c>
      <c r="P24" s="91">
        <f t="shared" si="3"/>
        <v>13</v>
      </c>
      <c r="Q24" s="91">
        <f t="shared" si="4"/>
        <v>13</v>
      </c>
      <c r="R24" s="91">
        <f t="shared" si="5"/>
        <v>0</v>
      </c>
      <c r="S24" s="91">
        <f t="shared" si="6"/>
        <v>0</v>
      </c>
      <c r="T24" s="92">
        <f t="shared" si="7"/>
        <v>13</v>
      </c>
      <c r="U24" s="92">
        <f t="shared" si="8"/>
        <v>13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13</v>
      </c>
      <c r="X24" s="116">
        <f t="shared" si="30"/>
        <v>13</v>
      </c>
      <c r="Y24" s="92">
        <f>(IF((AND(($T24=0),($U24=0))),$E24,(IF(($W24&lt;&gt;$AJ$7),0,$Q24))))</f>
        <v>0</v>
      </c>
      <c r="Z24" s="95">
        <f t="shared" si="9"/>
        <v>0</v>
      </c>
      <c r="AA24" s="96">
        <f t="shared" si="10"/>
        <v>0</v>
      </c>
      <c r="AB24" s="97">
        <f>IF(X24=0,0,VLOOKUP(X24,FREQUENCIAS!$1:$1048576,(IF(($A24=FREQUENCIAS!$Q$1),17,"ERRO")),FREQUENCIAS!$1:$1048576))</f>
        <v>0.17447299999999999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0</v>
      </c>
      <c r="AI24" s="100">
        <f t="shared" si="11"/>
        <v>0</v>
      </c>
      <c r="AJ24" s="101"/>
      <c r="AK24" s="102">
        <f t="shared" si="12"/>
        <v>1</v>
      </c>
      <c r="AL24" s="101"/>
      <c r="AM24" s="103" t="str">
        <f t="shared" si="13"/>
        <v>EXCLUI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1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0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ALELO ERRADO</v>
      </c>
      <c r="BI24" s="54" t="str">
        <f t="shared" si="17"/>
        <v/>
      </c>
      <c r="BJ24" s="54">
        <f t="shared" si="18"/>
        <v>13</v>
      </c>
      <c r="BK24" s="54">
        <f t="shared" si="19"/>
        <v>13</v>
      </c>
      <c r="BL24" s="57" t="str">
        <f t="shared" si="20"/>
        <v/>
      </c>
      <c r="BM24" s="57">
        <f t="shared" si="21"/>
        <v>0</v>
      </c>
      <c r="BN24" s="57">
        <f t="shared" si="22"/>
        <v>0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8</v>
      </c>
      <c r="C25" s="259">
        <f>'PD0101'!E25</f>
        <v>11</v>
      </c>
      <c r="D25" s="259">
        <f>'PD0101'!B25</f>
        <v>8</v>
      </c>
      <c r="E25" s="259">
        <f>'PD0101'!C25</f>
        <v>8</v>
      </c>
      <c r="F25" s="259">
        <f>'IMPORTAÇÃO GENOTIPER'!AY21</f>
        <v>0</v>
      </c>
      <c r="G25" s="259">
        <f>'IMPORTAÇÃO GENOTIPER'!BG21</f>
        <v>0</v>
      </c>
      <c r="H25" s="90">
        <f t="shared" ref="H25:M30" si="33">(IF(CODE(B25)=(60),($BF25-1),(IF(CODE(B25)=(62),($BG25+1),B25))))</f>
        <v>8</v>
      </c>
      <c r="I25" s="90">
        <f t="shared" si="33"/>
        <v>11</v>
      </c>
      <c r="J25" s="90">
        <f t="shared" si="33"/>
        <v>8</v>
      </c>
      <c r="K25" s="90">
        <f t="shared" si="33"/>
        <v>8</v>
      </c>
      <c r="L25" s="90">
        <f t="shared" si="33"/>
        <v>0</v>
      </c>
      <c r="M25" s="90">
        <f t="shared" si="33"/>
        <v>0</v>
      </c>
      <c r="N25" s="91">
        <f t="shared" si="1"/>
        <v>8</v>
      </c>
      <c r="O25" s="91">
        <f t="shared" si="2"/>
        <v>11</v>
      </c>
      <c r="P25" s="91">
        <f t="shared" si="3"/>
        <v>8</v>
      </c>
      <c r="Q25" s="91">
        <f t="shared" si="4"/>
        <v>8</v>
      </c>
      <c r="R25" s="91">
        <f t="shared" si="5"/>
        <v>0</v>
      </c>
      <c r="S25" s="91">
        <f t="shared" si="6"/>
        <v>0</v>
      </c>
      <c r="T25" s="92">
        <f t="shared" si="7"/>
        <v>8</v>
      </c>
      <c r="U25" s="92">
        <f t="shared" si="8"/>
        <v>8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8</v>
      </c>
      <c r="X25" s="116">
        <f t="shared" si="30"/>
        <v>8</v>
      </c>
      <c r="Y25" s="92">
        <f>(IF((AND((T25=0),(U25=0))),E25,(IF((W25&lt;&gt;$AJ$7),0,Q25))))</f>
        <v>0</v>
      </c>
      <c r="Z25" s="95">
        <f t="shared" si="9"/>
        <v>0</v>
      </c>
      <c r="AA25" s="96">
        <f t="shared" si="10"/>
        <v>0</v>
      </c>
      <c r="AB25" s="97">
        <f>IF(X25=0,0,VLOOKUP(X25,FREQUENCIAS!$1:$1048576,(IF(($A25=FREQUENCIAS!$R$1),18,"ERRO")),FREQUENCIAS!$1:$1048576))</f>
        <v>0.45586199999999999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0</v>
      </c>
      <c r="AI25" s="100">
        <f t="shared" si="11"/>
        <v>0</v>
      </c>
      <c r="AJ25" s="101"/>
      <c r="AK25" s="102">
        <f t="shared" si="12"/>
        <v>1</v>
      </c>
      <c r="AL25" s="101"/>
      <c r="AM25" s="103" t="str">
        <f t="shared" si="13"/>
        <v>EXCLUI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1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0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8</v>
      </c>
      <c r="BK25" s="54">
        <f t="shared" si="19"/>
        <v>8</v>
      </c>
      <c r="BL25" s="57" t="str">
        <f t="shared" si="20"/>
        <v/>
      </c>
      <c r="BM25" s="63">
        <f t="shared" si="21"/>
        <v>0</v>
      </c>
      <c r="BN25" s="57">
        <f t="shared" si="22"/>
        <v>0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13</v>
      </c>
      <c r="C26" s="259">
        <f>'PD0101'!E26</f>
        <v>15</v>
      </c>
      <c r="D26" s="259">
        <f>'PD0101'!B26</f>
        <v>12</v>
      </c>
      <c r="E26" s="259">
        <f>'PD0101'!C26</f>
        <v>13</v>
      </c>
      <c r="F26" s="259">
        <f>'IMPORTAÇÃO GENOTIPER'!AY22</f>
        <v>0</v>
      </c>
      <c r="G26" s="259">
        <f>'IMPORTAÇÃO GENOTIPER'!BG22</f>
        <v>0</v>
      </c>
      <c r="H26" s="90">
        <f t="shared" si="33"/>
        <v>13</v>
      </c>
      <c r="I26" s="90">
        <f t="shared" si="33"/>
        <v>15</v>
      </c>
      <c r="J26" s="90">
        <f t="shared" si="33"/>
        <v>12</v>
      </c>
      <c r="K26" s="90">
        <f t="shared" si="33"/>
        <v>13</v>
      </c>
      <c r="L26" s="90">
        <f t="shared" si="33"/>
        <v>0</v>
      </c>
      <c r="M26" s="90">
        <f t="shared" si="33"/>
        <v>0</v>
      </c>
      <c r="N26" s="91">
        <f t="shared" si="1"/>
        <v>13</v>
      </c>
      <c r="O26" s="91">
        <f t="shared" si="2"/>
        <v>15</v>
      </c>
      <c r="P26" s="91">
        <f t="shared" si="3"/>
        <v>12</v>
      </c>
      <c r="Q26" s="91">
        <f t="shared" si="4"/>
        <v>13</v>
      </c>
      <c r="R26" s="91">
        <f t="shared" si="5"/>
        <v>0</v>
      </c>
      <c r="S26" s="91">
        <f t="shared" si="6"/>
        <v>0</v>
      </c>
      <c r="T26" s="92">
        <f t="shared" si="7"/>
        <v>0</v>
      </c>
      <c r="U26" s="92">
        <f t="shared" si="8"/>
        <v>13</v>
      </c>
      <c r="V26" s="93">
        <f>(IF((OR((P26="&gt;21"),(Q26="&gt;21"))),2,(IF(((T26+U26)=(P26+Q26)),0,1))))</f>
        <v>1</v>
      </c>
      <c r="W26" s="92">
        <f t="shared" si="34"/>
        <v>13</v>
      </c>
      <c r="X26" s="116">
        <f t="shared" si="30"/>
        <v>12</v>
      </c>
      <c r="Y26" s="92">
        <f xml:space="preserve"> (IF((AND((T26=0),(U26=0))),E26,(IF((W26&lt;&gt;$AJ$7),0,Q26))))</f>
        <v>0</v>
      </c>
      <c r="Z26" s="95">
        <f t="shared" si="9"/>
        <v>0</v>
      </c>
      <c r="AA26" s="96">
        <f t="shared" si="10"/>
        <v>0</v>
      </c>
      <c r="AB26" s="97">
        <f>IF(X26=0,0,VLOOKUP(X26,FREQUENCIAS!$1:$1048576,(IF(($A26=FREQUENCIAS!$S$1),19,"ERRO")),FREQUENCIAS!$1:$1048576))</f>
        <v>0.12992999999999999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0</v>
      </c>
      <c r="AI26" s="100">
        <f t="shared" si="11"/>
        <v>0</v>
      </c>
      <c r="AJ26" s="101" t="s">
        <v>140</v>
      </c>
      <c r="AK26" s="102">
        <f t="shared" si="12"/>
        <v>1</v>
      </c>
      <c r="AL26" s="101"/>
      <c r="AM26" s="103" t="str">
        <f t="shared" si="13"/>
        <v>EXCLUI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1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0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ALELO ERRADO</v>
      </c>
      <c r="BI26" s="54" t="str">
        <f t="shared" si="17"/>
        <v/>
      </c>
      <c r="BJ26" s="54">
        <f t="shared" si="18"/>
        <v>13</v>
      </c>
      <c r="BK26" s="54">
        <f t="shared" si="19"/>
        <v>13</v>
      </c>
      <c r="BL26" s="57" t="str">
        <f t="shared" si="20"/>
        <v/>
      </c>
      <c r="BM26" s="57">
        <f t="shared" si="21"/>
        <v>0</v>
      </c>
      <c r="BN26" s="57">
        <f t="shared" si="22"/>
        <v>0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19</v>
      </c>
      <c r="C27" s="259">
        <f>'PD0101'!E27</f>
        <v>19</v>
      </c>
      <c r="D27" s="259">
        <f>'PD0101'!B27</f>
        <v>19</v>
      </c>
      <c r="E27" s="259">
        <f>'PD0101'!C27</f>
        <v>20</v>
      </c>
      <c r="F27" s="259">
        <f>'IMPORTAÇÃO GENOTIPER'!AY23</f>
        <v>0</v>
      </c>
      <c r="G27" s="259">
        <f>'IMPORTAÇÃO GENOTIPER'!BG23</f>
        <v>0</v>
      </c>
      <c r="H27" s="90">
        <f t="shared" si="33"/>
        <v>19</v>
      </c>
      <c r="I27" s="90">
        <f t="shared" si="33"/>
        <v>19</v>
      </c>
      <c r="J27" s="90">
        <f t="shared" si="33"/>
        <v>19</v>
      </c>
      <c r="K27" s="90">
        <f t="shared" si="33"/>
        <v>20</v>
      </c>
      <c r="L27" s="90">
        <f t="shared" si="33"/>
        <v>0</v>
      </c>
      <c r="M27" s="90">
        <f t="shared" si="33"/>
        <v>0</v>
      </c>
      <c r="N27" s="91">
        <f t="shared" si="1"/>
        <v>19</v>
      </c>
      <c r="O27" s="91">
        <f t="shared" si="2"/>
        <v>19</v>
      </c>
      <c r="P27" s="91">
        <f t="shared" si="3"/>
        <v>19</v>
      </c>
      <c r="Q27" s="91">
        <f t="shared" si="4"/>
        <v>20</v>
      </c>
      <c r="R27" s="91">
        <f t="shared" si="5"/>
        <v>0</v>
      </c>
      <c r="S27" s="91">
        <f t="shared" si="6"/>
        <v>0</v>
      </c>
      <c r="T27" s="92">
        <f t="shared" si="7"/>
        <v>19</v>
      </c>
      <c r="U27" s="92">
        <f t="shared" si="8"/>
        <v>0</v>
      </c>
      <c r="V27" s="93">
        <f>(IF((OR((P27="&gt;21"),(Q27="&gt;21"))),2,(IF(((T27+U27)=(P27+Q27)),0,1))))</f>
        <v>1</v>
      </c>
      <c r="W27" s="94">
        <f t="shared" si="34"/>
        <v>19</v>
      </c>
      <c r="X27" s="116">
        <f t="shared" si="30"/>
        <v>20</v>
      </c>
      <c r="Y27" s="92">
        <f>(IF((AND((T27=0),(U27=0))),E27,(IF((W27&lt;&gt;$AJ$7),0,Q27))))</f>
        <v>0</v>
      </c>
      <c r="Z27" s="95">
        <f t="shared" si="9"/>
        <v>0</v>
      </c>
      <c r="AA27" s="96">
        <f t="shared" si="10"/>
        <v>0</v>
      </c>
      <c r="AB27" s="97">
        <f>IF(X27=0,0,VLOOKUP(X27,FREQUENCIAS!$1:$1048576,(IF(($A27=FREQUENCIAS!$T$1),20,"ERRO")),FREQUENCIAS!$1:$1048576))</f>
        <v>0.1507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0</v>
      </c>
      <c r="AI27" s="100">
        <f t="shared" si="11"/>
        <v>0</v>
      </c>
      <c r="AJ27" s="101" t="s">
        <v>163</v>
      </c>
      <c r="AK27" s="262">
        <f t="shared" si="12"/>
        <v>1</v>
      </c>
      <c r="AL27" s="101"/>
      <c r="AM27" s="103" t="str">
        <f t="shared" si="13"/>
        <v>EXCLUI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1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0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>
        <f t="shared" si="18"/>
        <v>19</v>
      </c>
      <c r="BK27" s="54">
        <f t="shared" si="19"/>
        <v>19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13</v>
      </c>
      <c r="C28" s="259">
        <f>'PD0101'!E28</f>
        <v>13.2</v>
      </c>
      <c r="D28" s="259">
        <f>'PD0101'!B28</f>
        <v>13</v>
      </c>
      <c r="E28" s="259">
        <f>'PD0101'!C28</f>
        <v>13</v>
      </c>
      <c r="F28" s="259">
        <f>'IMPORTAÇÃO GENOTIPER'!AY24</f>
        <v>0</v>
      </c>
      <c r="G28" s="259">
        <f>'IMPORTAÇÃO GENOTIPER'!BG24</f>
        <v>0</v>
      </c>
      <c r="H28" s="90">
        <f t="shared" si="33"/>
        <v>13</v>
      </c>
      <c r="I28" s="90">
        <f t="shared" si="33"/>
        <v>13.2</v>
      </c>
      <c r="J28" s="90">
        <f t="shared" si="33"/>
        <v>13</v>
      </c>
      <c r="K28" s="90">
        <f t="shared" si="33"/>
        <v>13</v>
      </c>
      <c r="L28" s="90">
        <f t="shared" si="33"/>
        <v>0</v>
      </c>
      <c r="M28" s="90">
        <f t="shared" si="33"/>
        <v>0</v>
      </c>
      <c r="N28" s="91">
        <f t="shared" si="1"/>
        <v>13</v>
      </c>
      <c r="O28" s="91">
        <f t="shared" si="2"/>
        <v>13.2</v>
      </c>
      <c r="P28" s="91">
        <f t="shared" si="3"/>
        <v>13</v>
      </c>
      <c r="Q28" s="91">
        <f t="shared" si="4"/>
        <v>13</v>
      </c>
      <c r="R28" s="91">
        <f t="shared" si="5"/>
        <v>0</v>
      </c>
      <c r="S28" s="91">
        <f t="shared" si="6"/>
        <v>0</v>
      </c>
      <c r="T28" s="92">
        <f t="shared" si="7"/>
        <v>13</v>
      </c>
      <c r="U28" s="92">
        <f t="shared" si="8"/>
        <v>13</v>
      </c>
      <c r="V28" s="93">
        <f>(IF((OR((P28="&gt;20"),(Q28="&gt;20"))),2,(IF(((T28+U28)=(P28+Q28)),0,1))))</f>
        <v>0</v>
      </c>
      <c r="W28" s="94">
        <f t="shared" si="34"/>
        <v>13</v>
      </c>
      <c r="X28" s="116">
        <f t="shared" si="30"/>
        <v>13</v>
      </c>
      <c r="Y28" s="92">
        <f>(IF((AND((T28=0),(U28=0))),E28,(IF((W28&lt;&gt;$AJ$7),0,Q28))))</f>
        <v>0</v>
      </c>
      <c r="Z28" s="95">
        <f t="shared" si="9"/>
        <v>0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0</v>
      </c>
      <c r="AI28" s="100">
        <f t="shared" si="11"/>
        <v>0</v>
      </c>
      <c r="AJ28" s="101"/>
      <c r="AK28" s="102">
        <f t="shared" si="12"/>
        <v>1</v>
      </c>
      <c r="AL28" s="101"/>
      <c r="AM28" s="103" t="str">
        <f t="shared" si="13"/>
        <v>EXCLUI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1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0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13</v>
      </c>
      <c r="BK28" s="54">
        <f t="shared" si="19"/>
        <v>13</v>
      </c>
      <c r="BL28" s="57" t="str">
        <f t="shared" si="20"/>
        <v/>
      </c>
      <c r="BM28" s="57">
        <f t="shared" si="21"/>
        <v>0</v>
      </c>
      <c r="BN28" s="57">
        <f t="shared" si="22"/>
        <v>0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21</v>
      </c>
      <c r="C29" s="259">
        <f>'PD0101'!E29</f>
        <v>23</v>
      </c>
      <c r="D29" s="259">
        <f>'PD0101'!B29</f>
        <v>23</v>
      </c>
      <c r="E29" s="259">
        <f>'PD0101'!C29</f>
        <v>25</v>
      </c>
      <c r="F29" s="259">
        <f>'IMPORTAÇÃO GENOTIPER'!AY25</f>
        <v>0</v>
      </c>
      <c r="G29" s="259">
        <f>'IMPORTAÇÃO GENOTIPER'!BG25</f>
        <v>0</v>
      </c>
      <c r="H29" s="90">
        <f t="shared" si="33"/>
        <v>21</v>
      </c>
      <c r="I29" s="90">
        <f t="shared" si="33"/>
        <v>23</v>
      </c>
      <c r="J29" s="90">
        <f t="shared" si="33"/>
        <v>23</v>
      </c>
      <c r="K29" s="90">
        <f t="shared" si="33"/>
        <v>25</v>
      </c>
      <c r="L29" s="90">
        <f t="shared" si="33"/>
        <v>0</v>
      </c>
      <c r="M29" s="90">
        <f t="shared" si="33"/>
        <v>0</v>
      </c>
      <c r="N29" s="91">
        <f t="shared" si="1"/>
        <v>21</v>
      </c>
      <c r="O29" s="91">
        <f t="shared" si="2"/>
        <v>23</v>
      </c>
      <c r="P29" s="91">
        <f t="shared" si="3"/>
        <v>23</v>
      </c>
      <c r="Q29" s="91">
        <f t="shared" si="4"/>
        <v>25</v>
      </c>
      <c r="R29" s="91">
        <f t="shared" si="5"/>
        <v>0</v>
      </c>
      <c r="S29" s="91">
        <f t="shared" si="6"/>
        <v>0</v>
      </c>
      <c r="T29" s="92">
        <f t="shared" si="7"/>
        <v>23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23</v>
      </c>
      <c r="X29" s="116">
        <f t="shared" si="30"/>
        <v>25</v>
      </c>
      <c r="Y29" s="92">
        <f>(IF((AND((T29=0),(U29=0))),E29,(IF((W29&lt;&gt;$AJ$7),0,Q29))))</f>
        <v>0</v>
      </c>
      <c r="Z29" s="95">
        <f t="shared" si="9"/>
        <v>0</v>
      </c>
      <c r="AA29" s="96">
        <f t="shared" si="10"/>
        <v>0</v>
      </c>
      <c r="AB29" s="97">
        <f>IF(X29=0,0,VLOOKUP(X29,FREQUENCIAS!$1:$1048576,(IF(($A29=FREQUENCIAS!$V$1),22,"ERRO")),FREQUENCIAS!$1:$1048576))</f>
        <v>0.10340199999999999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0</v>
      </c>
      <c r="AI29" s="100">
        <f t="shared" si="11"/>
        <v>0</v>
      </c>
      <c r="AJ29" s="101"/>
      <c r="AK29" s="102">
        <f t="shared" si="12"/>
        <v>1</v>
      </c>
      <c r="AL29" s="101"/>
      <c r="AM29" s="103" t="str">
        <f t="shared" si="13"/>
        <v>EXCLUI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1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0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23</v>
      </c>
      <c r="BK29" s="54">
        <f t="shared" si="19"/>
        <v>23</v>
      </c>
      <c r="BL29" s="57" t="str">
        <f t="shared" si="20"/>
        <v/>
      </c>
      <c r="BM29" s="57">
        <f t="shared" si="21"/>
        <v>0</v>
      </c>
      <c r="BN29" s="57">
        <f t="shared" si="22"/>
        <v>0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10</v>
      </c>
      <c r="C30" s="259">
        <f>'PD0101'!E30</f>
        <v>16</v>
      </c>
      <c r="D30" s="259">
        <f>'PD0101'!B30</f>
        <v>10</v>
      </c>
      <c r="E30" s="259">
        <f>'PD0101'!C30</f>
        <v>16</v>
      </c>
      <c r="F30" s="259">
        <f>'IMPORTAÇÃO GENOTIPER'!AY26</f>
        <v>0</v>
      </c>
      <c r="G30" s="259">
        <f>'IMPORTAÇÃO GENOTIPER'!BG26</f>
        <v>0</v>
      </c>
      <c r="H30" s="90">
        <f t="shared" si="33"/>
        <v>10</v>
      </c>
      <c r="I30" s="90">
        <f t="shared" si="33"/>
        <v>16</v>
      </c>
      <c r="J30" s="90">
        <f t="shared" si="33"/>
        <v>10</v>
      </c>
      <c r="K30" s="90">
        <f t="shared" si="33"/>
        <v>16</v>
      </c>
      <c r="L30" s="90">
        <f t="shared" si="33"/>
        <v>0</v>
      </c>
      <c r="M30" s="90">
        <f t="shared" si="33"/>
        <v>0</v>
      </c>
      <c r="N30" s="91">
        <f t="shared" si="1"/>
        <v>10</v>
      </c>
      <c r="O30" s="91">
        <f t="shared" si="2"/>
        <v>16</v>
      </c>
      <c r="P30" s="91">
        <f t="shared" si="3"/>
        <v>10</v>
      </c>
      <c r="Q30" s="91">
        <f t="shared" si="4"/>
        <v>16</v>
      </c>
      <c r="R30" s="91">
        <f t="shared" si="5"/>
        <v>0</v>
      </c>
      <c r="S30" s="91">
        <f t="shared" si="6"/>
        <v>0</v>
      </c>
      <c r="T30" s="92">
        <f t="shared" si="7"/>
        <v>10</v>
      </c>
      <c r="U30" s="92">
        <f t="shared" si="8"/>
        <v>16</v>
      </c>
      <c r="V30" s="93">
        <f>(IF((OR((P30="&gt;22"),(Q30="&gt;22"))),2,(IF(((T30+U30)=(P30+Q30)),0,1))))</f>
        <v>0</v>
      </c>
      <c r="W30" s="94" t="str">
        <f t="shared" si="34"/>
        <v>NÃO DEF</v>
      </c>
      <c r="X30" s="116">
        <f t="shared" si="30"/>
        <v>10</v>
      </c>
      <c r="Y30" s="92">
        <f>(IF((AND((T30=0),(U30=0))),E30,(IF((W30&lt;&gt;$AJ$7),0,Q30))))</f>
        <v>16</v>
      </c>
      <c r="Z30" s="95">
        <f t="shared" si="9"/>
        <v>0</v>
      </c>
      <c r="AA30" s="96">
        <f t="shared" si="10"/>
        <v>0</v>
      </c>
      <c r="AB30" s="97">
        <f>IF(X30=0,0,VLOOKUP(X30,FREQUENCIAS!$1:$1048576,(IF(($A30=FREQUENCIAS!$W$1),23,"ERRO")),FREQUENCIAS!$1:$1048576))</f>
        <v>1.7399999999999999E-2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0</v>
      </c>
      <c r="AI30" s="100">
        <f t="shared" si="11"/>
        <v>0</v>
      </c>
      <c r="AJ30" s="101"/>
      <c r="AK30" s="102">
        <f t="shared" si="12"/>
        <v>1</v>
      </c>
      <c r="AL30" s="101"/>
      <c r="AM30" s="103" t="str">
        <f t="shared" si="13"/>
        <v>EXCLUI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1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0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 t="str">
        <f t="shared" si="18"/>
        <v>NÃO DEF</v>
      </c>
      <c r="BK30" s="54" t="str">
        <f t="shared" si="19"/>
        <v>NÃO DEF</v>
      </c>
      <c r="BL30" s="57" t="str">
        <f t="shared" si="20"/>
        <v/>
      </c>
      <c r="BM30" s="57">
        <f t="shared" si="21"/>
        <v>0</v>
      </c>
      <c r="BN30" s="57">
        <f t="shared" si="22"/>
        <v>0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8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8"/>
      <c r="AI31" s="918"/>
      <c r="AK31" s="852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52"/>
      <c r="AM31" s="264"/>
      <c r="AN31" s="17"/>
      <c r="AX31" s="52">
        <f>SUM(AX9:AX23)</f>
        <v>15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1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15"/>
      <c r="AI32" s="915"/>
      <c r="AJ32" s="915"/>
      <c r="AK32" s="915"/>
      <c r="AL32" s="915"/>
      <c r="AM32" s="915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6"/>
      <c r="AI33" s="916"/>
      <c r="AJ33" s="916"/>
      <c r="AK33" s="916"/>
      <c r="AL33" s="916"/>
      <c r="AM33" s="916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7" t="s">
        <v>237</v>
      </c>
      <c r="AS37" s="917"/>
      <c r="AT37" s="917"/>
      <c r="AU37" s="917"/>
      <c r="AV37" s="917"/>
      <c r="AW37" s="917"/>
      <c r="AX37" s="917"/>
      <c r="AY37" s="917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7"/>
      <c r="AS38" s="917"/>
      <c r="AT38" s="917"/>
      <c r="AU38" s="917"/>
      <c r="AV38" s="917"/>
      <c r="AW38" s="917"/>
      <c r="AX38" s="917"/>
      <c r="AY38" s="917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7"/>
      <c r="AS39" s="917"/>
      <c r="AT39" s="917"/>
      <c r="AU39" s="917"/>
      <c r="AV39" s="917"/>
      <c r="AW39" s="917"/>
      <c r="AX39" s="917"/>
      <c r="AY39" s="917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7" t="s">
        <v>234</v>
      </c>
      <c r="AS40" s="917"/>
      <c r="AT40" s="917"/>
      <c r="AU40" s="917"/>
      <c r="AV40" s="917"/>
      <c r="AW40" s="917"/>
      <c r="AX40" s="917"/>
      <c r="AY40" s="917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7"/>
      <c r="AS41" s="917"/>
      <c r="AT41" s="917"/>
      <c r="AU41" s="917"/>
      <c r="AV41" s="917"/>
      <c r="AW41" s="917"/>
      <c r="AX41" s="917"/>
      <c r="AY41" s="917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7"/>
      <c r="AS42" s="917"/>
      <c r="AT42" s="917"/>
      <c r="AU42" s="917"/>
      <c r="AV42" s="917"/>
      <c r="AW42" s="917"/>
      <c r="AX42" s="917"/>
      <c r="AY42" s="917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23">
        <f ca="1">TODAY()</f>
        <v>45902</v>
      </c>
      <c r="H44" s="923"/>
      <c r="I44" s="923"/>
      <c r="J44" s="923"/>
      <c r="K44" s="923"/>
      <c r="L44" s="923"/>
      <c r="M44" s="923"/>
      <c r="N44" s="923"/>
      <c r="O44" s="923"/>
      <c r="P44" s="923"/>
      <c r="Q44" s="923"/>
      <c r="R44" s="923"/>
      <c r="S44" s="923"/>
      <c r="T44" s="923"/>
      <c r="U44" s="923"/>
      <c r="V44" s="923"/>
      <c r="W44" s="923"/>
      <c r="X44" s="923"/>
      <c r="Y44" s="923"/>
      <c r="Z44" s="923"/>
      <c r="AA44" s="923"/>
      <c r="AB44" s="923"/>
      <c r="AC44" s="923"/>
      <c r="AD44" s="923"/>
      <c r="AE44" s="923"/>
      <c r="AF44" s="923"/>
      <c r="AG44" s="923"/>
      <c r="AH44" s="923"/>
      <c r="AI44" s="923"/>
      <c r="AJ44" s="923"/>
      <c r="AK44" s="923"/>
      <c r="AL44" s="923"/>
      <c r="AM44" s="923"/>
      <c r="AN44" s="924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25" t="s">
        <v>208</v>
      </c>
      <c r="B49" s="926"/>
      <c r="C49" s="926"/>
      <c r="D49" s="926"/>
      <c r="E49" s="926"/>
      <c r="F49" s="926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7" t="s">
        <v>205</v>
      </c>
      <c r="AH49" s="927"/>
      <c r="AI49" s="927"/>
      <c r="AJ49" s="927"/>
      <c r="AK49" s="927"/>
      <c r="AL49" s="927"/>
      <c r="AM49" s="927"/>
      <c r="AN49" s="928"/>
      <c r="BF49" s="2"/>
      <c r="BG49" s="2"/>
    </row>
    <row r="50" spans="1:59" s="1" customFormat="1">
      <c r="A50" s="919" t="s">
        <v>209</v>
      </c>
      <c r="B50" s="920"/>
      <c r="C50" s="920"/>
      <c r="D50" s="920"/>
      <c r="E50" s="920"/>
      <c r="F50" s="920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21" t="s">
        <v>206</v>
      </c>
      <c r="AH50" s="921"/>
      <c r="AI50" s="921"/>
      <c r="AJ50" s="921"/>
      <c r="AK50" s="921"/>
      <c r="AL50" s="921"/>
      <c r="AM50" s="921"/>
      <c r="AN50" s="922"/>
      <c r="BF50" s="2"/>
      <c r="BG50" s="2"/>
    </row>
    <row r="51" spans="1:59" s="1" customFormat="1">
      <c r="A51" s="919" t="s">
        <v>210</v>
      </c>
      <c r="B51" s="920"/>
      <c r="C51" s="920"/>
      <c r="D51" s="920"/>
      <c r="E51" s="920"/>
      <c r="F51" s="920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21" t="s">
        <v>207</v>
      </c>
      <c r="AH51" s="921"/>
      <c r="AI51" s="921"/>
      <c r="AJ51" s="921"/>
      <c r="AK51" s="921"/>
      <c r="AL51" s="921"/>
      <c r="AM51" s="921"/>
      <c r="AN51" s="922"/>
      <c r="BF51" s="2"/>
      <c r="BG51" s="2"/>
    </row>
    <row r="52" spans="1:59" s="1" customFormat="1" ht="13.5" thickBot="1">
      <c r="A52" s="818" t="s">
        <v>211</v>
      </c>
      <c r="B52" s="819"/>
      <c r="C52" s="819"/>
      <c r="D52" s="819"/>
      <c r="E52" s="819"/>
      <c r="F52" s="819"/>
      <c r="G52" s="819"/>
      <c r="H52" s="819"/>
      <c r="I52" s="819"/>
      <c r="J52" s="819"/>
      <c r="K52" s="819"/>
      <c r="L52" s="819"/>
      <c r="M52" s="819"/>
      <c r="N52" s="819"/>
      <c r="O52" s="819"/>
      <c r="P52" s="819"/>
      <c r="Q52" s="819"/>
      <c r="R52" s="819"/>
      <c r="S52" s="819"/>
      <c r="T52" s="819"/>
      <c r="U52" s="819"/>
      <c r="V52" s="819"/>
      <c r="W52" s="819"/>
      <c r="X52" s="819"/>
      <c r="Y52" s="819"/>
      <c r="Z52" s="819"/>
      <c r="AA52" s="819"/>
      <c r="AB52" s="819"/>
      <c r="AC52" s="819"/>
      <c r="AD52" s="819"/>
      <c r="AE52" s="819"/>
      <c r="AF52" s="819"/>
      <c r="AG52" s="819"/>
      <c r="AH52" s="819"/>
      <c r="AI52" s="819"/>
      <c r="AJ52" s="819"/>
      <c r="AK52" s="819"/>
      <c r="AL52" s="819"/>
      <c r="AM52" s="819"/>
      <c r="AN52" s="820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2"/>
  <sheetViews>
    <sheetView zoomScaleNormal="100" workbookViewId="0">
      <pane ySplit="1" topLeftCell="A70" activePane="bottomLeft" state="frozen"/>
      <selection activeCell="M4" sqref="M4:Q10"/>
      <selection pane="bottomLeft" activeCell="A82" sqref="A82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16.399999999999999</v>
      </c>
    </row>
    <row r="70" spans="1:28">
      <c r="A70" s="110">
        <v>17</v>
      </c>
      <c r="B70" s="288">
        <v>0.20327799999999999</v>
      </c>
      <c r="C70" s="288">
        <v>4.1500000000000002E-2</v>
      </c>
      <c r="E70" s="287">
        <v>2.46E-2</v>
      </c>
      <c r="F70" s="287">
        <v>1.8E-5</v>
      </c>
      <c r="G70" s="288">
        <v>3.9604E-2</v>
      </c>
      <c r="H70" s="287">
        <v>1.8E-5</v>
      </c>
      <c r="I70" s="287">
        <v>0.121915</v>
      </c>
      <c r="J70" s="288">
        <v>0.2077</v>
      </c>
      <c r="L70" s="288">
        <v>1.323E-3</v>
      </c>
      <c r="N70" s="287">
        <v>0.25484400000000001</v>
      </c>
      <c r="P70" s="288">
        <v>3.9999999999999998E-6</v>
      </c>
      <c r="Q70" s="288">
        <v>5.8999999999999998E-5</v>
      </c>
      <c r="R70" s="287">
        <v>7.9999999999999996E-6</v>
      </c>
      <c r="S70" s="288">
        <v>4.4260000000000002E-3</v>
      </c>
      <c r="T70" s="288">
        <v>9.6000000000000002E-2</v>
      </c>
      <c r="U70" s="288">
        <v>4.0000000000000001E-3</v>
      </c>
      <c r="V70" s="287">
        <v>1.5020000000000001E-3</v>
      </c>
      <c r="W70" s="288">
        <v>0.12039999999999999</v>
      </c>
      <c r="X70" s="288">
        <v>6.2E-2</v>
      </c>
    </row>
    <row r="71" spans="1:28">
      <c r="A71" s="110">
        <v>17.100000000000001</v>
      </c>
      <c r="T71" s="288">
        <v>1.1999999999999999E-3</v>
      </c>
    </row>
    <row r="72" spans="1:28">
      <c r="A72" s="110">
        <v>17.2</v>
      </c>
      <c r="N72" s="287">
        <v>3.9999999999999998E-6</v>
      </c>
      <c r="U72" s="288">
        <v>1.6000000000000001E-3</v>
      </c>
      <c r="V72" s="287">
        <v>2.5999999999999998E-5</v>
      </c>
    </row>
    <row r="73" spans="1:28">
      <c r="A73" s="110">
        <v>17.3</v>
      </c>
      <c r="B73" s="288">
        <v>1.5E-5</v>
      </c>
      <c r="C73" s="288">
        <v>0.1376</v>
      </c>
      <c r="N73" s="287">
        <v>1.2E-5</v>
      </c>
      <c r="T73" s="288">
        <v>1.9199999999999998E-2</v>
      </c>
      <c r="X73" s="288">
        <v>2E-3</v>
      </c>
    </row>
    <row r="74" spans="1:28">
      <c r="A74" s="110">
        <v>18</v>
      </c>
      <c r="B74" s="288">
        <v>0.12392599999999999</v>
      </c>
      <c r="C74" s="288">
        <v>6.0000000000000001E-3</v>
      </c>
      <c r="E74" s="287">
        <v>3.0000000000000001E-3</v>
      </c>
      <c r="G74" s="288">
        <v>2.2190000000000001E-2</v>
      </c>
      <c r="I74" s="287">
        <v>7.7560000000000004E-2</v>
      </c>
      <c r="J74" s="288">
        <v>7.4200000000000002E-2</v>
      </c>
      <c r="L74" s="288">
        <v>3.6000000000000001E-5</v>
      </c>
      <c r="M74" s="287">
        <v>1.2999999999999999E-5</v>
      </c>
      <c r="N74" s="287">
        <v>0.170153</v>
      </c>
      <c r="Q74" s="288">
        <v>1.5E-5</v>
      </c>
      <c r="R74" s="287">
        <v>7.9999999999999996E-6</v>
      </c>
      <c r="S74" s="288">
        <v>5.6999999999999998E-4</v>
      </c>
      <c r="T74" s="288">
        <v>0.18790000000000001</v>
      </c>
      <c r="V74" s="287">
        <v>9.3460000000000001E-3</v>
      </c>
      <c r="W74" s="288">
        <v>7.1999999999999998E-3</v>
      </c>
      <c r="X74" s="288">
        <v>7.1999999999999995E-2</v>
      </c>
    </row>
    <row r="75" spans="1:28">
      <c r="A75" s="110">
        <v>18.100000000000001</v>
      </c>
    </row>
    <row r="76" spans="1:28">
      <c r="A76" s="110">
        <v>18.2</v>
      </c>
      <c r="I76" s="287">
        <v>1.8E-5</v>
      </c>
      <c r="U76" s="288">
        <v>8.0000000000000004E-4</v>
      </c>
      <c r="V76" s="287">
        <v>2.359E-3</v>
      </c>
    </row>
    <row r="77" spans="1:28">
      <c r="A77" s="110">
        <v>18.3</v>
      </c>
      <c r="C77" s="288">
        <v>4.5100000000000001E-2</v>
      </c>
      <c r="T77" s="288">
        <v>1.44E-2</v>
      </c>
      <c r="V77" s="287">
        <v>3.9999999999999998E-6</v>
      </c>
      <c r="X77" s="288">
        <v>1E-3</v>
      </c>
    </row>
    <row r="78" spans="1:28">
      <c r="A78" s="110">
        <v>19</v>
      </c>
      <c r="B78" s="288">
        <v>9.8569999999999994E-3</v>
      </c>
      <c r="G78" s="288">
        <v>1.4130999999999999E-2</v>
      </c>
      <c r="I78" s="287">
        <v>4.8621999999999999E-2</v>
      </c>
      <c r="J78" s="288">
        <v>0.12239999999999999</v>
      </c>
      <c r="L78" s="288">
        <v>5.0000000000000004E-6</v>
      </c>
      <c r="N78" s="287">
        <v>6.5726000000000007E-2</v>
      </c>
      <c r="Q78" s="288">
        <v>3.9999999999999998E-6</v>
      </c>
      <c r="S78" s="288">
        <v>7.7999999999999999E-5</v>
      </c>
      <c r="T78" s="288">
        <v>0.1699</v>
      </c>
      <c r="V78" s="287">
        <v>7.5357999999999994E-2</v>
      </c>
      <c r="W78" s="288">
        <v>1.1999999999999999E-3</v>
      </c>
      <c r="X78" s="288">
        <v>6.6000000000000003E-2</v>
      </c>
    </row>
    <row r="79" spans="1:28">
      <c r="A79" s="110">
        <v>19.100000000000001</v>
      </c>
      <c r="T79" s="288">
        <v>4.1999999999999997E-3</v>
      </c>
    </row>
    <row r="80" spans="1:28">
      <c r="A80" s="110">
        <v>19.2</v>
      </c>
      <c r="I80" s="287">
        <v>1.5E-5</v>
      </c>
      <c r="V80" s="287">
        <v>5.9599999999999996E-4</v>
      </c>
      <c r="X80" s="288">
        <v>4.0000000000000001E-3</v>
      </c>
    </row>
    <row r="81" spans="1:24">
      <c r="A81" s="110">
        <v>19.3</v>
      </c>
      <c r="C81" s="288">
        <v>3.5999999999999999E-3</v>
      </c>
      <c r="T81" s="288">
        <v>1.26E-2</v>
      </c>
    </row>
    <row r="82" spans="1:24">
      <c r="A82" s="110">
        <v>19.399999999999999</v>
      </c>
    </row>
    <row r="83" spans="1:24">
      <c r="A83" s="110">
        <v>20</v>
      </c>
      <c r="B83" s="288">
        <v>8.0699999999999999E-4</v>
      </c>
      <c r="E83" s="287">
        <v>5.9999999999999995E-4</v>
      </c>
      <c r="G83" s="288">
        <v>9.9220000000000003E-3</v>
      </c>
      <c r="I83" s="287">
        <v>2.9085E-2</v>
      </c>
      <c r="J83" s="288">
        <v>0.13669999999999999</v>
      </c>
      <c r="N83" s="287">
        <v>1.4139000000000001E-2</v>
      </c>
      <c r="S83" s="288">
        <v>1.1E-5</v>
      </c>
      <c r="T83" s="288">
        <v>0.1507</v>
      </c>
      <c r="V83" s="287">
        <v>0.11390699999999999</v>
      </c>
      <c r="X83" s="288">
        <v>5.3999999999999999E-2</v>
      </c>
    </row>
    <row r="84" spans="1:24">
      <c r="A84" s="110">
        <v>20.100000000000001</v>
      </c>
    </row>
    <row r="85" spans="1:24">
      <c r="A85" s="110">
        <v>20.2</v>
      </c>
      <c r="I85" s="287">
        <v>1.8E-5</v>
      </c>
      <c r="V85" s="287">
        <v>2.3900000000000001E-4</v>
      </c>
      <c r="X85" s="288">
        <v>1.0999999999999999E-2</v>
      </c>
    </row>
    <row r="86" spans="1:24">
      <c r="A86" s="110">
        <v>20.3</v>
      </c>
      <c r="C86" s="288">
        <v>3.0000000000000001E-3</v>
      </c>
      <c r="T86" s="288">
        <v>1.8E-3</v>
      </c>
    </row>
    <row r="87" spans="1:24">
      <c r="A87" s="110">
        <v>21</v>
      </c>
      <c r="B87" s="288">
        <v>3.3000000000000003E-5</v>
      </c>
      <c r="G87" s="288">
        <v>6.3879999999999996E-3</v>
      </c>
      <c r="I87" s="287">
        <v>1.3039E-2</v>
      </c>
      <c r="J87" s="288">
        <v>0.06</v>
      </c>
      <c r="N87" s="287">
        <v>2.1740000000000002E-3</v>
      </c>
      <c r="S87" s="288">
        <v>3.9999999999999998E-6</v>
      </c>
      <c r="T87" s="288">
        <v>8.3400000000000002E-2</v>
      </c>
      <c r="V87" s="287">
        <v>0.15107999999999999</v>
      </c>
      <c r="X87" s="288">
        <v>2.4E-2</v>
      </c>
    </row>
    <row r="88" spans="1:24">
      <c r="A88" s="110">
        <v>21.1</v>
      </c>
    </row>
    <row r="89" spans="1:24">
      <c r="A89" s="110">
        <v>21.2</v>
      </c>
      <c r="I89" s="287">
        <v>3.9999999999999998E-6</v>
      </c>
      <c r="V89" s="287">
        <v>1.3439999999999999E-3</v>
      </c>
    </row>
    <row r="90" spans="1:24">
      <c r="A90" s="110">
        <v>21.3</v>
      </c>
    </row>
    <row r="91" spans="1:24">
      <c r="A91" s="110">
        <v>22</v>
      </c>
      <c r="G91" s="288">
        <v>4.463E-3</v>
      </c>
      <c r="I91" s="287">
        <v>5.5319999999999996E-3</v>
      </c>
      <c r="J91" s="288">
        <v>8.14E-2</v>
      </c>
      <c r="K91" s="287">
        <v>3.9999999999999998E-6</v>
      </c>
      <c r="L91" s="288">
        <v>5.0000000000000004E-6</v>
      </c>
      <c r="N91" s="287">
        <v>1.7699999999999999E-4</v>
      </c>
      <c r="O91" s="287">
        <v>3.9999999999999998E-6</v>
      </c>
      <c r="S91" s="288">
        <v>1.1E-5</v>
      </c>
      <c r="T91" s="288">
        <v>6.3E-2</v>
      </c>
      <c r="V91" s="287">
        <v>0.161658</v>
      </c>
      <c r="X91" s="288">
        <v>1.4999999999999999E-2</v>
      </c>
    </row>
    <row r="92" spans="1:24">
      <c r="A92" s="110">
        <v>22.1</v>
      </c>
    </row>
    <row r="93" spans="1:24">
      <c r="A93" s="110">
        <v>22.2</v>
      </c>
      <c r="V93" s="287">
        <v>2.4369999999999999E-3</v>
      </c>
      <c r="X93" s="288">
        <v>3.7999999999999999E-2</v>
      </c>
    </row>
    <row r="94" spans="1:24">
      <c r="A94" s="110">
        <v>22.3</v>
      </c>
    </row>
    <row r="95" spans="1:24">
      <c r="A95" s="110">
        <v>23</v>
      </c>
      <c r="G95" s="288">
        <v>1.3630000000000001E-3</v>
      </c>
      <c r="I95" s="287">
        <v>1.379E-3</v>
      </c>
      <c r="J95" s="288">
        <v>0.1169</v>
      </c>
      <c r="K95" s="287">
        <v>3.9999999999999998E-6</v>
      </c>
      <c r="N95" s="287">
        <v>3.9999999999999998E-6</v>
      </c>
      <c r="O95" s="287">
        <v>3.9999999999999998E-6</v>
      </c>
      <c r="T95" s="288">
        <v>6.8400000000000002E-2</v>
      </c>
      <c r="V95" s="287">
        <v>0.149283</v>
      </c>
      <c r="X95" s="288">
        <v>2E-3</v>
      </c>
    </row>
    <row r="96" spans="1:24">
      <c r="A96" s="110">
        <v>23.1</v>
      </c>
    </row>
    <row r="97" spans="1:24">
      <c r="A97" s="110">
        <v>23.2</v>
      </c>
      <c r="I97" s="287">
        <v>3.9999999999999998E-6</v>
      </c>
      <c r="V97" s="287">
        <v>1.09E-3</v>
      </c>
      <c r="X97" s="288">
        <v>4.3999999999999997E-2</v>
      </c>
    </row>
    <row r="98" spans="1:24">
      <c r="A98" s="110">
        <v>23.3</v>
      </c>
    </row>
    <row r="99" spans="1:24">
      <c r="A99" s="110">
        <v>24</v>
      </c>
      <c r="G99" s="288">
        <v>4.6099999999999998E-4</v>
      </c>
      <c r="I99" s="287">
        <v>1.3799999999999999E-4</v>
      </c>
      <c r="J99" s="288">
        <v>7.5800000000000006E-2</v>
      </c>
      <c r="O99" s="287">
        <v>1.3799999999999999E-4</v>
      </c>
      <c r="T99" s="288">
        <v>3.4799999999999998E-2</v>
      </c>
      <c r="V99" s="287">
        <v>0.15093200000000001</v>
      </c>
      <c r="X99" s="288">
        <v>1E-3</v>
      </c>
    </row>
    <row r="100" spans="1:24">
      <c r="A100" s="110">
        <v>24.1</v>
      </c>
    </row>
    <row r="101" spans="1:24">
      <c r="A101" s="110">
        <v>24.2</v>
      </c>
      <c r="O101" s="287">
        <v>2.1189999999999998E-3</v>
      </c>
      <c r="V101" s="287">
        <v>3.3100000000000002E-4</v>
      </c>
      <c r="X101" s="288">
        <v>2.1999999999999999E-2</v>
      </c>
    </row>
    <row r="102" spans="1:24">
      <c r="A102" s="110">
        <v>24.3</v>
      </c>
    </row>
    <row r="103" spans="1:24">
      <c r="A103" s="110">
        <v>25</v>
      </c>
      <c r="G103" s="288">
        <v>7.3999999999999999E-4</v>
      </c>
      <c r="I103" s="287">
        <v>3.7300000000000001E-4</v>
      </c>
      <c r="J103" s="288">
        <v>5.5300000000000002E-2</v>
      </c>
      <c r="O103" s="287">
        <v>9.7599999999999998E-4</v>
      </c>
      <c r="T103" s="288">
        <v>8.9999999999999993E-3</v>
      </c>
      <c r="V103" s="287">
        <v>0.10340199999999999</v>
      </c>
    </row>
    <row r="104" spans="1:24">
      <c r="A104" s="110">
        <v>25.1</v>
      </c>
    </row>
    <row r="105" spans="1:24">
      <c r="A105" s="110">
        <v>25.2</v>
      </c>
      <c r="O105" s="287">
        <v>5.9199999999999997E-4</v>
      </c>
      <c r="V105" s="287">
        <v>2.1000000000000001E-4</v>
      </c>
      <c r="X105" s="288">
        <v>0.04</v>
      </c>
    </row>
    <row r="106" spans="1:24">
      <c r="A106" s="110">
        <v>25.3</v>
      </c>
    </row>
    <row r="107" spans="1:24">
      <c r="A107" s="110">
        <v>26</v>
      </c>
      <c r="G107" s="288">
        <v>1.5999999999999999E-5</v>
      </c>
      <c r="I107" s="287">
        <v>1.8599999999999999E-4</v>
      </c>
      <c r="J107" s="288">
        <v>1.7399999999999999E-2</v>
      </c>
      <c r="O107" s="287">
        <v>1.127E-3</v>
      </c>
      <c r="T107" s="288">
        <v>1.1999999999999999E-3</v>
      </c>
      <c r="V107" s="287">
        <v>4.7419999999999997E-2</v>
      </c>
    </row>
    <row r="108" spans="1:24">
      <c r="A108" s="110">
        <v>26.1</v>
      </c>
    </row>
    <row r="109" spans="1:24">
      <c r="A109" s="110">
        <v>26.2</v>
      </c>
      <c r="O109" s="287">
        <v>3.1000000000000001E-5</v>
      </c>
      <c r="V109" s="287">
        <v>2.9E-5</v>
      </c>
      <c r="X109" s="288">
        <v>4.3999999999999997E-2</v>
      </c>
    </row>
    <row r="110" spans="1:24">
      <c r="A110" s="110">
        <v>26.3</v>
      </c>
    </row>
    <row r="111" spans="1:24">
      <c r="A111" s="110">
        <v>27</v>
      </c>
      <c r="G111" s="288">
        <v>3.9999999999999998E-6</v>
      </c>
      <c r="I111" s="287">
        <v>2.8499999999999999E-4</v>
      </c>
      <c r="J111" s="288">
        <v>1.6000000000000001E-3</v>
      </c>
      <c r="O111" s="287">
        <v>3.0043E-2</v>
      </c>
      <c r="T111" s="288">
        <v>1.1999999999999999E-3</v>
      </c>
      <c r="V111" s="287">
        <v>1.5952999999999998E-2</v>
      </c>
    </row>
    <row r="112" spans="1:24">
      <c r="A112" s="110">
        <v>27.1</v>
      </c>
    </row>
    <row r="113" spans="1:24">
      <c r="A113" s="110">
        <v>27.2</v>
      </c>
      <c r="O113" s="287">
        <v>7.7000000000000001E-5</v>
      </c>
      <c r="X113" s="288">
        <v>9.5000000000000001E-2</v>
      </c>
    </row>
    <row r="114" spans="1:24">
      <c r="A114" s="110">
        <v>27.3</v>
      </c>
    </row>
    <row r="115" spans="1:24">
      <c r="A115" s="110">
        <v>28</v>
      </c>
      <c r="G115" s="288">
        <v>3.9999999999999998E-6</v>
      </c>
      <c r="I115" s="287">
        <v>2.9E-5</v>
      </c>
      <c r="O115" s="287">
        <v>0.15936700000000001</v>
      </c>
      <c r="V115" s="287">
        <v>5.0610000000000004E-3</v>
      </c>
    </row>
    <row r="116" spans="1:24">
      <c r="A116" s="110">
        <v>28.1</v>
      </c>
    </row>
    <row r="117" spans="1:24">
      <c r="A117" s="110">
        <v>28.2</v>
      </c>
      <c r="O117" s="287">
        <v>2.6189999999999998E-3</v>
      </c>
      <c r="V117" s="287">
        <v>6.9999999999999999E-6</v>
      </c>
      <c r="X117" s="288">
        <v>7.3999999999999996E-2</v>
      </c>
    </row>
    <row r="118" spans="1:24">
      <c r="A118" s="110">
        <v>28.3</v>
      </c>
      <c r="X118" s="288">
        <v>1E-3</v>
      </c>
    </row>
    <row r="119" spans="1:24">
      <c r="A119" s="110">
        <v>29</v>
      </c>
      <c r="O119" s="287">
        <v>0.20807800000000001</v>
      </c>
      <c r="V119" s="287">
        <v>1.807E-3</v>
      </c>
    </row>
    <row r="120" spans="1:24">
      <c r="A120" s="110">
        <v>29.1</v>
      </c>
    </row>
    <row r="121" spans="1:24">
      <c r="A121" s="110">
        <v>29.2</v>
      </c>
      <c r="O121" s="287">
        <v>4.934E-3</v>
      </c>
      <c r="V121" s="287">
        <v>2.1999999999999999E-5</v>
      </c>
      <c r="X121" s="288">
        <v>6.3E-2</v>
      </c>
    </row>
    <row r="122" spans="1:24">
      <c r="A122" s="110">
        <v>29.3</v>
      </c>
    </row>
    <row r="123" spans="1:24">
      <c r="A123" s="110">
        <v>30</v>
      </c>
      <c r="O123" s="287">
        <v>0.231679</v>
      </c>
      <c r="V123" s="287">
        <v>7.1000000000000002E-4</v>
      </c>
    </row>
    <row r="124" spans="1:24">
      <c r="A124" s="110">
        <v>30.1</v>
      </c>
    </row>
    <row r="125" spans="1:24">
      <c r="A125" s="110">
        <v>30.2</v>
      </c>
      <c r="O125" s="287">
        <v>2.8434999999999998E-2</v>
      </c>
      <c r="V125" s="287">
        <v>1.73E-4</v>
      </c>
      <c r="X125" s="288">
        <v>0.57999999999999996</v>
      </c>
    </row>
    <row r="126" spans="1:24">
      <c r="A126" s="110">
        <v>30.3</v>
      </c>
    </row>
    <row r="127" spans="1:24">
      <c r="A127" s="110">
        <v>31</v>
      </c>
      <c r="O127" s="287">
        <v>7.6919000000000001E-2</v>
      </c>
      <c r="V127" s="287">
        <v>1.07E-4</v>
      </c>
      <c r="X127" s="288">
        <v>2E-3</v>
      </c>
    </row>
    <row r="128" spans="1:24">
      <c r="A128" s="110">
        <v>31.1</v>
      </c>
    </row>
    <row r="129" spans="1:24">
      <c r="A129" s="110">
        <v>31.2</v>
      </c>
      <c r="O129" s="287">
        <v>8.9885999999999994E-2</v>
      </c>
      <c r="V129" s="287">
        <v>1.134E-3</v>
      </c>
      <c r="X129" s="288">
        <v>2.1999999999999999E-2</v>
      </c>
    </row>
    <row r="130" spans="1:24">
      <c r="A130" s="110">
        <v>31.3</v>
      </c>
    </row>
    <row r="131" spans="1:24">
      <c r="A131" s="110">
        <v>32</v>
      </c>
      <c r="O131" s="287">
        <v>2.8482E-2</v>
      </c>
      <c r="V131" s="287">
        <v>6.9999999999999994E-5</v>
      </c>
      <c r="X131" s="288">
        <v>1E-3</v>
      </c>
    </row>
    <row r="132" spans="1:24">
      <c r="A132" s="110">
        <v>32.1</v>
      </c>
    </row>
    <row r="133" spans="1:24">
      <c r="A133" s="110">
        <v>32.200000000000003</v>
      </c>
      <c r="O133" s="287">
        <v>7.5126999999999999E-2</v>
      </c>
      <c r="V133" s="287">
        <v>1.5100000000000001E-4</v>
      </c>
      <c r="X133" s="288">
        <v>1.2999999999999999E-2</v>
      </c>
    </row>
    <row r="134" spans="1:24">
      <c r="A134" s="110">
        <v>32.299999999999997</v>
      </c>
    </row>
    <row r="135" spans="1:24">
      <c r="A135" s="110">
        <v>33</v>
      </c>
      <c r="O135" s="287">
        <v>1.1826E-2</v>
      </c>
      <c r="V135" s="287">
        <v>3.6999999999999998E-5</v>
      </c>
      <c r="X135" s="288">
        <v>1E-3</v>
      </c>
    </row>
    <row r="136" spans="1:24">
      <c r="A136" s="110">
        <v>33.1</v>
      </c>
    </row>
    <row r="137" spans="1:24">
      <c r="A137" s="110">
        <v>33.200000000000003</v>
      </c>
      <c r="O137" s="287">
        <v>2.8434999999999998E-2</v>
      </c>
      <c r="V137" s="287">
        <v>1.8E-5</v>
      </c>
      <c r="X137" s="288">
        <v>5.0000000000000001E-3</v>
      </c>
    </row>
    <row r="138" spans="1:24">
      <c r="A138" s="110">
        <v>33.299999999999997</v>
      </c>
      <c r="O138" s="287">
        <v>7.9999999999999996E-6</v>
      </c>
    </row>
    <row r="139" spans="1:24">
      <c r="A139" s="110">
        <v>34</v>
      </c>
      <c r="O139" s="287">
        <v>4.5880000000000001E-3</v>
      </c>
      <c r="X139" s="288">
        <v>7.0000000000000001E-3</v>
      </c>
    </row>
    <row r="140" spans="1:24">
      <c r="A140" s="110">
        <v>34.1</v>
      </c>
    </row>
    <row r="141" spans="1:24">
      <c r="A141" s="110">
        <v>34.200000000000003</v>
      </c>
      <c r="O141" s="287">
        <v>3.7690000000000002E-3</v>
      </c>
      <c r="X141" s="288">
        <v>1E-3</v>
      </c>
    </row>
    <row r="142" spans="1:24">
      <c r="A142" s="110">
        <v>34.299999999999997</v>
      </c>
    </row>
    <row r="143" spans="1:24">
      <c r="A143" s="110">
        <v>35</v>
      </c>
      <c r="O143" s="287">
        <v>6.4419999999999998E-3</v>
      </c>
    </row>
    <row r="144" spans="1:24">
      <c r="A144" s="110">
        <v>35.1</v>
      </c>
      <c r="O144" s="287">
        <v>3.9999999999999998E-6</v>
      </c>
    </row>
    <row r="145" spans="1:22">
      <c r="A145" s="110">
        <v>35.200000000000003</v>
      </c>
      <c r="O145" s="287">
        <v>1.323E-3</v>
      </c>
    </row>
    <row r="146" spans="1:22">
      <c r="A146" s="110">
        <v>35.299999999999997</v>
      </c>
    </row>
    <row r="147" spans="1:22">
      <c r="A147" s="110">
        <v>36</v>
      </c>
      <c r="O147" s="287">
        <v>2.261E-3</v>
      </c>
    </row>
    <row r="148" spans="1:22" s="288" customFormat="1" ht="14.25">
      <c r="A148" s="110">
        <v>36.1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36.200000000000003</v>
      </c>
      <c r="E149" s="287"/>
      <c r="F149" s="287"/>
      <c r="H149" s="287"/>
      <c r="I149" s="287"/>
      <c r="K149" s="287"/>
      <c r="M149" s="287"/>
      <c r="N149" s="287"/>
      <c r="O149" s="287">
        <v>2.6999999999999999E-5</v>
      </c>
      <c r="R149" s="287"/>
      <c r="V149" s="287"/>
    </row>
    <row r="150" spans="1:22" s="288" customFormat="1" ht="14.25">
      <c r="A150" s="110">
        <v>36.299999999999997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</v>
      </c>
      <c r="E151" s="287"/>
      <c r="F151" s="287"/>
      <c r="H151" s="287"/>
      <c r="I151" s="287"/>
      <c r="K151" s="287"/>
      <c r="M151" s="287"/>
      <c r="N151" s="287"/>
      <c r="O151" s="287">
        <v>5.6099999999999998E-4</v>
      </c>
      <c r="R151" s="287"/>
      <c r="V151" s="287"/>
    </row>
    <row r="152" spans="1:22" s="288" customFormat="1" ht="14.25">
      <c r="A152" s="110">
        <v>37.1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37.200000000000003</v>
      </c>
      <c r="E153" s="287"/>
      <c r="F153" s="287"/>
      <c r="H153" s="287"/>
      <c r="I153" s="287"/>
      <c r="K153" s="287"/>
      <c r="M153" s="287"/>
      <c r="N153" s="287"/>
      <c r="O153" s="287"/>
      <c r="R153" s="287"/>
      <c r="V153" s="287"/>
    </row>
    <row r="154" spans="1:22" s="288" customFormat="1" ht="14.25">
      <c r="A154" s="110">
        <v>37.299999999999997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</v>
      </c>
      <c r="E155" s="287"/>
      <c r="F155" s="287"/>
      <c r="H155" s="287"/>
      <c r="I155" s="287"/>
      <c r="K155" s="287"/>
      <c r="M155" s="287"/>
      <c r="N155" s="287"/>
      <c r="O155" s="287">
        <v>2.6499999999999999E-4</v>
      </c>
      <c r="R155" s="287"/>
      <c r="V155" s="287"/>
    </row>
    <row r="156" spans="1:22" s="288" customFormat="1" ht="14.25">
      <c r="A156" s="110">
        <v>38.1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38.200000000000003</v>
      </c>
      <c r="E157" s="287"/>
      <c r="F157" s="287"/>
      <c r="H157" s="287"/>
      <c r="I157" s="287"/>
      <c r="K157" s="287"/>
      <c r="M157" s="287"/>
      <c r="N157" s="287"/>
      <c r="O157" s="287"/>
      <c r="R157" s="287"/>
      <c r="V157" s="287"/>
    </row>
    <row r="158" spans="1:22" s="288" customFormat="1" ht="14.25">
      <c r="A158" s="110">
        <v>38.299999999999997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</v>
      </c>
      <c r="E159" s="287"/>
      <c r="F159" s="287"/>
      <c r="H159" s="287"/>
      <c r="I159" s="287"/>
      <c r="K159" s="287"/>
      <c r="M159" s="287"/>
      <c r="N159" s="287"/>
      <c r="O159" s="287">
        <v>3.1000000000000001E-5</v>
      </c>
      <c r="R159" s="287"/>
      <c r="V159" s="287"/>
    </row>
    <row r="160" spans="1:22" s="288" customFormat="1" ht="14.25">
      <c r="A160" s="110">
        <v>39.1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39.200000000000003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3.9999999999999998E-6</v>
      </c>
    </row>
    <row r="162" spans="1:22" s="288" customFormat="1" ht="14.25">
      <c r="A162" s="110">
        <v>39.299999999999997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>
        <v>6.9999999999999999E-6</v>
      </c>
    </row>
    <row r="164" spans="1:22" s="288" customFormat="1" ht="14.25">
      <c r="A164" s="110">
        <v>40.1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40.200000000000003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40.299999999999997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/>
    </row>
    <row r="168" spans="1:22" s="288" customFormat="1" ht="14.25">
      <c r="A168" s="110">
        <v>41.1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41.2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3.9999999999999998E-6</v>
      </c>
    </row>
    <row r="170" spans="1:22" s="288" customFormat="1" ht="14.25">
      <c r="A170" s="110">
        <v>41.3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6.9999999999999999E-6</v>
      </c>
    </row>
    <row r="172" spans="1:22" s="288" customFormat="1" ht="14.25">
      <c r="A172" s="110">
        <v>42.1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42.2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4.8000000000000001E-5</v>
      </c>
    </row>
    <row r="174" spans="1:22" s="288" customFormat="1" ht="14.25">
      <c r="A174" s="110">
        <v>42.3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3.9999999999999998E-6</v>
      </c>
    </row>
    <row r="176" spans="1:22" s="288" customFormat="1" ht="14.25">
      <c r="A176" s="110">
        <v>43.1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43.2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>
        <v>5.7799999999999995E-4</v>
      </c>
    </row>
    <row r="178" spans="1:22" s="288" customFormat="1" ht="14.25">
      <c r="A178" s="110">
        <v>43.3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/>
    </row>
    <row r="180" spans="1:22" s="288" customFormat="1" ht="14.25">
      <c r="A180" s="110">
        <v>44.1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44.2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>
        <v>2.6899999999999998E-4</v>
      </c>
    </row>
    <row r="182" spans="1:22" s="288" customFormat="1" ht="14.25">
      <c r="A182" s="110">
        <v>44.3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/>
    </row>
    <row r="184" spans="1:22" s="288" customFormat="1" ht="14.25">
      <c r="A184" s="110">
        <v>45.1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45.2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>
        <v>2.7599999999999999E-4</v>
      </c>
    </row>
    <row r="186" spans="1:22" s="288" customFormat="1" ht="14.25">
      <c r="A186" s="110">
        <v>45.3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/>
    </row>
    <row r="188" spans="1:22" s="288" customFormat="1" ht="14.25">
      <c r="A188" s="110">
        <v>46.1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46.2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2.5399999999999999E-4</v>
      </c>
    </row>
    <row r="190" spans="1:22" s="288" customFormat="1" ht="14.25">
      <c r="A190" s="110">
        <v>46.3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3.9999999999999998E-6</v>
      </c>
    </row>
    <row r="192" spans="1:22" s="288" customFormat="1" ht="14.25">
      <c r="A192" s="110">
        <v>47.1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47.2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>
        <v>4.0000000000000003E-5</v>
      </c>
    </row>
    <row r="194" spans="1:22" s="288" customFormat="1" ht="14.25">
      <c r="A194" s="110">
        <v>47.3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/>
    </row>
    <row r="196" spans="1:22" s="288" customFormat="1" ht="14.25">
      <c r="A196" s="110">
        <v>48.1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48.2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>
        <v>1.5E-5</v>
      </c>
    </row>
    <row r="198" spans="1:22" s="288" customFormat="1" ht="14.25">
      <c r="A198" s="110">
        <v>48.3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49.1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  <row r="201" spans="1:22" s="288" customFormat="1" ht="14.25">
      <c r="A201" s="110">
        <v>49.2</v>
      </c>
      <c r="E201" s="287"/>
      <c r="F201" s="287"/>
      <c r="H201" s="287"/>
      <c r="I201" s="287"/>
      <c r="K201" s="287"/>
      <c r="M201" s="287"/>
      <c r="N201" s="287"/>
      <c r="O201" s="287"/>
      <c r="R201" s="287"/>
      <c r="V201" s="287"/>
    </row>
    <row r="202" spans="1:22" s="288" customFormat="1" ht="14.25">
      <c r="A202" s="110">
        <v>49.3</v>
      </c>
      <c r="E202" s="287"/>
      <c r="F202" s="287"/>
      <c r="H202" s="287"/>
      <c r="I202" s="287"/>
      <c r="K202" s="287"/>
      <c r="M202" s="287"/>
      <c r="N202" s="287"/>
      <c r="O202" s="287"/>
      <c r="R202" s="287"/>
      <c r="V202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57058D5EE1974382F918D3EA26C5C3" ma:contentTypeVersion="13" ma:contentTypeDescription="Crie um novo documento." ma:contentTypeScope="" ma:versionID="b9b7ac597f9fdeeadfec12e885c6a6e9">
  <xsd:schema xmlns:xsd="http://www.w3.org/2001/XMLSchema" xmlns:xs="http://www.w3.org/2001/XMLSchema" xmlns:p="http://schemas.microsoft.com/office/2006/metadata/properties" xmlns:ns2="792135f9-d248-4f60-9378-f099ef44a51f" xmlns:ns3="042cf7c8-e069-4885-b04d-c4a8be76d028" targetNamespace="http://schemas.microsoft.com/office/2006/metadata/properties" ma:root="true" ma:fieldsID="71e96c8097dec98c2e5cb4106607d73f" ns2:_="" ns3:_="">
    <xsd:import namespace="792135f9-d248-4f60-9378-f099ef44a51f"/>
    <xsd:import namespace="042cf7c8-e069-4885-b04d-c4a8be76d0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2135f9-d248-4f60-9378-f099ef44a5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5d94f631-c3c5-49eb-b42c-714fc04ba5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2cf7c8-e069-4885-b04d-c4a8be76d02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8155930-89a1-4d30-b7e6-01e84008691a}" ma:internalName="TaxCatchAll" ma:showField="CatchAllData" ma:web="042cf7c8-e069-4885-b04d-c4a8be76d0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42cf7c8-e069-4885-b04d-c4a8be76d028" xsi:nil="true"/>
    <lcf76f155ced4ddcb4097134ff3c332f xmlns="792135f9-d248-4f60-9378-f099ef44a51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8412D7-7FC1-4FD3-B7F7-913B7F1F5D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2135f9-d248-4f60-9378-f099ef44a51f"/>
    <ds:schemaRef ds:uri="042cf7c8-e069-4885-b04d-c4a8be76d0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F75135-F9D3-445B-934B-85DC4D8B24BC}">
  <ds:schemaRefs>
    <ds:schemaRef ds:uri="http://schemas.microsoft.com/office/2006/metadata/properties"/>
    <ds:schemaRef ds:uri="http://schemas.microsoft.com/office/infopath/2007/PartnerControls"/>
    <ds:schemaRef ds:uri="042cf7c8-e069-4885-b04d-c4a8be76d028"/>
    <ds:schemaRef ds:uri="792135f9-d248-4f60-9378-f099ef44a51f"/>
  </ds:schemaRefs>
</ds:datastoreItem>
</file>

<file path=customXml/itemProps3.xml><?xml version="1.0" encoding="utf-8"?>
<ds:datastoreItem xmlns:ds="http://schemas.openxmlformats.org/officeDocument/2006/customXml" ds:itemID="{9C6BB58B-F1B2-458C-9AFF-FFC6DF191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2025-03-12T14:56:20Z</cp:lastPrinted>
  <dcterms:created xsi:type="dcterms:W3CDTF">2000-11-01T18:17:47Z</dcterms:created>
  <dcterms:modified xsi:type="dcterms:W3CDTF">2025-09-02T18:55:13Z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  <property fmtid="{D5CDD505-2E9C-101B-9397-08002B2CF9AE}" pid="9" name="ContentTypeId">
    <vt:lpwstr>0x0101002E57058D5EE1974382F918D3EA26C5C3</vt:lpwstr>
  </property>
</Properties>
</file>